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chartsheets/sheet2.xml" ContentType="application/vnd.openxmlformats-officedocument.spreadsheetml.chart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mc:AlternateContent xmlns:mc="http://schemas.openxmlformats.org/markup-compatibility/2006">
    <mc:Choice Requires="x15">
      <x15ac:absPath xmlns:x15ac="http://schemas.microsoft.com/office/spreadsheetml/2010/11/ac" url="C:\Users\afree\Documents\Github\MacroEconomic History\EXPORT\2020 Updates\"/>
    </mc:Choice>
  </mc:AlternateContent>
  <xr:revisionPtr revIDLastSave="0" documentId="13_ncr:1_{6F3A914B-BFC1-4F5C-B0F8-897A9A9FCE59}" xr6:coauthVersionLast="45" xr6:coauthVersionMax="45" xr10:uidLastSave="{00000000-0000-0000-0000-000000000000}"/>
  <bookViews>
    <workbookView xWindow="-98" yWindow="-98" windowWidth="28996" windowHeight="15945" activeTab="4" xr2:uid="{00000000-000D-0000-FFFF-FFFF00000000}"/>
  </bookViews>
  <sheets>
    <sheet name="Copyright" sheetId="2" r:id="rId1"/>
    <sheet name="Population" sheetId="1" r:id="rId2"/>
    <sheet name="GDP" sheetId="6" r:id="rId3"/>
    <sheet name="Percentage Contributions" sheetId="11" r:id="rId4"/>
    <sheet name="Theil" sheetId="7" r:id="rId5"/>
    <sheet name="Theil Decomposition Chart" sheetId="10" r:id="rId6"/>
  </sheets>
  <externalReferences>
    <externalReference r:id="rId7"/>
    <externalReference r:id="rId8"/>
    <externalReference r:id="rId9"/>
    <externalReference r:id="rId10"/>
  </externalReferences>
  <definedNames>
    <definedName name="GrowthRelatives">'[1]Dispersion UN Ratios'!$AZ$5:$BD$159</definedName>
    <definedName name="North_GDP">[2]GDP!$B$11:$BI$29</definedName>
    <definedName name="North_paper_2">'[3]Dispersion UN GD-Cap'!$E$3:$AZ$35</definedName>
    <definedName name="North_Pop">[2]POP!$B$11:$BI$29</definedName>
  </definedNames>
  <calcPr calcId="191029"/>
  <pivotCaches>
    <pivotCache cacheId="55" r:id="rId11"/>
    <pivotCache cacheId="56"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J4" i="1" l="1"/>
  <c r="BI4" i="1"/>
  <c r="BH4" i="1"/>
  <c r="BG4" i="1"/>
  <c r="BF4" i="1"/>
  <c r="BE4" i="1"/>
  <c r="BE16" i="7" s="1"/>
  <c r="BD4" i="1"/>
  <c r="BC4" i="1"/>
  <c r="BB4" i="1"/>
  <c r="BA4" i="1"/>
  <c r="BJ3" i="1"/>
  <c r="BI3" i="1"/>
  <c r="BH3" i="1"/>
  <c r="BG3" i="1"/>
  <c r="BF3" i="1"/>
  <c r="BE3" i="1"/>
  <c r="BD3" i="1"/>
  <c r="BC3" i="1"/>
  <c r="BB3" i="1"/>
  <c r="BA3" i="1"/>
  <c r="BJ2" i="1"/>
  <c r="BI2" i="1"/>
  <c r="BI14" i="7" s="1"/>
  <c r="BH2" i="1"/>
  <c r="BG2" i="1"/>
  <c r="BF2" i="1"/>
  <c r="BE2" i="1"/>
  <c r="BD2" i="1"/>
  <c r="BC2" i="1"/>
  <c r="BB2" i="1"/>
  <c r="BA2" i="1"/>
  <c r="BJ1" i="1"/>
  <c r="BJ5" i="1" s="1"/>
  <c r="BI1" i="1"/>
  <c r="BI5" i="1" s="1"/>
  <c r="BH1" i="1"/>
  <c r="BH5" i="1" s="1"/>
  <c r="BG1" i="1"/>
  <c r="BG5" i="1" s="1"/>
  <c r="BF1" i="1"/>
  <c r="BF5" i="1" s="1"/>
  <c r="BE1" i="1"/>
  <c r="BE5" i="1" s="1"/>
  <c r="BD1" i="1"/>
  <c r="BD5" i="1" s="1"/>
  <c r="BC1" i="1"/>
  <c r="BC5" i="1" s="1"/>
  <c r="BB1" i="1"/>
  <c r="BB5" i="1" s="1"/>
  <c r="BA1" i="1"/>
  <c r="BA5" i="1" s="1"/>
  <c r="BG45" i="7"/>
  <c r="BG55" i="7" s="1"/>
  <c r="BG59" i="7" s="1"/>
  <c r="AY33" i="7"/>
  <c r="AY27" i="7"/>
  <c r="AY31" i="7" s="1"/>
  <c r="BJ25" i="7"/>
  <c r="BI25" i="7"/>
  <c r="BH25" i="7"/>
  <c r="BG25" i="7"/>
  <c r="BF25" i="7"/>
  <c r="BE25" i="7"/>
  <c r="BD25" i="7"/>
  <c r="BC25" i="7"/>
  <c r="BB25" i="7"/>
  <c r="BA25" i="7"/>
  <c r="AZ25" i="7"/>
  <c r="AY25" i="7"/>
  <c r="AY30" i="7" s="1"/>
  <c r="BJ24" i="7"/>
  <c r="BI24" i="7"/>
  <c r="BH24" i="7"/>
  <c r="BG24" i="7"/>
  <c r="BF24" i="7"/>
  <c r="BE24" i="7"/>
  <c r="BD24" i="7"/>
  <c r="BC24" i="7"/>
  <c r="BB24" i="7"/>
  <c r="BA24" i="7"/>
  <c r="AZ24" i="7"/>
  <c r="AY24" i="7"/>
  <c r="AY29" i="7" s="1"/>
  <c r="BJ16" i="7"/>
  <c r="BI16" i="7"/>
  <c r="BH16" i="7"/>
  <c r="BG16" i="7"/>
  <c r="BF16" i="7"/>
  <c r="BD16" i="7"/>
  <c r="BC16" i="7"/>
  <c r="BB16" i="7"/>
  <c r="BA16" i="7"/>
  <c r="AZ16" i="7"/>
  <c r="AY16" i="7"/>
  <c r="BJ15" i="7"/>
  <c r="BI15" i="7"/>
  <c r="BH15" i="7"/>
  <c r="BG15" i="7"/>
  <c r="BG35" i="7" s="1"/>
  <c r="BF15" i="7"/>
  <c r="BE15" i="7"/>
  <c r="BD15" i="7"/>
  <c r="BC15" i="7"/>
  <c r="BB15" i="7"/>
  <c r="BA15" i="7"/>
  <c r="AZ15" i="7"/>
  <c r="AY15" i="7"/>
  <c r="BJ14" i="7"/>
  <c r="BH14" i="7"/>
  <c r="BG14" i="7"/>
  <c r="BF14" i="7"/>
  <c r="BE14" i="7"/>
  <c r="BD14" i="7"/>
  <c r="BC14" i="7"/>
  <c r="BB14" i="7"/>
  <c r="BA14" i="7"/>
  <c r="AZ14" i="7"/>
  <c r="AY14" i="7"/>
  <c r="BJ13" i="7"/>
  <c r="BI13" i="7"/>
  <c r="BH13" i="7"/>
  <c r="BG13" i="7"/>
  <c r="BF13" i="7"/>
  <c r="BE13" i="7"/>
  <c r="AZ13" i="7"/>
  <c r="AY13" i="7"/>
  <c r="BE11" i="7"/>
  <c r="BJ10" i="7"/>
  <c r="BJ35" i="7" s="1"/>
  <c r="BJ40" i="7" s="1"/>
  <c r="BI10" i="7"/>
  <c r="BI35" i="7" s="1"/>
  <c r="BH10" i="7"/>
  <c r="BH35" i="7" s="1"/>
  <c r="BG10" i="7"/>
  <c r="BF10" i="7"/>
  <c r="BE10" i="7"/>
  <c r="BD10" i="7"/>
  <c r="BC10" i="7"/>
  <c r="BB10" i="7"/>
  <c r="BB35" i="7" s="1"/>
  <c r="BA10" i="7"/>
  <c r="BA35" i="7" s="1"/>
  <c r="AZ10" i="7"/>
  <c r="AZ35" i="7" s="1"/>
  <c r="AY10" i="7"/>
  <c r="AY35" i="7" s="1"/>
  <c r="BJ9" i="7"/>
  <c r="BJ34" i="7" s="1"/>
  <c r="BJ39" i="7" s="1"/>
  <c r="BI9" i="7"/>
  <c r="BH9" i="7"/>
  <c r="BH34" i="7" s="1"/>
  <c r="BG9" i="7"/>
  <c r="BG34" i="7" s="1"/>
  <c r="BF9" i="7"/>
  <c r="BF34" i="7" s="1"/>
  <c r="BE9" i="7"/>
  <c r="BE34" i="7" s="1"/>
  <c r="BD9" i="7"/>
  <c r="BD34" i="7" s="1"/>
  <c r="BC9" i="7"/>
  <c r="BC34" i="7" s="1"/>
  <c r="BB9" i="7"/>
  <c r="BA9" i="7"/>
  <c r="AZ9" i="7"/>
  <c r="AZ34" i="7" s="1"/>
  <c r="AY9" i="7"/>
  <c r="AY34" i="7" s="1"/>
  <c r="BJ8" i="7"/>
  <c r="BJ11" i="7" s="1"/>
  <c r="BJ36" i="7" s="1"/>
  <c r="BI8" i="7"/>
  <c r="BI11" i="7" s="1"/>
  <c r="BH8" i="7"/>
  <c r="BH11" i="7" s="1"/>
  <c r="BG8" i="7"/>
  <c r="BG11" i="7" s="1"/>
  <c r="BF8" i="7"/>
  <c r="BF11" i="7" s="1"/>
  <c r="BF36" i="7" s="1"/>
  <c r="BE8" i="7"/>
  <c r="BE33" i="7" s="1"/>
  <c r="BD8" i="7"/>
  <c r="BD11" i="7" s="1"/>
  <c r="BD36" i="7" s="1"/>
  <c r="BC8" i="7"/>
  <c r="BC11" i="7" s="1"/>
  <c r="BC36" i="7" s="1"/>
  <c r="BB8" i="7"/>
  <c r="BB11" i="7" s="1"/>
  <c r="BB36" i="7" s="1"/>
  <c r="BA8" i="7"/>
  <c r="BA11" i="7" s="1"/>
  <c r="BA36" i="7" s="1"/>
  <c r="AZ8" i="7"/>
  <c r="AZ11" i="7" s="1"/>
  <c r="AZ36" i="7" s="1"/>
  <c r="AY8" i="7"/>
  <c r="AY11" i="7" s="1"/>
  <c r="AY36" i="7" s="1"/>
  <c r="BJ7" i="7"/>
  <c r="BJ45" i="7" s="1"/>
  <c r="BJ55" i="7" s="1"/>
  <c r="BJ59" i="7" s="1"/>
  <c r="BI7" i="7"/>
  <c r="BI45" i="7" s="1"/>
  <c r="BI55" i="7" s="1"/>
  <c r="BI59" i="7" s="1"/>
  <c r="BH7" i="7"/>
  <c r="BH45" i="7" s="1"/>
  <c r="BH55" i="7" s="1"/>
  <c r="BH59" i="7" s="1"/>
  <c r="BG7" i="7"/>
  <c r="BF7" i="7"/>
  <c r="BF45" i="7" s="1"/>
  <c r="BF55" i="7" s="1"/>
  <c r="BF59" i="7" s="1"/>
  <c r="BE7" i="7"/>
  <c r="BE45" i="7" s="1"/>
  <c r="BE55" i="7" s="1"/>
  <c r="BE59" i="7" s="1"/>
  <c r="BD7" i="7"/>
  <c r="BD45" i="7" s="1"/>
  <c r="BD55" i="7" s="1"/>
  <c r="BD59" i="7" s="1"/>
  <c r="BC7" i="7"/>
  <c r="BC45" i="7" s="1"/>
  <c r="BC55" i="7" s="1"/>
  <c r="BC59" i="7" s="1"/>
  <c r="BB7" i="7"/>
  <c r="BB45" i="7" s="1"/>
  <c r="BB55" i="7" s="1"/>
  <c r="BB59" i="7" s="1"/>
  <c r="BA7" i="7"/>
  <c r="BA45" i="7" s="1"/>
  <c r="BA55" i="7" s="1"/>
  <c r="BA59" i="7" s="1"/>
  <c r="AZ7" i="7"/>
  <c r="AZ45" i="7" s="1"/>
  <c r="AZ55" i="7" s="1"/>
  <c r="AZ59" i="7" s="1"/>
  <c r="AY7" i="7"/>
  <c r="AY45" i="7" s="1"/>
  <c r="AY55" i="7" s="1"/>
  <c r="AY59" i="7" s="1"/>
  <c r="BJ1" i="7"/>
  <c r="BI1" i="7"/>
  <c r="BH1" i="7"/>
  <c r="BG1" i="7"/>
  <c r="BF1" i="7"/>
  <c r="BE1" i="7"/>
  <c r="BD1" i="7"/>
  <c r="BC1" i="7"/>
  <c r="BB1" i="7"/>
  <c r="BA1" i="7"/>
  <c r="AZ1" i="7"/>
  <c r="AY1" i="7"/>
  <c r="AX59" i="7"/>
  <c r="AW59" i="7"/>
  <c r="AV59" i="7"/>
  <c r="AU59" i="7"/>
  <c r="AT59" i="7"/>
  <c r="AS59" i="7"/>
  <c r="AR59" i="7"/>
  <c r="AQ59" i="7"/>
  <c r="AP59" i="7"/>
  <c r="AO59" i="7"/>
  <c r="AN59" i="7"/>
  <c r="AM59" i="7"/>
  <c r="AL59" i="7"/>
  <c r="AK59" i="7"/>
  <c r="AJ59" i="7"/>
  <c r="AI59" i="7"/>
  <c r="AH59" i="7"/>
  <c r="AG59" i="7"/>
  <c r="AF59" i="7"/>
  <c r="AE59" i="7"/>
  <c r="AD59" i="7"/>
  <c r="AC59" i="7"/>
  <c r="AB59" i="7"/>
  <c r="AA59" i="7"/>
  <c r="Z59" i="7"/>
  <c r="Y59" i="7"/>
  <c r="X59" i="7"/>
  <c r="W59" i="7"/>
  <c r="V59" i="7"/>
  <c r="U59" i="7"/>
  <c r="T59" i="7"/>
  <c r="S59" i="7"/>
  <c r="R59" i="7"/>
  <c r="Q59" i="7"/>
  <c r="P59" i="7"/>
  <c r="O59" i="7"/>
  <c r="N59" i="7"/>
  <c r="M59" i="7"/>
  <c r="L59" i="7"/>
  <c r="K59" i="7"/>
  <c r="J59" i="7"/>
  <c r="I59" i="7"/>
  <c r="H59" i="7"/>
  <c r="G59" i="7"/>
  <c r="F59" i="7"/>
  <c r="E59" i="7"/>
  <c r="D59" i="7"/>
  <c r="C59" i="7"/>
  <c r="B62" i="7"/>
  <c r="B61" i="7"/>
  <c r="B60" i="7"/>
  <c r="C7" i="7"/>
  <c r="D7" i="7"/>
  <c r="E7" i="7"/>
  <c r="F7" i="7"/>
  <c r="G7" i="7"/>
  <c r="H7" i="7"/>
  <c r="I7" i="7"/>
  <c r="J7" i="7"/>
  <c r="K7" i="7"/>
  <c r="L7" i="7"/>
  <c r="M7" i="7"/>
  <c r="N7" i="7"/>
  <c r="O7" i="7"/>
  <c r="P7" i="7"/>
  <c r="Q7" i="7"/>
  <c r="R7" i="7"/>
  <c r="S7" i="7"/>
  <c r="T7" i="7"/>
  <c r="U7" i="7"/>
  <c r="V7" i="7"/>
  <c r="W7" i="7"/>
  <c r="X7" i="7"/>
  <c r="Y7" i="7"/>
  <c r="Z7" i="7"/>
  <c r="AA7" i="7"/>
  <c r="AB7" i="7"/>
  <c r="AC7" i="7"/>
  <c r="AD7" i="7"/>
  <c r="AE7" i="7"/>
  <c r="AF7" i="7"/>
  <c r="AG7" i="7"/>
  <c r="AH7" i="7"/>
  <c r="AI7" i="7"/>
  <c r="AJ7" i="7"/>
  <c r="AK7" i="7"/>
  <c r="AL7" i="7"/>
  <c r="AM7" i="7"/>
  <c r="AN7" i="7"/>
  <c r="AO7" i="7"/>
  <c r="AP7" i="7"/>
  <c r="AQ7" i="7"/>
  <c r="AR7" i="7"/>
  <c r="AS7" i="7"/>
  <c r="AT7" i="7"/>
  <c r="AU7" i="7"/>
  <c r="AV7" i="7"/>
  <c r="AW7" i="7"/>
  <c r="AX7" i="7"/>
  <c r="C8" i="7"/>
  <c r="D8" i="7"/>
  <c r="E8" i="7"/>
  <c r="F8" i="7"/>
  <c r="G8" i="7"/>
  <c r="H8" i="7"/>
  <c r="I8" i="7"/>
  <c r="J8" i="7"/>
  <c r="K8" i="7"/>
  <c r="L8" i="7"/>
  <c r="M8" i="7"/>
  <c r="N8" i="7"/>
  <c r="O8" i="7"/>
  <c r="P8" i="7"/>
  <c r="P11" i="7" s="1"/>
  <c r="P36" i="7" s="1"/>
  <c r="Q8" i="7"/>
  <c r="Q33" i="7" s="1"/>
  <c r="Q38" i="7" s="1"/>
  <c r="Q42" i="7" s="1"/>
  <c r="R8" i="7"/>
  <c r="S8" i="7"/>
  <c r="T8" i="7"/>
  <c r="U8" i="7"/>
  <c r="V8" i="7"/>
  <c r="W8" i="7"/>
  <c r="X8" i="7"/>
  <c r="Y8" i="7"/>
  <c r="Z8" i="7"/>
  <c r="AA8" i="7"/>
  <c r="AB8" i="7"/>
  <c r="AC8" i="7"/>
  <c r="AD8" i="7"/>
  <c r="AE8" i="7"/>
  <c r="AF8" i="7"/>
  <c r="AF33" i="7" s="1"/>
  <c r="AG8" i="7"/>
  <c r="AG33" i="7" s="1"/>
  <c r="AH8" i="7"/>
  <c r="AI8" i="7"/>
  <c r="AJ8" i="7"/>
  <c r="AK8" i="7"/>
  <c r="AK11" i="7" s="1"/>
  <c r="AK36" i="7" s="1"/>
  <c r="AL8" i="7"/>
  <c r="AL11" i="7" s="1"/>
  <c r="AL36" i="7" s="1"/>
  <c r="AM8" i="7"/>
  <c r="AN8" i="7"/>
  <c r="AO8" i="7"/>
  <c r="AP8" i="7"/>
  <c r="AQ8" i="7"/>
  <c r="AR8" i="7"/>
  <c r="AR11" i="7" s="1"/>
  <c r="AR36" i="7" s="1"/>
  <c r="AS8" i="7"/>
  <c r="AT8" i="7"/>
  <c r="AU8" i="7"/>
  <c r="AV8" i="7"/>
  <c r="AV11" i="7" s="1"/>
  <c r="AV36" i="7" s="1"/>
  <c r="AW8" i="7"/>
  <c r="AW33" i="7" s="1"/>
  <c r="AX8" i="7"/>
  <c r="C9" i="7"/>
  <c r="D9" i="7"/>
  <c r="E9" i="7"/>
  <c r="F9" i="7"/>
  <c r="G9" i="7"/>
  <c r="H9" i="7"/>
  <c r="I9" i="7"/>
  <c r="J9" i="7"/>
  <c r="K9" i="7"/>
  <c r="L9" i="7"/>
  <c r="M9" i="7"/>
  <c r="N9" i="7"/>
  <c r="O9" i="7"/>
  <c r="P9" i="7"/>
  <c r="P34" i="7" s="1"/>
  <c r="P39" i="7" s="1"/>
  <c r="P43" i="7" s="1"/>
  <c r="Q9" i="7"/>
  <c r="Q34" i="7" s="1"/>
  <c r="Q39" i="7" s="1"/>
  <c r="Q43" i="7" s="1"/>
  <c r="R9" i="7"/>
  <c r="S9" i="7"/>
  <c r="T9" i="7"/>
  <c r="U9" i="7"/>
  <c r="V9" i="7"/>
  <c r="W9" i="7"/>
  <c r="X9" i="7"/>
  <c r="Y9" i="7"/>
  <c r="Z9" i="7"/>
  <c r="AA9" i="7"/>
  <c r="AB9" i="7"/>
  <c r="AC9" i="7"/>
  <c r="AD9" i="7"/>
  <c r="AE9" i="7"/>
  <c r="AF9" i="7"/>
  <c r="AF34" i="7" s="1"/>
  <c r="AG9" i="7"/>
  <c r="AG34" i="7" s="1"/>
  <c r="AH9" i="7"/>
  <c r="AI9" i="7"/>
  <c r="AJ9" i="7"/>
  <c r="AK9" i="7"/>
  <c r="AL9" i="7"/>
  <c r="AM9" i="7"/>
  <c r="AN9" i="7"/>
  <c r="AO9" i="7"/>
  <c r="AP9" i="7"/>
  <c r="AQ9" i="7"/>
  <c r="AR9" i="7"/>
  <c r="AS9" i="7"/>
  <c r="AT9" i="7"/>
  <c r="AU9" i="7"/>
  <c r="AU11" i="7" s="1"/>
  <c r="AU36" i="7" s="1"/>
  <c r="AV9" i="7"/>
  <c r="AV34" i="7" s="1"/>
  <c r="AV39" i="7" s="1"/>
  <c r="AV43" i="7" s="1"/>
  <c r="AW9" i="7"/>
  <c r="AW34" i="7" s="1"/>
  <c r="AX9" i="7"/>
  <c r="C10" i="7"/>
  <c r="D10" i="7"/>
  <c r="E10" i="7"/>
  <c r="F10" i="7"/>
  <c r="G10" i="7"/>
  <c r="H10" i="7"/>
  <c r="I10" i="7"/>
  <c r="J10" i="7"/>
  <c r="K10" i="7"/>
  <c r="L10" i="7"/>
  <c r="M10" i="7"/>
  <c r="N10" i="7"/>
  <c r="O10" i="7"/>
  <c r="P10" i="7"/>
  <c r="P35" i="7" s="1"/>
  <c r="P40" i="7" s="1"/>
  <c r="P44" i="7" s="1"/>
  <c r="Q10" i="7"/>
  <c r="Q35" i="7" s="1"/>
  <c r="Q40" i="7" s="1"/>
  <c r="Q44" i="7" s="1"/>
  <c r="R10" i="7"/>
  <c r="S10" i="7"/>
  <c r="T10" i="7"/>
  <c r="U10" i="7"/>
  <c r="V10" i="7"/>
  <c r="W10" i="7"/>
  <c r="X10" i="7"/>
  <c r="Y10" i="7"/>
  <c r="Z10" i="7"/>
  <c r="AA10" i="7"/>
  <c r="AB10" i="7"/>
  <c r="AC10" i="7"/>
  <c r="AD10" i="7"/>
  <c r="AE10" i="7"/>
  <c r="AF10" i="7"/>
  <c r="AF35" i="7" s="1"/>
  <c r="AG10" i="7"/>
  <c r="AG35" i="7" s="1"/>
  <c r="AG40" i="7" s="1"/>
  <c r="AG44" i="7" s="1"/>
  <c r="AH10" i="7"/>
  <c r="AI10" i="7"/>
  <c r="AJ10" i="7"/>
  <c r="AK10" i="7"/>
  <c r="AL10" i="7"/>
  <c r="AM10" i="7"/>
  <c r="AM11" i="7" s="1"/>
  <c r="AM36" i="7" s="1"/>
  <c r="AN10" i="7"/>
  <c r="AO10" i="7"/>
  <c r="AO11" i="7" s="1"/>
  <c r="AO36" i="7" s="1"/>
  <c r="AP10" i="7"/>
  <c r="AQ10" i="7"/>
  <c r="AR10" i="7"/>
  <c r="AS10" i="7"/>
  <c r="AS11" i="7" s="1"/>
  <c r="AS36" i="7" s="1"/>
  <c r="AT10" i="7"/>
  <c r="AU10" i="7"/>
  <c r="AV10" i="7"/>
  <c r="AV35" i="7" s="1"/>
  <c r="AV40" i="7" s="1"/>
  <c r="AV44" i="7" s="1"/>
  <c r="AW10" i="7"/>
  <c r="AW35" i="7" s="1"/>
  <c r="AX10" i="7"/>
  <c r="C11" i="7"/>
  <c r="D11" i="7"/>
  <c r="E11" i="7"/>
  <c r="F11" i="7"/>
  <c r="G11" i="7"/>
  <c r="H11" i="7"/>
  <c r="I11" i="7"/>
  <c r="J11" i="7"/>
  <c r="K11" i="7"/>
  <c r="L11" i="7"/>
  <c r="M11" i="7"/>
  <c r="N11" i="7"/>
  <c r="O11" i="7"/>
  <c r="Q11" i="7"/>
  <c r="Q36" i="7" s="1"/>
  <c r="R11" i="7"/>
  <c r="S11" i="7"/>
  <c r="T11" i="7"/>
  <c r="U11" i="7"/>
  <c r="V11" i="7"/>
  <c r="W11" i="7"/>
  <c r="X11" i="7"/>
  <c r="Y11" i="7"/>
  <c r="Z11" i="7"/>
  <c r="AA11" i="7"/>
  <c r="AB11" i="7"/>
  <c r="AC11" i="7"/>
  <c r="AD11" i="7"/>
  <c r="AE11" i="7"/>
  <c r="AG11" i="7"/>
  <c r="AG36" i="7" s="1"/>
  <c r="AI11" i="7"/>
  <c r="AJ11" i="7"/>
  <c r="AN11" i="7"/>
  <c r="AP11" i="7"/>
  <c r="AQ11" i="7"/>
  <c r="AT11" i="7"/>
  <c r="C13" i="7"/>
  <c r="C33" i="7" s="1"/>
  <c r="D13" i="7"/>
  <c r="E13" i="7"/>
  <c r="F13" i="7"/>
  <c r="G13" i="7"/>
  <c r="H13" i="7"/>
  <c r="I13" i="7"/>
  <c r="J13" i="7"/>
  <c r="K13" i="7"/>
  <c r="L13" i="7"/>
  <c r="M13" i="7"/>
  <c r="N13" i="7"/>
  <c r="O13" i="7"/>
  <c r="P13" i="7"/>
  <c r="Q13" i="7"/>
  <c r="R13" i="7"/>
  <c r="R33" i="7" s="1"/>
  <c r="S13" i="7"/>
  <c r="S33" i="7" s="1"/>
  <c r="T13" i="7"/>
  <c r="U13" i="7"/>
  <c r="V13" i="7"/>
  <c r="W13" i="7"/>
  <c r="X13" i="7"/>
  <c r="Y13" i="7"/>
  <c r="Z13" i="7"/>
  <c r="AA13" i="7"/>
  <c r="AB13" i="7"/>
  <c r="AC13" i="7"/>
  <c r="AD13" i="7"/>
  <c r="AE13" i="7"/>
  <c r="AF13" i="7"/>
  <c r="AG13" i="7"/>
  <c r="AH13" i="7"/>
  <c r="AH33" i="7" s="1"/>
  <c r="AI13" i="7"/>
  <c r="AI33" i="7" s="1"/>
  <c r="AJ13" i="7"/>
  <c r="AK13" i="7"/>
  <c r="AL13" i="7"/>
  <c r="AM13" i="7"/>
  <c r="AN13" i="7"/>
  <c r="AO13" i="7"/>
  <c r="AP13" i="7"/>
  <c r="AQ13" i="7"/>
  <c r="AR13" i="7"/>
  <c r="AS13" i="7"/>
  <c r="AT13" i="7"/>
  <c r="AU13" i="7"/>
  <c r="AV13" i="7"/>
  <c r="AW13" i="7"/>
  <c r="AX13" i="7"/>
  <c r="AX33" i="7" s="1"/>
  <c r="C14" i="7"/>
  <c r="C34" i="7" s="1"/>
  <c r="D14" i="7"/>
  <c r="E14" i="7"/>
  <c r="F14" i="7"/>
  <c r="G14" i="7"/>
  <c r="H14" i="7"/>
  <c r="I14" i="7"/>
  <c r="J14" i="7"/>
  <c r="K14" i="7"/>
  <c r="L14" i="7"/>
  <c r="M14" i="7"/>
  <c r="N14" i="7"/>
  <c r="O14" i="7"/>
  <c r="P14" i="7"/>
  <c r="Q14" i="7"/>
  <c r="R14" i="7"/>
  <c r="R34" i="7" s="1"/>
  <c r="S14" i="7"/>
  <c r="S34" i="7" s="1"/>
  <c r="T14" i="7"/>
  <c r="U14" i="7"/>
  <c r="V14" i="7"/>
  <c r="W14" i="7"/>
  <c r="X14" i="7"/>
  <c r="Y14" i="7"/>
  <c r="Z14" i="7"/>
  <c r="AA14" i="7"/>
  <c r="AB14" i="7"/>
  <c r="AC14" i="7"/>
  <c r="AD14" i="7"/>
  <c r="AE14" i="7"/>
  <c r="AF14" i="7"/>
  <c r="AG14" i="7"/>
  <c r="AH14" i="7"/>
  <c r="AH34" i="7" s="1"/>
  <c r="AI14" i="7"/>
  <c r="AI34" i="7" s="1"/>
  <c r="AJ14" i="7"/>
  <c r="AK14" i="7"/>
  <c r="AL14" i="7"/>
  <c r="AM14" i="7"/>
  <c r="AN14" i="7"/>
  <c r="AO14" i="7"/>
  <c r="AP14" i="7"/>
  <c r="AQ14" i="7"/>
  <c r="AR14" i="7"/>
  <c r="AS14" i="7"/>
  <c r="AT14" i="7"/>
  <c r="AU14" i="7"/>
  <c r="AV14" i="7"/>
  <c r="AW14" i="7"/>
  <c r="AX14" i="7"/>
  <c r="AX34" i="7" s="1"/>
  <c r="C15" i="7"/>
  <c r="C35" i="7" s="1"/>
  <c r="D15" i="7"/>
  <c r="E15" i="7"/>
  <c r="F15" i="7"/>
  <c r="G15" i="7"/>
  <c r="H15" i="7"/>
  <c r="I15" i="7"/>
  <c r="J15" i="7"/>
  <c r="K15" i="7"/>
  <c r="L15" i="7"/>
  <c r="M15" i="7"/>
  <c r="N15" i="7"/>
  <c r="O15" i="7"/>
  <c r="P15" i="7"/>
  <c r="Q15" i="7"/>
  <c r="R15" i="7"/>
  <c r="R35" i="7" s="1"/>
  <c r="S15" i="7"/>
  <c r="S35" i="7" s="1"/>
  <c r="T15" i="7"/>
  <c r="U15" i="7"/>
  <c r="V15" i="7"/>
  <c r="W15" i="7"/>
  <c r="X15" i="7"/>
  <c r="Y15" i="7"/>
  <c r="Z15" i="7"/>
  <c r="AA15" i="7"/>
  <c r="AB15" i="7"/>
  <c r="AC15" i="7"/>
  <c r="AD15" i="7"/>
  <c r="AE15" i="7"/>
  <c r="AF15" i="7"/>
  <c r="AG15" i="7"/>
  <c r="AH15" i="7"/>
  <c r="AH35" i="7" s="1"/>
  <c r="AI15" i="7"/>
  <c r="AI35" i="7" s="1"/>
  <c r="AJ15" i="7"/>
  <c r="AK15" i="7"/>
  <c r="AL15" i="7"/>
  <c r="AM15" i="7"/>
  <c r="AN15" i="7"/>
  <c r="AO15" i="7"/>
  <c r="AP15" i="7"/>
  <c r="AQ15" i="7"/>
  <c r="AR15" i="7"/>
  <c r="AS15" i="7"/>
  <c r="AT15" i="7"/>
  <c r="AU15" i="7"/>
  <c r="AV15" i="7"/>
  <c r="AW15" i="7"/>
  <c r="AX15" i="7"/>
  <c r="AX35" i="7" s="1"/>
  <c r="C16" i="7"/>
  <c r="C36" i="7" s="1"/>
  <c r="D16" i="7"/>
  <c r="E16" i="7"/>
  <c r="F16" i="7"/>
  <c r="G16" i="7"/>
  <c r="H16" i="7"/>
  <c r="I16" i="7"/>
  <c r="J16" i="7"/>
  <c r="K16" i="7"/>
  <c r="L16" i="7"/>
  <c r="M16" i="7"/>
  <c r="N16" i="7"/>
  <c r="O16" i="7"/>
  <c r="P16" i="7"/>
  <c r="Q16" i="7"/>
  <c r="R16" i="7"/>
  <c r="R36" i="7" s="1"/>
  <c r="R40" i="7" s="1"/>
  <c r="S16" i="7"/>
  <c r="S36" i="7" s="1"/>
  <c r="T16" i="7"/>
  <c r="U16" i="7"/>
  <c r="V16" i="7"/>
  <c r="W16" i="7"/>
  <c r="X16" i="7"/>
  <c r="Y16" i="7"/>
  <c r="Z16" i="7"/>
  <c r="AA16" i="7"/>
  <c r="AB16" i="7"/>
  <c r="AC16" i="7"/>
  <c r="AD16" i="7"/>
  <c r="AE16" i="7"/>
  <c r="AF16" i="7"/>
  <c r="AG16" i="7"/>
  <c r="AH16" i="7"/>
  <c r="AI16" i="7"/>
  <c r="AI36" i="7" s="1"/>
  <c r="AJ16" i="7"/>
  <c r="AK16" i="7"/>
  <c r="AL16" i="7"/>
  <c r="AM16" i="7"/>
  <c r="AN16" i="7"/>
  <c r="AO16" i="7"/>
  <c r="AP16" i="7"/>
  <c r="AQ16" i="7"/>
  <c r="AR16" i="7"/>
  <c r="AS16" i="7"/>
  <c r="AT16" i="7"/>
  <c r="AU16" i="7"/>
  <c r="AV16" i="7"/>
  <c r="AW16" i="7"/>
  <c r="AX16" i="7"/>
  <c r="C24" i="7"/>
  <c r="C29" i="7" s="1"/>
  <c r="D24" i="7"/>
  <c r="E24" i="7"/>
  <c r="F24" i="7"/>
  <c r="G24" i="7"/>
  <c r="H24" i="7"/>
  <c r="I24" i="7"/>
  <c r="J24" i="7"/>
  <c r="K24" i="7"/>
  <c r="L24" i="7"/>
  <c r="M24" i="7"/>
  <c r="N24" i="7"/>
  <c r="O24" i="7"/>
  <c r="P24" i="7"/>
  <c r="Q24" i="7"/>
  <c r="R24" i="7"/>
  <c r="S24" i="7"/>
  <c r="S27" i="7" s="1"/>
  <c r="S31" i="7" s="1"/>
  <c r="T24" i="7"/>
  <c r="U24" i="7"/>
  <c r="V24" i="7"/>
  <c r="W24" i="7"/>
  <c r="X24" i="7"/>
  <c r="Y24" i="7"/>
  <c r="Z24" i="7"/>
  <c r="AA24" i="7"/>
  <c r="AB24" i="7"/>
  <c r="AC24" i="7"/>
  <c r="AD24" i="7"/>
  <c r="AE24" i="7"/>
  <c r="AF24" i="7"/>
  <c r="AG24" i="7"/>
  <c r="AH24" i="7"/>
  <c r="AI24" i="7"/>
  <c r="AJ24" i="7"/>
  <c r="AK24" i="7"/>
  <c r="AL24" i="7"/>
  <c r="AM24" i="7"/>
  <c r="AN24" i="7"/>
  <c r="AO24" i="7"/>
  <c r="AP24" i="7"/>
  <c r="AQ24" i="7"/>
  <c r="AR24" i="7"/>
  <c r="AS24" i="7"/>
  <c r="AT24" i="7"/>
  <c r="AU24" i="7"/>
  <c r="AV24" i="7"/>
  <c r="AW24" i="7"/>
  <c r="AX24" i="7"/>
  <c r="C25" i="7"/>
  <c r="C30" i="7" s="1"/>
  <c r="D25" i="7"/>
  <c r="E25" i="7"/>
  <c r="F25" i="7"/>
  <c r="G25" i="7"/>
  <c r="H25" i="7"/>
  <c r="I25" i="7"/>
  <c r="J25" i="7"/>
  <c r="K25" i="7"/>
  <c r="L25" i="7"/>
  <c r="M25" i="7"/>
  <c r="N25" i="7"/>
  <c r="O25" i="7"/>
  <c r="P25" i="7"/>
  <c r="Q25" i="7"/>
  <c r="R25" i="7"/>
  <c r="R27" i="7" s="1"/>
  <c r="S25" i="7"/>
  <c r="S30" i="7" s="1"/>
  <c r="T25" i="7"/>
  <c r="U25" i="7"/>
  <c r="V25" i="7"/>
  <c r="W25" i="7"/>
  <c r="X25" i="7"/>
  <c r="Y25" i="7"/>
  <c r="Z25" i="7"/>
  <c r="AA25" i="7"/>
  <c r="AB25" i="7"/>
  <c r="AC25" i="7"/>
  <c r="AD25" i="7"/>
  <c r="AE25" i="7"/>
  <c r="AF25" i="7"/>
  <c r="AG25" i="7"/>
  <c r="AH25" i="7"/>
  <c r="AI25" i="7"/>
  <c r="AJ25" i="7"/>
  <c r="AK25" i="7"/>
  <c r="AL25" i="7"/>
  <c r="AM25" i="7"/>
  <c r="AN25" i="7"/>
  <c r="AO25" i="7"/>
  <c r="AP25" i="7"/>
  <c r="AQ25" i="7"/>
  <c r="AR25" i="7"/>
  <c r="AS25" i="7"/>
  <c r="AT25" i="7"/>
  <c r="AU25" i="7"/>
  <c r="AV25" i="7"/>
  <c r="AW25" i="7"/>
  <c r="AX25" i="7"/>
  <c r="C27" i="7"/>
  <c r="C31" i="7" s="1"/>
  <c r="D27" i="7"/>
  <c r="E27" i="7"/>
  <c r="F27" i="7"/>
  <c r="G27" i="7"/>
  <c r="H27" i="7"/>
  <c r="I27" i="7"/>
  <c r="J27" i="7"/>
  <c r="K27" i="7"/>
  <c r="L27" i="7"/>
  <c r="M27" i="7"/>
  <c r="N27" i="7"/>
  <c r="O27" i="7"/>
  <c r="P27" i="7"/>
  <c r="Q27" i="7"/>
  <c r="T27" i="7"/>
  <c r="T31" i="7" s="1"/>
  <c r="T44" i="7" s="1"/>
  <c r="U27" i="7"/>
  <c r="V27" i="7"/>
  <c r="W27" i="7"/>
  <c r="X27" i="7"/>
  <c r="Y27" i="7"/>
  <c r="Z27" i="7"/>
  <c r="AA27" i="7"/>
  <c r="AB27" i="7"/>
  <c r="AC27" i="7"/>
  <c r="AD27" i="7"/>
  <c r="AE27" i="7"/>
  <c r="AF27" i="7"/>
  <c r="AG27" i="7"/>
  <c r="AJ27" i="7"/>
  <c r="AJ31" i="7" s="1"/>
  <c r="AJ44" i="7" s="1"/>
  <c r="AK27" i="7"/>
  <c r="AK31" i="7" s="1"/>
  <c r="AL27" i="7"/>
  <c r="AM27" i="7"/>
  <c r="AN27" i="7"/>
  <c r="AO27" i="7"/>
  <c r="AP27" i="7"/>
  <c r="AQ27" i="7"/>
  <c r="AR27" i="7"/>
  <c r="AS27" i="7"/>
  <c r="AT27" i="7"/>
  <c r="AU27" i="7"/>
  <c r="AV27" i="7"/>
  <c r="AW27" i="7"/>
  <c r="D29" i="7"/>
  <c r="E29" i="7"/>
  <c r="E42" i="7" s="1"/>
  <c r="F29" i="7"/>
  <c r="F42" i="7" s="1"/>
  <c r="G29" i="7"/>
  <c r="H29" i="7"/>
  <c r="I29" i="7"/>
  <c r="J29" i="7"/>
  <c r="K29" i="7"/>
  <c r="L29" i="7"/>
  <c r="M29" i="7"/>
  <c r="N29" i="7"/>
  <c r="O29" i="7"/>
  <c r="P29" i="7"/>
  <c r="Q29" i="7"/>
  <c r="U29" i="7"/>
  <c r="V29" i="7"/>
  <c r="V42" i="7" s="1"/>
  <c r="W29" i="7"/>
  <c r="W42" i="7" s="1"/>
  <c r="X29" i="7"/>
  <c r="Y29" i="7"/>
  <c r="Z29" i="7"/>
  <c r="AA29" i="7"/>
  <c r="AB29" i="7"/>
  <c r="AC29" i="7"/>
  <c r="AD29" i="7"/>
  <c r="AE29" i="7"/>
  <c r="AF29" i="7"/>
  <c r="AG29" i="7"/>
  <c r="AL29" i="7"/>
  <c r="AM29" i="7"/>
  <c r="AN29" i="7"/>
  <c r="AN42" i="7" s="1"/>
  <c r="AO29" i="7"/>
  <c r="AP29" i="7"/>
  <c r="AQ29" i="7"/>
  <c r="AR29" i="7"/>
  <c r="AS29" i="7"/>
  <c r="AT29" i="7"/>
  <c r="AU29" i="7"/>
  <c r="AV29" i="7"/>
  <c r="AW29" i="7"/>
  <c r="D30" i="7"/>
  <c r="E30" i="7"/>
  <c r="F30" i="7"/>
  <c r="G30" i="7"/>
  <c r="H30" i="7"/>
  <c r="H43" i="7" s="1"/>
  <c r="I30" i="7"/>
  <c r="I43" i="7" s="1"/>
  <c r="J30" i="7"/>
  <c r="K30" i="7"/>
  <c r="L30" i="7"/>
  <c r="M30" i="7"/>
  <c r="N30" i="7"/>
  <c r="O30" i="7"/>
  <c r="P30" i="7"/>
  <c r="Q30" i="7"/>
  <c r="U30" i="7"/>
  <c r="V30" i="7"/>
  <c r="W30" i="7"/>
  <c r="X30" i="7"/>
  <c r="Y30" i="7"/>
  <c r="Y43" i="7" s="1"/>
  <c r="Z30" i="7"/>
  <c r="Z43" i="7" s="1"/>
  <c r="AA30" i="7"/>
  <c r="AB30" i="7"/>
  <c r="AC30" i="7"/>
  <c r="AD30" i="7"/>
  <c r="AE30" i="7"/>
  <c r="AF30" i="7"/>
  <c r="AG30" i="7"/>
  <c r="AL30" i="7"/>
  <c r="AM30" i="7"/>
  <c r="AN30" i="7"/>
  <c r="AO30" i="7"/>
  <c r="AP30" i="7"/>
  <c r="AP43" i="7" s="1"/>
  <c r="AQ30" i="7"/>
  <c r="AQ43" i="7" s="1"/>
  <c r="AR30" i="7"/>
  <c r="AS30" i="7"/>
  <c r="AT30" i="7"/>
  <c r="AU30" i="7"/>
  <c r="AV30" i="7"/>
  <c r="AW30" i="7"/>
  <c r="D31" i="7"/>
  <c r="E31" i="7"/>
  <c r="F31" i="7"/>
  <c r="G31" i="7"/>
  <c r="H31" i="7"/>
  <c r="I31" i="7"/>
  <c r="J31" i="7"/>
  <c r="K31" i="7"/>
  <c r="K44" i="7" s="1"/>
  <c r="L31" i="7"/>
  <c r="L44" i="7" s="1"/>
  <c r="M31" i="7"/>
  <c r="N31" i="7"/>
  <c r="O31" i="7"/>
  <c r="P31" i="7"/>
  <c r="Q31" i="7"/>
  <c r="U31" i="7"/>
  <c r="V31" i="7"/>
  <c r="W31" i="7"/>
  <c r="X31" i="7"/>
  <c r="Y31" i="7"/>
  <c r="Z31" i="7"/>
  <c r="AA31" i="7"/>
  <c r="AB31" i="7"/>
  <c r="AB44" i="7" s="1"/>
  <c r="AC31" i="7"/>
  <c r="AC44" i="7" s="1"/>
  <c r="AD31" i="7"/>
  <c r="AE31" i="7"/>
  <c r="AF31" i="7"/>
  <c r="AG31" i="7"/>
  <c r="AL31" i="7"/>
  <c r="AM31" i="7"/>
  <c r="AN31" i="7"/>
  <c r="AO31" i="7"/>
  <c r="AP31" i="7"/>
  <c r="AQ31" i="7"/>
  <c r="AR31" i="7"/>
  <c r="AS31" i="7"/>
  <c r="AT31" i="7"/>
  <c r="AU31" i="7"/>
  <c r="AV31" i="7"/>
  <c r="AW31" i="7"/>
  <c r="D33" i="7"/>
  <c r="E33" i="7"/>
  <c r="F33" i="7"/>
  <c r="G33" i="7"/>
  <c r="H33" i="7"/>
  <c r="I33" i="7"/>
  <c r="J33" i="7"/>
  <c r="K33" i="7"/>
  <c r="L33" i="7"/>
  <c r="M33" i="7"/>
  <c r="N33" i="7"/>
  <c r="N38" i="7" s="1"/>
  <c r="N42" i="7" s="1"/>
  <c r="O33" i="7"/>
  <c r="O38" i="7" s="1"/>
  <c r="O42" i="7" s="1"/>
  <c r="T33" i="7"/>
  <c r="U33" i="7"/>
  <c r="V33" i="7"/>
  <c r="W33" i="7"/>
  <c r="X33" i="7"/>
  <c r="Y33" i="7"/>
  <c r="Z33" i="7"/>
  <c r="AA33" i="7"/>
  <c r="AB33" i="7"/>
  <c r="AC33" i="7"/>
  <c r="AD33" i="7"/>
  <c r="AD38" i="7" s="1"/>
  <c r="AD42" i="7" s="1"/>
  <c r="AE33" i="7"/>
  <c r="AE38" i="7" s="1"/>
  <c r="AE42" i="7" s="1"/>
  <c r="AJ33" i="7"/>
  <c r="AK33" i="7"/>
  <c r="AL33" i="7"/>
  <c r="AM33" i="7"/>
  <c r="AN33" i="7"/>
  <c r="AO33" i="7"/>
  <c r="AP33" i="7"/>
  <c r="AQ33" i="7"/>
  <c r="AR33" i="7"/>
  <c r="AS33" i="7"/>
  <c r="AT33" i="7"/>
  <c r="AT38" i="7" s="1"/>
  <c r="AT42" i="7" s="1"/>
  <c r="AU33" i="7"/>
  <c r="D34" i="7"/>
  <c r="E34" i="7"/>
  <c r="F34" i="7"/>
  <c r="G34" i="7"/>
  <c r="H34" i="7"/>
  <c r="I34" i="7"/>
  <c r="J34" i="7"/>
  <c r="K34" i="7"/>
  <c r="L34" i="7"/>
  <c r="M34" i="7"/>
  <c r="N34" i="7"/>
  <c r="N39" i="7" s="1"/>
  <c r="N43" i="7" s="1"/>
  <c r="O34" i="7"/>
  <c r="O39" i="7" s="1"/>
  <c r="O43" i="7" s="1"/>
  <c r="T34" i="7"/>
  <c r="U34" i="7"/>
  <c r="V34" i="7"/>
  <c r="W34" i="7"/>
  <c r="X34" i="7"/>
  <c r="Y34" i="7"/>
  <c r="Z34" i="7"/>
  <c r="AA34" i="7"/>
  <c r="AB34" i="7"/>
  <c r="AC34" i="7"/>
  <c r="AD34" i="7"/>
  <c r="AD39" i="7" s="1"/>
  <c r="AD43" i="7" s="1"/>
  <c r="AE34" i="7"/>
  <c r="AE39" i="7" s="1"/>
  <c r="AE43" i="7" s="1"/>
  <c r="AJ34" i="7"/>
  <c r="AK34" i="7"/>
  <c r="AL34" i="7"/>
  <c r="AM34" i="7"/>
  <c r="AN34" i="7"/>
  <c r="AO34" i="7"/>
  <c r="AP34" i="7"/>
  <c r="AQ34" i="7"/>
  <c r="AR34" i="7"/>
  <c r="AS34" i="7"/>
  <c r="AT34" i="7"/>
  <c r="AT39" i="7" s="1"/>
  <c r="AT43" i="7" s="1"/>
  <c r="AU34" i="7"/>
  <c r="D35" i="7"/>
  <c r="E35" i="7"/>
  <c r="F35" i="7"/>
  <c r="G35" i="7"/>
  <c r="H35" i="7"/>
  <c r="I35" i="7"/>
  <c r="J35" i="7"/>
  <c r="K35" i="7"/>
  <c r="L35" i="7"/>
  <c r="M35" i="7"/>
  <c r="N35" i="7"/>
  <c r="N40" i="7" s="1"/>
  <c r="N44" i="7" s="1"/>
  <c r="O35" i="7"/>
  <c r="O40" i="7" s="1"/>
  <c r="O44" i="7" s="1"/>
  <c r="T35" i="7"/>
  <c r="U35" i="7"/>
  <c r="V35" i="7"/>
  <c r="W35" i="7"/>
  <c r="X35" i="7"/>
  <c r="Y35" i="7"/>
  <c r="Z35" i="7"/>
  <c r="AA35" i="7"/>
  <c r="AB35" i="7"/>
  <c r="AC35" i="7"/>
  <c r="AD35" i="7"/>
  <c r="AD40" i="7" s="1"/>
  <c r="AD44" i="7" s="1"/>
  <c r="AE35" i="7"/>
  <c r="AE40" i="7" s="1"/>
  <c r="AE44" i="7" s="1"/>
  <c r="AJ35" i="7"/>
  <c r="AK35" i="7"/>
  <c r="AL35" i="7"/>
  <c r="AM35" i="7"/>
  <c r="AN35" i="7"/>
  <c r="AO35" i="7"/>
  <c r="AP35" i="7"/>
  <c r="AQ35" i="7"/>
  <c r="AR35" i="7"/>
  <c r="AS35" i="7"/>
  <c r="AT35" i="7"/>
  <c r="AT40" i="7" s="1"/>
  <c r="AU35" i="7"/>
  <c r="AU40" i="7" s="1"/>
  <c r="AU44" i="7" s="1"/>
  <c r="D36" i="7"/>
  <c r="E36" i="7"/>
  <c r="F36" i="7"/>
  <c r="G36" i="7"/>
  <c r="H36" i="7"/>
  <c r="I36" i="7"/>
  <c r="J36" i="7"/>
  <c r="K36" i="7"/>
  <c r="L36" i="7"/>
  <c r="M36" i="7"/>
  <c r="N36" i="7"/>
  <c r="O36" i="7"/>
  <c r="T36" i="7"/>
  <c r="U36" i="7"/>
  <c r="V36" i="7"/>
  <c r="W36" i="7"/>
  <c r="X36" i="7"/>
  <c r="Y36" i="7"/>
  <c r="Z36" i="7"/>
  <c r="AA36" i="7"/>
  <c r="AB36" i="7"/>
  <c r="AC36" i="7"/>
  <c r="AD36" i="7"/>
  <c r="AE36" i="7"/>
  <c r="AJ36" i="7"/>
  <c r="AJ38" i="7" s="1"/>
  <c r="AN36" i="7"/>
  <c r="AP36" i="7"/>
  <c r="AQ36" i="7"/>
  <c r="AT36" i="7"/>
  <c r="D38" i="7"/>
  <c r="E38" i="7"/>
  <c r="F38" i="7"/>
  <c r="G38" i="7"/>
  <c r="H38" i="7"/>
  <c r="I38" i="7"/>
  <c r="J38" i="7"/>
  <c r="K38" i="7"/>
  <c r="L38" i="7"/>
  <c r="M38" i="7"/>
  <c r="T38" i="7"/>
  <c r="U38" i="7"/>
  <c r="V38" i="7"/>
  <c r="W38" i="7"/>
  <c r="X38" i="7"/>
  <c r="Y38" i="7"/>
  <c r="Z38" i="7"/>
  <c r="AA38" i="7"/>
  <c r="AB38" i="7"/>
  <c r="AC38" i="7"/>
  <c r="AN38" i="7"/>
  <c r="AP38" i="7"/>
  <c r="AQ38" i="7"/>
  <c r="D39" i="7"/>
  <c r="E39" i="7"/>
  <c r="F39" i="7"/>
  <c r="G39" i="7"/>
  <c r="H39" i="7"/>
  <c r="I39" i="7"/>
  <c r="J39" i="7"/>
  <c r="K39" i="7"/>
  <c r="L39" i="7"/>
  <c r="M39" i="7"/>
  <c r="T39" i="7"/>
  <c r="U39" i="7"/>
  <c r="V39" i="7"/>
  <c r="W39" i="7"/>
  <c r="X39" i="7"/>
  <c r="Y39" i="7"/>
  <c r="Z39" i="7"/>
  <c r="AA39" i="7"/>
  <c r="AB39" i="7"/>
  <c r="AC39" i="7"/>
  <c r="AJ39" i="7"/>
  <c r="AN39" i="7"/>
  <c r="AP39" i="7"/>
  <c r="AQ39" i="7"/>
  <c r="D40" i="7"/>
  <c r="D44" i="7" s="1"/>
  <c r="E40" i="7"/>
  <c r="E44" i="7" s="1"/>
  <c r="F40" i="7"/>
  <c r="G40" i="7"/>
  <c r="H40" i="7"/>
  <c r="I40" i="7"/>
  <c r="J40" i="7"/>
  <c r="K40" i="7"/>
  <c r="L40" i="7"/>
  <c r="M40" i="7"/>
  <c r="T40" i="7"/>
  <c r="U40" i="7"/>
  <c r="U44" i="7" s="1"/>
  <c r="V40" i="7"/>
  <c r="V44" i="7" s="1"/>
  <c r="W40" i="7"/>
  <c r="X40" i="7"/>
  <c r="Y40" i="7"/>
  <c r="Z40" i="7"/>
  <c r="AA40" i="7"/>
  <c r="AB40" i="7"/>
  <c r="AC40" i="7"/>
  <c r="AJ40" i="7"/>
  <c r="AN40" i="7"/>
  <c r="AP40" i="7"/>
  <c r="AQ40" i="7"/>
  <c r="D42" i="7"/>
  <c r="G42" i="7"/>
  <c r="H42" i="7"/>
  <c r="I42" i="7"/>
  <c r="J42" i="7"/>
  <c r="K42" i="7"/>
  <c r="L42" i="7"/>
  <c r="M42" i="7"/>
  <c r="U42" i="7"/>
  <c r="X42" i="7"/>
  <c r="Y42" i="7"/>
  <c r="Z42" i="7"/>
  <c r="AA42" i="7"/>
  <c r="AB42" i="7"/>
  <c r="AC42" i="7"/>
  <c r="AP42" i="7"/>
  <c r="AQ42" i="7"/>
  <c r="D43" i="7"/>
  <c r="E43" i="7"/>
  <c r="F43" i="7"/>
  <c r="G43" i="7"/>
  <c r="J43" i="7"/>
  <c r="K43" i="7"/>
  <c r="L43" i="7"/>
  <c r="M43" i="7"/>
  <c r="U43" i="7"/>
  <c r="V43" i="7"/>
  <c r="W43" i="7"/>
  <c r="X43" i="7"/>
  <c r="AA43" i="7"/>
  <c r="AB43" i="7"/>
  <c r="AC43" i="7"/>
  <c r="AN43" i="7"/>
  <c r="F44" i="7"/>
  <c r="G44" i="7"/>
  <c r="H44" i="7"/>
  <c r="I44" i="7"/>
  <c r="J44" i="7"/>
  <c r="M44" i="7"/>
  <c r="W44" i="7"/>
  <c r="X44" i="7"/>
  <c r="Y44" i="7"/>
  <c r="Z44" i="7"/>
  <c r="AA44" i="7"/>
  <c r="AN44" i="7"/>
  <c r="AP44" i="7"/>
  <c r="AQ44" i="7"/>
  <c r="C45" i="7"/>
  <c r="D45" i="7"/>
  <c r="E45" i="7"/>
  <c r="F45" i="7"/>
  <c r="G45" i="7"/>
  <c r="H45" i="7"/>
  <c r="I45" i="7"/>
  <c r="J45" i="7"/>
  <c r="K45" i="7"/>
  <c r="L45" i="7"/>
  <c r="M45" i="7"/>
  <c r="N45" i="7"/>
  <c r="O45" i="7"/>
  <c r="P45" i="7"/>
  <c r="Q45" i="7"/>
  <c r="Q55" i="7" s="1"/>
  <c r="R45" i="7"/>
  <c r="R55" i="7" s="1"/>
  <c r="S45" i="7"/>
  <c r="T45" i="7"/>
  <c r="U45" i="7"/>
  <c r="V45" i="7"/>
  <c r="W45" i="7"/>
  <c r="X45" i="7"/>
  <c r="Y45" i="7"/>
  <c r="Z45" i="7"/>
  <c r="AA45" i="7"/>
  <c r="AB45" i="7"/>
  <c r="AC45" i="7"/>
  <c r="AD45" i="7"/>
  <c r="AE45" i="7"/>
  <c r="AF45" i="7"/>
  <c r="AG45" i="7"/>
  <c r="AG55" i="7" s="1"/>
  <c r="AH45" i="7"/>
  <c r="AH55" i="7" s="1"/>
  <c r="AI45" i="7"/>
  <c r="AJ45" i="7"/>
  <c r="AK45" i="7"/>
  <c r="AL45" i="7"/>
  <c r="AM45" i="7"/>
  <c r="AN45" i="7"/>
  <c r="AO45" i="7"/>
  <c r="AP45" i="7"/>
  <c r="AQ45" i="7"/>
  <c r="AR45" i="7"/>
  <c r="AS45" i="7"/>
  <c r="AT45" i="7"/>
  <c r="AU45" i="7"/>
  <c r="AV45" i="7"/>
  <c r="AV55" i="7" s="1"/>
  <c r="AW45" i="7"/>
  <c r="AW55" i="7" s="1"/>
  <c r="AX45" i="7"/>
  <c r="AX55" i="7" s="1"/>
  <c r="B49" i="7"/>
  <c r="C55" i="7"/>
  <c r="D55" i="7"/>
  <c r="E55" i="7"/>
  <c r="F55" i="7"/>
  <c r="G55" i="7"/>
  <c r="H55" i="7"/>
  <c r="I55" i="7"/>
  <c r="J55" i="7"/>
  <c r="K55" i="7"/>
  <c r="L55" i="7"/>
  <c r="M55" i="7"/>
  <c r="N55" i="7"/>
  <c r="O55" i="7"/>
  <c r="P55" i="7"/>
  <c r="S55" i="7"/>
  <c r="T55" i="7"/>
  <c r="U55" i="7"/>
  <c r="V55" i="7"/>
  <c r="W55" i="7"/>
  <c r="X55" i="7"/>
  <c r="Y55" i="7"/>
  <c r="Z55" i="7"/>
  <c r="AA55" i="7"/>
  <c r="AB55" i="7"/>
  <c r="AC55" i="7"/>
  <c r="AD55" i="7"/>
  <c r="AE55" i="7"/>
  <c r="AF55" i="7"/>
  <c r="AI55" i="7"/>
  <c r="AJ55" i="7"/>
  <c r="AK55" i="7"/>
  <c r="AL55" i="7"/>
  <c r="AM55" i="7"/>
  <c r="AN55" i="7"/>
  <c r="AO55" i="7"/>
  <c r="AP55" i="7"/>
  <c r="AQ55" i="7"/>
  <c r="AR55" i="7"/>
  <c r="AS55" i="7"/>
  <c r="AT55" i="7"/>
  <c r="AU55" i="7"/>
  <c r="BJ4" i="6"/>
  <c r="BI4" i="6"/>
  <c r="BH4" i="6"/>
  <c r="BG4" i="6"/>
  <c r="BF4" i="6"/>
  <c r="BE4" i="6"/>
  <c r="BD4" i="6"/>
  <c r="BC4" i="6"/>
  <c r="BB4" i="6"/>
  <c r="BA4" i="6"/>
  <c r="AZ4" i="6"/>
  <c r="AY4" i="6"/>
  <c r="BJ3" i="6"/>
  <c r="BI3" i="6"/>
  <c r="BH3" i="6"/>
  <c r="BG3" i="6"/>
  <c r="BF3" i="6"/>
  <c r="BE3" i="6"/>
  <c r="BD3" i="6"/>
  <c r="BC3" i="6"/>
  <c r="BB3" i="6"/>
  <c r="BA3" i="6"/>
  <c r="AZ3" i="6"/>
  <c r="AY3" i="6"/>
  <c r="BJ2" i="6"/>
  <c r="BI2" i="6"/>
  <c r="BH2" i="6"/>
  <c r="BG2" i="6"/>
  <c r="BF2" i="6"/>
  <c r="BE2" i="6"/>
  <c r="BD2" i="6"/>
  <c r="BC2" i="6"/>
  <c r="BB2" i="6"/>
  <c r="BA2" i="6"/>
  <c r="AZ2" i="6"/>
  <c r="AY2" i="6"/>
  <c r="BJ1" i="6"/>
  <c r="BJ5" i="6" s="1"/>
  <c r="BI1" i="6"/>
  <c r="BI5" i="6" s="1"/>
  <c r="BH1" i="6"/>
  <c r="BH5" i="6" s="1"/>
  <c r="BG1" i="6"/>
  <c r="BG5" i="6" s="1"/>
  <c r="BF1" i="6"/>
  <c r="BF5" i="6" s="1"/>
  <c r="BE1" i="6"/>
  <c r="BE5" i="6" s="1"/>
  <c r="BD1" i="6"/>
  <c r="BD5" i="6" s="1"/>
  <c r="BC1" i="6"/>
  <c r="BC5" i="6" s="1"/>
  <c r="BB1" i="6"/>
  <c r="BB5" i="6" s="1"/>
  <c r="BA1" i="6"/>
  <c r="BA5" i="6" s="1"/>
  <c r="AZ1" i="6"/>
  <c r="AZ5" i="6" s="1"/>
  <c r="AY1" i="6"/>
  <c r="AY5" i="6" s="1"/>
  <c r="AJ5" i="6"/>
  <c r="AI5" i="6"/>
  <c r="T5" i="6"/>
  <c r="S5" i="6"/>
  <c r="AX4" i="6"/>
  <c r="AW4" i="6"/>
  <c r="AV4" i="6"/>
  <c r="AU4" i="6"/>
  <c r="AT4" i="6"/>
  <c r="AS4" i="6"/>
  <c r="AR4" i="6"/>
  <c r="AQ4" i="6"/>
  <c r="AP4" i="6"/>
  <c r="AO4" i="6"/>
  <c r="AN4" i="6"/>
  <c r="AM4" i="6"/>
  <c r="AL4" i="6"/>
  <c r="AK4" i="6"/>
  <c r="AJ4" i="6"/>
  <c r="AI4" i="6"/>
  <c r="AH4" i="6"/>
  <c r="AG4" i="6"/>
  <c r="AF4" i="6"/>
  <c r="AE4" i="6"/>
  <c r="AD4" i="6"/>
  <c r="AC4" i="6"/>
  <c r="AB4" i="6"/>
  <c r="AA4" i="6"/>
  <c r="Z4" i="6"/>
  <c r="Y4" i="6"/>
  <c r="X4" i="6"/>
  <c r="W4" i="6"/>
  <c r="V4" i="6"/>
  <c r="U4" i="6"/>
  <c r="T4" i="6"/>
  <c r="S4" i="6"/>
  <c r="R4" i="6"/>
  <c r="Q4" i="6"/>
  <c r="P4" i="6"/>
  <c r="O4" i="6"/>
  <c r="N4" i="6"/>
  <c r="M4" i="6"/>
  <c r="L4" i="6"/>
  <c r="K4" i="6"/>
  <c r="J4" i="6"/>
  <c r="I4" i="6"/>
  <c r="H4" i="6"/>
  <c r="G4" i="6"/>
  <c r="F4" i="6"/>
  <c r="E4" i="6"/>
  <c r="D4" i="6"/>
  <c r="AX3" i="6"/>
  <c r="AW3" i="6"/>
  <c r="AV3" i="6"/>
  <c r="AU3" i="6"/>
  <c r="AT3" i="6"/>
  <c r="AS3" i="6"/>
  <c r="AR3" i="6"/>
  <c r="AQ3" i="6"/>
  <c r="AP3" i="6"/>
  <c r="AO3" i="6"/>
  <c r="AN3" i="6"/>
  <c r="AM3" i="6"/>
  <c r="AL3" i="6"/>
  <c r="AK3" i="6"/>
  <c r="AJ3" i="6"/>
  <c r="AI3" i="6"/>
  <c r="AH3" i="6"/>
  <c r="AG3" i="6"/>
  <c r="AF3" i="6"/>
  <c r="AE3" i="6"/>
  <c r="AD3" i="6"/>
  <c r="AC3" i="6"/>
  <c r="AB3" i="6"/>
  <c r="AA3" i="6"/>
  <c r="Z3" i="6"/>
  <c r="Y3" i="6"/>
  <c r="X3" i="6"/>
  <c r="W3" i="6"/>
  <c r="V3" i="6"/>
  <c r="U3" i="6"/>
  <c r="T3" i="6"/>
  <c r="S3" i="6"/>
  <c r="R3" i="6"/>
  <c r="Q3" i="6"/>
  <c r="P3" i="6"/>
  <c r="O3" i="6"/>
  <c r="N3" i="6"/>
  <c r="M3" i="6"/>
  <c r="L3" i="6"/>
  <c r="K3" i="6"/>
  <c r="J3" i="6"/>
  <c r="I3" i="6"/>
  <c r="H3" i="6"/>
  <c r="G3" i="6"/>
  <c r="F3" i="6"/>
  <c r="E3" i="6"/>
  <c r="D3" i="6"/>
  <c r="AX2" i="6"/>
  <c r="AW2" i="6"/>
  <c r="AV2" i="6"/>
  <c r="AU2" i="6"/>
  <c r="AT2" i="6"/>
  <c r="AS2" i="6"/>
  <c r="AR2" i="6"/>
  <c r="AQ2" i="6"/>
  <c r="AP2" i="6"/>
  <c r="AO2" i="6"/>
  <c r="AN2" i="6"/>
  <c r="AM2" i="6"/>
  <c r="AL2" i="6"/>
  <c r="AK2" i="6"/>
  <c r="AJ2" i="6"/>
  <c r="AI2" i="6"/>
  <c r="AH2" i="6"/>
  <c r="AG2" i="6"/>
  <c r="AF2" i="6"/>
  <c r="AE2" i="6"/>
  <c r="AD2" i="6"/>
  <c r="AC2" i="6"/>
  <c r="AB2" i="6"/>
  <c r="AA2" i="6"/>
  <c r="Z2" i="6"/>
  <c r="Y2" i="6"/>
  <c r="X2" i="6"/>
  <c r="W2" i="6"/>
  <c r="V2" i="6"/>
  <c r="U2" i="6"/>
  <c r="T2" i="6"/>
  <c r="S2" i="6"/>
  <c r="R2" i="6"/>
  <c r="Q2" i="6"/>
  <c r="P2" i="6"/>
  <c r="O2" i="6"/>
  <c r="N2" i="6"/>
  <c r="M2" i="6"/>
  <c r="L2" i="6"/>
  <c r="K2" i="6"/>
  <c r="J2" i="6"/>
  <c r="I2" i="6"/>
  <c r="H2" i="6"/>
  <c r="G2" i="6"/>
  <c r="F2" i="6"/>
  <c r="E2" i="6"/>
  <c r="D2" i="6"/>
  <c r="AX1" i="6"/>
  <c r="AX5" i="6" s="1"/>
  <c r="AW1" i="6"/>
  <c r="AW5" i="6" s="1"/>
  <c r="AV1" i="6"/>
  <c r="AV5" i="6" s="1"/>
  <c r="AU1" i="6"/>
  <c r="AU5" i="6" s="1"/>
  <c r="AT1" i="6"/>
  <c r="AT5" i="6" s="1"/>
  <c r="AS1" i="6"/>
  <c r="AS5" i="6" s="1"/>
  <c r="AR1" i="6"/>
  <c r="AR5" i="6" s="1"/>
  <c r="AQ1" i="6"/>
  <c r="AQ5" i="6" s="1"/>
  <c r="AP1" i="6"/>
  <c r="AP5" i="6" s="1"/>
  <c r="AO1" i="6"/>
  <c r="AO5" i="6" s="1"/>
  <c r="AN1" i="6"/>
  <c r="AN5" i="6" s="1"/>
  <c r="AM1" i="6"/>
  <c r="AM5" i="6" s="1"/>
  <c r="AL1" i="6"/>
  <c r="AL5" i="6" s="1"/>
  <c r="AK1" i="6"/>
  <c r="AK5" i="6" s="1"/>
  <c r="AJ1" i="6"/>
  <c r="AI1" i="6"/>
  <c r="AH1" i="6"/>
  <c r="AH5" i="6" s="1"/>
  <c r="AG1" i="6"/>
  <c r="AG5" i="6" s="1"/>
  <c r="AF1" i="6"/>
  <c r="AF5" i="6" s="1"/>
  <c r="AE1" i="6"/>
  <c r="AE5" i="6" s="1"/>
  <c r="AD1" i="6"/>
  <c r="AD5" i="6" s="1"/>
  <c r="AC1" i="6"/>
  <c r="AC5" i="6" s="1"/>
  <c r="AB1" i="6"/>
  <c r="AB5" i="6" s="1"/>
  <c r="AA1" i="6"/>
  <c r="AA5" i="6" s="1"/>
  <c r="Z1" i="6"/>
  <c r="Z5" i="6" s="1"/>
  <c r="Y1" i="6"/>
  <c r="Y5" i="6" s="1"/>
  <c r="X1" i="6"/>
  <c r="X5" i="6" s="1"/>
  <c r="W1" i="6"/>
  <c r="W5" i="6" s="1"/>
  <c r="V1" i="6"/>
  <c r="V5" i="6" s="1"/>
  <c r="U1" i="6"/>
  <c r="U5" i="6" s="1"/>
  <c r="T1" i="6"/>
  <c r="S1" i="6"/>
  <c r="R1" i="6"/>
  <c r="R5" i="6" s="1"/>
  <c r="Q1" i="6"/>
  <c r="Q5" i="6" s="1"/>
  <c r="P1" i="6"/>
  <c r="P5" i="6" s="1"/>
  <c r="O1" i="6"/>
  <c r="O5" i="6" s="1"/>
  <c r="N1" i="6"/>
  <c r="N5" i="6" s="1"/>
  <c r="M1" i="6"/>
  <c r="M5" i="6" s="1"/>
  <c r="L1" i="6"/>
  <c r="L5" i="6" s="1"/>
  <c r="K1" i="6"/>
  <c r="K5" i="6" s="1"/>
  <c r="J1" i="6"/>
  <c r="J5" i="6" s="1"/>
  <c r="I1" i="6"/>
  <c r="I5" i="6" s="1"/>
  <c r="H1" i="6"/>
  <c r="H5" i="6" s="1"/>
  <c r="G1" i="6"/>
  <c r="G5" i="6" s="1"/>
  <c r="F1" i="6"/>
  <c r="F5" i="6" s="1"/>
  <c r="E1" i="6"/>
  <c r="E5" i="6" s="1"/>
  <c r="D1" i="6"/>
  <c r="D5" i="6" s="1"/>
  <c r="C4" i="6"/>
  <c r="C2" i="6"/>
  <c r="C1" i="6"/>
  <c r="AZ4" i="1"/>
  <c r="AY4" i="1"/>
  <c r="AX4" i="1"/>
  <c r="AW4" i="1"/>
  <c r="AV4" i="1"/>
  <c r="AU4" i="1"/>
  <c r="AT4" i="1"/>
  <c r="AS4" i="1"/>
  <c r="AR4" i="1"/>
  <c r="AQ4" i="1"/>
  <c r="AP4" i="1"/>
  <c r="AO4" i="1"/>
  <c r="AN4" i="1"/>
  <c r="AM4" i="1"/>
  <c r="AL4" i="1"/>
  <c r="AK4" i="1"/>
  <c r="AJ4" i="1"/>
  <c r="AI4" i="1"/>
  <c r="AH4" i="1"/>
  <c r="AG4" i="1"/>
  <c r="AF4" i="1"/>
  <c r="AE4" i="1"/>
  <c r="AD4" i="1"/>
  <c r="AC4" i="1"/>
  <c r="AB4" i="1"/>
  <c r="AA4" i="1"/>
  <c r="Z4" i="1"/>
  <c r="Y4" i="1"/>
  <c r="X4" i="1"/>
  <c r="W4" i="1"/>
  <c r="V4" i="1"/>
  <c r="U4" i="1"/>
  <c r="T4" i="1"/>
  <c r="S4" i="1"/>
  <c r="R4" i="1"/>
  <c r="Q4" i="1"/>
  <c r="P4" i="1"/>
  <c r="O4" i="1"/>
  <c r="N4" i="1"/>
  <c r="M4" i="1"/>
  <c r="L4" i="1"/>
  <c r="K4" i="1"/>
  <c r="J4" i="1"/>
  <c r="I4" i="1"/>
  <c r="H4" i="1"/>
  <c r="G4" i="1"/>
  <c r="F4" i="1"/>
  <c r="E4" i="1"/>
  <c r="D4" i="1"/>
  <c r="AZ3" i="1"/>
  <c r="AY3" i="1"/>
  <c r="AX3" i="1"/>
  <c r="AW3" i="1"/>
  <c r="AV3" i="1"/>
  <c r="AU3" i="1"/>
  <c r="AT3" i="1"/>
  <c r="AS3" i="1"/>
  <c r="AR3" i="1"/>
  <c r="AQ3" i="1"/>
  <c r="AP3" i="1"/>
  <c r="AO3" i="1"/>
  <c r="AN3" i="1"/>
  <c r="AM3" i="1"/>
  <c r="AL3" i="1"/>
  <c r="AK3" i="1"/>
  <c r="AJ3" i="1"/>
  <c r="AI3" i="1"/>
  <c r="AH3" i="1"/>
  <c r="AG3" i="1"/>
  <c r="AF3" i="1"/>
  <c r="AE3" i="1"/>
  <c r="AD3" i="1"/>
  <c r="AC3" i="1"/>
  <c r="AB3" i="1"/>
  <c r="AA3" i="1"/>
  <c r="Z3" i="1"/>
  <c r="Y3" i="1"/>
  <c r="X3" i="1"/>
  <c r="W3" i="1"/>
  <c r="V3" i="1"/>
  <c r="U3" i="1"/>
  <c r="T3" i="1"/>
  <c r="S3" i="1"/>
  <c r="R3" i="1"/>
  <c r="Q3" i="1"/>
  <c r="P3" i="1"/>
  <c r="O3" i="1"/>
  <c r="N3" i="1"/>
  <c r="M3" i="1"/>
  <c r="L3" i="1"/>
  <c r="K3" i="1"/>
  <c r="J3" i="1"/>
  <c r="I3" i="1"/>
  <c r="H3" i="1"/>
  <c r="G3" i="1"/>
  <c r="F3" i="1"/>
  <c r="E3" i="1"/>
  <c r="D3" i="1"/>
  <c r="AZ2" i="1"/>
  <c r="AY2" i="1"/>
  <c r="AX2" i="1"/>
  <c r="AW2" i="1"/>
  <c r="AV2" i="1"/>
  <c r="AU2" i="1"/>
  <c r="AT2" i="1"/>
  <c r="AS2" i="1"/>
  <c r="AR2" i="1"/>
  <c r="AQ2" i="1"/>
  <c r="AP2" i="1"/>
  <c r="AO2" i="1"/>
  <c r="AN2" i="1"/>
  <c r="AM2" i="1"/>
  <c r="AL2" i="1"/>
  <c r="AK2" i="1"/>
  <c r="AJ2" i="1"/>
  <c r="AI2" i="1"/>
  <c r="AH2" i="1"/>
  <c r="AG2" i="1"/>
  <c r="AF2" i="1"/>
  <c r="AE2" i="1"/>
  <c r="AD2" i="1"/>
  <c r="AC2" i="1"/>
  <c r="AB2" i="1"/>
  <c r="AA2" i="1"/>
  <c r="Z2" i="1"/>
  <c r="Y2" i="1"/>
  <c r="X2" i="1"/>
  <c r="W2" i="1"/>
  <c r="V2" i="1"/>
  <c r="U2" i="1"/>
  <c r="T2" i="1"/>
  <c r="S2" i="1"/>
  <c r="R2" i="1"/>
  <c r="Q2" i="1"/>
  <c r="P2" i="1"/>
  <c r="O2" i="1"/>
  <c r="N2" i="1"/>
  <c r="M2" i="1"/>
  <c r="L2" i="1"/>
  <c r="K2" i="1"/>
  <c r="J2" i="1"/>
  <c r="I2" i="1"/>
  <c r="H2" i="1"/>
  <c r="G2" i="1"/>
  <c r="F2" i="1"/>
  <c r="E2" i="1"/>
  <c r="D2" i="1"/>
  <c r="AZ1" i="1"/>
  <c r="AZ5" i="1" s="1"/>
  <c r="AY1" i="1"/>
  <c r="AY5" i="1" s="1"/>
  <c r="AX1" i="1"/>
  <c r="AX5" i="1" s="1"/>
  <c r="AW1" i="1"/>
  <c r="AW5" i="1" s="1"/>
  <c r="AV1" i="1"/>
  <c r="AV5" i="1" s="1"/>
  <c r="AU1" i="1"/>
  <c r="AU5" i="1" s="1"/>
  <c r="AT1" i="1"/>
  <c r="AT5" i="1" s="1"/>
  <c r="AS1" i="1"/>
  <c r="AS5" i="1" s="1"/>
  <c r="AR1" i="1"/>
  <c r="AR5" i="1" s="1"/>
  <c r="AQ1" i="1"/>
  <c r="AQ5" i="1" s="1"/>
  <c r="AP1" i="1"/>
  <c r="AP5" i="1" s="1"/>
  <c r="AO1" i="1"/>
  <c r="AO5" i="1" s="1"/>
  <c r="AN1" i="1"/>
  <c r="AN5" i="1" s="1"/>
  <c r="AM1" i="1"/>
  <c r="AM5" i="1" s="1"/>
  <c r="AL1" i="1"/>
  <c r="AL5" i="1" s="1"/>
  <c r="AK1" i="1"/>
  <c r="AK5" i="1" s="1"/>
  <c r="AJ1" i="1"/>
  <c r="AJ5" i="1" s="1"/>
  <c r="AI1" i="1"/>
  <c r="AI5" i="1" s="1"/>
  <c r="AH1" i="1"/>
  <c r="AH5" i="1" s="1"/>
  <c r="AG1" i="1"/>
  <c r="AG5" i="1" s="1"/>
  <c r="AF1" i="1"/>
  <c r="AF5" i="1" s="1"/>
  <c r="AE1" i="1"/>
  <c r="AE5" i="1" s="1"/>
  <c r="AD1" i="1"/>
  <c r="AD5" i="1" s="1"/>
  <c r="AC1" i="1"/>
  <c r="AC5" i="1" s="1"/>
  <c r="AB1" i="1"/>
  <c r="AB5" i="1" s="1"/>
  <c r="AA1" i="1"/>
  <c r="AA5" i="1" s="1"/>
  <c r="Z1" i="1"/>
  <c r="Z5" i="1" s="1"/>
  <c r="Y1" i="1"/>
  <c r="Y5" i="1" s="1"/>
  <c r="X1" i="1"/>
  <c r="X5" i="1" s="1"/>
  <c r="W1" i="1"/>
  <c r="W5" i="1" s="1"/>
  <c r="V1" i="1"/>
  <c r="V5" i="1" s="1"/>
  <c r="U1" i="1"/>
  <c r="U5" i="1" s="1"/>
  <c r="T1" i="1"/>
  <c r="T5" i="1" s="1"/>
  <c r="S1" i="1"/>
  <c r="S5" i="1" s="1"/>
  <c r="R1" i="1"/>
  <c r="R5" i="1" s="1"/>
  <c r="Q1" i="1"/>
  <c r="Q5" i="1" s="1"/>
  <c r="P1" i="1"/>
  <c r="P5" i="1" s="1"/>
  <c r="O1" i="1"/>
  <c r="O5" i="1" s="1"/>
  <c r="N1" i="1"/>
  <c r="N5" i="1" s="1"/>
  <c r="M1" i="1"/>
  <c r="M5" i="1" s="1"/>
  <c r="L1" i="1"/>
  <c r="L5" i="1" s="1"/>
  <c r="K1" i="1"/>
  <c r="K5" i="1" s="1"/>
  <c r="J1" i="1"/>
  <c r="J5" i="1" s="1"/>
  <c r="I1" i="1"/>
  <c r="I5" i="1" s="1"/>
  <c r="H1" i="1"/>
  <c r="H5" i="1" s="1"/>
  <c r="G1" i="1"/>
  <c r="G5" i="1" s="1"/>
  <c r="F1" i="1"/>
  <c r="F5" i="1" s="1"/>
  <c r="E1" i="1"/>
  <c r="E5" i="1" s="1"/>
  <c r="D1" i="1"/>
  <c r="D5" i="1" s="1"/>
  <c r="C2" i="1"/>
  <c r="C1" i="1"/>
  <c r="BB4" i="7" a="1"/>
  <c r="BH2" i="7" a="1"/>
  <c r="BE2" i="7" a="1"/>
  <c r="Y4" i="7" a="1"/>
  <c r="AN2" i="7" a="1"/>
  <c r="O3" i="7" a="1"/>
  <c r="AU4" i="7" a="1"/>
  <c r="AR2" i="7" a="1"/>
  <c r="AC3" i="7" a="1"/>
  <c r="F5" i="7" a="1"/>
  <c r="I3" i="7" a="1"/>
  <c r="D4" i="7" a="1"/>
  <c r="AJ5" i="7" a="1"/>
  <c r="AG2" i="7" a="1"/>
  <c r="C3" i="7" a="1"/>
  <c r="T4" i="7" a="1"/>
  <c r="BF3" i="7" a="1"/>
  <c r="AZ2" i="7" a="1"/>
  <c r="BI5" i="7" a="1"/>
  <c r="Q4" i="7" a="1"/>
  <c r="AW5" i="7" a="1"/>
  <c r="AT2" i="7" a="1"/>
  <c r="AM4" i="7" a="1"/>
  <c r="L2" i="7" a="1"/>
  <c r="U3" i="7" a="1"/>
  <c r="AS4" i="7" a="1"/>
  <c r="AB4" i="7" a="1"/>
  <c r="AQ3" i="7" a="1"/>
  <c r="AB5" i="7" a="1"/>
  <c r="Q2" i="7" a="1"/>
  <c r="AD2" i="7" a="1"/>
  <c r="AY5" i="7" a="1"/>
  <c r="BJ2" i="7" a="1"/>
  <c r="BE4" i="7" a="1"/>
  <c r="AG4" i="7" a="1"/>
  <c r="I4" i="7" a="1"/>
  <c r="AO5" i="7" a="1"/>
  <c r="AL2" i="7" a="1"/>
  <c r="AE4" i="7" a="1"/>
  <c r="AV2" i="7" a="1"/>
  <c r="M3" i="7" a="1"/>
  <c r="AK4" i="7" a="1"/>
  <c r="K3" i="7" a="1"/>
  <c r="AI3" i="7" a="1"/>
  <c r="T5" i="7" a="1"/>
  <c r="AO3" i="7" a="1"/>
  <c r="P5" i="7" a="1"/>
  <c r="AY3" i="7" a="1"/>
  <c r="BB2" i="7" a="1"/>
  <c r="BC5" i="7" a="1"/>
  <c r="P3" i="7" a="1"/>
  <c r="AV3" i="7" a="1"/>
  <c r="AG5" i="7" a="1"/>
  <c r="V2" i="7" a="1"/>
  <c r="O4" i="7" a="1"/>
  <c r="AU5" i="7" a="1"/>
  <c r="E3" i="7" a="1"/>
  <c r="U4" i="7" a="1"/>
  <c r="AH2" i="7" a="1"/>
  <c r="AA3" i="7" a="1"/>
  <c r="L5" i="7" a="1"/>
  <c r="AQ5" i="7" a="1"/>
  <c r="S2" i="7" a="1"/>
  <c r="BH5" i="7" a="1"/>
  <c r="BI3" i="7" a="1"/>
  <c r="BG4" i="7" a="1"/>
  <c r="AM2" i="7" a="1"/>
  <c r="AN3" i="7" a="1"/>
  <c r="Y5" i="7" a="1"/>
  <c r="F2" i="7" a="1"/>
  <c r="G4" i="7" a="1"/>
  <c r="AM5" i="7" a="1"/>
  <c r="AJ2" i="7" a="1"/>
  <c r="M4" i="7" a="1"/>
  <c r="R2" i="7" a="1"/>
  <c r="S3" i="7" a="1"/>
  <c r="D5" i="7" a="1"/>
  <c r="AI5" i="7" a="1"/>
  <c r="V5" i="7" a="1"/>
  <c r="AZ5" i="7" a="1"/>
  <c r="BE5" i="7" a="1"/>
  <c r="AY4" i="7" a="1"/>
  <c r="W2" i="7" a="1"/>
  <c r="AF3" i="7" a="1"/>
  <c r="Q5" i="7" a="1"/>
  <c r="P2" i="7" a="1"/>
  <c r="AT3" i="7" a="1"/>
  <c r="AE5" i="7" a="1"/>
  <c r="AB2" i="7" a="1"/>
  <c r="E4" i="7" a="1"/>
  <c r="J4" i="7" a="1"/>
  <c r="AX2" i="7" a="1"/>
  <c r="AQ4" i="7" a="1"/>
  <c r="AA5" i="7" a="1"/>
  <c r="C2" i="7" a="1"/>
  <c r="BD4" i="7" a="1"/>
  <c r="BI4" i="7" a="1"/>
  <c r="BC3" i="7" a="1"/>
  <c r="G2" i="7" a="1"/>
  <c r="X3" i="7" a="1"/>
  <c r="I5" i="7" a="1"/>
  <c r="W4" i="7" a="1"/>
  <c r="AL3" i="7" a="1"/>
  <c r="W5" i="7" a="1"/>
  <c r="T2" i="7" a="1"/>
  <c r="AR3" i="7" a="1"/>
  <c r="AS5" i="7" a="1"/>
  <c r="AP2" i="7" a="1"/>
  <c r="AA4" i="7" a="1"/>
  <c r="S5" i="7" a="1"/>
  <c r="AS3" i="7" a="1"/>
  <c r="BH3" i="7" a="1"/>
  <c r="BA4" i="7" a="1"/>
  <c r="BG2" i="7" a="1"/>
  <c r="X2" i="7" a="1"/>
  <c r="H3" i="7" a="1"/>
  <c r="AV4" i="7" a="1"/>
  <c r="AS2" i="7" a="1"/>
  <c r="AD3" i="7" a="1"/>
  <c r="O5" i="7" a="1"/>
  <c r="D2" i="7" a="1"/>
  <c r="AJ3" i="7" a="1"/>
  <c r="AK5" i="7" a="1"/>
  <c r="Z2" i="7" a="1"/>
  <c r="S4" i="7" a="1"/>
  <c r="K5" i="7" a="1"/>
  <c r="BF5" i="7" a="1"/>
  <c r="AW3" i="7" a="1"/>
  <c r="AZ3" i="7" a="1"/>
  <c r="BE3" i="7" a="1"/>
  <c r="AY2" i="7" a="1"/>
  <c r="AX5" i="7" a="1"/>
  <c r="AU2" i="7" a="1"/>
  <c r="AN4" i="7" a="1"/>
  <c r="M2" i="7" a="1"/>
  <c r="V3" i="7" a="1"/>
  <c r="G5" i="7" a="1"/>
  <c r="H2" i="7" a="1"/>
  <c r="AB3" i="7" a="1"/>
  <c r="AC5" i="7" a="1"/>
  <c r="J2" i="7" a="1"/>
  <c r="K4" i="7" a="1"/>
  <c r="AX4" i="7" a="1"/>
  <c r="BD2" i="7" a="1"/>
  <c r="BI2" i="7" a="1"/>
  <c r="BA3" i="7" a="1"/>
  <c r="AP5" i="7" a="1"/>
  <c r="AE2" i="7" a="1"/>
  <c r="X4" i="7" a="1"/>
  <c r="AF2" i="7" a="1"/>
  <c r="N3" i="7" a="1"/>
  <c r="AT4" i="7" a="1"/>
  <c r="AC4" i="7" a="1"/>
  <c r="T3" i="7" a="1"/>
  <c r="U5" i="7" a="1"/>
  <c r="Q3" i="7" a="1"/>
  <c r="AX3" i="7" a="1"/>
  <c r="AP4" i="7" a="1"/>
  <c r="AE3" i="7" a="1"/>
  <c r="BG5" i="7" a="1"/>
  <c r="BA2" i="7" a="1"/>
  <c r="BJ5" i="7" a="1"/>
  <c r="AH5" i="7" a="1"/>
  <c r="O2" i="7" a="1"/>
  <c r="P4" i="7" a="1"/>
  <c r="AV5" i="7" a="1"/>
  <c r="F3" i="7" a="1"/>
  <c r="AL4" i="7" a="1"/>
  <c r="AI2" i="7" a="1"/>
  <c r="L3" i="7" a="1"/>
  <c r="M5" i="7" a="1"/>
  <c r="AI4" i="7" a="1"/>
  <c r="AP3" i="7" a="1"/>
  <c r="AH4" i="7" a="1"/>
  <c r="AZ4" i="7" a="1"/>
  <c r="BC4" i="7" a="1"/>
  <c r="BA5" i="7" a="1"/>
  <c r="BB5" i="7" a="1"/>
  <c r="Z5" i="7" a="1"/>
  <c r="Y3" i="7" a="1"/>
  <c r="H4" i="7" a="1"/>
  <c r="AN5" i="7" a="1"/>
  <c r="AK2" i="7" a="1"/>
  <c r="AD4" i="7" a="1"/>
  <c r="AT5" i="7" a="1"/>
  <c r="D3" i="7" a="1"/>
  <c r="E5" i="7" a="1"/>
  <c r="AW2" i="7" a="1"/>
  <c r="AH3" i="7" a="1"/>
  <c r="Z4" i="7" a="1"/>
  <c r="E2" i="7" a="1"/>
  <c r="BC2" i="7" a="1"/>
  <c r="BD5" i="7" a="1"/>
  <c r="BF4" i="7" a="1"/>
  <c r="R5" i="7" a="1"/>
  <c r="AF4" i="7" a="1"/>
  <c r="AU3" i="7" a="1"/>
  <c r="AF5" i="7" a="1"/>
  <c r="AC2" i="7" a="1"/>
  <c r="N4" i="7" a="1"/>
  <c r="AL5" i="7" a="1"/>
  <c r="AQ2" i="7" a="1"/>
  <c r="AR4" i="7" a="1"/>
  <c r="Y2" i="7" a="1"/>
  <c r="Z3" i="7" a="1"/>
  <c r="R4" i="7" a="1"/>
  <c r="BB3" i="7" a="1"/>
  <c r="BG3" i="7" a="1"/>
  <c r="BH4" i="7" a="1"/>
  <c r="BJ3" i="7" a="1"/>
  <c r="J5" i="7" a="1"/>
  <c r="G3" i="7" a="1"/>
  <c r="AM3" i="7" a="1"/>
  <c r="X5" i="7" a="1"/>
  <c r="U2" i="7" a="1"/>
  <c r="F4" i="7" a="1"/>
  <c r="AD5" i="7" a="1"/>
  <c r="AA2" i="7" a="1"/>
  <c r="AJ4" i="7" a="1"/>
  <c r="I2" i="7" a="1"/>
  <c r="R3" i="7" a="1"/>
  <c r="AG3" i="7" a="1"/>
  <c r="J3" i="7" a="1"/>
  <c r="BJ4" i="7" a="1"/>
  <c r="BD3" i="7" a="1"/>
  <c r="BF2" i="7" a="1"/>
  <c r="AO4" i="7" a="1"/>
  <c r="N2" i="7" a="1"/>
  <c r="W3" i="7" a="1"/>
  <c r="H5" i="7" a="1"/>
  <c r="V4" i="7" a="1"/>
  <c r="AK3" i="7" a="1"/>
  <c r="N5" i="7" a="1"/>
  <c r="K2" i="7" a="1"/>
  <c r="L4" i="7" a="1"/>
  <c r="AR5" i="7" a="1"/>
  <c r="AO2" i="7" a="1"/>
  <c r="C5" i="7" a="1"/>
  <c r="AW4" i="7" a="1"/>
  <c r="BE36" i="7" l="1"/>
  <c r="BH39" i="7"/>
  <c r="BE38" i="7"/>
  <c r="BI34" i="7"/>
  <c r="BI39" i="7" s="1"/>
  <c r="BA13" i="7"/>
  <c r="BA33" i="7" s="1"/>
  <c r="BA38" i="7" s="1"/>
  <c r="BG36" i="7"/>
  <c r="BB13" i="7"/>
  <c r="BH36" i="7"/>
  <c r="BC13" i="7"/>
  <c r="BI36" i="7"/>
  <c r="BD13" i="7"/>
  <c r="BD33" i="7" s="1"/>
  <c r="BD38" i="7" s="1"/>
  <c r="BC35" i="7"/>
  <c r="BC40" i="7" s="1"/>
  <c r="BD35" i="7"/>
  <c r="BD40" i="7" s="1"/>
  <c r="BA34" i="7"/>
  <c r="BE35" i="7"/>
  <c r="BB34" i="7"/>
  <c r="BB39" i="7" s="1"/>
  <c r="BF35" i="7"/>
  <c r="BH40" i="7"/>
  <c r="BE39" i="7"/>
  <c r="BI40" i="7"/>
  <c r="BI5" i="7"/>
  <c r="BE2" i="7"/>
  <c r="BE18" i="7" s="1"/>
  <c r="BF2" i="7"/>
  <c r="BF18" i="7" s="1"/>
  <c r="BB3" i="7"/>
  <c r="BB19" i="7" s="1"/>
  <c r="BJ3" i="7"/>
  <c r="BJ19" i="7" s="1"/>
  <c r="BF4" i="7"/>
  <c r="BB5" i="7"/>
  <c r="BJ5" i="7"/>
  <c r="BA3" i="7"/>
  <c r="BA19" i="7" s="1"/>
  <c r="AY2" i="7"/>
  <c r="AY18" i="7" s="1"/>
  <c r="BG2" i="7"/>
  <c r="BG18" i="7" s="1"/>
  <c r="BC3" i="7"/>
  <c r="BC19" i="7" s="1"/>
  <c r="AY4" i="7"/>
  <c r="BG4" i="7"/>
  <c r="BC5" i="7"/>
  <c r="BE4" i="7"/>
  <c r="AZ2" i="7"/>
  <c r="AZ18" i="7" s="1"/>
  <c r="BH2" i="7"/>
  <c r="BH18" i="7" s="1"/>
  <c r="BD3" i="7"/>
  <c r="BD19" i="7" s="1"/>
  <c r="AZ4" i="7"/>
  <c r="BH4" i="7"/>
  <c r="BD5" i="7"/>
  <c r="BA5" i="7"/>
  <c r="BA2" i="7"/>
  <c r="BA18" i="7" s="1"/>
  <c r="BI2" i="7"/>
  <c r="BI18" i="7" s="1"/>
  <c r="BE3" i="7"/>
  <c r="BE19" i="7" s="1"/>
  <c r="BA4" i="7"/>
  <c r="BI4" i="7"/>
  <c r="BE5" i="7"/>
  <c r="BI3" i="7"/>
  <c r="BI19" i="7" s="1"/>
  <c r="BB2" i="7"/>
  <c r="BB18" i="7" s="1"/>
  <c r="BJ2" i="7"/>
  <c r="BJ18" i="7" s="1"/>
  <c r="BF3" i="7"/>
  <c r="BF19" i="7" s="1"/>
  <c r="BB4" i="7"/>
  <c r="BJ4" i="7"/>
  <c r="BF5" i="7"/>
  <c r="BG3" i="7"/>
  <c r="BG19" i="7" s="1"/>
  <c r="BC2" i="7"/>
  <c r="BC18" i="7" s="1"/>
  <c r="BC4" i="7"/>
  <c r="BG5" i="7"/>
  <c r="BD2" i="7"/>
  <c r="BD18" i="7" s="1"/>
  <c r="AZ3" i="7"/>
  <c r="AZ19" i="7" s="1"/>
  <c r="BH3" i="7"/>
  <c r="BH19" i="7" s="1"/>
  <c r="BD4" i="7"/>
  <c r="AZ5" i="7"/>
  <c r="BH5" i="7"/>
  <c r="AY3" i="7"/>
  <c r="AY19" i="7" s="1"/>
  <c r="AY5" i="7"/>
  <c r="BF40" i="7"/>
  <c r="BB29" i="7"/>
  <c r="AY39" i="7"/>
  <c r="AY43" i="7" s="1"/>
  <c r="BE29" i="7"/>
  <c r="BA30" i="7"/>
  <c r="AZ39" i="7"/>
  <c r="BA39" i="7"/>
  <c r="AY44" i="7"/>
  <c r="BA29" i="7"/>
  <c r="BH29" i="7"/>
  <c r="BC39" i="7"/>
  <c r="AY40" i="7"/>
  <c r="AY38" i="7"/>
  <c r="AY42" i="7" s="1"/>
  <c r="BD39" i="7"/>
  <c r="AZ40" i="7"/>
  <c r="BF30" i="7"/>
  <c r="BF43" i="7" s="1"/>
  <c r="BA40" i="7"/>
  <c r="BF39" i="7"/>
  <c r="BB40" i="7"/>
  <c r="BG40" i="7"/>
  <c r="BG39" i="7"/>
  <c r="BI30" i="7"/>
  <c r="AZ27" i="7"/>
  <c r="AZ31" i="7" s="1"/>
  <c r="AZ33" i="7"/>
  <c r="AZ38" i="7" s="1"/>
  <c r="BA27" i="7"/>
  <c r="BA31" i="7" s="1"/>
  <c r="BB27" i="7"/>
  <c r="BB31" i="7" s="1"/>
  <c r="BB44" i="7" s="1"/>
  <c r="BB33" i="7"/>
  <c r="BB38" i="7" s="1"/>
  <c r="BC27" i="7"/>
  <c r="BC31" i="7" s="1"/>
  <c r="BC33" i="7"/>
  <c r="BC38" i="7" s="1"/>
  <c r="BD27" i="7"/>
  <c r="BD31" i="7" s="1"/>
  <c r="BD44" i="7" s="1"/>
  <c r="BE27" i="7"/>
  <c r="BE31" i="7" s="1"/>
  <c r="BF27" i="7"/>
  <c r="BF31" i="7" s="1"/>
  <c r="BF33" i="7"/>
  <c r="BF38" i="7" s="1"/>
  <c r="BG27" i="7"/>
  <c r="BG33" i="7"/>
  <c r="BG38" i="7" s="1"/>
  <c r="BH27" i="7"/>
  <c r="BH31" i="7" s="1"/>
  <c r="BH33" i="7"/>
  <c r="BH38" i="7" s="1"/>
  <c r="BI27" i="7"/>
  <c r="BI31" i="7" s="1"/>
  <c r="BI33" i="7"/>
  <c r="BJ27" i="7"/>
  <c r="BJ31" i="7" s="1"/>
  <c r="BJ44" i="7" s="1"/>
  <c r="BJ33" i="7"/>
  <c r="BJ38" i="7" s="1"/>
  <c r="C42" i="7"/>
  <c r="S40" i="7"/>
  <c r="S44" i="7" s="1"/>
  <c r="AI39" i="7"/>
  <c r="C39" i="7"/>
  <c r="C43" i="7" s="1"/>
  <c r="S38" i="7"/>
  <c r="AL39" i="7"/>
  <c r="AL43" i="7" s="1"/>
  <c r="AL40" i="7"/>
  <c r="AL44" i="7" s="1"/>
  <c r="AL38" i="7"/>
  <c r="AL42" i="7" s="1"/>
  <c r="AK38" i="7"/>
  <c r="AK40" i="7"/>
  <c r="AK44" i="7" s="1"/>
  <c r="AK39" i="7"/>
  <c r="AT44" i="7"/>
  <c r="AG39" i="7"/>
  <c r="AG43" i="7" s="1"/>
  <c r="AG38" i="7"/>
  <c r="AG42" i="7" s="1"/>
  <c r="AU39" i="7"/>
  <c r="AU43" i="7" s="1"/>
  <c r="AR40" i="7"/>
  <c r="AR44" i="7" s="1"/>
  <c r="AR39" i="7"/>
  <c r="AR43" i="7" s="1"/>
  <c r="AR38" i="7"/>
  <c r="AR42" i="7" s="1"/>
  <c r="AS40" i="7"/>
  <c r="AS44" i="7" s="1"/>
  <c r="AS39" i="7"/>
  <c r="AS43" i="7" s="1"/>
  <c r="AS38" i="7"/>
  <c r="AS42" i="7" s="1"/>
  <c r="AU38" i="7"/>
  <c r="AU42" i="7" s="1"/>
  <c r="AO40" i="7"/>
  <c r="AO44" i="7" s="1"/>
  <c r="AO39" i="7"/>
  <c r="AO43" i="7" s="1"/>
  <c r="AO38" i="7"/>
  <c r="AO42" i="7" s="1"/>
  <c r="AM39" i="7"/>
  <c r="AM43" i="7" s="1"/>
  <c r="AM38" i="7"/>
  <c r="AM42" i="7" s="1"/>
  <c r="AM40" i="7"/>
  <c r="AM44" i="7" s="1"/>
  <c r="AI40" i="7"/>
  <c r="C40" i="7"/>
  <c r="C44" i="7" s="1"/>
  <c r="S39" i="7"/>
  <c r="S43" i="7" s="1"/>
  <c r="AI38" i="7"/>
  <c r="C38" i="7"/>
  <c r="R39" i="7"/>
  <c r="R38" i="7"/>
  <c r="AX27" i="7"/>
  <c r="AX29" i="7" s="1"/>
  <c r="AX42" i="7" s="1"/>
  <c r="AW11" i="7"/>
  <c r="AW36" i="7" s="1"/>
  <c r="AW40" i="7" s="1"/>
  <c r="AW44" i="7" s="1"/>
  <c r="AF11" i="7"/>
  <c r="AF36" i="7" s="1"/>
  <c r="AF40" i="7" s="1"/>
  <c r="AF44" i="7" s="1"/>
  <c r="AV33" i="7"/>
  <c r="AV38" i="7" s="1"/>
  <c r="AV42" i="7" s="1"/>
  <c r="P33" i="7"/>
  <c r="P38" i="7" s="1"/>
  <c r="P42" i="7" s="1"/>
  <c r="AX11" i="7"/>
  <c r="AX36" i="7" s="1"/>
  <c r="AH11" i="7"/>
  <c r="AH36" i="7" s="1"/>
  <c r="AH40" i="7" s="1"/>
  <c r="AI27" i="7"/>
  <c r="AI31" i="7" s="1"/>
  <c r="AK29" i="7"/>
  <c r="AK42" i="7" s="1"/>
  <c r="T29" i="7"/>
  <c r="T42" i="7" s="1"/>
  <c r="AJ29" i="7"/>
  <c r="AJ42" i="7" s="1"/>
  <c r="S29" i="7"/>
  <c r="S42" i="7" s="1"/>
  <c r="AK30" i="7"/>
  <c r="T30" i="7"/>
  <c r="T43" i="7" s="1"/>
  <c r="AJ30" i="7"/>
  <c r="AJ43" i="7" s="1"/>
  <c r="AH27" i="7"/>
  <c r="AH31" i="7" s="1"/>
  <c r="AX38" i="7"/>
  <c r="AX39" i="7"/>
  <c r="AX40" i="7"/>
  <c r="AH38" i="7"/>
  <c r="R29" i="7"/>
  <c r="R31" i="7"/>
  <c r="R44" i="7" s="1"/>
  <c r="R30" i="7"/>
  <c r="R43" i="7" s="1"/>
  <c r="AX31" i="7"/>
  <c r="AX30" i="7"/>
  <c r="AX43" i="7" s="1"/>
  <c r="AH30" i="7"/>
  <c r="AG3" i="7"/>
  <c r="AG19" i="7" s="1"/>
  <c r="AG47" i="7" s="1"/>
  <c r="R4" i="7"/>
  <c r="Z4" i="7"/>
  <c r="AH4" i="7"/>
  <c r="AP4" i="7"/>
  <c r="AX4" i="7"/>
  <c r="K5" i="7"/>
  <c r="S5" i="7"/>
  <c r="AA5" i="7"/>
  <c r="AI5" i="7"/>
  <c r="AQ5" i="7"/>
  <c r="AO3" i="7"/>
  <c r="AO19" i="7" s="1"/>
  <c r="AO47" i="7" s="1"/>
  <c r="Q2" i="7"/>
  <c r="Q18" i="7" s="1"/>
  <c r="Q46" i="7" s="1"/>
  <c r="AG2" i="7"/>
  <c r="AG18" i="7" s="1"/>
  <c r="AO2" i="7"/>
  <c r="AO18" i="7" s="1"/>
  <c r="J3" i="7"/>
  <c r="J19" i="7" s="1"/>
  <c r="J47" i="7" s="1"/>
  <c r="R3" i="7"/>
  <c r="R19" i="7" s="1"/>
  <c r="Z3" i="7"/>
  <c r="Z19" i="7" s="1"/>
  <c r="Z47" i="7" s="1"/>
  <c r="AH3" i="7"/>
  <c r="AH19" i="7" s="1"/>
  <c r="AP3" i="7"/>
  <c r="AP19" i="7" s="1"/>
  <c r="AP47" i="7" s="1"/>
  <c r="AX3" i="7"/>
  <c r="AX19" i="7" s="1"/>
  <c r="AX47" i="7" s="1"/>
  <c r="K4" i="7"/>
  <c r="S4" i="7"/>
  <c r="AA4" i="7"/>
  <c r="AQ4" i="7"/>
  <c r="D5" i="7"/>
  <c r="L5" i="7"/>
  <c r="T5" i="7"/>
  <c r="AB5" i="7"/>
  <c r="AJ5" i="7"/>
  <c r="AR5" i="7"/>
  <c r="AW3" i="7"/>
  <c r="AW19" i="7" s="1"/>
  <c r="I2" i="7"/>
  <c r="I18" i="7" s="1"/>
  <c r="I46" i="7" s="1"/>
  <c r="Y2" i="7"/>
  <c r="Y18" i="7" s="1"/>
  <c r="Y46" i="7" s="1"/>
  <c r="AW2" i="7"/>
  <c r="AW18" i="7" s="1"/>
  <c r="AI4" i="7"/>
  <c r="Q3" i="7"/>
  <c r="Q19" i="7" s="1"/>
  <c r="Q47" i="7" s="1"/>
  <c r="J2" i="7"/>
  <c r="J18" i="7" s="1"/>
  <c r="J46" i="7" s="1"/>
  <c r="Z2" i="7"/>
  <c r="Z18" i="7" s="1"/>
  <c r="Z46" i="7" s="1"/>
  <c r="AP2" i="7"/>
  <c r="AP18" i="7" s="1"/>
  <c r="AP46" i="7" s="1"/>
  <c r="AX2" i="7"/>
  <c r="AX18" i="7" s="1"/>
  <c r="S3" i="7"/>
  <c r="S19" i="7" s="1"/>
  <c r="AA3" i="7"/>
  <c r="AA19" i="7" s="1"/>
  <c r="AA47" i="7" s="1"/>
  <c r="AI3" i="7"/>
  <c r="AI19" i="7" s="1"/>
  <c r="AQ3" i="7"/>
  <c r="AQ19" i="7" s="1"/>
  <c r="AQ47" i="7" s="1"/>
  <c r="D4" i="7"/>
  <c r="L4" i="7"/>
  <c r="T4" i="7"/>
  <c r="AJ4" i="7"/>
  <c r="AR4" i="7"/>
  <c r="E5" i="7"/>
  <c r="M5" i="7"/>
  <c r="U5" i="7"/>
  <c r="AC5" i="7"/>
  <c r="AK5" i="7"/>
  <c r="AS5" i="7"/>
  <c r="J4" i="7"/>
  <c r="R2" i="7"/>
  <c r="R18" i="7" s="1"/>
  <c r="AH2" i="7"/>
  <c r="AH18" i="7" s="1"/>
  <c r="K3" i="7"/>
  <c r="K19" i="7" s="1"/>
  <c r="K47" i="7" s="1"/>
  <c r="AB4" i="7"/>
  <c r="I3" i="7"/>
  <c r="I19" i="7" s="1"/>
  <c r="I47" i="7" s="1"/>
  <c r="K2" i="7"/>
  <c r="K18" i="7" s="1"/>
  <c r="K46" i="7" s="1"/>
  <c r="S2" i="7"/>
  <c r="S18" i="7" s="1"/>
  <c r="AA2" i="7"/>
  <c r="AA18" i="7" s="1"/>
  <c r="AA46" i="7" s="1"/>
  <c r="AQ2" i="7"/>
  <c r="AQ18" i="7" s="1"/>
  <c r="AQ46" i="7" s="1"/>
  <c r="D3" i="7"/>
  <c r="D19" i="7" s="1"/>
  <c r="D47" i="7" s="1"/>
  <c r="L3" i="7"/>
  <c r="L19" i="7" s="1"/>
  <c r="L47" i="7" s="1"/>
  <c r="T3" i="7"/>
  <c r="T19" i="7" s="1"/>
  <c r="T47" i="7" s="1"/>
  <c r="AB3" i="7"/>
  <c r="AB19" i="7" s="1"/>
  <c r="AB47" i="7" s="1"/>
  <c r="AJ3" i="7"/>
  <c r="AJ19" i="7" s="1"/>
  <c r="AR3" i="7"/>
  <c r="AR19" i="7" s="1"/>
  <c r="E4" i="7"/>
  <c r="M4" i="7"/>
  <c r="U4" i="7"/>
  <c r="AK4" i="7"/>
  <c r="AS4" i="7"/>
  <c r="F5" i="7"/>
  <c r="N5" i="7"/>
  <c r="V5" i="7"/>
  <c r="AD5" i="7"/>
  <c r="AL5" i="7"/>
  <c r="AT5" i="7"/>
  <c r="AI2" i="7"/>
  <c r="AI18" i="7" s="1"/>
  <c r="AC4" i="7"/>
  <c r="H2" i="7"/>
  <c r="H18" i="7" s="1"/>
  <c r="H46" i="7" s="1"/>
  <c r="D2" i="7"/>
  <c r="D18" i="7" s="1"/>
  <c r="D46" i="7" s="1"/>
  <c r="T2" i="7"/>
  <c r="T18" i="7" s="1"/>
  <c r="AB2" i="7"/>
  <c r="AB18" i="7" s="1"/>
  <c r="AB46" i="7" s="1"/>
  <c r="AJ2" i="7"/>
  <c r="AJ18" i="7" s="1"/>
  <c r="E3" i="7"/>
  <c r="E19" i="7" s="1"/>
  <c r="E47" i="7" s="1"/>
  <c r="M3" i="7"/>
  <c r="M19" i="7" s="1"/>
  <c r="M47" i="7" s="1"/>
  <c r="U3" i="7"/>
  <c r="U19" i="7" s="1"/>
  <c r="U47" i="7" s="1"/>
  <c r="AC3" i="7"/>
  <c r="AC19" i="7" s="1"/>
  <c r="AC47" i="7" s="1"/>
  <c r="AK3" i="7"/>
  <c r="AK19" i="7" s="1"/>
  <c r="AS3" i="7"/>
  <c r="AS19" i="7" s="1"/>
  <c r="F4" i="7"/>
  <c r="N4" i="7"/>
  <c r="AD4" i="7"/>
  <c r="AL4" i="7"/>
  <c r="AT4" i="7"/>
  <c r="G5" i="7"/>
  <c r="O5" i="7"/>
  <c r="W5" i="7"/>
  <c r="AE5" i="7"/>
  <c r="AM5" i="7"/>
  <c r="AU5" i="7"/>
  <c r="AV2" i="7"/>
  <c r="AV18" i="7" s="1"/>
  <c r="AV46" i="7" s="1"/>
  <c r="L2" i="7"/>
  <c r="L18" i="7" s="1"/>
  <c r="L46" i="7" s="1"/>
  <c r="AR2" i="7"/>
  <c r="AR18" i="7" s="1"/>
  <c r="V4" i="7"/>
  <c r="E2" i="7"/>
  <c r="E18" i="7" s="1"/>
  <c r="E46" i="7" s="1"/>
  <c r="U2" i="7"/>
  <c r="U18" i="7" s="1"/>
  <c r="U46" i="7" s="1"/>
  <c r="AC2" i="7"/>
  <c r="AC18" i="7" s="1"/>
  <c r="AC46" i="7" s="1"/>
  <c r="AK2" i="7"/>
  <c r="AK18" i="7" s="1"/>
  <c r="AK46" i="7" s="1"/>
  <c r="F3" i="7"/>
  <c r="F19" i="7" s="1"/>
  <c r="F47" i="7" s="1"/>
  <c r="N3" i="7"/>
  <c r="N19" i="7" s="1"/>
  <c r="N47" i="7" s="1"/>
  <c r="V3" i="7"/>
  <c r="V19" i="7" s="1"/>
  <c r="V47" i="7" s="1"/>
  <c r="AD3" i="7"/>
  <c r="AD19" i="7" s="1"/>
  <c r="AD47" i="7" s="1"/>
  <c r="AL3" i="7"/>
  <c r="AL19" i="7" s="1"/>
  <c r="AL47" i="7" s="1"/>
  <c r="AT3" i="7"/>
  <c r="AT19" i="7" s="1"/>
  <c r="AT47" i="7" s="1"/>
  <c r="G4" i="7"/>
  <c r="O4" i="7"/>
  <c r="AE4" i="7"/>
  <c r="AM4" i="7"/>
  <c r="AU4" i="7"/>
  <c r="H5" i="7"/>
  <c r="P5" i="7"/>
  <c r="X5" i="7"/>
  <c r="AF5" i="7"/>
  <c r="AN5" i="7"/>
  <c r="AV5" i="7"/>
  <c r="AF2" i="7"/>
  <c r="AF18" i="7" s="1"/>
  <c r="M2" i="7"/>
  <c r="M18" i="7" s="1"/>
  <c r="M46" i="7" s="1"/>
  <c r="AS2" i="7"/>
  <c r="AS18" i="7" s="1"/>
  <c r="W4" i="7"/>
  <c r="P2" i="7"/>
  <c r="P18" i="7" s="1"/>
  <c r="P46" i="7" s="1"/>
  <c r="F2" i="7"/>
  <c r="F18" i="7" s="1"/>
  <c r="F46" i="7" s="1"/>
  <c r="V2" i="7"/>
  <c r="V18" i="7" s="1"/>
  <c r="V46" i="7" s="1"/>
  <c r="AL2" i="7"/>
  <c r="AL18" i="7" s="1"/>
  <c r="AL46" i="7" s="1"/>
  <c r="AT2" i="7"/>
  <c r="AT18" i="7" s="1"/>
  <c r="AT46" i="7" s="1"/>
  <c r="O3" i="7"/>
  <c r="O19" i="7" s="1"/>
  <c r="O47" i="7" s="1"/>
  <c r="W3" i="7"/>
  <c r="W19" i="7" s="1"/>
  <c r="W47" i="7" s="1"/>
  <c r="AE3" i="7"/>
  <c r="AE19" i="7" s="1"/>
  <c r="AE47" i="7" s="1"/>
  <c r="AM3" i="7"/>
  <c r="AM19" i="7" s="1"/>
  <c r="AU3" i="7"/>
  <c r="AU19" i="7" s="1"/>
  <c r="AU47" i="7" s="1"/>
  <c r="H4" i="7"/>
  <c r="P4" i="7"/>
  <c r="X4" i="7"/>
  <c r="AN4" i="7"/>
  <c r="AV4" i="7"/>
  <c r="I5" i="7"/>
  <c r="Q5" i="7"/>
  <c r="Y5" i="7"/>
  <c r="AG5" i="7"/>
  <c r="AO5" i="7"/>
  <c r="AW5" i="7"/>
  <c r="AN2" i="7"/>
  <c r="AN18" i="7" s="1"/>
  <c r="AN46" i="7" s="1"/>
  <c r="N2" i="7"/>
  <c r="N18" i="7" s="1"/>
  <c r="N46" i="7" s="1"/>
  <c r="AD2" i="7"/>
  <c r="AD18" i="7" s="1"/>
  <c r="AD46" i="7" s="1"/>
  <c r="G3" i="7"/>
  <c r="G19" i="7" s="1"/>
  <c r="G47" i="7" s="1"/>
  <c r="AF4" i="7"/>
  <c r="Y3" i="7"/>
  <c r="Y19" i="7" s="1"/>
  <c r="Y47" i="7" s="1"/>
  <c r="O2" i="7"/>
  <c r="O18" i="7" s="1"/>
  <c r="O46" i="7" s="1"/>
  <c r="AE2" i="7"/>
  <c r="AE18" i="7" s="1"/>
  <c r="AE46" i="7" s="1"/>
  <c r="AU2" i="7"/>
  <c r="AU18" i="7" s="1"/>
  <c r="H3" i="7"/>
  <c r="H19" i="7" s="1"/>
  <c r="H47" i="7" s="1"/>
  <c r="X3" i="7"/>
  <c r="X19" i="7" s="1"/>
  <c r="X47" i="7" s="1"/>
  <c r="AF3" i="7"/>
  <c r="AF19" i="7" s="1"/>
  <c r="AN3" i="7"/>
  <c r="AN19" i="7" s="1"/>
  <c r="AN47" i="7" s="1"/>
  <c r="AV3" i="7"/>
  <c r="AV19" i="7" s="1"/>
  <c r="AV47" i="7" s="1"/>
  <c r="I4" i="7"/>
  <c r="Q4" i="7"/>
  <c r="Y4" i="7"/>
  <c r="AO4" i="7"/>
  <c r="AW4" i="7"/>
  <c r="J5" i="7"/>
  <c r="R5" i="7"/>
  <c r="Z5" i="7"/>
  <c r="AH5" i="7"/>
  <c r="AP5" i="7"/>
  <c r="AX5" i="7"/>
  <c r="X2" i="7"/>
  <c r="X18" i="7" s="1"/>
  <c r="X46" i="7" s="1"/>
  <c r="G2" i="7"/>
  <c r="G18" i="7" s="1"/>
  <c r="G46" i="7" s="1"/>
  <c r="W2" i="7"/>
  <c r="W18" i="7" s="1"/>
  <c r="W46" i="7" s="1"/>
  <c r="AM2" i="7"/>
  <c r="AM18" i="7" s="1"/>
  <c r="P3" i="7"/>
  <c r="P19" i="7" s="1"/>
  <c r="P47" i="7" s="1"/>
  <c r="AG4" i="7"/>
  <c r="C2" i="7"/>
  <c r="C18" i="7" s="1"/>
  <c r="C46" i="7" s="1"/>
  <c r="C5" i="7"/>
  <c r="C3" i="7"/>
  <c r="C19" i="7" s="1"/>
  <c r="C3" i="6"/>
  <c r="C4" i="1"/>
  <c r="BI38" i="7" l="1"/>
  <c r="BH42" i="7"/>
  <c r="BH46" i="7" s="1"/>
  <c r="BE40" i="7"/>
  <c r="BE44" i="7" s="1"/>
  <c r="BI44" i="7"/>
  <c r="BF44" i="7"/>
  <c r="BE42" i="7"/>
  <c r="BA42" i="7"/>
  <c r="BH44" i="7"/>
  <c r="BI43" i="7"/>
  <c r="BA43" i="7"/>
  <c r="BA47" i="7" s="1"/>
  <c r="BI49" i="7"/>
  <c r="BI21" i="7"/>
  <c r="BH22" i="7"/>
  <c r="BH51" i="7"/>
  <c r="BH57" i="7" s="1"/>
  <c r="BG47" i="7"/>
  <c r="BA49" i="7"/>
  <c r="BA21" i="7"/>
  <c r="BJ29" i="7"/>
  <c r="BJ42" i="7" s="1"/>
  <c r="BJ46" i="7" s="1"/>
  <c r="AZ51" i="7"/>
  <c r="AZ57" i="7" s="1"/>
  <c r="AZ22" i="7"/>
  <c r="BE49" i="7"/>
  <c r="BE21" i="7"/>
  <c r="BJ22" i="7"/>
  <c r="BJ51" i="7"/>
  <c r="BJ57" i="7" s="1"/>
  <c r="AY51" i="7"/>
  <c r="AY57" i="7" s="1"/>
  <c r="AY22" i="7"/>
  <c r="BF22" i="7"/>
  <c r="BF51" i="7"/>
  <c r="BF57" i="7" s="1"/>
  <c r="BE47" i="7"/>
  <c r="BB51" i="7"/>
  <c r="BB57" i="7" s="1"/>
  <c r="BB22" i="7"/>
  <c r="BC30" i="7"/>
  <c r="BC43" i="7" s="1"/>
  <c r="BC47" i="7" s="1"/>
  <c r="AZ29" i="7"/>
  <c r="AZ42" i="7" s="1"/>
  <c r="AZ46" i="7" s="1"/>
  <c r="BD49" i="7"/>
  <c r="BD21" i="7"/>
  <c r="BG30" i="7"/>
  <c r="BG43" i="7" s="1"/>
  <c r="BG31" i="7"/>
  <c r="BG44" i="7" s="1"/>
  <c r="BH30" i="7"/>
  <c r="BH43" i="7" s="1"/>
  <c r="BH47" i="7" s="1"/>
  <c r="BG29" i="7"/>
  <c r="BG42" i="7" s="1"/>
  <c r="BG46" i="7" s="1"/>
  <c r="BJ49" i="7"/>
  <c r="BJ21" i="7"/>
  <c r="BF49" i="7"/>
  <c r="BF21" i="7"/>
  <c r="BB42" i="7"/>
  <c r="AZ30" i="7"/>
  <c r="AZ43" i="7" s="1"/>
  <c r="AZ47" i="7" s="1"/>
  <c r="BB49" i="7"/>
  <c r="BB21" i="7"/>
  <c r="BA46" i="7"/>
  <c r="BC51" i="7"/>
  <c r="BC57" i="7" s="1"/>
  <c r="BC22" i="7"/>
  <c r="AY46" i="7"/>
  <c r="BA44" i="7"/>
  <c r="BE30" i="7"/>
  <c r="BE43" i="7" s="1"/>
  <c r="BD29" i="7"/>
  <c r="BD42" i="7" s="1"/>
  <c r="BD46" i="7" s="1"/>
  <c r="BA51" i="7"/>
  <c r="BA57" i="7" s="1"/>
  <c r="BA22" i="7"/>
  <c r="BI29" i="7"/>
  <c r="BI42" i="7" s="1"/>
  <c r="BI46" i="7" s="1"/>
  <c r="BF47" i="7"/>
  <c r="BG49" i="7"/>
  <c r="BG21" i="7"/>
  <c r="BE22" i="7"/>
  <c r="BE51" i="7"/>
  <c r="BE57" i="7" s="1"/>
  <c r="BD22" i="7"/>
  <c r="BD51" i="7"/>
  <c r="BD57" i="7" s="1"/>
  <c r="AY21" i="7"/>
  <c r="AY49" i="7"/>
  <c r="AY47" i="7"/>
  <c r="BB30" i="7"/>
  <c r="BB43" i="7" s="1"/>
  <c r="BB47" i="7" s="1"/>
  <c r="BG22" i="7"/>
  <c r="BG51" i="7"/>
  <c r="BG57" i="7" s="1"/>
  <c r="BF29" i="7"/>
  <c r="BF42" i="7" s="1"/>
  <c r="BF46" i="7" s="1"/>
  <c r="BC29" i="7"/>
  <c r="BC42" i="7" s="1"/>
  <c r="BC46" i="7" s="1"/>
  <c r="BJ30" i="7"/>
  <c r="BJ43" i="7" s="1"/>
  <c r="BJ47" i="7" s="1"/>
  <c r="BB46" i="7"/>
  <c r="BH49" i="7"/>
  <c r="BH21" i="7"/>
  <c r="BC44" i="7"/>
  <c r="BC49" i="7"/>
  <c r="BC21" i="7"/>
  <c r="BI47" i="7"/>
  <c r="AZ49" i="7"/>
  <c r="AZ21" i="7"/>
  <c r="BE46" i="7"/>
  <c r="AZ44" i="7"/>
  <c r="BD30" i="7"/>
  <c r="BD43" i="7" s="1"/>
  <c r="BD47" i="7" s="1"/>
  <c r="BI22" i="7"/>
  <c r="BI51" i="7"/>
  <c r="BI57" i="7" s="1"/>
  <c r="AW38" i="7"/>
  <c r="AW42" i="7" s="1"/>
  <c r="AW39" i="7"/>
  <c r="AW43" i="7" s="1"/>
  <c r="AW47" i="7" s="1"/>
  <c r="AW46" i="7"/>
  <c r="AM47" i="7"/>
  <c r="R47" i="7"/>
  <c r="AI29" i="7"/>
  <c r="AI42" i="7" s="1"/>
  <c r="AI46" i="7" s="1"/>
  <c r="AS47" i="7"/>
  <c r="S46" i="7"/>
  <c r="C47" i="7"/>
  <c r="AK47" i="7"/>
  <c r="AO46" i="7"/>
  <c r="AH29" i="7"/>
  <c r="AR46" i="7"/>
  <c r="AG46" i="7"/>
  <c r="AK43" i="7"/>
  <c r="AM46" i="7"/>
  <c r="S47" i="7"/>
  <c r="AI44" i="7"/>
  <c r="T46" i="7"/>
  <c r="AI47" i="7"/>
  <c r="AX44" i="7"/>
  <c r="AJ46" i="7"/>
  <c r="AR47" i="7"/>
  <c r="R42" i="7"/>
  <c r="R46" i="7" s="1"/>
  <c r="AI30" i="7"/>
  <c r="AI43" i="7" s="1"/>
  <c r="AS46" i="7"/>
  <c r="AJ47" i="7"/>
  <c r="AH39" i="7"/>
  <c r="AH43" i="7" s="1"/>
  <c r="AH47" i="7" s="1"/>
  <c r="AU46" i="7"/>
  <c r="AF38" i="7"/>
  <c r="AF42" i="7" s="1"/>
  <c r="AF39" i="7"/>
  <c r="AF43" i="7" s="1"/>
  <c r="AF47" i="7" s="1"/>
  <c r="AF46" i="7"/>
  <c r="AX51" i="7"/>
  <c r="AX57" i="7" s="1"/>
  <c r="AX22" i="7"/>
  <c r="X22" i="7"/>
  <c r="X51" i="7"/>
  <c r="X57" i="7" s="1"/>
  <c r="AH51" i="7"/>
  <c r="AH57" i="7" s="1"/>
  <c r="AH22" i="7"/>
  <c r="J22" i="7"/>
  <c r="J51" i="7"/>
  <c r="J57" i="7" s="1"/>
  <c r="F21" i="7"/>
  <c r="F49" i="7"/>
  <c r="AD22" i="7"/>
  <c r="AD51" i="7"/>
  <c r="AD57" i="7" s="1"/>
  <c r="AJ21" i="7"/>
  <c r="AJ49" i="7"/>
  <c r="AW49" i="7"/>
  <c r="AW21" i="7"/>
  <c r="P22" i="7"/>
  <c r="P51" i="7"/>
  <c r="P57" i="7" s="1"/>
  <c r="V22" i="7"/>
  <c r="V51" i="7"/>
  <c r="V57" i="7" s="1"/>
  <c r="T21" i="7"/>
  <c r="T49" i="7"/>
  <c r="H22" i="7"/>
  <c r="H51" i="7"/>
  <c r="H57" i="7" s="1"/>
  <c r="V21" i="7"/>
  <c r="V49" i="7"/>
  <c r="N22" i="7"/>
  <c r="N51" i="7"/>
  <c r="N57" i="7" s="1"/>
  <c r="L21" i="7"/>
  <c r="L49" i="7"/>
  <c r="AR22" i="7"/>
  <c r="AR51" i="7"/>
  <c r="AR57" i="7" s="1"/>
  <c r="AH42" i="7"/>
  <c r="AH46" i="7" s="1"/>
  <c r="C22" i="7"/>
  <c r="C51" i="7"/>
  <c r="C57" i="7" s="1"/>
  <c r="F22" i="7"/>
  <c r="F51" i="7"/>
  <c r="F57" i="7" s="1"/>
  <c r="D21" i="7"/>
  <c r="D49" i="7"/>
  <c r="AJ22" i="7"/>
  <c r="AJ51" i="7"/>
  <c r="AJ57" i="7" s="1"/>
  <c r="AH44" i="7"/>
  <c r="AW51" i="7"/>
  <c r="AW57" i="7" s="1"/>
  <c r="AW22" i="7"/>
  <c r="AM21" i="7"/>
  <c r="AM49" i="7"/>
  <c r="AB21" i="7"/>
  <c r="AB49" i="7"/>
  <c r="T22" i="7"/>
  <c r="T51" i="7"/>
  <c r="T57" i="7" s="1"/>
  <c r="AU21" i="7"/>
  <c r="AU49" i="7"/>
  <c r="O21" i="7"/>
  <c r="O49" i="7"/>
  <c r="AO21" i="7"/>
  <c r="AO49" i="7"/>
  <c r="AB22" i="7"/>
  <c r="AB51" i="7"/>
  <c r="AB57" i="7" s="1"/>
  <c r="I21" i="7"/>
  <c r="I49" i="7"/>
  <c r="AE21" i="7"/>
  <c r="AE49" i="7"/>
  <c r="AK21" i="7"/>
  <c r="AK49" i="7"/>
  <c r="AU22" i="7"/>
  <c r="AU51" i="7"/>
  <c r="AU57" i="7" s="1"/>
  <c r="U21" i="7"/>
  <c r="U49" i="7"/>
  <c r="AQ22" i="7"/>
  <c r="AQ51" i="7"/>
  <c r="AQ57" i="7" s="1"/>
  <c r="Y22" i="7"/>
  <c r="Y51" i="7"/>
  <c r="Y57" i="7" s="1"/>
  <c r="F50" i="7"/>
  <c r="F60" i="7" s="1"/>
  <c r="G21" i="7"/>
  <c r="G49" i="7"/>
  <c r="AM22" i="7"/>
  <c r="AM51" i="7"/>
  <c r="AM57" i="7" s="1"/>
  <c r="M21" i="7"/>
  <c r="M49" i="7"/>
  <c r="D22" i="7"/>
  <c r="D51" i="7"/>
  <c r="D57" i="7" s="1"/>
  <c r="AI22" i="7"/>
  <c r="AI51" i="7"/>
  <c r="AI57" i="7" s="1"/>
  <c r="Y21" i="7"/>
  <c r="Y49" i="7"/>
  <c r="Q49" i="7"/>
  <c r="Q21" i="7"/>
  <c r="AO22" i="7"/>
  <c r="AO51" i="7"/>
  <c r="AO57" i="7" s="1"/>
  <c r="AG51" i="7"/>
  <c r="AG57" i="7" s="1"/>
  <c r="AG22" i="7"/>
  <c r="Q51" i="7"/>
  <c r="Q57" i="7" s="1"/>
  <c r="Q22" i="7"/>
  <c r="AE22" i="7"/>
  <c r="AE51" i="7"/>
  <c r="AE57" i="7" s="1"/>
  <c r="E21" i="7"/>
  <c r="E49" i="7"/>
  <c r="J21" i="7"/>
  <c r="J49" i="7"/>
  <c r="AX46" i="7"/>
  <c r="AQ21" i="7"/>
  <c r="AQ49" i="7"/>
  <c r="AA22" i="7"/>
  <c r="AA51" i="7"/>
  <c r="AA57" i="7" s="1"/>
  <c r="AS21" i="7"/>
  <c r="AS49" i="7"/>
  <c r="AG49" i="7"/>
  <c r="AG21" i="7"/>
  <c r="L22" i="7"/>
  <c r="L51" i="7"/>
  <c r="L57" i="7" s="1"/>
  <c r="I22" i="7"/>
  <c r="I51" i="7"/>
  <c r="I57" i="7" s="1"/>
  <c r="W21" i="7"/>
  <c r="W49" i="7"/>
  <c r="W22" i="7"/>
  <c r="W51" i="7"/>
  <c r="W57" i="7" s="1"/>
  <c r="AS22" i="7"/>
  <c r="AS51" i="7"/>
  <c r="AS57" i="7" s="1"/>
  <c r="AA21" i="7"/>
  <c r="AA49" i="7"/>
  <c r="S22" i="7"/>
  <c r="S51" i="7"/>
  <c r="S57" i="7" s="1"/>
  <c r="O22" i="7"/>
  <c r="O51" i="7"/>
  <c r="O57" i="7" s="1"/>
  <c r="D50" i="7"/>
  <c r="D60" i="7" s="1"/>
  <c r="AK22" i="7"/>
  <c r="AK51" i="7"/>
  <c r="AK57" i="7" s="1"/>
  <c r="S21" i="7"/>
  <c r="S49" i="7"/>
  <c r="K22" i="7"/>
  <c r="K51" i="7"/>
  <c r="K57" i="7" s="1"/>
  <c r="M50" i="7"/>
  <c r="M60" i="7" s="1"/>
  <c r="G22" i="7"/>
  <c r="G51" i="7"/>
  <c r="G57" i="7" s="1"/>
  <c r="AC22" i="7"/>
  <c r="AC51" i="7"/>
  <c r="AC57" i="7" s="1"/>
  <c r="K21" i="7"/>
  <c r="K49" i="7"/>
  <c r="AX49" i="7"/>
  <c r="AX21" i="7"/>
  <c r="AP22" i="7"/>
  <c r="AP51" i="7"/>
  <c r="AP57" i="7" s="1"/>
  <c r="X21" i="7"/>
  <c r="X49" i="7"/>
  <c r="AT21" i="7"/>
  <c r="AT49" i="7"/>
  <c r="AC21" i="7"/>
  <c r="AC49" i="7"/>
  <c r="U22" i="7"/>
  <c r="U51" i="7"/>
  <c r="U57" i="7" s="1"/>
  <c r="AP21" i="7"/>
  <c r="AP49" i="7"/>
  <c r="AN21" i="7"/>
  <c r="AN49" i="7"/>
  <c r="M22" i="7"/>
  <c r="M51" i="7"/>
  <c r="M57" i="7" s="1"/>
  <c r="AI21" i="7"/>
  <c r="AI49" i="7"/>
  <c r="AH49" i="7"/>
  <c r="AH21" i="7"/>
  <c r="O50" i="7"/>
  <c r="O61" i="7" s="1"/>
  <c r="AD21" i="7"/>
  <c r="AD49" i="7"/>
  <c r="AT22" i="7"/>
  <c r="AT51" i="7"/>
  <c r="AT57" i="7" s="1"/>
  <c r="Z21" i="7"/>
  <c r="Z49" i="7"/>
  <c r="AV21" i="7"/>
  <c r="AV49" i="7"/>
  <c r="P21" i="7"/>
  <c r="P49" i="7"/>
  <c r="AV22" i="7"/>
  <c r="AV51" i="7"/>
  <c r="AV57" i="7" s="1"/>
  <c r="AL21" i="7"/>
  <c r="AL49" i="7"/>
  <c r="Z22" i="7"/>
  <c r="Z51" i="7"/>
  <c r="Z57" i="7" s="1"/>
  <c r="H21" i="7"/>
  <c r="H49" i="7"/>
  <c r="AN22" i="7"/>
  <c r="AN51" i="7"/>
  <c r="AN57" i="7" s="1"/>
  <c r="E22" i="7"/>
  <c r="E51" i="7"/>
  <c r="E57" i="7" s="1"/>
  <c r="R51" i="7"/>
  <c r="R57" i="7" s="1"/>
  <c r="R22" i="7"/>
  <c r="AF21" i="7"/>
  <c r="AF49" i="7"/>
  <c r="AF22" i="7"/>
  <c r="AF51" i="7"/>
  <c r="AF57" i="7" s="1"/>
  <c r="N21" i="7"/>
  <c r="N49" i="7"/>
  <c r="AL22" i="7"/>
  <c r="AL51" i="7"/>
  <c r="AL57" i="7" s="1"/>
  <c r="AQ50" i="7"/>
  <c r="AQ60" i="7" s="1"/>
  <c r="AR21" i="7"/>
  <c r="AR49" i="7"/>
  <c r="R49" i="7"/>
  <c r="R21" i="7"/>
  <c r="C5" i="6"/>
  <c r="S62" i="7" l="1"/>
  <c r="W50" i="7"/>
  <c r="AM61" i="7"/>
  <c r="AL50" i="7"/>
  <c r="AL62" i="7"/>
  <c r="AK62" i="7"/>
  <c r="AB50" i="7"/>
  <c r="AB62" i="7" s="1"/>
  <c r="D61" i="7"/>
  <c r="M62" i="7"/>
  <c r="S50" i="7"/>
  <c r="S60" i="7" s="1"/>
  <c r="S61" i="7"/>
  <c r="AE50" i="7"/>
  <c r="AE56" i="7" s="1"/>
  <c r="AE62" i="7"/>
  <c r="AM50" i="7"/>
  <c r="AM62" i="7"/>
  <c r="L50" i="7"/>
  <c r="L56" i="7" s="1"/>
  <c r="L62" i="7"/>
  <c r="AW62" i="7"/>
  <c r="AM60" i="7"/>
  <c r="M61" i="7"/>
  <c r="AF61" i="7"/>
  <c r="AF62" i="7"/>
  <c r="P50" i="7"/>
  <c r="P62" i="7"/>
  <c r="I50" i="7"/>
  <c r="I62" i="7"/>
  <c r="AN50" i="7"/>
  <c r="AN62" i="7"/>
  <c r="K50" i="7"/>
  <c r="K62" i="7"/>
  <c r="AG50" i="7"/>
  <c r="AG61" i="7" s="1"/>
  <c r="G50" i="7"/>
  <c r="G62" i="7" s="1"/>
  <c r="F61" i="7"/>
  <c r="AV50" i="7"/>
  <c r="V50" i="7"/>
  <c r="V62" i="7" s="1"/>
  <c r="AQ61" i="7"/>
  <c r="O60" i="7"/>
  <c r="F62" i="7"/>
  <c r="AO50" i="7"/>
  <c r="AO61" i="7" s="1"/>
  <c r="AO60" i="7"/>
  <c r="X50" i="7"/>
  <c r="X62" i="7"/>
  <c r="Z50" i="7"/>
  <c r="Z53" i="7" s="1"/>
  <c r="AO62" i="7"/>
  <c r="AS60" i="7"/>
  <c r="AK50" i="7"/>
  <c r="AK60" i="7" s="1"/>
  <c r="AK61" i="7"/>
  <c r="E50" i="7"/>
  <c r="E53" i="7" s="1"/>
  <c r="E62" i="7"/>
  <c r="AP50" i="7"/>
  <c r="AP56" i="7" s="1"/>
  <c r="D62" i="7"/>
  <c r="AQ62" i="7"/>
  <c r="Q50" i="7"/>
  <c r="Q62" i="7"/>
  <c r="O62" i="7"/>
  <c r="N50" i="7"/>
  <c r="R50" i="7"/>
  <c r="R60" i="7" s="1"/>
  <c r="AC50" i="7"/>
  <c r="AC62" i="7" s="1"/>
  <c r="Y50" i="7"/>
  <c r="Y62" i="7"/>
  <c r="T50" i="7"/>
  <c r="T61" i="7" s="1"/>
  <c r="T62" i="7"/>
  <c r="H50" i="7"/>
  <c r="H62" i="7"/>
  <c r="AD50" i="7"/>
  <c r="AD62" i="7"/>
  <c r="AX60" i="7"/>
  <c r="U50" i="7"/>
  <c r="U62" i="7"/>
  <c r="AU50" i="7"/>
  <c r="AU61" i="7" s="1"/>
  <c r="AJ50" i="7"/>
  <c r="AJ56" i="7" s="1"/>
  <c r="AJ60" i="7"/>
  <c r="AI50" i="7"/>
  <c r="AI61" i="7" s="1"/>
  <c r="AI60" i="7"/>
  <c r="AT50" i="7"/>
  <c r="AT62" i="7"/>
  <c r="J50" i="7"/>
  <c r="J62" i="7"/>
  <c r="AA50" i="7"/>
  <c r="R61" i="7"/>
  <c r="BC50" i="7"/>
  <c r="BC61" i="7" s="1"/>
  <c r="BC60" i="7"/>
  <c r="BI50" i="7"/>
  <c r="BI62" i="7" s="1"/>
  <c r="BD50" i="7"/>
  <c r="BD62" i="7" s="1"/>
  <c r="BD61" i="7"/>
  <c r="BJ61" i="7"/>
  <c r="AZ50" i="7"/>
  <c r="AZ62" i="7" s="1"/>
  <c r="BF50" i="7"/>
  <c r="BF60" i="7" s="1"/>
  <c r="BG50" i="7"/>
  <c r="BG62" i="7" s="1"/>
  <c r="BJ50" i="7"/>
  <c r="BJ60" i="7" s="1"/>
  <c r="BE50" i="7"/>
  <c r="BE61" i="7" s="1"/>
  <c r="BE60" i="7"/>
  <c r="AY50" i="7"/>
  <c r="AY62" i="7" s="1"/>
  <c r="AY60" i="7"/>
  <c r="BA50" i="7"/>
  <c r="BH50" i="7"/>
  <c r="BH62" i="7" s="1"/>
  <c r="BB50" i="7"/>
  <c r="BB60" i="7"/>
  <c r="AS50" i="7"/>
  <c r="AS53" i="7" s="1"/>
  <c r="AR50" i="7"/>
  <c r="AR56" i="7" s="1"/>
  <c r="AW50" i="7"/>
  <c r="AW60" i="7" s="1"/>
  <c r="AH50" i="7"/>
  <c r="AH56" i="7" s="1"/>
  <c r="AF50" i="7"/>
  <c r="AF60" i="7" s="1"/>
  <c r="AF56" i="7"/>
  <c r="AN53" i="7"/>
  <c r="AN56" i="7"/>
  <c r="K53" i="7"/>
  <c r="AU56" i="7"/>
  <c r="H53" i="7"/>
  <c r="H56" i="7"/>
  <c r="AB53" i="7"/>
  <c r="AB56" i="7"/>
  <c r="I53" i="7"/>
  <c r="I56" i="7"/>
  <c r="AL53" i="7"/>
  <c r="AL56" i="7"/>
  <c r="AT53" i="7"/>
  <c r="AT56" i="7"/>
  <c r="Q56" i="7"/>
  <c r="J53" i="7"/>
  <c r="Y53" i="7"/>
  <c r="Y56" i="7"/>
  <c r="X53" i="7"/>
  <c r="X56" i="7"/>
  <c r="W56" i="7"/>
  <c r="AE53" i="7"/>
  <c r="M53" i="7"/>
  <c r="M56" i="7"/>
  <c r="AI53" i="7"/>
  <c r="AI56" i="7"/>
  <c r="AX50" i="7"/>
  <c r="AX61" i="7" s="1"/>
  <c r="F53" i="7"/>
  <c r="F56" i="7"/>
  <c r="U53" i="7"/>
  <c r="U56" i="7"/>
  <c r="D53" i="7"/>
  <c r="D56" i="7"/>
  <c r="AM53" i="7"/>
  <c r="AM56" i="7"/>
  <c r="G53" i="7"/>
  <c r="G56" i="7"/>
  <c r="L53" i="7"/>
  <c r="AO56" i="7"/>
  <c r="AQ53" i="7"/>
  <c r="AQ56" i="7"/>
  <c r="AC53" i="7"/>
  <c r="AC56" i="7"/>
  <c r="AK53" i="7"/>
  <c r="AK56" i="7"/>
  <c r="O53" i="7"/>
  <c r="O56" i="7"/>
  <c r="AG53" i="7"/>
  <c r="AG56" i="7"/>
  <c r="AJ53" i="7"/>
  <c r="C3" i="1"/>
  <c r="AV61" i="7" l="1"/>
  <c r="AV60" i="7"/>
  <c r="W60" i="7"/>
  <c r="W61" i="7"/>
  <c r="AA61" i="7"/>
  <c r="AA60" i="7"/>
  <c r="N61" i="7"/>
  <c r="N60" i="7"/>
  <c r="AP53" i="7"/>
  <c r="AD61" i="7"/>
  <c r="AD60" i="7"/>
  <c r="X60" i="7"/>
  <c r="X61" i="7"/>
  <c r="AA56" i="7"/>
  <c r="J60" i="7"/>
  <c r="J61" i="7"/>
  <c r="AU60" i="7"/>
  <c r="AA53" i="7"/>
  <c r="E56" i="7"/>
  <c r="H61" i="7"/>
  <c r="H60" i="7"/>
  <c r="Q60" i="7"/>
  <c r="Q61" i="7"/>
  <c r="AJ62" i="7"/>
  <c r="Z61" i="7"/>
  <c r="Z60" i="7"/>
  <c r="W53" i="7"/>
  <c r="R56" i="7"/>
  <c r="AR60" i="7"/>
  <c r="AH60" i="7"/>
  <c r="R53" i="7"/>
  <c r="AD56" i="7"/>
  <c r="N56" i="7"/>
  <c r="AT60" i="7"/>
  <c r="AT61" i="7"/>
  <c r="AR62" i="7"/>
  <c r="AJ61" i="7"/>
  <c r="G60" i="7"/>
  <c r="G61" i="7"/>
  <c r="AW61" i="7"/>
  <c r="AD53" i="7"/>
  <c r="AO53" i="7"/>
  <c r="N53" i="7"/>
  <c r="AW53" i="7"/>
  <c r="AH53" i="7"/>
  <c r="AF53" i="7"/>
  <c r="R62" i="7"/>
  <c r="AS61" i="7"/>
  <c r="AG62" i="7"/>
  <c r="P60" i="7"/>
  <c r="P61" i="7"/>
  <c r="Z56" i="7"/>
  <c r="AI62" i="7"/>
  <c r="BF61" i="7"/>
  <c r="AW56" i="7"/>
  <c r="AR61" i="7"/>
  <c r="AA62" i="7"/>
  <c r="AB61" i="7"/>
  <c r="AB60" i="7"/>
  <c r="AP60" i="7"/>
  <c r="AP61" i="7"/>
  <c r="AP62" i="7"/>
  <c r="AV56" i="7"/>
  <c r="K61" i="7"/>
  <c r="K60" i="7"/>
  <c r="AH62" i="7"/>
  <c r="AV53" i="7"/>
  <c r="E61" i="7"/>
  <c r="E60" i="7"/>
  <c r="L60" i="7"/>
  <c r="L61" i="7"/>
  <c r="T56" i="7"/>
  <c r="Y60" i="7"/>
  <c r="Y61" i="7"/>
  <c r="AH61" i="7"/>
  <c r="AN61" i="7"/>
  <c r="AN60" i="7"/>
  <c r="AL60" i="7"/>
  <c r="AL61" i="7"/>
  <c r="J56" i="7"/>
  <c r="T53" i="7"/>
  <c r="AU62" i="7"/>
  <c r="AG60" i="7"/>
  <c r="N62" i="7"/>
  <c r="P56" i="7"/>
  <c r="S56" i="7"/>
  <c r="AC61" i="7"/>
  <c r="AC60" i="7"/>
  <c r="V60" i="7"/>
  <c r="V61" i="7"/>
  <c r="P53" i="7"/>
  <c r="S53" i="7"/>
  <c r="V56" i="7"/>
  <c r="AU53" i="7"/>
  <c r="AS62" i="7"/>
  <c r="I61" i="7"/>
  <c r="I60" i="7"/>
  <c r="AE61" i="7"/>
  <c r="AE60" i="7"/>
  <c r="V53" i="7"/>
  <c r="Q53" i="7"/>
  <c r="K56" i="7"/>
  <c r="U60" i="7"/>
  <c r="U61" i="7"/>
  <c r="Z62" i="7"/>
  <c r="AV62" i="7"/>
  <c r="AX62" i="7"/>
  <c r="T60" i="7"/>
  <c r="W62" i="7"/>
  <c r="BF62" i="7"/>
  <c r="BC62" i="7"/>
  <c r="BH61" i="7"/>
  <c r="BD60" i="7"/>
  <c r="BI53" i="7"/>
  <c r="BI56" i="7"/>
  <c r="BA56" i="7"/>
  <c r="BA53" i="7"/>
  <c r="BA61" i="7"/>
  <c r="BJ53" i="7"/>
  <c r="BJ56" i="7"/>
  <c r="BB56" i="7"/>
  <c r="BB53" i="7"/>
  <c r="BG53" i="7"/>
  <c r="BG56" i="7"/>
  <c r="BI60" i="7"/>
  <c r="BJ62" i="7"/>
  <c r="BE56" i="7"/>
  <c r="BE53" i="7"/>
  <c r="BC56" i="7"/>
  <c r="BC53" i="7"/>
  <c r="AZ56" i="7"/>
  <c r="AZ53" i="7"/>
  <c r="BA62" i="7"/>
  <c r="BG60" i="7"/>
  <c r="BF56" i="7"/>
  <c r="BF53" i="7"/>
  <c r="BB61" i="7"/>
  <c r="BH53" i="7"/>
  <c r="BH56" i="7"/>
  <c r="BH60" i="7"/>
  <c r="BG61" i="7"/>
  <c r="AY56" i="7"/>
  <c r="AY53" i="7"/>
  <c r="BD56" i="7"/>
  <c r="BD53" i="7"/>
  <c r="BI61" i="7"/>
  <c r="BB62" i="7"/>
  <c r="BE62" i="7"/>
  <c r="BA60" i="7"/>
  <c r="AY61" i="7"/>
  <c r="AZ60" i="7"/>
  <c r="AZ61" i="7"/>
  <c r="AR53" i="7"/>
  <c r="AS56" i="7"/>
  <c r="AX53" i="7"/>
  <c r="AX56" i="7"/>
  <c r="AX1" i="7"/>
  <c r="AW1" i="7"/>
  <c r="AV1" i="7"/>
  <c r="AU1" i="7"/>
  <c r="AT1" i="7"/>
  <c r="AS1" i="7"/>
  <c r="AR1" i="7"/>
  <c r="AQ1" i="7"/>
  <c r="AP1" i="7"/>
  <c r="AO1" i="7"/>
  <c r="AN1" i="7"/>
  <c r="AM1" i="7"/>
  <c r="AL1" i="7"/>
  <c r="AK1" i="7"/>
  <c r="AJ1" i="7"/>
  <c r="AI1" i="7"/>
  <c r="AH1" i="7"/>
  <c r="AG1" i="7"/>
  <c r="AF1" i="7"/>
  <c r="AE1" i="7"/>
  <c r="AD1" i="7"/>
  <c r="AC1" i="7"/>
  <c r="AB1" i="7"/>
  <c r="AA1" i="7"/>
  <c r="Z1" i="7"/>
  <c r="Y1" i="7"/>
  <c r="X1" i="7"/>
  <c r="W1" i="7"/>
  <c r="V1" i="7"/>
  <c r="U1" i="7"/>
  <c r="T1" i="7"/>
  <c r="S1" i="7"/>
  <c r="R1" i="7"/>
  <c r="Q1" i="7"/>
  <c r="P1" i="7"/>
  <c r="O1" i="7"/>
  <c r="N1" i="7"/>
  <c r="M1" i="7"/>
  <c r="L1" i="7"/>
  <c r="K1" i="7"/>
  <c r="J1" i="7"/>
  <c r="I1" i="7"/>
  <c r="H1" i="7"/>
  <c r="G1" i="7"/>
  <c r="F1" i="7"/>
  <c r="E1" i="7"/>
  <c r="D1" i="7"/>
  <c r="C1" i="7"/>
  <c r="C4" i="7" a="1"/>
  <c r="C4" i="7" l="1"/>
  <c r="C5" i="1"/>
  <c r="C21" i="7" l="1"/>
  <c r="C49" i="7"/>
  <c r="C50" i="7" l="1"/>
  <c r="C53" i="7" s="1"/>
  <c r="C62" i="7"/>
  <c r="C56" i="7" l="1"/>
  <c r="C60" i="7"/>
  <c r="C61"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0A2FCC4-02BE-456D-B6B0-566C2A3EA647}" odcFile="C:\Users\afree\Documents\My Data Sources\AS Server.odc" keepAlive="1" name="DESKTOP-KSAPEQM AS Model" type="5" refreshedVersion="6" onlyUseConnectionFile="1" background="1">
    <dbPr connection="Provider=MSOLAP.8;Integrated Security=SSPI;Persist Security Info=True;Initial Catalog=AS;Data Source=DESKTOP-KSAPEQM;MDX Compatibility=1;Safety Options=2;MDX Missing Member Mode=Error;Update Isolation Level=2" command="Model" commandType="1"/>
    <olapPr sendLocale="1" rowDrillCount="1000"/>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91">
    <s v="DESKTOP-KSAPEQM AS Model"/>
    <s v="{[Indicator Detail].[Units].[All]}"/>
    <s v="{[Data].[Demographics].[Population].&amp;[Total]}"/>
    <s v="{[Data].[Original Source Data].[Source].&amp;[WDI2020]}"/>
    <s v="{[Data].[GDP and other output measures].[Output Definition].&amp;[Expenditure Approach]}"/>
    <s v="{[Indicator Detail].[Units].[Measure Type (Stock/Flow/etc)].&amp;[Flow].&amp;[Money].&amp;[USD]}"/>
    <s v="{[Indicator Detail].[Industrial Sector (Agriculture/Manufacturing/etc)].&amp;[Whole economy]}"/>
    <s v="{[Geography].[WDI Availability].[wdi_availability].&amp;[From 1960],[Geography].[WDI Availability].[wdi_availability].&amp;[From 1961]}"/>
    <s v="[Dates].[Year].&amp;[1961]"/>
    <s v="[Dates].[Year].&amp;[1962]"/>
    <s v="[Dates].[Year].&amp;[1963]"/>
    <s v="[Dates].[Year].&amp;[1964]"/>
    <s v="[Dates].[Year].&amp;[1965]"/>
    <s v="[Dates].[Year].&amp;[1966]"/>
    <s v="[Dates].[Year].&amp;[1967]"/>
    <s v="[Dates].[Year].&amp;[1968]"/>
    <s v="[Dates].[Year].&amp;[1969]"/>
    <s v="[Dates].[Year].&amp;[1970]"/>
    <s v="[Dates].[Year].&amp;[1971]"/>
    <s v="[Dates].[Year].&amp;[1972]"/>
    <s v="[Dates].[Year].&amp;[1973]"/>
    <s v="[Dates].[Year].&amp;[1974]"/>
    <s v="[Dates].[Year].&amp;[1975]"/>
    <s v="[Dates].[Year].&amp;[1976]"/>
    <s v="[Dates].[Year].&amp;[1977]"/>
    <s v="[Dates].[Year].&amp;[1978]"/>
    <s v="[Dates].[Year].&amp;[1979]"/>
    <s v="[Dates].[Year].&amp;[1980]"/>
    <s v="[Dates].[Year].&amp;[1981]"/>
    <s v="[Dates].[Year].&amp;[1982]"/>
    <s v="[Dates].[Year].&amp;[1983]"/>
    <s v="[Dates].[Year].&amp;[1984]"/>
    <s v="[Dates].[Year].&amp;[1985]"/>
    <s v="[Dates].[Year].&amp;[1986]"/>
    <s v="[Dates].[Year].&amp;[1987]"/>
    <s v="[Dates].[Year].&amp;[1988]"/>
    <s v="[Dates].[Year].&amp;[1989]"/>
    <s v="[Dates].[Year].&amp;[1990]"/>
    <s v="[Dates].[Year].&amp;[1991]"/>
    <s v="[Dates].[Year].&amp;[1992]"/>
    <s v="[Dates].[Year].&amp;[1993]"/>
    <s v="[Dates].[Year].&amp;[1994]"/>
    <s v="[Dates].[Year].&amp;[1995]"/>
    <s v="[Dates].[Year].&amp;[1996]"/>
    <s v="[Dates].[Year].&amp;[1997]"/>
    <s v="[Dates].[Year].&amp;[1998]"/>
    <s v="[Dates].[Year].&amp;[1999]"/>
    <s v="[Dates].[Year].&amp;[2000]"/>
    <s v="[Dates].[Year].&amp;[2001]"/>
    <s v="[Dates].[Year].&amp;[2002]"/>
    <s v="[Dates].[Year].&amp;[2003]"/>
    <s v="[Dates].[Year].&amp;[2004]"/>
    <s v="[Dates].[Year].&amp;[2005]"/>
    <s v="[Dates].[Year].&amp;[2006]"/>
    <s v="[Dates].[Year].&amp;[2007]"/>
    <s v="[Dates].[Year].&amp;[2008]"/>
    <s v="[Dates].[Year].&amp;[2009]"/>
    <s v="[Dates].[Year].&amp;[2010]"/>
    <s v="[Dates].[Year].&amp;[2011]"/>
    <s v="[Dates].[Year].&amp;[2012]"/>
    <s v="[Dates].[Year].&amp;[2013]"/>
    <s v="[Dates].[Year].&amp;[2014]"/>
    <s v="[Dates].[Year].&amp;[2015]"/>
    <s v="[Dates].[Year].&amp;[2016]"/>
    <s v="[Dates].[Year].&amp;[2017]"/>
    <s v="[Dates].[Year].&amp;[2018]"/>
    <s v="[Dates].[Year].&amp;[2019]"/>
    <s v="{[Indicator Detail].[Units].[Measure Type (Stock/Flow/etc)].&amp;[Flow].&amp;[Money].&amp;[USD].&amp;[Current]}"/>
    <s v="[Measures].[Item]"/>
    <s v="{[Indicator Detail].[Units].[Measure Type (Stock/Flow/etc)].&amp;[Stock].&amp;[Population].&amp;[Persons]}"/>
    <s v="{[Indicator Detail].[Industrial Sector (Agriculture/Manufacturing/etc)].[All]}"/>
    <s v="[Geography].[Blocs].[Country].&amp;[Australia]"/>
    <s v="[Geography].[Blocs].[Country].&amp;[Austria]"/>
    <s v="[Geography].[Blocs].[Country].&amp;[Belgium]"/>
    <s v="[Geography].[Blocs].[Country].&amp;[Finland]"/>
    <s v="[Geography].[Blocs].[Country].&amp;[France]"/>
    <s v="[Geography].[Blocs].[Country].&amp;[Greece]"/>
    <s v="[Geography].[Blocs].[Country].&amp;[Israel]"/>
    <s v="[Geography].[Blocs].[Country].&amp;[Italy]"/>
    <s v="[Geography].[Blocs].[Country].&amp;[Japan]"/>
    <s v="[Geography].[Blocs].[Country].&amp;[Luxemburg]"/>
    <s v="[Geography].[Blocs].[Country].&amp;[Netherlands]"/>
    <s v="[Geography].[Blocs].[Country].&amp;[Norway]"/>
    <s v="[Geography].[Blocs].[Country].&amp;[Portugal]"/>
    <s v="[Geography].[Blocs].[Country].&amp;[Singapore]"/>
    <s v="[Geography].[Blocs].[Country].&amp;[South Korea]"/>
    <s v="[Geography].[Blocs].[Country].&amp;[Spain]"/>
    <s v="[Geography].[Blocs].[Country].&amp;[Sweden]"/>
    <s v="[Geography].[Blocs].[Country].&amp;[United Kingdom]"/>
    <s v="[Geography].[Blocs].[Country].&amp;[United States]"/>
    <s v="{[Geography].[WDI Availability].[wdi_availability].&amp;[From 1960]}"/>
  </metadataStrings>
  <mdxMetadata count="2268">
    <mdx n="0" f="s">
      <ms ns="1" c="0"/>
    </mdx>
    <mdx n="0" f="s">
      <ms ns="2" c="0"/>
    </mdx>
    <mdx n="0" f="s">
      <ms ns="3" c="0"/>
    </mdx>
    <mdx n="0" f="s">
      <ms ns="4" c="0"/>
    </mdx>
    <mdx n="0" f="s">
      <ms ns="5" c="0"/>
    </mdx>
    <mdx n="0" f="s">
      <ms ns="6" c="0"/>
    </mdx>
    <mdx n="0" f="m">
      <t c="1">
        <n x="71"/>
      </t>
    </mdx>
    <mdx n="0" f="v">
      <t c="8">
        <n x="4" s="1"/>
        <n x="7" s="1"/>
        <n x="67" s="1"/>
        <n x="3" s="1"/>
        <n x="6" s="1"/>
        <n x="68"/>
        <n x="71"/>
        <n x="8"/>
      </t>
    </mdx>
    <mdx n="0" f="v">
      <t c="8">
        <n x="4" s="1"/>
        <n x="7" s="1"/>
        <n x="67" s="1"/>
        <n x="3" s="1"/>
        <n x="6" s="1"/>
        <n x="68"/>
        <n x="71"/>
        <n x="9"/>
      </t>
    </mdx>
    <mdx n="0" f="v">
      <t c="8">
        <n x="4" s="1"/>
        <n x="7" s="1"/>
        <n x="67" s="1"/>
        <n x="3" s="1"/>
        <n x="6" s="1"/>
        <n x="68"/>
        <n x="71"/>
        <n x="10"/>
      </t>
    </mdx>
    <mdx n="0" f="v">
      <t c="8">
        <n x="4" s="1"/>
        <n x="7" s="1"/>
        <n x="67" s="1"/>
        <n x="3" s="1"/>
        <n x="6" s="1"/>
        <n x="68"/>
        <n x="71"/>
        <n x="11"/>
      </t>
    </mdx>
    <mdx n="0" f="v">
      <t c="8">
        <n x="4" s="1"/>
        <n x="7" s="1"/>
        <n x="67" s="1"/>
        <n x="3" s="1"/>
        <n x="6" s="1"/>
        <n x="68"/>
        <n x="71"/>
        <n x="12"/>
      </t>
    </mdx>
    <mdx n="0" f="v">
      <t c="8">
        <n x="4" s="1"/>
        <n x="7" s="1"/>
        <n x="67" s="1"/>
        <n x="3" s="1"/>
        <n x="6" s="1"/>
        <n x="68"/>
        <n x="71"/>
        <n x="13"/>
      </t>
    </mdx>
    <mdx n="0" f="v">
      <t c="8">
        <n x="4" s="1"/>
        <n x="7" s="1"/>
        <n x="67" s="1"/>
        <n x="3" s="1"/>
        <n x="6" s="1"/>
        <n x="68"/>
        <n x="71"/>
        <n x="14"/>
      </t>
    </mdx>
    <mdx n="0" f="v">
      <t c="8">
        <n x="4" s="1"/>
        <n x="7" s="1"/>
        <n x="67" s="1"/>
        <n x="3" s="1"/>
        <n x="6" s="1"/>
        <n x="68"/>
        <n x="71"/>
        <n x="15"/>
      </t>
    </mdx>
    <mdx n="0" f="v">
      <t c="8">
        <n x="4" s="1"/>
        <n x="7" s="1"/>
        <n x="67" s="1"/>
        <n x="3" s="1"/>
        <n x="6" s="1"/>
        <n x="68"/>
        <n x="71"/>
        <n x="16"/>
      </t>
    </mdx>
    <mdx n="0" f="v">
      <t c="8">
        <n x="4" s="1"/>
        <n x="7" s="1"/>
        <n x="67" s="1"/>
        <n x="3" s="1"/>
        <n x="6" s="1"/>
        <n x="68"/>
        <n x="71"/>
        <n x="17"/>
      </t>
    </mdx>
    <mdx n="0" f="v">
      <t c="8">
        <n x="4" s="1"/>
        <n x="7" s="1"/>
        <n x="67" s="1"/>
        <n x="3" s="1"/>
        <n x="6" s="1"/>
        <n x="68"/>
        <n x="71"/>
        <n x="18"/>
      </t>
    </mdx>
    <mdx n="0" f="v">
      <t c="8">
        <n x="4" s="1"/>
        <n x="7" s="1"/>
        <n x="67" s="1"/>
        <n x="3" s="1"/>
        <n x="6" s="1"/>
        <n x="68"/>
        <n x="71"/>
        <n x="19"/>
      </t>
    </mdx>
    <mdx n="0" f="v">
      <t c="8">
        <n x="4" s="1"/>
        <n x="7" s="1"/>
        <n x="67" s="1"/>
        <n x="3" s="1"/>
        <n x="6" s="1"/>
        <n x="68"/>
        <n x="71"/>
        <n x="20"/>
      </t>
    </mdx>
    <mdx n="0" f="v">
      <t c="8">
        <n x="4" s="1"/>
        <n x="7" s="1"/>
        <n x="67" s="1"/>
        <n x="3" s="1"/>
        <n x="6" s="1"/>
        <n x="68"/>
        <n x="71"/>
        <n x="21"/>
      </t>
    </mdx>
    <mdx n="0" f="v">
      <t c="8">
        <n x="4" s="1"/>
        <n x="7" s="1"/>
        <n x="67" s="1"/>
        <n x="3" s="1"/>
        <n x="6" s="1"/>
        <n x="68"/>
        <n x="71"/>
        <n x="22"/>
      </t>
    </mdx>
    <mdx n="0" f="v">
      <t c="8">
        <n x="4" s="1"/>
        <n x="7" s="1"/>
        <n x="67" s="1"/>
        <n x="3" s="1"/>
        <n x="6" s="1"/>
        <n x="68"/>
        <n x="71"/>
        <n x="23"/>
      </t>
    </mdx>
    <mdx n="0" f="v">
      <t c="8">
        <n x="4" s="1"/>
        <n x="7" s="1"/>
        <n x="67" s="1"/>
        <n x="3" s="1"/>
        <n x="6" s="1"/>
        <n x="68"/>
        <n x="71"/>
        <n x="24"/>
      </t>
    </mdx>
    <mdx n="0" f="v">
      <t c="8">
        <n x="4" s="1"/>
        <n x="7" s="1"/>
        <n x="67" s="1"/>
        <n x="3" s="1"/>
        <n x="6" s="1"/>
        <n x="68"/>
        <n x="71"/>
        <n x="25"/>
      </t>
    </mdx>
    <mdx n="0" f="v">
      <t c="8">
        <n x="4" s="1"/>
        <n x="7" s="1"/>
        <n x="67" s="1"/>
        <n x="3" s="1"/>
        <n x="6" s="1"/>
        <n x="68"/>
        <n x="71"/>
        <n x="26"/>
      </t>
    </mdx>
    <mdx n="0" f="v">
      <t c="8">
        <n x="4" s="1"/>
        <n x="7" s="1"/>
        <n x="67" s="1"/>
        <n x="3" s="1"/>
        <n x="6" s="1"/>
        <n x="68"/>
        <n x="71"/>
        <n x="27"/>
      </t>
    </mdx>
    <mdx n="0" f="v">
      <t c="8">
        <n x="4" s="1"/>
        <n x="7" s="1"/>
        <n x="67" s="1"/>
        <n x="3" s="1"/>
        <n x="6" s="1"/>
        <n x="68"/>
        <n x="71"/>
        <n x="28"/>
      </t>
    </mdx>
    <mdx n="0" f="v">
      <t c="8">
        <n x="4" s="1"/>
        <n x="7" s="1"/>
        <n x="67" s="1"/>
        <n x="3" s="1"/>
        <n x="6" s="1"/>
        <n x="68"/>
        <n x="71"/>
        <n x="29"/>
      </t>
    </mdx>
    <mdx n="0" f="v">
      <t c="8">
        <n x="4" s="1"/>
        <n x="7" s="1"/>
        <n x="67" s="1"/>
        <n x="3" s="1"/>
        <n x="6" s="1"/>
        <n x="68"/>
        <n x="71"/>
        <n x="30"/>
      </t>
    </mdx>
    <mdx n="0" f="v">
      <t c="8">
        <n x="4" s="1"/>
        <n x="7" s="1"/>
        <n x="67" s="1"/>
        <n x="3" s="1"/>
        <n x="6" s="1"/>
        <n x="68"/>
        <n x="71"/>
        <n x="31"/>
      </t>
    </mdx>
    <mdx n="0" f="v">
      <t c="8">
        <n x="4" s="1"/>
        <n x="7" s="1"/>
        <n x="67" s="1"/>
        <n x="3" s="1"/>
        <n x="6" s="1"/>
        <n x="68"/>
        <n x="71"/>
        <n x="32"/>
      </t>
    </mdx>
    <mdx n="0" f="v">
      <t c="8">
        <n x="4" s="1"/>
        <n x="7" s="1"/>
        <n x="67" s="1"/>
        <n x="3" s="1"/>
        <n x="6" s="1"/>
        <n x="68"/>
        <n x="71"/>
        <n x="33"/>
      </t>
    </mdx>
    <mdx n="0" f="v">
      <t c="8">
        <n x="4" s="1"/>
        <n x="7" s="1"/>
        <n x="67" s="1"/>
        <n x="3" s="1"/>
        <n x="6" s="1"/>
        <n x="68"/>
        <n x="71"/>
        <n x="34"/>
      </t>
    </mdx>
    <mdx n="0" f="v">
      <t c="8">
        <n x="4" s="1"/>
        <n x="7" s="1"/>
        <n x="67" s="1"/>
        <n x="3" s="1"/>
        <n x="6" s="1"/>
        <n x="68"/>
        <n x="71"/>
        <n x="35"/>
      </t>
    </mdx>
    <mdx n="0" f="v">
      <t c="8">
        <n x="4" s="1"/>
        <n x="7" s="1"/>
        <n x="67" s="1"/>
        <n x="3" s="1"/>
        <n x="6" s="1"/>
        <n x="68"/>
        <n x="71"/>
        <n x="36"/>
      </t>
    </mdx>
    <mdx n="0" f="v">
      <t c="8">
        <n x="4" s="1"/>
        <n x="7" s="1"/>
        <n x="67" s="1"/>
        <n x="3" s="1"/>
        <n x="6" s="1"/>
        <n x="68"/>
        <n x="71"/>
        <n x="37"/>
      </t>
    </mdx>
    <mdx n="0" f="v">
      <t c="8">
        <n x="4" s="1"/>
        <n x="7" s="1"/>
        <n x="67" s="1"/>
        <n x="3" s="1"/>
        <n x="6" s="1"/>
        <n x="68"/>
        <n x="71"/>
        <n x="38"/>
      </t>
    </mdx>
    <mdx n="0" f="v">
      <t c="8">
        <n x="4" s="1"/>
        <n x="7" s="1"/>
        <n x="67" s="1"/>
        <n x="3" s="1"/>
        <n x="6" s="1"/>
        <n x="68"/>
        <n x="71"/>
        <n x="39"/>
      </t>
    </mdx>
    <mdx n="0" f="v">
      <t c="8">
        <n x="4" s="1"/>
        <n x="7" s="1"/>
        <n x="67" s="1"/>
        <n x="3" s="1"/>
        <n x="6" s="1"/>
        <n x="68"/>
        <n x="71"/>
        <n x="40"/>
      </t>
    </mdx>
    <mdx n="0" f="v">
      <t c="8">
        <n x="4" s="1"/>
        <n x="7" s="1"/>
        <n x="67" s="1"/>
        <n x="3" s="1"/>
        <n x="6" s="1"/>
        <n x="68"/>
        <n x="71"/>
        <n x="41"/>
      </t>
    </mdx>
    <mdx n="0" f="v">
      <t c="8">
        <n x="4" s="1"/>
        <n x="7" s="1"/>
        <n x="67" s="1"/>
        <n x="3" s="1"/>
        <n x="6" s="1"/>
        <n x="68"/>
        <n x="71"/>
        <n x="42"/>
      </t>
    </mdx>
    <mdx n="0" f="v">
      <t c="8">
        <n x="4" s="1"/>
        <n x="7" s="1"/>
        <n x="67" s="1"/>
        <n x="3" s="1"/>
        <n x="6" s="1"/>
        <n x="68"/>
        <n x="71"/>
        <n x="43"/>
      </t>
    </mdx>
    <mdx n="0" f="v">
      <t c="8">
        <n x="4" s="1"/>
        <n x="7" s="1"/>
        <n x="67" s="1"/>
        <n x="3" s="1"/>
        <n x="6" s="1"/>
        <n x="68"/>
        <n x="71"/>
        <n x="44"/>
      </t>
    </mdx>
    <mdx n="0" f="v">
      <t c="8">
        <n x="4" s="1"/>
        <n x="7" s="1"/>
        <n x="67" s="1"/>
        <n x="3" s="1"/>
        <n x="6" s="1"/>
        <n x="68"/>
        <n x="71"/>
        <n x="45"/>
      </t>
    </mdx>
    <mdx n="0" f="v">
      <t c="8">
        <n x="4" s="1"/>
        <n x="7" s="1"/>
        <n x="67" s="1"/>
        <n x="3" s="1"/>
        <n x="6" s="1"/>
        <n x="68"/>
        <n x="71"/>
        <n x="46"/>
      </t>
    </mdx>
    <mdx n="0" f="v">
      <t c="8">
        <n x="4" s="1"/>
        <n x="7" s="1"/>
        <n x="67" s="1"/>
        <n x="3" s="1"/>
        <n x="6" s="1"/>
        <n x="68"/>
        <n x="71"/>
        <n x="47"/>
      </t>
    </mdx>
    <mdx n="0" f="v">
      <t c="8">
        <n x="4" s="1"/>
        <n x="7" s="1"/>
        <n x="67" s="1"/>
        <n x="3" s="1"/>
        <n x="6" s="1"/>
        <n x="68"/>
        <n x="71"/>
        <n x="48"/>
      </t>
    </mdx>
    <mdx n="0" f="v">
      <t c="8">
        <n x="4" s="1"/>
        <n x="7" s="1"/>
        <n x="67" s="1"/>
        <n x="3" s="1"/>
        <n x="6" s="1"/>
        <n x="68"/>
        <n x="71"/>
        <n x="49"/>
      </t>
    </mdx>
    <mdx n="0" f="v">
      <t c="8">
        <n x="4" s="1"/>
        <n x="7" s="1"/>
        <n x="67" s="1"/>
        <n x="3" s="1"/>
        <n x="6" s="1"/>
        <n x="68"/>
        <n x="71"/>
        <n x="50"/>
      </t>
    </mdx>
    <mdx n="0" f="v">
      <t c="8">
        <n x="4" s="1"/>
        <n x="7" s="1"/>
        <n x="67" s="1"/>
        <n x="3" s="1"/>
        <n x="6" s="1"/>
        <n x="68"/>
        <n x="71"/>
        <n x="51"/>
      </t>
    </mdx>
    <mdx n="0" f="v">
      <t c="8">
        <n x="4" s="1"/>
        <n x="7" s="1"/>
        <n x="67" s="1"/>
        <n x="3" s="1"/>
        <n x="6" s="1"/>
        <n x="68"/>
        <n x="71"/>
        <n x="52"/>
      </t>
    </mdx>
    <mdx n="0" f="v">
      <t c="8">
        <n x="4" s="1"/>
        <n x="7" s="1"/>
        <n x="67" s="1"/>
        <n x="3" s="1"/>
        <n x="6" s="1"/>
        <n x="68"/>
        <n x="71"/>
        <n x="53"/>
      </t>
    </mdx>
    <mdx n="0" f="v">
      <t c="8">
        <n x="4" s="1"/>
        <n x="7" s="1"/>
        <n x="67" s="1"/>
        <n x="3" s="1"/>
        <n x="6" s="1"/>
        <n x="68"/>
        <n x="71"/>
        <n x="54"/>
      </t>
    </mdx>
    <mdx n="0" f="v">
      <t c="8">
        <n x="4" s="1"/>
        <n x="7" s="1"/>
        <n x="67" s="1"/>
        <n x="3" s="1"/>
        <n x="6" s="1"/>
        <n x="68"/>
        <n x="71"/>
        <n x="55"/>
      </t>
    </mdx>
    <mdx n="0" f="v">
      <t c="8">
        <n x="4" s="1"/>
        <n x="7" s="1"/>
        <n x="67" s="1"/>
        <n x="3" s="1"/>
        <n x="6" s="1"/>
        <n x="68"/>
        <n x="71"/>
        <n x="56"/>
      </t>
    </mdx>
    <mdx n="0" f="v">
      <t c="8">
        <n x="4" s="1"/>
        <n x="7" s="1"/>
        <n x="67" s="1"/>
        <n x="3" s="1"/>
        <n x="6" s="1"/>
        <n x="68"/>
        <n x="71"/>
        <n x="57"/>
      </t>
    </mdx>
    <mdx n="0" f="v">
      <t c="8">
        <n x="4" s="1"/>
        <n x="7" s="1"/>
        <n x="67" s="1"/>
        <n x="3" s="1"/>
        <n x="6" s="1"/>
        <n x="68"/>
        <n x="71"/>
        <n x="58"/>
      </t>
    </mdx>
    <mdx n="0" f="v">
      <t c="8">
        <n x="4" s="1"/>
        <n x="7" s="1"/>
        <n x="67" s="1"/>
        <n x="3" s="1"/>
        <n x="6" s="1"/>
        <n x="68"/>
        <n x="71"/>
        <n x="59"/>
      </t>
    </mdx>
    <mdx n="0" f="v">
      <t c="8">
        <n x="4" s="1"/>
        <n x="7" s="1"/>
        <n x="67" s="1"/>
        <n x="3" s="1"/>
        <n x="6" s="1"/>
        <n x="68"/>
        <n x="71"/>
        <n x="60"/>
      </t>
    </mdx>
    <mdx n="0" f="v">
      <t c="8">
        <n x="4" s="1"/>
        <n x="7" s="1"/>
        <n x="67" s="1"/>
        <n x="3" s="1"/>
        <n x="6" s="1"/>
        <n x="68"/>
        <n x="71"/>
        <n x="61"/>
      </t>
    </mdx>
    <mdx n="0" f="v">
      <t c="8">
        <n x="4" s="1"/>
        <n x="7" s="1"/>
        <n x="67" s="1"/>
        <n x="3" s="1"/>
        <n x="6" s="1"/>
        <n x="68"/>
        <n x="71"/>
        <n x="62"/>
      </t>
    </mdx>
    <mdx n="0" f="v">
      <t c="8">
        <n x="4" s="1"/>
        <n x="7" s="1"/>
        <n x="67" s="1"/>
        <n x="3" s="1"/>
        <n x="6" s="1"/>
        <n x="68"/>
        <n x="71"/>
        <n x="63"/>
      </t>
    </mdx>
    <mdx n="0" f="v">
      <t c="8">
        <n x="4" s="1"/>
        <n x="7" s="1"/>
        <n x="67" s="1"/>
        <n x="3" s="1"/>
        <n x="6" s="1"/>
        <n x="68"/>
        <n x="71"/>
        <n x="64"/>
      </t>
    </mdx>
    <mdx n="0" f="v">
      <t c="8">
        <n x="4" s="1"/>
        <n x="7" s="1"/>
        <n x="67" s="1"/>
        <n x="3" s="1"/>
        <n x="6" s="1"/>
        <n x="68"/>
        <n x="71"/>
        <n x="65"/>
      </t>
    </mdx>
    <mdx n="0" f="v">
      <t c="8">
        <n x="4" s="1"/>
        <n x="7" s="1"/>
        <n x="67" s="1"/>
        <n x="3" s="1"/>
        <n x="6" s="1"/>
        <n x="68"/>
        <n x="71"/>
        <n x="66"/>
      </t>
    </mdx>
    <mdx n="0" f="m">
      <t c="1">
        <n x="72"/>
      </t>
    </mdx>
    <mdx n="0" f="v">
      <t c="8">
        <n x="4" s="1"/>
        <n x="7" s="1"/>
        <n x="67" s="1"/>
        <n x="3" s="1"/>
        <n x="6" s="1"/>
        <n x="68"/>
        <n x="72"/>
        <n x="8"/>
      </t>
    </mdx>
    <mdx n="0" f="v">
      <t c="8">
        <n x="4" s="1"/>
        <n x="7" s="1"/>
        <n x="67" s="1"/>
        <n x="3" s="1"/>
        <n x="6" s="1"/>
        <n x="68"/>
        <n x="72"/>
        <n x="9"/>
      </t>
    </mdx>
    <mdx n="0" f="v">
      <t c="8">
        <n x="4" s="1"/>
        <n x="7" s="1"/>
        <n x="67" s="1"/>
        <n x="3" s="1"/>
        <n x="6" s="1"/>
        <n x="68"/>
        <n x="72"/>
        <n x="10"/>
      </t>
    </mdx>
    <mdx n="0" f="v">
      <t c="8">
        <n x="4" s="1"/>
        <n x="7" s="1"/>
        <n x="67" s="1"/>
        <n x="3" s="1"/>
        <n x="6" s="1"/>
        <n x="68"/>
        <n x="72"/>
        <n x="11"/>
      </t>
    </mdx>
    <mdx n="0" f="v">
      <t c="8">
        <n x="4" s="1"/>
        <n x="7" s="1"/>
        <n x="67" s="1"/>
        <n x="3" s="1"/>
        <n x="6" s="1"/>
        <n x="68"/>
        <n x="72"/>
        <n x="12"/>
      </t>
    </mdx>
    <mdx n="0" f="v">
      <t c="8">
        <n x="4" s="1"/>
        <n x="7" s="1"/>
        <n x="67" s="1"/>
        <n x="3" s="1"/>
        <n x="6" s="1"/>
        <n x="68"/>
        <n x="72"/>
        <n x="13"/>
      </t>
    </mdx>
    <mdx n="0" f="v">
      <t c="8">
        <n x="4" s="1"/>
        <n x="7" s="1"/>
        <n x="67" s="1"/>
        <n x="3" s="1"/>
        <n x="6" s="1"/>
        <n x="68"/>
        <n x="72"/>
        <n x="14"/>
      </t>
    </mdx>
    <mdx n="0" f="v">
      <t c="8">
        <n x="4" s="1"/>
        <n x="7" s="1"/>
        <n x="67" s="1"/>
        <n x="3" s="1"/>
        <n x="6" s="1"/>
        <n x="68"/>
        <n x="72"/>
        <n x="15"/>
      </t>
    </mdx>
    <mdx n="0" f="v">
      <t c="8">
        <n x="4" s="1"/>
        <n x="7" s="1"/>
        <n x="67" s="1"/>
        <n x="3" s="1"/>
        <n x="6" s="1"/>
        <n x="68"/>
        <n x="72"/>
        <n x="16"/>
      </t>
    </mdx>
    <mdx n="0" f="v">
      <t c="8">
        <n x="4" s="1"/>
        <n x="7" s="1"/>
        <n x="67" s="1"/>
        <n x="3" s="1"/>
        <n x="6" s="1"/>
        <n x="68"/>
        <n x="72"/>
        <n x="17"/>
      </t>
    </mdx>
    <mdx n="0" f="v">
      <t c="8">
        <n x="4" s="1"/>
        <n x="7" s="1"/>
        <n x="67" s="1"/>
        <n x="3" s="1"/>
        <n x="6" s="1"/>
        <n x="68"/>
        <n x="72"/>
        <n x="18"/>
      </t>
    </mdx>
    <mdx n="0" f="v">
      <t c="8">
        <n x="4" s="1"/>
        <n x="7" s="1"/>
        <n x="67" s="1"/>
        <n x="3" s="1"/>
        <n x="6" s="1"/>
        <n x="68"/>
        <n x="72"/>
        <n x="19"/>
      </t>
    </mdx>
    <mdx n="0" f="v">
      <t c="8">
        <n x="4" s="1"/>
        <n x="7" s="1"/>
        <n x="67" s="1"/>
        <n x="3" s="1"/>
        <n x="6" s="1"/>
        <n x="68"/>
        <n x="72"/>
        <n x="20"/>
      </t>
    </mdx>
    <mdx n="0" f="v">
      <t c="8">
        <n x="4" s="1"/>
        <n x="7" s="1"/>
        <n x="67" s="1"/>
        <n x="3" s="1"/>
        <n x="6" s="1"/>
        <n x="68"/>
        <n x="72"/>
        <n x="21"/>
      </t>
    </mdx>
    <mdx n="0" f="v">
      <t c="8">
        <n x="4" s="1"/>
        <n x="7" s="1"/>
        <n x="67" s="1"/>
        <n x="3" s="1"/>
        <n x="6" s="1"/>
        <n x="68"/>
        <n x="72"/>
        <n x="22"/>
      </t>
    </mdx>
    <mdx n="0" f="v">
      <t c="8">
        <n x="4" s="1"/>
        <n x="7" s="1"/>
        <n x="67" s="1"/>
        <n x="3" s="1"/>
        <n x="6" s="1"/>
        <n x="68"/>
        <n x="72"/>
        <n x="23"/>
      </t>
    </mdx>
    <mdx n="0" f="v">
      <t c="8">
        <n x="4" s="1"/>
        <n x="7" s="1"/>
        <n x="67" s="1"/>
        <n x="3" s="1"/>
        <n x="6" s="1"/>
        <n x="68"/>
        <n x="72"/>
        <n x="24"/>
      </t>
    </mdx>
    <mdx n="0" f="v">
      <t c="8">
        <n x="4" s="1"/>
        <n x="7" s="1"/>
        <n x="67" s="1"/>
        <n x="3" s="1"/>
        <n x="6" s="1"/>
        <n x="68"/>
        <n x="72"/>
        <n x="25"/>
      </t>
    </mdx>
    <mdx n="0" f="v">
      <t c="8">
        <n x="4" s="1"/>
        <n x="7" s="1"/>
        <n x="67" s="1"/>
        <n x="3" s="1"/>
        <n x="6" s="1"/>
        <n x="68"/>
        <n x="72"/>
        <n x="26"/>
      </t>
    </mdx>
    <mdx n="0" f="v">
      <t c="8">
        <n x="4" s="1"/>
        <n x="7" s="1"/>
        <n x="67" s="1"/>
        <n x="3" s="1"/>
        <n x="6" s="1"/>
        <n x="68"/>
        <n x="72"/>
        <n x="27"/>
      </t>
    </mdx>
    <mdx n="0" f="v">
      <t c="8">
        <n x="4" s="1"/>
        <n x="7" s="1"/>
        <n x="67" s="1"/>
        <n x="3" s="1"/>
        <n x="6" s="1"/>
        <n x="68"/>
        <n x="72"/>
        <n x="28"/>
      </t>
    </mdx>
    <mdx n="0" f="v">
      <t c="8">
        <n x="4" s="1"/>
        <n x="7" s="1"/>
        <n x="67" s="1"/>
        <n x="3" s="1"/>
        <n x="6" s="1"/>
        <n x="68"/>
        <n x="72"/>
        <n x="29"/>
      </t>
    </mdx>
    <mdx n="0" f="v">
      <t c="8">
        <n x="4" s="1"/>
        <n x="7" s="1"/>
        <n x="67" s="1"/>
        <n x="3" s="1"/>
        <n x="6" s="1"/>
        <n x="68"/>
        <n x="72"/>
        <n x="30"/>
      </t>
    </mdx>
    <mdx n="0" f="v">
      <t c="8">
        <n x="4" s="1"/>
        <n x="7" s="1"/>
        <n x="67" s="1"/>
        <n x="3" s="1"/>
        <n x="6" s="1"/>
        <n x="68"/>
        <n x="72"/>
        <n x="31"/>
      </t>
    </mdx>
    <mdx n="0" f="v">
      <t c="8">
        <n x="4" s="1"/>
        <n x="7" s="1"/>
        <n x="67" s="1"/>
        <n x="3" s="1"/>
        <n x="6" s="1"/>
        <n x="68"/>
        <n x="72"/>
        <n x="32"/>
      </t>
    </mdx>
    <mdx n="0" f="v">
      <t c="8">
        <n x="4" s="1"/>
        <n x="7" s="1"/>
        <n x="67" s="1"/>
        <n x="3" s="1"/>
        <n x="6" s="1"/>
        <n x="68"/>
        <n x="72"/>
        <n x="33"/>
      </t>
    </mdx>
    <mdx n="0" f="v">
      <t c="8">
        <n x="4" s="1"/>
        <n x="7" s="1"/>
        <n x="67" s="1"/>
        <n x="3" s="1"/>
        <n x="6" s="1"/>
        <n x="68"/>
        <n x="72"/>
        <n x="34"/>
      </t>
    </mdx>
    <mdx n="0" f="v">
      <t c="8">
        <n x="4" s="1"/>
        <n x="7" s="1"/>
        <n x="67" s="1"/>
        <n x="3" s="1"/>
        <n x="6" s="1"/>
        <n x="68"/>
        <n x="72"/>
        <n x="35"/>
      </t>
    </mdx>
    <mdx n="0" f="v">
      <t c="8">
        <n x="4" s="1"/>
        <n x="7" s="1"/>
        <n x="67" s="1"/>
        <n x="3" s="1"/>
        <n x="6" s="1"/>
        <n x="68"/>
        <n x="72"/>
        <n x="36"/>
      </t>
    </mdx>
    <mdx n="0" f="v">
      <t c="8">
        <n x="4" s="1"/>
        <n x="7" s="1"/>
        <n x="67" s="1"/>
        <n x="3" s="1"/>
        <n x="6" s="1"/>
        <n x="68"/>
        <n x="72"/>
        <n x="37"/>
      </t>
    </mdx>
    <mdx n="0" f="v">
      <t c="8">
        <n x="4" s="1"/>
        <n x="7" s="1"/>
        <n x="67" s="1"/>
        <n x="3" s="1"/>
        <n x="6" s="1"/>
        <n x="68"/>
        <n x="72"/>
        <n x="38"/>
      </t>
    </mdx>
    <mdx n="0" f="v">
      <t c="8">
        <n x="4" s="1"/>
        <n x="7" s="1"/>
        <n x="67" s="1"/>
        <n x="3" s="1"/>
        <n x="6" s="1"/>
        <n x="68"/>
        <n x="72"/>
        <n x="39"/>
      </t>
    </mdx>
    <mdx n="0" f="v">
      <t c="8">
        <n x="4" s="1"/>
        <n x="7" s="1"/>
        <n x="67" s="1"/>
        <n x="3" s="1"/>
        <n x="6" s="1"/>
        <n x="68"/>
        <n x="72"/>
        <n x="40"/>
      </t>
    </mdx>
    <mdx n="0" f="v">
      <t c="8">
        <n x="4" s="1"/>
        <n x="7" s="1"/>
        <n x="67" s="1"/>
        <n x="3" s="1"/>
        <n x="6" s="1"/>
        <n x="68"/>
        <n x="72"/>
        <n x="41"/>
      </t>
    </mdx>
    <mdx n="0" f="v">
      <t c="8">
        <n x="4" s="1"/>
        <n x="7" s="1"/>
        <n x="67" s="1"/>
        <n x="3" s="1"/>
        <n x="6" s="1"/>
        <n x="68"/>
        <n x="72"/>
        <n x="42"/>
      </t>
    </mdx>
    <mdx n="0" f="v">
      <t c="8">
        <n x="4" s="1"/>
        <n x="7" s="1"/>
        <n x="67" s="1"/>
        <n x="3" s="1"/>
        <n x="6" s="1"/>
        <n x="68"/>
        <n x="72"/>
        <n x="43"/>
      </t>
    </mdx>
    <mdx n="0" f="v">
      <t c="8">
        <n x="4" s="1"/>
        <n x="7" s="1"/>
        <n x="67" s="1"/>
        <n x="3" s="1"/>
        <n x="6" s="1"/>
        <n x="68"/>
        <n x="72"/>
        <n x="44"/>
      </t>
    </mdx>
    <mdx n="0" f="v">
      <t c="8">
        <n x="4" s="1"/>
        <n x="7" s="1"/>
        <n x="67" s="1"/>
        <n x="3" s="1"/>
        <n x="6" s="1"/>
        <n x="68"/>
        <n x="72"/>
        <n x="45"/>
      </t>
    </mdx>
    <mdx n="0" f="v">
      <t c="8">
        <n x="4" s="1"/>
        <n x="7" s="1"/>
        <n x="67" s="1"/>
        <n x="3" s="1"/>
        <n x="6" s="1"/>
        <n x="68"/>
        <n x="72"/>
        <n x="46"/>
      </t>
    </mdx>
    <mdx n="0" f="v">
      <t c="8">
        <n x="4" s="1"/>
        <n x="7" s="1"/>
        <n x="67" s="1"/>
        <n x="3" s="1"/>
        <n x="6" s="1"/>
        <n x="68"/>
        <n x="72"/>
        <n x="47"/>
      </t>
    </mdx>
    <mdx n="0" f="v">
      <t c="8">
        <n x="4" s="1"/>
        <n x="7" s="1"/>
        <n x="67" s="1"/>
        <n x="3" s="1"/>
        <n x="6" s="1"/>
        <n x="68"/>
        <n x="72"/>
        <n x="48"/>
      </t>
    </mdx>
    <mdx n="0" f="v">
      <t c="8">
        <n x="4" s="1"/>
        <n x="7" s="1"/>
        <n x="67" s="1"/>
        <n x="3" s="1"/>
        <n x="6" s="1"/>
        <n x="68"/>
        <n x="72"/>
        <n x="49"/>
      </t>
    </mdx>
    <mdx n="0" f="v">
      <t c="8">
        <n x="4" s="1"/>
        <n x="7" s="1"/>
        <n x="67" s="1"/>
        <n x="3" s="1"/>
        <n x="6" s="1"/>
        <n x="68"/>
        <n x="72"/>
        <n x="50"/>
      </t>
    </mdx>
    <mdx n="0" f="v">
      <t c="8">
        <n x="4" s="1"/>
        <n x="7" s="1"/>
        <n x="67" s="1"/>
        <n x="3" s="1"/>
        <n x="6" s="1"/>
        <n x="68"/>
        <n x="72"/>
        <n x="51"/>
      </t>
    </mdx>
    <mdx n="0" f="v">
      <t c="8">
        <n x="4" s="1"/>
        <n x="7" s="1"/>
        <n x="67" s="1"/>
        <n x="3" s="1"/>
        <n x="6" s="1"/>
        <n x="68"/>
        <n x="72"/>
        <n x="52"/>
      </t>
    </mdx>
    <mdx n="0" f="v">
      <t c="8">
        <n x="4" s="1"/>
        <n x="7" s="1"/>
        <n x="67" s="1"/>
        <n x="3" s="1"/>
        <n x="6" s="1"/>
        <n x="68"/>
        <n x="72"/>
        <n x="53"/>
      </t>
    </mdx>
    <mdx n="0" f="v">
      <t c="8">
        <n x="4" s="1"/>
        <n x="7" s="1"/>
        <n x="67" s="1"/>
        <n x="3" s="1"/>
        <n x="6" s="1"/>
        <n x="68"/>
        <n x="72"/>
        <n x="54"/>
      </t>
    </mdx>
    <mdx n="0" f="v">
      <t c="8">
        <n x="4" s="1"/>
        <n x="7" s="1"/>
        <n x="67" s="1"/>
        <n x="3" s="1"/>
        <n x="6" s="1"/>
        <n x="68"/>
        <n x="72"/>
        <n x="55"/>
      </t>
    </mdx>
    <mdx n="0" f="v">
      <t c="8">
        <n x="4" s="1"/>
        <n x="7" s="1"/>
        <n x="67" s="1"/>
        <n x="3" s="1"/>
        <n x="6" s="1"/>
        <n x="68"/>
        <n x="72"/>
        <n x="56"/>
      </t>
    </mdx>
    <mdx n="0" f="v">
      <t c="8">
        <n x="4" s="1"/>
        <n x="7" s="1"/>
        <n x="67" s="1"/>
        <n x="3" s="1"/>
        <n x="6" s="1"/>
        <n x="68"/>
        <n x="72"/>
        <n x="57"/>
      </t>
    </mdx>
    <mdx n="0" f="v">
      <t c="8">
        <n x="4" s="1"/>
        <n x="7" s="1"/>
        <n x="67" s="1"/>
        <n x="3" s="1"/>
        <n x="6" s="1"/>
        <n x="68"/>
        <n x="72"/>
        <n x="58"/>
      </t>
    </mdx>
    <mdx n="0" f="v">
      <t c="8">
        <n x="4" s="1"/>
        <n x="7" s="1"/>
        <n x="67" s="1"/>
        <n x="3" s="1"/>
        <n x="6" s="1"/>
        <n x="68"/>
        <n x="72"/>
        <n x="59"/>
      </t>
    </mdx>
    <mdx n="0" f="v">
      <t c="8">
        <n x="4" s="1"/>
        <n x="7" s="1"/>
        <n x="67" s="1"/>
        <n x="3" s="1"/>
        <n x="6" s="1"/>
        <n x="68"/>
        <n x="72"/>
        <n x="60"/>
      </t>
    </mdx>
    <mdx n="0" f="v">
      <t c="8">
        <n x="4" s="1"/>
        <n x="7" s="1"/>
        <n x="67" s="1"/>
        <n x="3" s="1"/>
        <n x="6" s="1"/>
        <n x="68"/>
        <n x="72"/>
        <n x="61"/>
      </t>
    </mdx>
    <mdx n="0" f="v">
      <t c="8">
        <n x="4" s="1"/>
        <n x="7" s="1"/>
        <n x="67" s="1"/>
        <n x="3" s="1"/>
        <n x="6" s="1"/>
        <n x="68"/>
        <n x="72"/>
        <n x="62"/>
      </t>
    </mdx>
    <mdx n="0" f="v">
      <t c="8">
        <n x="4" s="1"/>
        <n x="7" s="1"/>
        <n x="67" s="1"/>
        <n x="3" s="1"/>
        <n x="6" s="1"/>
        <n x="68"/>
        <n x="72"/>
        <n x="63"/>
      </t>
    </mdx>
    <mdx n="0" f="v">
      <t c="8">
        <n x="4" s="1"/>
        <n x="7" s="1"/>
        <n x="67" s="1"/>
        <n x="3" s="1"/>
        <n x="6" s="1"/>
        <n x="68"/>
        <n x="72"/>
        <n x="64"/>
      </t>
    </mdx>
    <mdx n="0" f="v">
      <t c="8">
        <n x="4" s="1"/>
        <n x="7" s="1"/>
        <n x="67" s="1"/>
        <n x="3" s="1"/>
        <n x="6" s="1"/>
        <n x="68"/>
        <n x="72"/>
        <n x="65"/>
      </t>
    </mdx>
    <mdx n="0" f="v">
      <t c="8">
        <n x="4" s="1"/>
        <n x="7" s="1"/>
        <n x="67" s="1"/>
        <n x="3" s="1"/>
        <n x="6" s="1"/>
        <n x="68"/>
        <n x="72"/>
        <n x="66"/>
      </t>
    </mdx>
    <mdx n="0" f="m">
      <t c="1">
        <n x="73"/>
      </t>
    </mdx>
    <mdx n="0" f="v">
      <t c="8">
        <n x="4" s="1"/>
        <n x="7" s="1"/>
        <n x="67" s="1"/>
        <n x="3" s="1"/>
        <n x="6" s="1"/>
        <n x="68"/>
        <n x="73"/>
        <n x="8"/>
      </t>
    </mdx>
    <mdx n="0" f="v">
      <t c="8">
        <n x="4" s="1"/>
        <n x="7" s="1"/>
        <n x="67" s="1"/>
        <n x="3" s="1"/>
        <n x="6" s="1"/>
        <n x="68"/>
        <n x="73"/>
        <n x="9"/>
      </t>
    </mdx>
    <mdx n="0" f="v">
      <t c="8">
        <n x="4" s="1"/>
        <n x="7" s="1"/>
        <n x="67" s="1"/>
        <n x="3" s="1"/>
        <n x="6" s="1"/>
        <n x="68"/>
        <n x="73"/>
        <n x="10"/>
      </t>
    </mdx>
    <mdx n="0" f="v">
      <t c="8">
        <n x="4" s="1"/>
        <n x="7" s="1"/>
        <n x="67" s="1"/>
        <n x="3" s="1"/>
        <n x="6" s="1"/>
        <n x="68"/>
        <n x="73"/>
        <n x="11"/>
      </t>
    </mdx>
    <mdx n="0" f="v">
      <t c="8">
        <n x="4" s="1"/>
        <n x="7" s="1"/>
        <n x="67" s="1"/>
        <n x="3" s="1"/>
        <n x="6" s="1"/>
        <n x="68"/>
        <n x="73"/>
        <n x="12"/>
      </t>
    </mdx>
    <mdx n="0" f="v">
      <t c="8">
        <n x="4" s="1"/>
        <n x="7" s="1"/>
        <n x="67" s="1"/>
        <n x="3" s="1"/>
        <n x="6" s="1"/>
        <n x="68"/>
        <n x="73"/>
        <n x="13"/>
      </t>
    </mdx>
    <mdx n="0" f="v">
      <t c="8">
        <n x="4" s="1"/>
        <n x="7" s="1"/>
        <n x="67" s="1"/>
        <n x="3" s="1"/>
        <n x="6" s="1"/>
        <n x="68"/>
        <n x="73"/>
        <n x="14"/>
      </t>
    </mdx>
    <mdx n="0" f="v">
      <t c="8">
        <n x="4" s="1"/>
        <n x="7" s="1"/>
        <n x="67" s="1"/>
        <n x="3" s="1"/>
        <n x="6" s="1"/>
        <n x="68"/>
        <n x="73"/>
        <n x="15"/>
      </t>
    </mdx>
    <mdx n="0" f="v">
      <t c="8">
        <n x="4" s="1"/>
        <n x="7" s="1"/>
        <n x="67" s="1"/>
        <n x="3" s="1"/>
        <n x="6" s="1"/>
        <n x="68"/>
        <n x="73"/>
        <n x="16"/>
      </t>
    </mdx>
    <mdx n="0" f="v">
      <t c="8">
        <n x="4" s="1"/>
        <n x="7" s="1"/>
        <n x="67" s="1"/>
        <n x="3" s="1"/>
        <n x="6" s="1"/>
        <n x="68"/>
        <n x="73"/>
        <n x="17"/>
      </t>
    </mdx>
    <mdx n="0" f="v">
      <t c="8">
        <n x="4" s="1"/>
        <n x="7" s="1"/>
        <n x="67" s="1"/>
        <n x="3" s="1"/>
        <n x="6" s="1"/>
        <n x="68"/>
        <n x="73"/>
        <n x="18"/>
      </t>
    </mdx>
    <mdx n="0" f="v">
      <t c="8">
        <n x="4" s="1"/>
        <n x="7" s="1"/>
        <n x="67" s="1"/>
        <n x="3" s="1"/>
        <n x="6" s="1"/>
        <n x="68"/>
        <n x="73"/>
        <n x="19"/>
      </t>
    </mdx>
    <mdx n="0" f="v">
      <t c="8">
        <n x="4" s="1"/>
        <n x="7" s="1"/>
        <n x="67" s="1"/>
        <n x="3" s="1"/>
        <n x="6" s="1"/>
        <n x="68"/>
        <n x="73"/>
        <n x="20"/>
      </t>
    </mdx>
    <mdx n="0" f="v">
      <t c="8">
        <n x="4" s="1"/>
        <n x="7" s="1"/>
        <n x="67" s="1"/>
        <n x="3" s="1"/>
        <n x="6" s="1"/>
        <n x="68"/>
        <n x="73"/>
        <n x="21"/>
      </t>
    </mdx>
    <mdx n="0" f="v">
      <t c="8">
        <n x="4" s="1"/>
        <n x="7" s="1"/>
        <n x="67" s="1"/>
        <n x="3" s="1"/>
        <n x="6" s="1"/>
        <n x="68"/>
        <n x="73"/>
        <n x="22"/>
      </t>
    </mdx>
    <mdx n="0" f="v">
      <t c="8">
        <n x="4" s="1"/>
        <n x="7" s="1"/>
        <n x="67" s="1"/>
        <n x="3" s="1"/>
        <n x="6" s="1"/>
        <n x="68"/>
        <n x="73"/>
        <n x="23"/>
      </t>
    </mdx>
    <mdx n="0" f="v">
      <t c="8">
        <n x="4" s="1"/>
        <n x="7" s="1"/>
        <n x="67" s="1"/>
        <n x="3" s="1"/>
        <n x="6" s="1"/>
        <n x="68"/>
        <n x="73"/>
        <n x="24"/>
      </t>
    </mdx>
    <mdx n="0" f="v">
      <t c="8">
        <n x="4" s="1"/>
        <n x="7" s="1"/>
        <n x="67" s="1"/>
        <n x="3" s="1"/>
        <n x="6" s="1"/>
        <n x="68"/>
        <n x="73"/>
        <n x="25"/>
      </t>
    </mdx>
    <mdx n="0" f="v">
      <t c="8">
        <n x="4" s="1"/>
        <n x="7" s="1"/>
        <n x="67" s="1"/>
        <n x="3" s="1"/>
        <n x="6" s="1"/>
        <n x="68"/>
        <n x="73"/>
        <n x="26"/>
      </t>
    </mdx>
    <mdx n="0" f="v">
      <t c="8">
        <n x="4" s="1"/>
        <n x="7" s="1"/>
        <n x="67" s="1"/>
        <n x="3" s="1"/>
        <n x="6" s="1"/>
        <n x="68"/>
        <n x="73"/>
        <n x="27"/>
      </t>
    </mdx>
    <mdx n="0" f="v">
      <t c="8">
        <n x="4" s="1"/>
        <n x="7" s="1"/>
        <n x="67" s="1"/>
        <n x="3" s="1"/>
        <n x="6" s="1"/>
        <n x="68"/>
        <n x="73"/>
        <n x="28"/>
      </t>
    </mdx>
    <mdx n="0" f="v">
      <t c="8">
        <n x="4" s="1"/>
        <n x="7" s="1"/>
        <n x="67" s="1"/>
        <n x="3" s="1"/>
        <n x="6" s="1"/>
        <n x="68"/>
        <n x="73"/>
        <n x="29"/>
      </t>
    </mdx>
    <mdx n="0" f="v">
      <t c="8">
        <n x="4" s="1"/>
        <n x="7" s="1"/>
        <n x="67" s="1"/>
        <n x="3" s="1"/>
        <n x="6" s="1"/>
        <n x="68"/>
        <n x="73"/>
        <n x="30"/>
      </t>
    </mdx>
    <mdx n="0" f="v">
      <t c="8">
        <n x="4" s="1"/>
        <n x="7" s="1"/>
        <n x="67" s="1"/>
        <n x="3" s="1"/>
        <n x="6" s="1"/>
        <n x="68"/>
        <n x="73"/>
        <n x="31"/>
      </t>
    </mdx>
    <mdx n="0" f="v">
      <t c="8">
        <n x="4" s="1"/>
        <n x="7" s="1"/>
        <n x="67" s="1"/>
        <n x="3" s="1"/>
        <n x="6" s="1"/>
        <n x="68"/>
        <n x="73"/>
        <n x="32"/>
      </t>
    </mdx>
    <mdx n="0" f="v">
      <t c="8">
        <n x="4" s="1"/>
        <n x="7" s="1"/>
        <n x="67" s="1"/>
        <n x="3" s="1"/>
        <n x="6" s="1"/>
        <n x="68"/>
        <n x="73"/>
        <n x="33"/>
      </t>
    </mdx>
    <mdx n="0" f="v">
      <t c="8">
        <n x="4" s="1"/>
        <n x="7" s="1"/>
        <n x="67" s="1"/>
        <n x="3" s="1"/>
        <n x="6" s="1"/>
        <n x="68"/>
        <n x="73"/>
        <n x="34"/>
      </t>
    </mdx>
    <mdx n="0" f="v">
      <t c="8">
        <n x="4" s="1"/>
        <n x="7" s="1"/>
        <n x="67" s="1"/>
        <n x="3" s="1"/>
        <n x="6" s="1"/>
        <n x="68"/>
        <n x="73"/>
        <n x="35"/>
      </t>
    </mdx>
    <mdx n="0" f="v">
      <t c="8">
        <n x="4" s="1"/>
        <n x="7" s="1"/>
        <n x="67" s="1"/>
        <n x="3" s="1"/>
        <n x="6" s="1"/>
        <n x="68"/>
        <n x="73"/>
        <n x="36"/>
      </t>
    </mdx>
    <mdx n="0" f="v">
      <t c="8">
        <n x="4" s="1"/>
        <n x="7" s="1"/>
        <n x="67" s="1"/>
        <n x="3" s="1"/>
        <n x="6" s="1"/>
        <n x="68"/>
        <n x="73"/>
        <n x="37"/>
      </t>
    </mdx>
    <mdx n="0" f="v">
      <t c="8">
        <n x="4" s="1"/>
        <n x="7" s="1"/>
        <n x="67" s="1"/>
        <n x="3" s="1"/>
        <n x="6" s="1"/>
        <n x="68"/>
        <n x="73"/>
        <n x="38"/>
      </t>
    </mdx>
    <mdx n="0" f="v">
      <t c="8">
        <n x="4" s="1"/>
        <n x="7" s="1"/>
        <n x="67" s="1"/>
        <n x="3" s="1"/>
        <n x="6" s="1"/>
        <n x="68"/>
        <n x="73"/>
        <n x="39"/>
      </t>
    </mdx>
    <mdx n="0" f="v">
      <t c="8">
        <n x="4" s="1"/>
        <n x="7" s="1"/>
        <n x="67" s="1"/>
        <n x="3" s="1"/>
        <n x="6" s="1"/>
        <n x="68"/>
        <n x="73"/>
        <n x="40"/>
      </t>
    </mdx>
    <mdx n="0" f="v">
      <t c="8">
        <n x="4" s="1"/>
        <n x="7" s="1"/>
        <n x="67" s="1"/>
        <n x="3" s="1"/>
        <n x="6" s="1"/>
        <n x="68"/>
        <n x="73"/>
        <n x="41"/>
      </t>
    </mdx>
    <mdx n="0" f="v">
      <t c="8">
        <n x="4" s="1"/>
        <n x="7" s="1"/>
        <n x="67" s="1"/>
        <n x="3" s="1"/>
        <n x="6" s="1"/>
        <n x="68"/>
        <n x="73"/>
        <n x="42"/>
      </t>
    </mdx>
    <mdx n="0" f="v">
      <t c="8">
        <n x="4" s="1"/>
        <n x="7" s="1"/>
        <n x="67" s="1"/>
        <n x="3" s="1"/>
        <n x="6" s="1"/>
        <n x="68"/>
        <n x="73"/>
        <n x="43"/>
      </t>
    </mdx>
    <mdx n="0" f="v">
      <t c="8">
        <n x="4" s="1"/>
        <n x="7" s="1"/>
        <n x="67" s="1"/>
        <n x="3" s="1"/>
        <n x="6" s="1"/>
        <n x="68"/>
        <n x="73"/>
        <n x="44"/>
      </t>
    </mdx>
    <mdx n="0" f="v">
      <t c="8">
        <n x="4" s="1"/>
        <n x="7" s="1"/>
        <n x="67" s="1"/>
        <n x="3" s="1"/>
        <n x="6" s="1"/>
        <n x="68"/>
        <n x="73"/>
        <n x="45"/>
      </t>
    </mdx>
    <mdx n="0" f="v">
      <t c="8">
        <n x="4" s="1"/>
        <n x="7" s="1"/>
        <n x="67" s="1"/>
        <n x="3" s="1"/>
        <n x="6" s="1"/>
        <n x="68"/>
        <n x="73"/>
        <n x="46"/>
      </t>
    </mdx>
    <mdx n="0" f="v">
      <t c="8">
        <n x="4" s="1"/>
        <n x="7" s="1"/>
        <n x="67" s="1"/>
        <n x="3" s="1"/>
        <n x="6" s="1"/>
        <n x="68"/>
        <n x="73"/>
        <n x="47"/>
      </t>
    </mdx>
    <mdx n="0" f="v">
      <t c="8">
        <n x="4" s="1"/>
        <n x="7" s="1"/>
        <n x="67" s="1"/>
        <n x="3" s="1"/>
        <n x="6" s="1"/>
        <n x="68"/>
        <n x="73"/>
        <n x="48"/>
      </t>
    </mdx>
    <mdx n="0" f="v">
      <t c="8">
        <n x="4" s="1"/>
        <n x="7" s="1"/>
        <n x="67" s="1"/>
        <n x="3" s="1"/>
        <n x="6" s="1"/>
        <n x="68"/>
        <n x="73"/>
        <n x="49"/>
      </t>
    </mdx>
    <mdx n="0" f="v">
      <t c="8">
        <n x="4" s="1"/>
        <n x="7" s="1"/>
        <n x="67" s="1"/>
        <n x="3" s="1"/>
        <n x="6" s="1"/>
        <n x="68"/>
        <n x="73"/>
        <n x="50"/>
      </t>
    </mdx>
    <mdx n="0" f="v">
      <t c="8">
        <n x="4" s="1"/>
        <n x="7" s="1"/>
        <n x="67" s="1"/>
        <n x="3" s="1"/>
        <n x="6" s="1"/>
        <n x="68"/>
        <n x="73"/>
        <n x="51"/>
      </t>
    </mdx>
    <mdx n="0" f="v">
      <t c="8">
        <n x="4" s="1"/>
        <n x="7" s="1"/>
        <n x="67" s="1"/>
        <n x="3" s="1"/>
        <n x="6" s="1"/>
        <n x="68"/>
        <n x="73"/>
        <n x="52"/>
      </t>
    </mdx>
    <mdx n="0" f="v">
      <t c="8">
        <n x="4" s="1"/>
        <n x="7" s="1"/>
        <n x="67" s="1"/>
        <n x="3" s="1"/>
        <n x="6" s="1"/>
        <n x="68"/>
        <n x="73"/>
        <n x="53"/>
      </t>
    </mdx>
    <mdx n="0" f="v">
      <t c="8">
        <n x="4" s="1"/>
        <n x="7" s="1"/>
        <n x="67" s="1"/>
        <n x="3" s="1"/>
        <n x="6" s="1"/>
        <n x="68"/>
        <n x="73"/>
        <n x="54"/>
      </t>
    </mdx>
    <mdx n="0" f="v">
      <t c="8">
        <n x="4" s="1"/>
        <n x="7" s="1"/>
        <n x="67" s="1"/>
        <n x="3" s="1"/>
        <n x="6" s="1"/>
        <n x="68"/>
        <n x="73"/>
        <n x="55"/>
      </t>
    </mdx>
    <mdx n="0" f="v">
      <t c="8">
        <n x="4" s="1"/>
        <n x="7" s="1"/>
        <n x="67" s="1"/>
        <n x="3" s="1"/>
        <n x="6" s="1"/>
        <n x="68"/>
        <n x="73"/>
        <n x="56"/>
      </t>
    </mdx>
    <mdx n="0" f="v">
      <t c="8">
        <n x="4" s="1"/>
        <n x="7" s="1"/>
        <n x="67" s="1"/>
        <n x="3" s="1"/>
        <n x="6" s="1"/>
        <n x="68"/>
        <n x="73"/>
        <n x="57"/>
      </t>
    </mdx>
    <mdx n="0" f="v">
      <t c="8">
        <n x="4" s="1"/>
        <n x="7" s="1"/>
        <n x="67" s="1"/>
        <n x="3" s="1"/>
        <n x="6" s="1"/>
        <n x="68"/>
        <n x="73"/>
        <n x="58"/>
      </t>
    </mdx>
    <mdx n="0" f="v">
      <t c="8">
        <n x="4" s="1"/>
        <n x="7" s="1"/>
        <n x="67" s="1"/>
        <n x="3" s="1"/>
        <n x="6" s="1"/>
        <n x="68"/>
        <n x="73"/>
        <n x="59"/>
      </t>
    </mdx>
    <mdx n="0" f="v">
      <t c="8">
        <n x="4" s="1"/>
        <n x="7" s="1"/>
        <n x="67" s="1"/>
        <n x="3" s="1"/>
        <n x="6" s="1"/>
        <n x="68"/>
        <n x="73"/>
        <n x="60"/>
      </t>
    </mdx>
    <mdx n="0" f="v">
      <t c="8">
        <n x="4" s="1"/>
        <n x="7" s="1"/>
        <n x="67" s="1"/>
        <n x="3" s="1"/>
        <n x="6" s="1"/>
        <n x="68"/>
        <n x="73"/>
        <n x="61"/>
      </t>
    </mdx>
    <mdx n="0" f="v">
      <t c="8">
        <n x="4" s="1"/>
        <n x="7" s="1"/>
        <n x="67" s="1"/>
        <n x="3" s="1"/>
        <n x="6" s="1"/>
        <n x="68"/>
        <n x="73"/>
        <n x="62"/>
      </t>
    </mdx>
    <mdx n="0" f="v">
      <t c="8">
        <n x="4" s="1"/>
        <n x="7" s="1"/>
        <n x="67" s="1"/>
        <n x="3" s="1"/>
        <n x="6" s="1"/>
        <n x="68"/>
        <n x="73"/>
        <n x="63"/>
      </t>
    </mdx>
    <mdx n="0" f="v">
      <t c="8">
        <n x="4" s="1"/>
        <n x="7" s="1"/>
        <n x="67" s="1"/>
        <n x="3" s="1"/>
        <n x="6" s="1"/>
        <n x="68"/>
        <n x="73"/>
        <n x="64"/>
      </t>
    </mdx>
    <mdx n="0" f="v">
      <t c="8">
        <n x="4" s="1"/>
        <n x="7" s="1"/>
        <n x="67" s="1"/>
        <n x="3" s="1"/>
        <n x="6" s="1"/>
        <n x="68"/>
        <n x="73"/>
        <n x="65"/>
      </t>
    </mdx>
    <mdx n="0" f="v">
      <t c="8">
        <n x="4" s="1"/>
        <n x="7" s="1"/>
        <n x="67" s="1"/>
        <n x="3" s="1"/>
        <n x="6" s="1"/>
        <n x="68"/>
        <n x="73"/>
        <n x="66"/>
      </t>
    </mdx>
    <mdx n="0" f="m">
      <t c="1">
        <n x="74"/>
      </t>
    </mdx>
    <mdx n="0" f="v">
      <t c="8">
        <n x="4" s="1"/>
        <n x="7" s="1"/>
        <n x="67" s="1"/>
        <n x="3" s="1"/>
        <n x="6" s="1"/>
        <n x="68"/>
        <n x="74"/>
        <n x="8"/>
      </t>
    </mdx>
    <mdx n="0" f="v">
      <t c="8">
        <n x="4" s="1"/>
        <n x="7" s="1"/>
        <n x="67" s="1"/>
        <n x="3" s="1"/>
        <n x="6" s="1"/>
        <n x="68"/>
        <n x="74"/>
        <n x="9"/>
      </t>
    </mdx>
    <mdx n="0" f="v">
      <t c="8">
        <n x="4" s="1"/>
        <n x="7" s="1"/>
        <n x="67" s="1"/>
        <n x="3" s="1"/>
        <n x="6" s="1"/>
        <n x="68"/>
        <n x="74"/>
        <n x="10"/>
      </t>
    </mdx>
    <mdx n="0" f="v">
      <t c="8">
        <n x="4" s="1"/>
        <n x="7" s="1"/>
        <n x="67" s="1"/>
        <n x="3" s="1"/>
        <n x="6" s="1"/>
        <n x="68"/>
        <n x="74"/>
        <n x="11"/>
      </t>
    </mdx>
    <mdx n="0" f="v">
      <t c="8">
        <n x="4" s="1"/>
        <n x="7" s="1"/>
        <n x="67" s="1"/>
        <n x="3" s="1"/>
        <n x="6" s="1"/>
        <n x="68"/>
        <n x="74"/>
        <n x="12"/>
      </t>
    </mdx>
    <mdx n="0" f="v">
      <t c="8">
        <n x="4" s="1"/>
        <n x="7" s="1"/>
        <n x="67" s="1"/>
        <n x="3" s="1"/>
        <n x="6" s="1"/>
        <n x="68"/>
        <n x="74"/>
        <n x="13"/>
      </t>
    </mdx>
    <mdx n="0" f="v">
      <t c="8">
        <n x="4" s="1"/>
        <n x="7" s="1"/>
        <n x="67" s="1"/>
        <n x="3" s="1"/>
        <n x="6" s="1"/>
        <n x="68"/>
        <n x="74"/>
        <n x="14"/>
      </t>
    </mdx>
    <mdx n="0" f="v">
      <t c="8">
        <n x="4" s="1"/>
        <n x="7" s="1"/>
        <n x="67" s="1"/>
        <n x="3" s="1"/>
        <n x="6" s="1"/>
        <n x="68"/>
        <n x="74"/>
        <n x="15"/>
      </t>
    </mdx>
    <mdx n="0" f="v">
      <t c="8">
        <n x="4" s="1"/>
        <n x="7" s="1"/>
        <n x="67" s="1"/>
        <n x="3" s="1"/>
        <n x="6" s="1"/>
        <n x="68"/>
        <n x="74"/>
        <n x="16"/>
      </t>
    </mdx>
    <mdx n="0" f="v">
      <t c="8">
        <n x="4" s="1"/>
        <n x="7" s="1"/>
        <n x="67" s="1"/>
        <n x="3" s="1"/>
        <n x="6" s="1"/>
        <n x="68"/>
        <n x="74"/>
        <n x="17"/>
      </t>
    </mdx>
    <mdx n="0" f="v">
      <t c="8">
        <n x="4" s="1"/>
        <n x="7" s="1"/>
        <n x="67" s="1"/>
        <n x="3" s="1"/>
        <n x="6" s="1"/>
        <n x="68"/>
        <n x="74"/>
        <n x="18"/>
      </t>
    </mdx>
    <mdx n="0" f="v">
      <t c="8">
        <n x="4" s="1"/>
        <n x="7" s="1"/>
        <n x="67" s="1"/>
        <n x="3" s="1"/>
        <n x="6" s="1"/>
        <n x="68"/>
        <n x="74"/>
        <n x="19"/>
      </t>
    </mdx>
    <mdx n="0" f="v">
      <t c="8">
        <n x="4" s="1"/>
        <n x="7" s="1"/>
        <n x="67" s="1"/>
        <n x="3" s="1"/>
        <n x="6" s="1"/>
        <n x="68"/>
        <n x="74"/>
        <n x="20"/>
      </t>
    </mdx>
    <mdx n="0" f="v">
      <t c="8">
        <n x="4" s="1"/>
        <n x="7" s="1"/>
        <n x="67" s="1"/>
        <n x="3" s="1"/>
        <n x="6" s="1"/>
        <n x="68"/>
        <n x="74"/>
        <n x="21"/>
      </t>
    </mdx>
    <mdx n="0" f="v">
      <t c="8">
        <n x="4" s="1"/>
        <n x="7" s="1"/>
        <n x="67" s="1"/>
        <n x="3" s="1"/>
        <n x="6" s="1"/>
        <n x="68"/>
        <n x="74"/>
        <n x="22"/>
      </t>
    </mdx>
    <mdx n="0" f="v">
      <t c="8">
        <n x="4" s="1"/>
        <n x="7" s="1"/>
        <n x="67" s="1"/>
        <n x="3" s="1"/>
        <n x="6" s="1"/>
        <n x="68"/>
        <n x="74"/>
        <n x="23"/>
      </t>
    </mdx>
    <mdx n="0" f="v">
      <t c="8">
        <n x="4" s="1"/>
        <n x="7" s="1"/>
        <n x="67" s="1"/>
        <n x="3" s="1"/>
        <n x="6" s="1"/>
        <n x="68"/>
        <n x="74"/>
        <n x="24"/>
      </t>
    </mdx>
    <mdx n="0" f="v">
      <t c="8">
        <n x="4" s="1"/>
        <n x="7" s="1"/>
        <n x="67" s="1"/>
        <n x="3" s="1"/>
        <n x="6" s="1"/>
        <n x="68"/>
        <n x="74"/>
        <n x="25"/>
      </t>
    </mdx>
    <mdx n="0" f="v">
      <t c="8">
        <n x="4" s="1"/>
        <n x="7" s="1"/>
        <n x="67" s="1"/>
        <n x="3" s="1"/>
        <n x="6" s="1"/>
        <n x="68"/>
        <n x="74"/>
        <n x="26"/>
      </t>
    </mdx>
    <mdx n="0" f="v">
      <t c="8">
        <n x="4" s="1"/>
        <n x="7" s="1"/>
        <n x="67" s="1"/>
        <n x="3" s="1"/>
        <n x="6" s="1"/>
        <n x="68"/>
        <n x="74"/>
        <n x="27"/>
      </t>
    </mdx>
    <mdx n="0" f="v">
      <t c="8">
        <n x="4" s="1"/>
        <n x="7" s="1"/>
        <n x="67" s="1"/>
        <n x="3" s="1"/>
        <n x="6" s="1"/>
        <n x="68"/>
        <n x="74"/>
        <n x="28"/>
      </t>
    </mdx>
    <mdx n="0" f="v">
      <t c="8">
        <n x="4" s="1"/>
        <n x="7" s="1"/>
        <n x="67" s="1"/>
        <n x="3" s="1"/>
        <n x="6" s="1"/>
        <n x="68"/>
        <n x="74"/>
        <n x="29"/>
      </t>
    </mdx>
    <mdx n="0" f="v">
      <t c="8">
        <n x="4" s="1"/>
        <n x="7" s="1"/>
        <n x="67" s="1"/>
        <n x="3" s="1"/>
        <n x="6" s="1"/>
        <n x="68"/>
        <n x="74"/>
        <n x="30"/>
      </t>
    </mdx>
    <mdx n="0" f="v">
      <t c="8">
        <n x="4" s="1"/>
        <n x="7" s="1"/>
        <n x="67" s="1"/>
        <n x="3" s="1"/>
        <n x="6" s="1"/>
        <n x="68"/>
        <n x="74"/>
        <n x="31"/>
      </t>
    </mdx>
    <mdx n="0" f="v">
      <t c="8">
        <n x="4" s="1"/>
        <n x="7" s="1"/>
        <n x="67" s="1"/>
        <n x="3" s="1"/>
        <n x="6" s="1"/>
        <n x="68"/>
        <n x="74"/>
        <n x="32"/>
      </t>
    </mdx>
    <mdx n="0" f="v">
      <t c="8">
        <n x="4" s="1"/>
        <n x="7" s="1"/>
        <n x="67" s="1"/>
        <n x="3" s="1"/>
        <n x="6" s="1"/>
        <n x="68"/>
        <n x="74"/>
        <n x="33"/>
      </t>
    </mdx>
    <mdx n="0" f="v">
      <t c="8">
        <n x="4" s="1"/>
        <n x="7" s="1"/>
        <n x="67" s="1"/>
        <n x="3" s="1"/>
        <n x="6" s="1"/>
        <n x="68"/>
        <n x="74"/>
        <n x="34"/>
      </t>
    </mdx>
    <mdx n="0" f="v">
      <t c="8">
        <n x="4" s="1"/>
        <n x="7" s="1"/>
        <n x="67" s="1"/>
        <n x="3" s="1"/>
        <n x="6" s="1"/>
        <n x="68"/>
        <n x="74"/>
        <n x="35"/>
      </t>
    </mdx>
    <mdx n="0" f="v">
      <t c="8">
        <n x="4" s="1"/>
        <n x="7" s="1"/>
        <n x="67" s="1"/>
        <n x="3" s="1"/>
        <n x="6" s="1"/>
        <n x="68"/>
        <n x="74"/>
        <n x="36"/>
      </t>
    </mdx>
    <mdx n="0" f="v">
      <t c="8">
        <n x="4" s="1"/>
        <n x="7" s="1"/>
        <n x="67" s="1"/>
        <n x="3" s="1"/>
        <n x="6" s="1"/>
        <n x="68"/>
        <n x="74"/>
        <n x="37"/>
      </t>
    </mdx>
    <mdx n="0" f="v">
      <t c="8">
        <n x="4" s="1"/>
        <n x="7" s="1"/>
        <n x="67" s="1"/>
        <n x="3" s="1"/>
        <n x="6" s="1"/>
        <n x="68"/>
        <n x="74"/>
        <n x="38"/>
      </t>
    </mdx>
    <mdx n="0" f="v">
      <t c="8">
        <n x="4" s="1"/>
        <n x="7" s="1"/>
        <n x="67" s="1"/>
        <n x="3" s="1"/>
        <n x="6" s="1"/>
        <n x="68"/>
        <n x="74"/>
        <n x="39"/>
      </t>
    </mdx>
    <mdx n="0" f="v">
      <t c="8">
        <n x="4" s="1"/>
        <n x="7" s="1"/>
        <n x="67" s="1"/>
        <n x="3" s="1"/>
        <n x="6" s="1"/>
        <n x="68"/>
        <n x="74"/>
        <n x="40"/>
      </t>
    </mdx>
    <mdx n="0" f="v">
      <t c="8">
        <n x="4" s="1"/>
        <n x="7" s="1"/>
        <n x="67" s="1"/>
        <n x="3" s="1"/>
        <n x="6" s="1"/>
        <n x="68"/>
        <n x="74"/>
        <n x="41"/>
      </t>
    </mdx>
    <mdx n="0" f="v">
      <t c="8">
        <n x="4" s="1"/>
        <n x="7" s="1"/>
        <n x="67" s="1"/>
        <n x="3" s="1"/>
        <n x="6" s="1"/>
        <n x="68"/>
        <n x="74"/>
        <n x="42"/>
      </t>
    </mdx>
    <mdx n="0" f="v">
      <t c="8">
        <n x="4" s="1"/>
        <n x="7" s="1"/>
        <n x="67" s="1"/>
        <n x="3" s="1"/>
        <n x="6" s="1"/>
        <n x="68"/>
        <n x="74"/>
        <n x="43"/>
      </t>
    </mdx>
    <mdx n="0" f="v">
      <t c="8">
        <n x="4" s="1"/>
        <n x="7" s="1"/>
        <n x="67" s="1"/>
        <n x="3" s="1"/>
        <n x="6" s="1"/>
        <n x="68"/>
        <n x="74"/>
        <n x="44"/>
      </t>
    </mdx>
    <mdx n="0" f="v">
      <t c="8">
        <n x="4" s="1"/>
        <n x="7" s="1"/>
        <n x="67" s="1"/>
        <n x="3" s="1"/>
        <n x="6" s="1"/>
        <n x="68"/>
        <n x="74"/>
        <n x="45"/>
      </t>
    </mdx>
    <mdx n="0" f="v">
      <t c="8">
        <n x="4" s="1"/>
        <n x="7" s="1"/>
        <n x="67" s="1"/>
        <n x="3" s="1"/>
        <n x="6" s="1"/>
        <n x="68"/>
        <n x="74"/>
        <n x="46"/>
      </t>
    </mdx>
    <mdx n="0" f="v">
      <t c="8">
        <n x="4" s="1"/>
        <n x="7" s="1"/>
        <n x="67" s="1"/>
        <n x="3" s="1"/>
        <n x="6" s="1"/>
        <n x="68"/>
        <n x="74"/>
        <n x="47"/>
      </t>
    </mdx>
    <mdx n="0" f="v">
      <t c="8">
        <n x="4" s="1"/>
        <n x="7" s="1"/>
        <n x="67" s="1"/>
        <n x="3" s="1"/>
        <n x="6" s="1"/>
        <n x="68"/>
        <n x="74"/>
        <n x="48"/>
      </t>
    </mdx>
    <mdx n="0" f="v">
      <t c="8">
        <n x="4" s="1"/>
        <n x="7" s="1"/>
        <n x="67" s="1"/>
        <n x="3" s="1"/>
        <n x="6" s="1"/>
        <n x="68"/>
        <n x="74"/>
        <n x="49"/>
      </t>
    </mdx>
    <mdx n="0" f="v">
      <t c="8">
        <n x="4" s="1"/>
        <n x="7" s="1"/>
        <n x="67" s="1"/>
        <n x="3" s="1"/>
        <n x="6" s="1"/>
        <n x="68"/>
        <n x="74"/>
        <n x="50"/>
      </t>
    </mdx>
    <mdx n="0" f="v">
      <t c="8">
        <n x="4" s="1"/>
        <n x="7" s="1"/>
        <n x="67" s="1"/>
        <n x="3" s="1"/>
        <n x="6" s="1"/>
        <n x="68"/>
        <n x="74"/>
        <n x="51"/>
      </t>
    </mdx>
    <mdx n="0" f="v">
      <t c="8">
        <n x="4" s="1"/>
        <n x="7" s="1"/>
        <n x="67" s="1"/>
        <n x="3" s="1"/>
        <n x="6" s="1"/>
        <n x="68"/>
        <n x="74"/>
        <n x="52"/>
      </t>
    </mdx>
    <mdx n="0" f="v">
      <t c="8">
        <n x="4" s="1"/>
        <n x="7" s="1"/>
        <n x="67" s="1"/>
        <n x="3" s="1"/>
        <n x="6" s="1"/>
        <n x="68"/>
        <n x="74"/>
        <n x="53"/>
      </t>
    </mdx>
    <mdx n="0" f="v">
      <t c="8">
        <n x="4" s="1"/>
        <n x="7" s="1"/>
        <n x="67" s="1"/>
        <n x="3" s="1"/>
        <n x="6" s="1"/>
        <n x="68"/>
        <n x="74"/>
        <n x="54"/>
      </t>
    </mdx>
    <mdx n="0" f="v">
      <t c="8">
        <n x="4" s="1"/>
        <n x="7" s="1"/>
        <n x="67" s="1"/>
        <n x="3" s="1"/>
        <n x="6" s="1"/>
        <n x="68"/>
        <n x="74"/>
        <n x="55"/>
      </t>
    </mdx>
    <mdx n="0" f="v">
      <t c="8">
        <n x="4" s="1"/>
        <n x="7" s="1"/>
        <n x="67" s="1"/>
        <n x="3" s="1"/>
        <n x="6" s="1"/>
        <n x="68"/>
        <n x="74"/>
        <n x="56"/>
      </t>
    </mdx>
    <mdx n="0" f="v">
      <t c="8">
        <n x="4" s="1"/>
        <n x="7" s="1"/>
        <n x="67" s="1"/>
        <n x="3" s="1"/>
        <n x="6" s="1"/>
        <n x="68"/>
        <n x="74"/>
        <n x="57"/>
      </t>
    </mdx>
    <mdx n="0" f="v">
      <t c="8">
        <n x="4" s="1"/>
        <n x="7" s="1"/>
        <n x="67" s="1"/>
        <n x="3" s="1"/>
        <n x="6" s="1"/>
        <n x="68"/>
        <n x="74"/>
        <n x="58"/>
      </t>
    </mdx>
    <mdx n="0" f="v">
      <t c="8">
        <n x="4" s="1"/>
        <n x="7" s="1"/>
        <n x="67" s="1"/>
        <n x="3" s="1"/>
        <n x="6" s="1"/>
        <n x="68"/>
        <n x="74"/>
        <n x="59"/>
      </t>
    </mdx>
    <mdx n="0" f="v">
      <t c="8">
        <n x="4" s="1"/>
        <n x="7" s="1"/>
        <n x="67" s="1"/>
        <n x="3" s="1"/>
        <n x="6" s="1"/>
        <n x="68"/>
        <n x="74"/>
        <n x="60"/>
      </t>
    </mdx>
    <mdx n="0" f="v">
      <t c="8">
        <n x="4" s="1"/>
        <n x="7" s="1"/>
        <n x="67" s="1"/>
        <n x="3" s="1"/>
        <n x="6" s="1"/>
        <n x="68"/>
        <n x="74"/>
        <n x="61"/>
      </t>
    </mdx>
    <mdx n="0" f="v">
      <t c="8">
        <n x="4" s="1"/>
        <n x="7" s="1"/>
        <n x="67" s="1"/>
        <n x="3" s="1"/>
        <n x="6" s="1"/>
        <n x="68"/>
        <n x="74"/>
        <n x="62"/>
      </t>
    </mdx>
    <mdx n="0" f="v">
      <t c="8">
        <n x="4" s="1"/>
        <n x="7" s="1"/>
        <n x="67" s="1"/>
        <n x="3" s="1"/>
        <n x="6" s="1"/>
        <n x="68"/>
        <n x="74"/>
        <n x="63"/>
      </t>
    </mdx>
    <mdx n="0" f="v">
      <t c="8">
        <n x="4" s="1"/>
        <n x="7" s="1"/>
        <n x="67" s="1"/>
        <n x="3" s="1"/>
        <n x="6" s="1"/>
        <n x="68"/>
        <n x="74"/>
        <n x="64"/>
      </t>
    </mdx>
    <mdx n="0" f="v">
      <t c="8">
        <n x="4" s="1"/>
        <n x="7" s="1"/>
        <n x="67" s="1"/>
        <n x="3" s="1"/>
        <n x="6" s="1"/>
        <n x="68"/>
        <n x="74"/>
        <n x="65"/>
      </t>
    </mdx>
    <mdx n="0" f="v">
      <t c="8">
        <n x="4" s="1"/>
        <n x="7" s="1"/>
        <n x="67" s="1"/>
        <n x="3" s="1"/>
        <n x="6" s="1"/>
        <n x="68"/>
        <n x="74"/>
        <n x="66"/>
      </t>
    </mdx>
    <mdx n="0" f="m">
      <t c="1">
        <n x="75"/>
      </t>
    </mdx>
    <mdx n="0" f="v">
      <t c="8">
        <n x="4" s="1"/>
        <n x="7" s="1"/>
        <n x="67" s="1"/>
        <n x="3" s="1"/>
        <n x="6" s="1"/>
        <n x="68"/>
        <n x="75"/>
        <n x="8"/>
      </t>
    </mdx>
    <mdx n="0" f="v">
      <t c="8">
        <n x="4" s="1"/>
        <n x="7" s="1"/>
        <n x="67" s="1"/>
        <n x="3" s="1"/>
        <n x="6" s="1"/>
        <n x="68"/>
        <n x="75"/>
        <n x="9"/>
      </t>
    </mdx>
    <mdx n="0" f="v">
      <t c="8">
        <n x="4" s="1"/>
        <n x="7" s="1"/>
        <n x="67" s="1"/>
        <n x="3" s="1"/>
        <n x="6" s="1"/>
        <n x="68"/>
        <n x="75"/>
        <n x="10"/>
      </t>
    </mdx>
    <mdx n="0" f="v">
      <t c="8">
        <n x="4" s="1"/>
        <n x="7" s="1"/>
        <n x="67" s="1"/>
        <n x="3" s="1"/>
        <n x="6" s="1"/>
        <n x="68"/>
        <n x="75"/>
        <n x="11"/>
      </t>
    </mdx>
    <mdx n="0" f="v">
      <t c="8">
        <n x="4" s="1"/>
        <n x="7" s="1"/>
        <n x="67" s="1"/>
        <n x="3" s="1"/>
        <n x="6" s="1"/>
        <n x="68"/>
        <n x="75"/>
        <n x="12"/>
      </t>
    </mdx>
    <mdx n="0" f="v">
      <t c="8">
        <n x="4" s="1"/>
        <n x="7" s="1"/>
        <n x="67" s="1"/>
        <n x="3" s="1"/>
        <n x="6" s="1"/>
        <n x="68"/>
        <n x="75"/>
        <n x="13"/>
      </t>
    </mdx>
    <mdx n="0" f="v">
      <t c="8">
        <n x="4" s="1"/>
        <n x="7" s="1"/>
        <n x="67" s="1"/>
        <n x="3" s="1"/>
        <n x="6" s="1"/>
        <n x="68"/>
        <n x="75"/>
        <n x="14"/>
      </t>
    </mdx>
    <mdx n="0" f="v">
      <t c="8">
        <n x="4" s="1"/>
        <n x="7" s="1"/>
        <n x="67" s="1"/>
        <n x="3" s="1"/>
        <n x="6" s="1"/>
        <n x="68"/>
        <n x="75"/>
        <n x="15"/>
      </t>
    </mdx>
    <mdx n="0" f="v">
      <t c="8">
        <n x="4" s="1"/>
        <n x="7" s="1"/>
        <n x="67" s="1"/>
        <n x="3" s="1"/>
        <n x="6" s="1"/>
        <n x="68"/>
        <n x="75"/>
        <n x="16"/>
      </t>
    </mdx>
    <mdx n="0" f="v">
      <t c="8">
        <n x="4" s="1"/>
        <n x="7" s="1"/>
        <n x="67" s="1"/>
        <n x="3" s="1"/>
        <n x="6" s="1"/>
        <n x="68"/>
        <n x="75"/>
        <n x="17"/>
      </t>
    </mdx>
    <mdx n="0" f="v">
      <t c="8">
        <n x="4" s="1"/>
        <n x="7" s="1"/>
        <n x="67" s="1"/>
        <n x="3" s="1"/>
        <n x="6" s="1"/>
        <n x="68"/>
        <n x="75"/>
        <n x="18"/>
      </t>
    </mdx>
    <mdx n="0" f="v">
      <t c="8">
        <n x="4" s="1"/>
        <n x="7" s="1"/>
        <n x="67" s="1"/>
        <n x="3" s="1"/>
        <n x="6" s="1"/>
        <n x="68"/>
        <n x="75"/>
        <n x="19"/>
      </t>
    </mdx>
    <mdx n="0" f="v">
      <t c="8">
        <n x="4" s="1"/>
        <n x="7" s="1"/>
        <n x="67" s="1"/>
        <n x="3" s="1"/>
        <n x="6" s="1"/>
        <n x="68"/>
        <n x="75"/>
        <n x="20"/>
      </t>
    </mdx>
    <mdx n="0" f="v">
      <t c="8">
        <n x="4" s="1"/>
        <n x="7" s="1"/>
        <n x="67" s="1"/>
        <n x="3" s="1"/>
        <n x="6" s="1"/>
        <n x="68"/>
        <n x="75"/>
        <n x="21"/>
      </t>
    </mdx>
    <mdx n="0" f="v">
      <t c="8">
        <n x="4" s="1"/>
        <n x="7" s="1"/>
        <n x="67" s="1"/>
        <n x="3" s="1"/>
        <n x="6" s="1"/>
        <n x="68"/>
        <n x="75"/>
        <n x="22"/>
      </t>
    </mdx>
    <mdx n="0" f="v">
      <t c="8">
        <n x="4" s="1"/>
        <n x="7" s="1"/>
        <n x="67" s="1"/>
        <n x="3" s="1"/>
        <n x="6" s="1"/>
        <n x="68"/>
        <n x="75"/>
        <n x="23"/>
      </t>
    </mdx>
    <mdx n="0" f="v">
      <t c="8">
        <n x="4" s="1"/>
        <n x="7" s="1"/>
        <n x="67" s="1"/>
        <n x="3" s="1"/>
        <n x="6" s="1"/>
        <n x="68"/>
        <n x="75"/>
        <n x="24"/>
      </t>
    </mdx>
    <mdx n="0" f="v">
      <t c="8">
        <n x="4" s="1"/>
        <n x="7" s="1"/>
        <n x="67" s="1"/>
        <n x="3" s="1"/>
        <n x="6" s="1"/>
        <n x="68"/>
        <n x="75"/>
        <n x="25"/>
      </t>
    </mdx>
    <mdx n="0" f="v">
      <t c="8">
        <n x="4" s="1"/>
        <n x="7" s="1"/>
        <n x="67" s="1"/>
        <n x="3" s="1"/>
        <n x="6" s="1"/>
        <n x="68"/>
        <n x="75"/>
        <n x="26"/>
      </t>
    </mdx>
    <mdx n="0" f="v">
      <t c="8">
        <n x="4" s="1"/>
        <n x="7" s="1"/>
        <n x="67" s="1"/>
        <n x="3" s="1"/>
        <n x="6" s="1"/>
        <n x="68"/>
        <n x="75"/>
        <n x="27"/>
      </t>
    </mdx>
    <mdx n="0" f="v">
      <t c="8">
        <n x="4" s="1"/>
        <n x="7" s="1"/>
        <n x="67" s="1"/>
        <n x="3" s="1"/>
        <n x="6" s="1"/>
        <n x="68"/>
        <n x="75"/>
        <n x="28"/>
      </t>
    </mdx>
    <mdx n="0" f="v">
      <t c="8">
        <n x="4" s="1"/>
        <n x="7" s="1"/>
        <n x="67" s="1"/>
        <n x="3" s="1"/>
        <n x="6" s="1"/>
        <n x="68"/>
        <n x="75"/>
        <n x="29"/>
      </t>
    </mdx>
    <mdx n="0" f="v">
      <t c="8">
        <n x="4" s="1"/>
        <n x="7" s="1"/>
        <n x="67" s="1"/>
        <n x="3" s="1"/>
        <n x="6" s="1"/>
        <n x="68"/>
        <n x="75"/>
        <n x="30"/>
      </t>
    </mdx>
    <mdx n="0" f="v">
      <t c="8">
        <n x="4" s="1"/>
        <n x="7" s="1"/>
        <n x="67" s="1"/>
        <n x="3" s="1"/>
        <n x="6" s="1"/>
        <n x="68"/>
        <n x="75"/>
        <n x="31"/>
      </t>
    </mdx>
    <mdx n="0" f="v">
      <t c="8">
        <n x="4" s="1"/>
        <n x="7" s="1"/>
        <n x="67" s="1"/>
        <n x="3" s="1"/>
        <n x="6" s="1"/>
        <n x="68"/>
        <n x="75"/>
        <n x="32"/>
      </t>
    </mdx>
    <mdx n="0" f="v">
      <t c="8">
        <n x="4" s="1"/>
        <n x="7" s="1"/>
        <n x="67" s="1"/>
        <n x="3" s="1"/>
        <n x="6" s="1"/>
        <n x="68"/>
        <n x="75"/>
        <n x="33"/>
      </t>
    </mdx>
    <mdx n="0" f="v">
      <t c="8">
        <n x="4" s="1"/>
        <n x="7" s="1"/>
        <n x="67" s="1"/>
        <n x="3" s="1"/>
        <n x="6" s="1"/>
        <n x="68"/>
        <n x="75"/>
        <n x="34"/>
      </t>
    </mdx>
    <mdx n="0" f="v">
      <t c="8">
        <n x="4" s="1"/>
        <n x="7" s="1"/>
        <n x="67" s="1"/>
        <n x="3" s="1"/>
        <n x="6" s="1"/>
        <n x="68"/>
        <n x="75"/>
        <n x="35"/>
      </t>
    </mdx>
    <mdx n="0" f="v">
      <t c="8">
        <n x="4" s="1"/>
        <n x="7" s="1"/>
        <n x="67" s="1"/>
        <n x="3" s="1"/>
        <n x="6" s="1"/>
        <n x="68"/>
        <n x="75"/>
        <n x="36"/>
      </t>
    </mdx>
    <mdx n="0" f="v">
      <t c="8">
        <n x="4" s="1"/>
        <n x="7" s="1"/>
        <n x="67" s="1"/>
        <n x="3" s="1"/>
        <n x="6" s="1"/>
        <n x="68"/>
        <n x="75"/>
        <n x="37"/>
      </t>
    </mdx>
    <mdx n="0" f="v">
      <t c="8">
        <n x="4" s="1"/>
        <n x="7" s="1"/>
        <n x="67" s="1"/>
        <n x="3" s="1"/>
        <n x="6" s="1"/>
        <n x="68"/>
        <n x="75"/>
        <n x="38"/>
      </t>
    </mdx>
    <mdx n="0" f="v">
      <t c="8">
        <n x="4" s="1"/>
        <n x="7" s="1"/>
        <n x="67" s="1"/>
        <n x="3" s="1"/>
        <n x="6" s="1"/>
        <n x="68"/>
        <n x="75"/>
        <n x="39"/>
      </t>
    </mdx>
    <mdx n="0" f="v">
      <t c="8">
        <n x="4" s="1"/>
        <n x="7" s="1"/>
        <n x="67" s="1"/>
        <n x="3" s="1"/>
        <n x="6" s="1"/>
        <n x="68"/>
        <n x="75"/>
        <n x="40"/>
      </t>
    </mdx>
    <mdx n="0" f="v">
      <t c="8">
        <n x="4" s="1"/>
        <n x="7" s="1"/>
        <n x="67" s="1"/>
        <n x="3" s="1"/>
        <n x="6" s="1"/>
        <n x="68"/>
        <n x="75"/>
        <n x="41"/>
      </t>
    </mdx>
    <mdx n="0" f="v">
      <t c="8">
        <n x="4" s="1"/>
        <n x="7" s="1"/>
        <n x="67" s="1"/>
        <n x="3" s="1"/>
        <n x="6" s="1"/>
        <n x="68"/>
        <n x="75"/>
        <n x="42"/>
      </t>
    </mdx>
    <mdx n="0" f="v">
      <t c="8">
        <n x="4" s="1"/>
        <n x="7" s="1"/>
        <n x="67" s="1"/>
        <n x="3" s="1"/>
        <n x="6" s="1"/>
        <n x="68"/>
        <n x="75"/>
        <n x="43"/>
      </t>
    </mdx>
    <mdx n="0" f="v">
      <t c="8">
        <n x="4" s="1"/>
        <n x="7" s="1"/>
        <n x="67" s="1"/>
        <n x="3" s="1"/>
        <n x="6" s="1"/>
        <n x="68"/>
        <n x="75"/>
        <n x="44"/>
      </t>
    </mdx>
    <mdx n="0" f="v">
      <t c="8">
        <n x="4" s="1"/>
        <n x="7" s="1"/>
        <n x="67" s="1"/>
        <n x="3" s="1"/>
        <n x="6" s="1"/>
        <n x="68"/>
        <n x="75"/>
        <n x="45"/>
      </t>
    </mdx>
    <mdx n="0" f="v">
      <t c="8">
        <n x="4" s="1"/>
        <n x="7" s="1"/>
        <n x="67" s="1"/>
        <n x="3" s="1"/>
        <n x="6" s="1"/>
        <n x="68"/>
        <n x="75"/>
        <n x="46"/>
      </t>
    </mdx>
    <mdx n="0" f="v">
      <t c="8">
        <n x="4" s="1"/>
        <n x="7" s="1"/>
        <n x="67" s="1"/>
        <n x="3" s="1"/>
        <n x="6" s="1"/>
        <n x="68"/>
        <n x="75"/>
        <n x="47"/>
      </t>
    </mdx>
    <mdx n="0" f="v">
      <t c="8">
        <n x="4" s="1"/>
        <n x="7" s="1"/>
        <n x="67" s="1"/>
        <n x="3" s="1"/>
        <n x="6" s="1"/>
        <n x="68"/>
        <n x="75"/>
        <n x="48"/>
      </t>
    </mdx>
    <mdx n="0" f="v">
      <t c="8">
        <n x="4" s="1"/>
        <n x="7" s="1"/>
        <n x="67" s="1"/>
        <n x="3" s="1"/>
        <n x="6" s="1"/>
        <n x="68"/>
        <n x="75"/>
        <n x="49"/>
      </t>
    </mdx>
    <mdx n="0" f="v">
      <t c="8">
        <n x="4" s="1"/>
        <n x="7" s="1"/>
        <n x="67" s="1"/>
        <n x="3" s="1"/>
        <n x="6" s="1"/>
        <n x="68"/>
        <n x="75"/>
        <n x="50"/>
      </t>
    </mdx>
    <mdx n="0" f="v">
      <t c="8">
        <n x="4" s="1"/>
        <n x="7" s="1"/>
        <n x="67" s="1"/>
        <n x="3" s="1"/>
        <n x="6" s="1"/>
        <n x="68"/>
        <n x="75"/>
        <n x="51"/>
      </t>
    </mdx>
    <mdx n="0" f="v">
      <t c="8">
        <n x="4" s="1"/>
        <n x="7" s="1"/>
        <n x="67" s="1"/>
        <n x="3" s="1"/>
        <n x="6" s="1"/>
        <n x="68"/>
        <n x="75"/>
        <n x="52"/>
      </t>
    </mdx>
    <mdx n="0" f="v">
      <t c="8">
        <n x="4" s="1"/>
        <n x="7" s="1"/>
        <n x="67" s="1"/>
        <n x="3" s="1"/>
        <n x="6" s="1"/>
        <n x="68"/>
        <n x="75"/>
        <n x="53"/>
      </t>
    </mdx>
    <mdx n="0" f="v">
      <t c="8">
        <n x="4" s="1"/>
        <n x="7" s="1"/>
        <n x="67" s="1"/>
        <n x="3" s="1"/>
        <n x="6" s="1"/>
        <n x="68"/>
        <n x="75"/>
        <n x="54"/>
      </t>
    </mdx>
    <mdx n="0" f="v">
      <t c="8">
        <n x="4" s="1"/>
        <n x="7" s="1"/>
        <n x="67" s="1"/>
        <n x="3" s="1"/>
        <n x="6" s="1"/>
        <n x="68"/>
        <n x="75"/>
        <n x="55"/>
      </t>
    </mdx>
    <mdx n="0" f="v">
      <t c="8">
        <n x="4" s="1"/>
        <n x="7" s="1"/>
        <n x="67" s="1"/>
        <n x="3" s="1"/>
        <n x="6" s="1"/>
        <n x="68"/>
        <n x="75"/>
        <n x="56"/>
      </t>
    </mdx>
    <mdx n="0" f="v">
      <t c="8">
        <n x="4" s="1"/>
        <n x="7" s="1"/>
        <n x="67" s="1"/>
        <n x="3" s="1"/>
        <n x="6" s="1"/>
        <n x="68"/>
        <n x="75"/>
        <n x="57"/>
      </t>
    </mdx>
    <mdx n="0" f="v">
      <t c="8">
        <n x="4" s="1"/>
        <n x="7" s="1"/>
        <n x="67" s="1"/>
        <n x="3" s="1"/>
        <n x="6" s="1"/>
        <n x="68"/>
        <n x="75"/>
        <n x="58"/>
      </t>
    </mdx>
    <mdx n="0" f="v">
      <t c="8">
        <n x="4" s="1"/>
        <n x="7" s="1"/>
        <n x="67" s="1"/>
        <n x="3" s="1"/>
        <n x="6" s="1"/>
        <n x="68"/>
        <n x="75"/>
        <n x="59"/>
      </t>
    </mdx>
    <mdx n="0" f="v">
      <t c="8">
        <n x="4" s="1"/>
        <n x="7" s="1"/>
        <n x="67" s="1"/>
        <n x="3" s="1"/>
        <n x="6" s="1"/>
        <n x="68"/>
        <n x="75"/>
        <n x="60"/>
      </t>
    </mdx>
    <mdx n="0" f="v">
      <t c="8">
        <n x="4" s="1"/>
        <n x="7" s="1"/>
        <n x="67" s="1"/>
        <n x="3" s="1"/>
        <n x="6" s="1"/>
        <n x="68"/>
        <n x="75"/>
        <n x="61"/>
      </t>
    </mdx>
    <mdx n="0" f="v">
      <t c="8">
        <n x="4" s="1"/>
        <n x="7" s="1"/>
        <n x="67" s="1"/>
        <n x="3" s="1"/>
        <n x="6" s="1"/>
        <n x="68"/>
        <n x="75"/>
        <n x="62"/>
      </t>
    </mdx>
    <mdx n="0" f="v">
      <t c="8">
        <n x="4" s="1"/>
        <n x="7" s="1"/>
        <n x="67" s="1"/>
        <n x="3" s="1"/>
        <n x="6" s="1"/>
        <n x="68"/>
        <n x="75"/>
        <n x="63"/>
      </t>
    </mdx>
    <mdx n="0" f="v">
      <t c="8">
        <n x="4" s="1"/>
        <n x="7" s="1"/>
        <n x="67" s="1"/>
        <n x="3" s="1"/>
        <n x="6" s="1"/>
        <n x="68"/>
        <n x="75"/>
        <n x="64"/>
      </t>
    </mdx>
    <mdx n="0" f="v">
      <t c="8">
        <n x="4" s="1"/>
        <n x="7" s="1"/>
        <n x="67" s="1"/>
        <n x="3" s="1"/>
        <n x="6" s="1"/>
        <n x="68"/>
        <n x="75"/>
        <n x="65"/>
      </t>
    </mdx>
    <mdx n="0" f="v">
      <t c="8">
        <n x="4" s="1"/>
        <n x="7" s="1"/>
        <n x="67" s="1"/>
        <n x="3" s="1"/>
        <n x="6" s="1"/>
        <n x="68"/>
        <n x="75"/>
        <n x="66"/>
      </t>
    </mdx>
    <mdx n="0" f="m">
      <t c="1">
        <n x="76"/>
      </t>
    </mdx>
    <mdx n="0" f="v">
      <t c="8">
        <n x="4" s="1"/>
        <n x="7" s="1"/>
        <n x="67" s="1"/>
        <n x="3" s="1"/>
        <n x="6" s="1"/>
        <n x="68"/>
        <n x="76"/>
        <n x="8"/>
      </t>
    </mdx>
    <mdx n="0" f="v">
      <t c="8">
        <n x="4" s="1"/>
        <n x="7" s="1"/>
        <n x="67" s="1"/>
        <n x="3" s="1"/>
        <n x="6" s="1"/>
        <n x="68"/>
        <n x="76"/>
        <n x="9"/>
      </t>
    </mdx>
    <mdx n="0" f="v">
      <t c="8">
        <n x="4" s="1"/>
        <n x="7" s="1"/>
        <n x="67" s="1"/>
        <n x="3" s="1"/>
        <n x="6" s="1"/>
        <n x="68"/>
        <n x="76"/>
        <n x="10"/>
      </t>
    </mdx>
    <mdx n="0" f="v">
      <t c="8">
        <n x="4" s="1"/>
        <n x="7" s="1"/>
        <n x="67" s="1"/>
        <n x="3" s="1"/>
        <n x="6" s="1"/>
        <n x="68"/>
        <n x="76"/>
        <n x="11"/>
      </t>
    </mdx>
    <mdx n="0" f="v">
      <t c="8">
        <n x="4" s="1"/>
        <n x="7" s="1"/>
        <n x="67" s="1"/>
        <n x="3" s="1"/>
        <n x="6" s="1"/>
        <n x="68"/>
        <n x="76"/>
        <n x="12"/>
      </t>
    </mdx>
    <mdx n="0" f="v">
      <t c="8">
        <n x="4" s="1"/>
        <n x="7" s="1"/>
        <n x="67" s="1"/>
        <n x="3" s="1"/>
        <n x="6" s="1"/>
        <n x="68"/>
        <n x="76"/>
        <n x="13"/>
      </t>
    </mdx>
    <mdx n="0" f="v">
      <t c="8">
        <n x="4" s="1"/>
        <n x="7" s="1"/>
        <n x="67" s="1"/>
        <n x="3" s="1"/>
        <n x="6" s="1"/>
        <n x="68"/>
        <n x="76"/>
        <n x="14"/>
      </t>
    </mdx>
    <mdx n="0" f="v">
      <t c="8">
        <n x="4" s="1"/>
        <n x="7" s="1"/>
        <n x="67" s="1"/>
        <n x="3" s="1"/>
        <n x="6" s="1"/>
        <n x="68"/>
        <n x="76"/>
        <n x="15"/>
      </t>
    </mdx>
    <mdx n="0" f="v">
      <t c="8">
        <n x="4" s="1"/>
        <n x="7" s="1"/>
        <n x="67" s="1"/>
        <n x="3" s="1"/>
        <n x="6" s="1"/>
        <n x="68"/>
        <n x="76"/>
        <n x="16"/>
      </t>
    </mdx>
    <mdx n="0" f="v">
      <t c="8">
        <n x="4" s="1"/>
        <n x="7" s="1"/>
        <n x="67" s="1"/>
        <n x="3" s="1"/>
        <n x="6" s="1"/>
        <n x="68"/>
        <n x="76"/>
        <n x="17"/>
      </t>
    </mdx>
    <mdx n="0" f="v">
      <t c="8">
        <n x="4" s="1"/>
        <n x="7" s="1"/>
        <n x="67" s="1"/>
        <n x="3" s="1"/>
        <n x="6" s="1"/>
        <n x="68"/>
        <n x="76"/>
        <n x="18"/>
      </t>
    </mdx>
    <mdx n="0" f="v">
      <t c="8">
        <n x="4" s="1"/>
        <n x="7" s="1"/>
        <n x="67" s="1"/>
        <n x="3" s="1"/>
        <n x="6" s="1"/>
        <n x="68"/>
        <n x="76"/>
        <n x="19"/>
      </t>
    </mdx>
    <mdx n="0" f="v">
      <t c="8">
        <n x="4" s="1"/>
        <n x="7" s="1"/>
        <n x="67" s="1"/>
        <n x="3" s="1"/>
        <n x="6" s="1"/>
        <n x="68"/>
        <n x="76"/>
        <n x="20"/>
      </t>
    </mdx>
    <mdx n="0" f="v">
      <t c="8">
        <n x="4" s="1"/>
        <n x="7" s="1"/>
        <n x="67" s="1"/>
        <n x="3" s="1"/>
        <n x="6" s="1"/>
        <n x="68"/>
        <n x="76"/>
        <n x="21"/>
      </t>
    </mdx>
    <mdx n="0" f="v">
      <t c="8">
        <n x="4" s="1"/>
        <n x="7" s="1"/>
        <n x="67" s="1"/>
        <n x="3" s="1"/>
        <n x="6" s="1"/>
        <n x="68"/>
        <n x="76"/>
        <n x="22"/>
      </t>
    </mdx>
    <mdx n="0" f="v">
      <t c="8">
        <n x="4" s="1"/>
        <n x="7" s="1"/>
        <n x="67" s="1"/>
        <n x="3" s="1"/>
        <n x="6" s="1"/>
        <n x="68"/>
        <n x="76"/>
        <n x="23"/>
      </t>
    </mdx>
    <mdx n="0" f="v">
      <t c="8">
        <n x="4" s="1"/>
        <n x="7" s="1"/>
        <n x="67" s="1"/>
        <n x="3" s="1"/>
        <n x="6" s="1"/>
        <n x="68"/>
        <n x="76"/>
        <n x="24"/>
      </t>
    </mdx>
    <mdx n="0" f="v">
      <t c="8">
        <n x="4" s="1"/>
        <n x="7" s="1"/>
        <n x="67" s="1"/>
        <n x="3" s="1"/>
        <n x="6" s="1"/>
        <n x="68"/>
        <n x="76"/>
        <n x="25"/>
      </t>
    </mdx>
    <mdx n="0" f="v">
      <t c="8">
        <n x="4" s="1"/>
        <n x="7" s="1"/>
        <n x="67" s="1"/>
        <n x="3" s="1"/>
        <n x="6" s="1"/>
        <n x="68"/>
        <n x="76"/>
        <n x="26"/>
      </t>
    </mdx>
    <mdx n="0" f="v">
      <t c="8">
        <n x="4" s="1"/>
        <n x="7" s="1"/>
        <n x="67" s="1"/>
        <n x="3" s="1"/>
        <n x="6" s="1"/>
        <n x="68"/>
        <n x="76"/>
        <n x="27"/>
      </t>
    </mdx>
    <mdx n="0" f="v">
      <t c="8">
        <n x="4" s="1"/>
        <n x="7" s="1"/>
        <n x="67" s="1"/>
        <n x="3" s="1"/>
        <n x="6" s="1"/>
        <n x="68"/>
        <n x="76"/>
        <n x="28"/>
      </t>
    </mdx>
    <mdx n="0" f="v">
      <t c="8">
        <n x="4" s="1"/>
        <n x="7" s="1"/>
        <n x="67" s="1"/>
        <n x="3" s="1"/>
        <n x="6" s="1"/>
        <n x="68"/>
        <n x="76"/>
        <n x="29"/>
      </t>
    </mdx>
    <mdx n="0" f="v">
      <t c="8">
        <n x="4" s="1"/>
        <n x="7" s="1"/>
        <n x="67" s="1"/>
        <n x="3" s="1"/>
        <n x="6" s="1"/>
        <n x="68"/>
        <n x="76"/>
        <n x="30"/>
      </t>
    </mdx>
    <mdx n="0" f="v">
      <t c="8">
        <n x="4" s="1"/>
        <n x="7" s="1"/>
        <n x="67" s="1"/>
        <n x="3" s="1"/>
        <n x="6" s="1"/>
        <n x="68"/>
        <n x="76"/>
        <n x="31"/>
      </t>
    </mdx>
    <mdx n="0" f="v">
      <t c="8">
        <n x="4" s="1"/>
        <n x="7" s="1"/>
        <n x="67" s="1"/>
        <n x="3" s="1"/>
        <n x="6" s="1"/>
        <n x="68"/>
        <n x="76"/>
        <n x="32"/>
      </t>
    </mdx>
    <mdx n="0" f="v">
      <t c="8">
        <n x="4" s="1"/>
        <n x="7" s="1"/>
        <n x="67" s="1"/>
        <n x="3" s="1"/>
        <n x="6" s="1"/>
        <n x="68"/>
        <n x="76"/>
        <n x="33"/>
      </t>
    </mdx>
    <mdx n="0" f="v">
      <t c="8">
        <n x="4" s="1"/>
        <n x="7" s="1"/>
        <n x="67" s="1"/>
        <n x="3" s="1"/>
        <n x="6" s="1"/>
        <n x="68"/>
        <n x="76"/>
        <n x="34"/>
      </t>
    </mdx>
    <mdx n="0" f="v">
      <t c="8">
        <n x="4" s="1"/>
        <n x="7" s="1"/>
        <n x="67" s="1"/>
        <n x="3" s="1"/>
        <n x="6" s="1"/>
        <n x="68"/>
        <n x="76"/>
        <n x="35"/>
      </t>
    </mdx>
    <mdx n="0" f="v">
      <t c="8">
        <n x="4" s="1"/>
        <n x="7" s="1"/>
        <n x="67" s="1"/>
        <n x="3" s="1"/>
        <n x="6" s="1"/>
        <n x="68"/>
        <n x="76"/>
        <n x="36"/>
      </t>
    </mdx>
    <mdx n="0" f="v">
      <t c="8">
        <n x="4" s="1"/>
        <n x="7" s="1"/>
        <n x="67" s="1"/>
        <n x="3" s="1"/>
        <n x="6" s="1"/>
        <n x="68"/>
        <n x="76"/>
        <n x="37"/>
      </t>
    </mdx>
    <mdx n="0" f="v">
      <t c="8">
        <n x="4" s="1"/>
        <n x="7" s="1"/>
        <n x="67" s="1"/>
        <n x="3" s="1"/>
        <n x="6" s="1"/>
        <n x="68"/>
        <n x="76"/>
        <n x="38"/>
      </t>
    </mdx>
    <mdx n="0" f="v">
      <t c="8">
        <n x="4" s="1"/>
        <n x="7" s="1"/>
        <n x="67" s="1"/>
        <n x="3" s="1"/>
        <n x="6" s="1"/>
        <n x="68"/>
        <n x="76"/>
        <n x="39"/>
      </t>
    </mdx>
    <mdx n="0" f="v">
      <t c="8">
        <n x="4" s="1"/>
        <n x="7" s="1"/>
        <n x="67" s="1"/>
        <n x="3" s="1"/>
        <n x="6" s="1"/>
        <n x="68"/>
        <n x="76"/>
        <n x="40"/>
      </t>
    </mdx>
    <mdx n="0" f="v">
      <t c="8">
        <n x="4" s="1"/>
        <n x="7" s="1"/>
        <n x="67" s="1"/>
        <n x="3" s="1"/>
        <n x="6" s="1"/>
        <n x="68"/>
        <n x="76"/>
        <n x="41"/>
      </t>
    </mdx>
    <mdx n="0" f="v">
      <t c="8">
        <n x="4" s="1"/>
        <n x="7" s="1"/>
        <n x="67" s="1"/>
        <n x="3" s="1"/>
        <n x="6" s="1"/>
        <n x="68"/>
        <n x="76"/>
        <n x="42"/>
      </t>
    </mdx>
    <mdx n="0" f="v">
      <t c="8">
        <n x="4" s="1"/>
        <n x="7" s="1"/>
        <n x="67" s="1"/>
        <n x="3" s="1"/>
        <n x="6" s="1"/>
        <n x="68"/>
        <n x="76"/>
        <n x="43"/>
      </t>
    </mdx>
    <mdx n="0" f="v">
      <t c="8">
        <n x="4" s="1"/>
        <n x="7" s="1"/>
        <n x="67" s="1"/>
        <n x="3" s="1"/>
        <n x="6" s="1"/>
        <n x="68"/>
        <n x="76"/>
        <n x="44"/>
      </t>
    </mdx>
    <mdx n="0" f="v">
      <t c="8">
        <n x="4" s="1"/>
        <n x="7" s="1"/>
        <n x="67" s="1"/>
        <n x="3" s="1"/>
        <n x="6" s="1"/>
        <n x="68"/>
        <n x="76"/>
        <n x="45"/>
      </t>
    </mdx>
    <mdx n="0" f="v">
      <t c="8">
        <n x="4" s="1"/>
        <n x="7" s="1"/>
        <n x="67" s="1"/>
        <n x="3" s="1"/>
        <n x="6" s="1"/>
        <n x="68"/>
        <n x="76"/>
        <n x="46"/>
      </t>
    </mdx>
    <mdx n="0" f="v">
      <t c="8">
        <n x="4" s="1"/>
        <n x="7" s="1"/>
        <n x="67" s="1"/>
        <n x="3" s="1"/>
        <n x="6" s="1"/>
        <n x="68"/>
        <n x="76"/>
        <n x="47"/>
      </t>
    </mdx>
    <mdx n="0" f="v">
      <t c="8">
        <n x="4" s="1"/>
        <n x="7" s="1"/>
        <n x="67" s="1"/>
        <n x="3" s="1"/>
        <n x="6" s="1"/>
        <n x="68"/>
        <n x="76"/>
        <n x="48"/>
      </t>
    </mdx>
    <mdx n="0" f="v">
      <t c="8">
        <n x="4" s="1"/>
        <n x="7" s="1"/>
        <n x="67" s="1"/>
        <n x="3" s="1"/>
        <n x="6" s="1"/>
        <n x="68"/>
        <n x="76"/>
        <n x="49"/>
      </t>
    </mdx>
    <mdx n="0" f="v">
      <t c="8">
        <n x="4" s="1"/>
        <n x="7" s="1"/>
        <n x="67" s="1"/>
        <n x="3" s="1"/>
        <n x="6" s="1"/>
        <n x="68"/>
        <n x="76"/>
        <n x="50"/>
      </t>
    </mdx>
    <mdx n="0" f="v">
      <t c="8">
        <n x="4" s="1"/>
        <n x="7" s="1"/>
        <n x="67" s="1"/>
        <n x="3" s="1"/>
        <n x="6" s="1"/>
        <n x="68"/>
        <n x="76"/>
        <n x="51"/>
      </t>
    </mdx>
    <mdx n="0" f="v">
      <t c="8">
        <n x="4" s="1"/>
        <n x="7" s="1"/>
        <n x="67" s="1"/>
        <n x="3" s="1"/>
        <n x="6" s="1"/>
        <n x="68"/>
        <n x="76"/>
        <n x="52"/>
      </t>
    </mdx>
    <mdx n="0" f="v">
      <t c="8">
        <n x="4" s="1"/>
        <n x="7" s="1"/>
        <n x="67" s="1"/>
        <n x="3" s="1"/>
        <n x="6" s="1"/>
        <n x="68"/>
        <n x="76"/>
        <n x="53"/>
      </t>
    </mdx>
    <mdx n="0" f="v">
      <t c="8">
        <n x="4" s="1"/>
        <n x="7" s="1"/>
        <n x="67" s="1"/>
        <n x="3" s="1"/>
        <n x="6" s="1"/>
        <n x="68"/>
        <n x="76"/>
        <n x="54"/>
      </t>
    </mdx>
    <mdx n="0" f="v">
      <t c="8">
        <n x="4" s="1"/>
        <n x="7" s="1"/>
        <n x="67" s="1"/>
        <n x="3" s="1"/>
        <n x="6" s="1"/>
        <n x="68"/>
        <n x="76"/>
        <n x="55"/>
      </t>
    </mdx>
    <mdx n="0" f="v">
      <t c="8">
        <n x="4" s="1"/>
        <n x="7" s="1"/>
        <n x="67" s="1"/>
        <n x="3" s="1"/>
        <n x="6" s="1"/>
        <n x="68"/>
        <n x="76"/>
        <n x="56"/>
      </t>
    </mdx>
    <mdx n="0" f="v">
      <t c="8">
        <n x="4" s="1"/>
        <n x="7" s="1"/>
        <n x="67" s="1"/>
        <n x="3" s="1"/>
        <n x="6" s="1"/>
        <n x="68"/>
        <n x="76"/>
        <n x="57"/>
      </t>
    </mdx>
    <mdx n="0" f="v">
      <t c="8">
        <n x="4" s="1"/>
        <n x="7" s="1"/>
        <n x="67" s="1"/>
        <n x="3" s="1"/>
        <n x="6" s="1"/>
        <n x="68"/>
        <n x="76"/>
        <n x="58"/>
      </t>
    </mdx>
    <mdx n="0" f="v">
      <t c="8">
        <n x="4" s="1"/>
        <n x="7" s="1"/>
        <n x="67" s="1"/>
        <n x="3" s="1"/>
        <n x="6" s="1"/>
        <n x="68"/>
        <n x="76"/>
        <n x="59"/>
      </t>
    </mdx>
    <mdx n="0" f="v">
      <t c="8">
        <n x="4" s="1"/>
        <n x="7" s="1"/>
        <n x="67" s="1"/>
        <n x="3" s="1"/>
        <n x="6" s="1"/>
        <n x="68"/>
        <n x="76"/>
        <n x="60"/>
      </t>
    </mdx>
    <mdx n="0" f="v">
      <t c="8">
        <n x="4" s="1"/>
        <n x="7" s="1"/>
        <n x="67" s="1"/>
        <n x="3" s="1"/>
        <n x="6" s="1"/>
        <n x="68"/>
        <n x="76"/>
        <n x="61"/>
      </t>
    </mdx>
    <mdx n="0" f="v">
      <t c="8">
        <n x="4" s="1"/>
        <n x="7" s="1"/>
        <n x="67" s="1"/>
        <n x="3" s="1"/>
        <n x="6" s="1"/>
        <n x="68"/>
        <n x="76"/>
        <n x="62"/>
      </t>
    </mdx>
    <mdx n="0" f="v">
      <t c="8">
        <n x="4" s="1"/>
        <n x="7" s="1"/>
        <n x="67" s="1"/>
        <n x="3" s="1"/>
        <n x="6" s="1"/>
        <n x="68"/>
        <n x="76"/>
        <n x="63"/>
      </t>
    </mdx>
    <mdx n="0" f="v">
      <t c="8">
        <n x="4" s="1"/>
        <n x="7" s="1"/>
        <n x="67" s="1"/>
        <n x="3" s="1"/>
        <n x="6" s="1"/>
        <n x="68"/>
        <n x="76"/>
        <n x="64"/>
      </t>
    </mdx>
    <mdx n="0" f="v">
      <t c="8">
        <n x="4" s="1"/>
        <n x="7" s="1"/>
        <n x="67" s="1"/>
        <n x="3" s="1"/>
        <n x="6" s="1"/>
        <n x="68"/>
        <n x="76"/>
        <n x="65"/>
      </t>
    </mdx>
    <mdx n="0" f="v">
      <t c="8">
        <n x="4" s="1"/>
        <n x="7" s="1"/>
        <n x="67" s="1"/>
        <n x="3" s="1"/>
        <n x="6" s="1"/>
        <n x="68"/>
        <n x="76"/>
        <n x="66"/>
      </t>
    </mdx>
    <mdx n="0" f="m">
      <t c="1">
        <n x="77"/>
      </t>
    </mdx>
    <mdx n="0" f="v">
      <t c="8">
        <n x="4" s="1"/>
        <n x="7" s="1"/>
        <n x="67" s="1"/>
        <n x="3" s="1"/>
        <n x="6" s="1"/>
        <n x="68"/>
        <n x="77"/>
        <n x="8"/>
      </t>
    </mdx>
    <mdx n="0" f="v">
      <t c="8">
        <n x="4" s="1"/>
        <n x="7" s="1"/>
        <n x="67" s="1"/>
        <n x="3" s="1"/>
        <n x="6" s="1"/>
        <n x="68"/>
        <n x="77"/>
        <n x="9"/>
      </t>
    </mdx>
    <mdx n="0" f="v">
      <t c="8">
        <n x="4" s="1"/>
        <n x="7" s="1"/>
        <n x="67" s="1"/>
        <n x="3" s="1"/>
        <n x="6" s="1"/>
        <n x="68"/>
        <n x="77"/>
        <n x="10"/>
      </t>
    </mdx>
    <mdx n="0" f="v">
      <t c="8">
        <n x="4" s="1"/>
        <n x="7" s="1"/>
        <n x="67" s="1"/>
        <n x="3" s="1"/>
        <n x="6" s="1"/>
        <n x="68"/>
        <n x="77"/>
        <n x="11"/>
      </t>
    </mdx>
    <mdx n="0" f="v">
      <t c="8">
        <n x="4" s="1"/>
        <n x="7" s="1"/>
        <n x="67" s="1"/>
        <n x="3" s="1"/>
        <n x="6" s="1"/>
        <n x="68"/>
        <n x="77"/>
        <n x="12"/>
      </t>
    </mdx>
    <mdx n="0" f="v">
      <t c="8">
        <n x="4" s="1"/>
        <n x="7" s="1"/>
        <n x="67" s="1"/>
        <n x="3" s="1"/>
        <n x="6" s="1"/>
        <n x="68"/>
        <n x="77"/>
        <n x="13"/>
      </t>
    </mdx>
    <mdx n="0" f="v">
      <t c="8">
        <n x="4" s="1"/>
        <n x="7" s="1"/>
        <n x="67" s="1"/>
        <n x="3" s="1"/>
        <n x="6" s="1"/>
        <n x="68"/>
        <n x="77"/>
        <n x="14"/>
      </t>
    </mdx>
    <mdx n="0" f="v">
      <t c="8">
        <n x="4" s="1"/>
        <n x="7" s="1"/>
        <n x="67" s="1"/>
        <n x="3" s="1"/>
        <n x="6" s="1"/>
        <n x="68"/>
        <n x="77"/>
        <n x="15"/>
      </t>
    </mdx>
    <mdx n="0" f="v">
      <t c="8">
        <n x="4" s="1"/>
        <n x="7" s="1"/>
        <n x="67" s="1"/>
        <n x="3" s="1"/>
        <n x="6" s="1"/>
        <n x="68"/>
        <n x="77"/>
        <n x="16"/>
      </t>
    </mdx>
    <mdx n="0" f="v">
      <t c="8">
        <n x="4" s="1"/>
        <n x="7" s="1"/>
        <n x="67" s="1"/>
        <n x="3" s="1"/>
        <n x="6" s="1"/>
        <n x="68"/>
        <n x="77"/>
        <n x="17"/>
      </t>
    </mdx>
    <mdx n="0" f="v">
      <t c="8">
        <n x="4" s="1"/>
        <n x="7" s="1"/>
        <n x="67" s="1"/>
        <n x="3" s="1"/>
        <n x="6" s="1"/>
        <n x="68"/>
        <n x="77"/>
        <n x="18"/>
      </t>
    </mdx>
    <mdx n="0" f="v">
      <t c="8">
        <n x="4" s="1"/>
        <n x="7" s="1"/>
        <n x="67" s="1"/>
        <n x="3" s="1"/>
        <n x="6" s="1"/>
        <n x="68"/>
        <n x="77"/>
        <n x="19"/>
      </t>
    </mdx>
    <mdx n="0" f="v">
      <t c="8">
        <n x="4" s="1"/>
        <n x="7" s="1"/>
        <n x="67" s="1"/>
        <n x="3" s="1"/>
        <n x="6" s="1"/>
        <n x="68"/>
        <n x="77"/>
        <n x="20"/>
      </t>
    </mdx>
    <mdx n="0" f="v">
      <t c="8">
        <n x="4" s="1"/>
        <n x="7" s="1"/>
        <n x="67" s="1"/>
        <n x="3" s="1"/>
        <n x="6" s="1"/>
        <n x="68"/>
        <n x="77"/>
        <n x="21"/>
      </t>
    </mdx>
    <mdx n="0" f="v">
      <t c="8">
        <n x="4" s="1"/>
        <n x="7" s="1"/>
        <n x="67" s="1"/>
        <n x="3" s="1"/>
        <n x="6" s="1"/>
        <n x="68"/>
        <n x="77"/>
        <n x="22"/>
      </t>
    </mdx>
    <mdx n="0" f="v">
      <t c="8">
        <n x="4" s="1"/>
        <n x="7" s="1"/>
        <n x="67" s="1"/>
        <n x="3" s="1"/>
        <n x="6" s="1"/>
        <n x="68"/>
        <n x="77"/>
        <n x="23"/>
      </t>
    </mdx>
    <mdx n="0" f="v">
      <t c="8">
        <n x="4" s="1"/>
        <n x="7" s="1"/>
        <n x="67" s="1"/>
        <n x="3" s="1"/>
        <n x="6" s="1"/>
        <n x="68"/>
        <n x="77"/>
        <n x="24"/>
      </t>
    </mdx>
    <mdx n="0" f="v">
      <t c="8">
        <n x="4" s="1"/>
        <n x="7" s="1"/>
        <n x="67" s="1"/>
        <n x="3" s="1"/>
        <n x="6" s="1"/>
        <n x="68"/>
        <n x="77"/>
        <n x="25"/>
      </t>
    </mdx>
    <mdx n="0" f="v">
      <t c="8">
        <n x="4" s="1"/>
        <n x="7" s="1"/>
        <n x="67" s="1"/>
        <n x="3" s="1"/>
        <n x="6" s="1"/>
        <n x="68"/>
        <n x="77"/>
        <n x="26"/>
      </t>
    </mdx>
    <mdx n="0" f="v">
      <t c="8">
        <n x="4" s="1"/>
        <n x="7" s="1"/>
        <n x="67" s="1"/>
        <n x="3" s="1"/>
        <n x="6" s="1"/>
        <n x="68"/>
        <n x="77"/>
        <n x="27"/>
      </t>
    </mdx>
    <mdx n="0" f="v">
      <t c="8">
        <n x="4" s="1"/>
        <n x="7" s="1"/>
        <n x="67" s="1"/>
        <n x="3" s="1"/>
        <n x="6" s="1"/>
        <n x="68"/>
        <n x="77"/>
        <n x="28"/>
      </t>
    </mdx>
    <mdx n="0" f="v">
      <t c="8">
        <n x="4" s="1"/>
        <n x="7" s="1"/>
        <n x="67" s="1"/>
        <n x="3" s="1"/>
        <n x="6" s="1"/>
        <n x="68"/>
        <n x="77"/>
        <n x="29"/>
      </t>
    </mdx>
    <mdx n="0" f="v">
      <t c="8">
        <n x="4" s="1"/>
        <n x="7" s="1"/>
        <n x="67" s="1"/>
        <n x="3" s="1"/>
        <n x="6" s="1"/>
        <n x="68"/>
        <n x="77"/>
        <n x="30"/>
      </t>
    </mdx>
    <mdx n="0" f="v">
      <t c="8">
        <n x="4" s="1"/>
        <n x="7" s="1"/>
        <n x="67" s="1"/>
        <n x="3" s="1"/>
        <n x="6" s="1"/>
        <n x="68"/>
        <n x="77"/>
        <n x="31"/>
      </t>
    </mdx>
    <mdx n="0" f="v">
      <t c="8">
        <n x="4" s="1"/>
        <n x="7" s="1"/>
        <n x="67" s="1"/>
        <n x="3" s="1"/>
        <n x="6" s="1"/>
        <n x="68"/>
        <n x="77"/>
        <n x="32"/>
      </t>
    </mdx>
    <mdx n="0" f="v">
      <t c="8">
        <n x="4" s="1"/>
        <n x="7" s="1"/>
        <n x="67" s="1"/>
        <n x="3" s="1"/>
        <n x="6" s="1"/>
        <n x="68"/>
        <n x="77"/>
        <n x="33"/>
      </t>
    </mdx>
    <mdx n="0" f="v">
      <t c="8">
        <n x="4" s="1"/>
        <n x="7" s="1"/>
        <n x="67" s="1"/>
        <n x="3" s="1"/>
        <n x="6" s="1"/>
        <n x="68"/>
        <n x="77"/>
        <n x="34"/>
      </t>
    </mdx>
    <mdx n="0" f="v">
      <t c="8">
        <n x="4" s="1"/>
        <n x="7" s="1"/>
        <n x="67" s="1"/>
        <n x="3" s="1"/>
        <n x="6" s="1"/>
        <n x="68"/>
        <n x="77"/>
        <n x="35"/>
      </t>
    </mdx>
    <mdx n="0" f="v">
      <t c="8">
        <n x="4" s="1"/>
        <n x="7" s="1"/>
        <n x="67" s="1"/>
        <n x="3" s="1"/>
        <n x="6" s="1"/>
        <n x="68"/>
        <n x="77"/>
        <n x="36"/>
      </t>
    </mdx>
    <mdx n="0" f="v">
      <t c="8">
        <n x="4" s="1"/>
        <n x="7" s="1"/>
        <n x="67" s="1"/>
        <n x="3" s="1"/>
        <n x="6" s="1"/>
        <n x="68"/>
        <n x="77"/>
        <n x="37"/>
      </t>
    </mdx>
    <mdx n="0" f="v">
      <t c="8">
        <n x="4" s="1"/>
        <n x="7" s="1"/>
        <n x="67" s="1"/>
        <n x="3" s="1"/>
        <n x="6" s="1"/>
        <n x="68"/>
        <n x="77"/>
        <n x="38"/>
      </t>
    </mdx>
    <mdx n="0" f="v">
      <t c="8">
        <n x="4" s="1"/>
        <n x="7" s="1"/>
        <n x="67" s="1"/>
        <n x="3" s="1"/>
        <n x="6" s="1"/>
        <n x="68"/>
        <n x="77"/>
        <n x="39"/>
      </t>
    </mdx>
    <mdx n="0" f="v">
      <t c="8">
        <n x="4" s="1"/>
        <n x="7" s="1"/>
        <n x="67" s="1"/>
        <n x="3" s="1"/>
        <n x="6" s="1"/>
        <n x="68"/>
        <n x="77"/>
        <n x="40"/>
      </t>
    </mdx>
    <mdx n="0" f="v">
      <t c="8">
        <n x="4" s="1"/>
        <n x="7" s="1"/>
        <n x="67" s="1"/>
        <n x="3" s="1"/>
        <n x="6" s="1"/>
        <n x="68"/>
        <n x="77"/>
        <n x="41"/>
      </t>
    </mdx>
    <mdx n="0" f="v">
      <t c="8">
        <n x="4" s="1"/>
        <n x="7" s="1"/>
        <n x="67" s="1"/>
        <n x="3" s="1"/>
        <n x="6" s="1"/>
        <n x="68"/>
        <n x="77"/>
        <n x="42"/>
      </t>
    </mdx>
    <mdx n="0" f="v">
      <t c="8">
        <n x="4" s="1"/>
        <n x="7" s="1"/>
        <n x="67" s="1"/>
        <n x="3" s="1"/>
        <n x="6" s="1"/>
        <n x="68"/>
        <n x="77"/>
        <n x="43"/>
      </t>
    </mdx>
    <mdx n="0" f="v">
      <t c="8">
        <n x="4" s="1"/>
        <n x="7" s="1"/>
        <n x="67" s="1"/>
        <n x="3" s="1"/>
        <n x="6" s="1"/>
        <n x="68"/>
        <n x="77"/>
        <n x="44"/>
      </t>
    </mdx>
    <mdx n="0" f="v">
      <t c="8">
        <n x="4" s="1"/>
        <n x="7" s="1"/>
        <n x="67" s="1"/>
        <n x="3" s="1"/>
        <n x="6" s="1"/>
        <n x="68"/>
        <n x="77"/>
        <n x="45"/>
      </t>
    </mdx>
    <mdx n="0" f="v">
      <t c="8">
        <n x="4" s="1"/>
        <n x="7" s="1"/>
        <n x="67" s="1"/>
        <n x="3" s="1"/>
        <n x="6" s="1"/>
        <n x="68"/>
        <n x="77"/>
        <n x="46"/>
      </t>
    </mdx>
    <mdx n="0" f="v">
      <t c="8">
        <n x="4" s="1"/>
        <n x="7" s="1"/>
        <n x="67" s="1"/>
        <n x="3" s="1"/>
        <n x="6" s="1"/>
        <n x="68"/>
        <n x="77"/>
        <n x="47"/>
      </t>
    </mdx>
    <mdx n="0" f="v">
      <t c="8">
        <n x="4" s="1"/>
        <n x="7" s="1"/>
        <n x="67" s="1"/>
        <n x="3" s="1"/>
        <n x="6" s="1"/>
        <n x="68"/>
        <n x="77"/>
        <n x="48"/>
      </t>
    </mdx>
    <mdx n="0" f="v">
      <t c="8">
        <n x="4" s="1"/>
        <n x="7" s="1"/>
        <n x="67" s="1"/>
        <n x="3" s="1"/>
        <n x="6" s="1"/>
        <n x="68"/>
        <n x="77"/>
        <n x="49"/>
      </t>
    </mdx>
    <mdx n="0" f="v">
      <t c="8">
        <n x="4" s="1"/>
        <n x="7" s="1"/>
        <n x="67" s="1"/>
        <n x="3" s="1"/>
        <n x="6" s="1"/>
        <n x="68"/>
        <n x="77"/>
        <n x="50"/>
      </t>
    </mdx>
    <mdx n="0" f="v">
      <t c="8">
        <n x="4" s="1"/>
        <n x="7" s="1"/>
        <n x="67" s="1"/>
        <n x="3" s="1"/>
        <n x="6" s="1"/>
        <n x="68"/>
        <n x="77"/>
        <n x="51"/>
      </t>
    </mdx>
    <mdx n="0" f="v">
      <t c="8">
        <n x="4" s="1"/>
        <n x="7" s="1"/>
        <n x="67" s="1"/>
        <n x="3" s="1"/>
        <n x="6" s="1"/>
        <n x="68"/>
        <n x="77"/>
        <n x="52"/>
      </t>
    </mdx>
    <mdx n="0" f="v">
      <t c="8">
        <n x="4" s="1"/>
        <n x="7" s="1"/>
        <n x="67" s="1"/>
        <n x="3" s="1"/>
        <n x="6" s="1"/>
        <n x="68"/>
        <n x="77"/>
        <n x="53"/>
      </t>
    </mdx>
    <mdx n="0" f="v">
      <t c="8">
        <n x="4" s="1"/>
        <n x="7" s="1"/>
        <n x="67" s="1"/>
        <n x="3" s="1"/>
        <n x="6" s="1"/>
        <n x="68"/>
        <n x="77"/>
        <n x="54"/>
      </t>
    </mdx>
    <mdx n="0" f="v">
      <t c="8">
        <n x="4" s="1"/>
        <n x="7" s="1"/>
        <n x="67" s="1"/>
        <n x="3" s="1"/>
        <n x="6" s="1"/>
        <n x="68"/>
        <n x="77"/>
        <n x="55"/>
      </t>
    </mdx>
    <mdx n="0" f="v">
      <t c="8">
        <n x="4" s="1"/>
        <n x="7" s="1"/>
        <n x="67" s="1"/>
        <n x="3" s="1"/>
        <n x="6" s="1"/>
        <n x="68"/>
        <n x="77"/>
        <n x="56"/>
      </t>
    </mdx>
    <mdx n="0" f="v">
      <t c="8">
        <n x="4" s="1"/>
        <n x="7" s="1"/>
        <n x="67" s="1"/>
        <n x="3" s="1"/>
        <n x="6" s="1"/>
        <n x="68"/>
        <n x="77"/>
        <n x="57"/>
      </t>
    </mdx>
    <mdx n="0" f="v">
      <t c="8">
        <n x="4" s="1"/>
        <n x="7" s="1"/>
        <n x="67" s="1"/>
        <n x="3" s="1"/>
        <n x="6" s="1"/>
        <n x="68"/>
        <n x="77"/>
        <n x="58"/>
      </t>
    </mdx>
    <mdx n="0" f="v">
      <t c="8">
        <n x="4" s="1"/>
        <n x="7" s="1"/>
        <n x="67" s="1"/>
        <n x="3" s="1"/>
        <n x="6" s="1"/>
        <n x="68"/>
        <n x="77"/>
        <n x="59"/>
      </t>
    </mdx>
    <mdx n="0" f="v">
      <t c="8">
        <n x="4" s="1"/>
        <n x="7" s="1"/>
        <n x="67" s="1"/>
        <n x="3" s="1"/>
        <n x="6" s="1"/>
        <n x="68"/>
        <n x="77"/>
        <n x="60"/>
      </t>
    </mdx>
    <mdx n="0" f="v">
      <t c="8">
        <n x="4" s="1"/>
        <n x="7" s="1"/>
        <n x="67" s="1"/>
        <n x="3" s="1"/>
        <n x="6" s="1"/>
        <n x="68"/>
        <n x="77"/>
        <n x="61"/>
      </t>
    </mdx>
    <mdx n="0" f="v">
      <t c="8">
        <n x="4" s="1"/>
        <n x="7" s="1"/>
        <n x="67" s="1"/>
        <n x="3" s="1"/>
        <n x="6" s="1"/>
        <n x="68"/>
        <n x="77"/>
        <n x="62"/>
      </t>
    </mdx>
    <mdx n="0" f="v">
      <t c="8">
        <n x="4" s="1"/>
        <n x="7" s="1"/>
        <n x="67" s="1"/>
        <n x="3" s="1"/>
        <n x="6" s="1"/>
        <n x="68"/>
        <n x="77"/>
        <n x="63"/>
      </t>
    </mdx>
    <mdx n="0" f="v">
      <t c="8">
        <n x="4" s="1"/>
        <n x="7" s="1"/>
        <n x="67" s="1"/>
        <n x="3" s="1"/>
        <n x="6" s="1"/>
        <n x="68"/>
        <n x="77"/>
        <n x="64"/>
      </t>
    </mdx>
    <mdx n="0" f="v">
      <t c="8">
        <n x="4" s="1"/>
        <n x="7" s="1"/>
        <n x="67" s="1"/>
        <n x="3" s="1"/>
        <n x="6" s="1"/>
        <n x="68"/>
        <n x="77"/>
        <n x="65"/>
      </t>
    </mdx>
    <mdx n="0" f="v">
      <t c="8">
        <n x="4" s="1"/>
        <n x="7" s="1"/>
        <n x="67" s="1"/>
        <n x="3" s="1"/>
        <n x="6" s="1"/>
        <n x="68"/>
        <n x="77"/>
        <n x="66"/>
      </t>
    </mdx>
    <mdx n="0" f="m">
      <t c="1">
        <n x="78"/>
      </t>
    </mdx>
    <mdx n="0" f="v">
      <t c="8">
        <n x="4" s="1"/>
        <n x="7" s="1"/>
        <n x="67" s="1"/>
        <n x="3" s="1"/>
        <n x="6" s="1"/>
        <n x="68"/>
        <n x="78"/>
        <n x="8"/>
      </t>
    </mdx>
    <mdx n="0" f="v">
      <t c="8">
        <n x="4" s="1"/>
        <n x="7" s="1"/>
        <n x="67" s="1"/>
        <n x="3" s="1"/>
        <n x="6" s="1"/>
        <n x="68"/>
        <n x="78"/>
        <n x="9"/>
      </t>
    </mdx>
    <mdx n="0" f="v">
      <t c="8">
        <n x="4" s="1"/>
        <n x="7" s="1"/>
        <n x="67" s="1"/>
        <n x="3" s="1"/>
        <n x="6" s="1"/>
        <n x="68"/>
        <n x="78"/>
        <n x="10"/>
      </t>
    </mdx>
    <mdx n="0" f="v">
      <t c="8">
        <n x="4" s="1"/>
        <n x="7" s="1"/>
        <n x="67" s="1"/>
        <n x="3" s="1"/>
        <n x="6" s="1"/>
        <n x="68"/>
        <n x="78"/>
        <n x="11"/>
      </t>
    </mdx>
    <mdx n="0" f="v">
      <t c="8">
        <n x="4" s="1"/>
        <n x="7" s="1"/>
        <n x="67" s="1"/>
        <n x="3" s="1"/>
        <n x="6" s="1"/>
        <n x="68"/>
        <n x="78"/>
        <n x="12"/>
      </t>
    </mdx>
    <mdx n="0" f="v">
      <t c="8">
        <n x="4" s="1"/>
        <n x="7" s="1"/>
        <n x="67" s="1"/>
        <n x="3" s="1"/>
        <n x="6" s="1"/>
        <n x="68"/>
        <n x="78"/>
        <n x="13"/>
      </t>
    </mdx>
    <mdx n="0" f="v">
      <t c="8">
        <n x="4" s="1"/>
        <n x="7" s="1"/>
        <n x="67" s="1"/>
        <n x="3" s="1"/>
        <n x="6" s="1"/>
        <n x="68"/>
        <n x="78"/>
        <n x="14"/>
      </t>
    </mdx>
    <mdx n="0" f="v">
      <t c="8">
        <n x="4" s="1"/>
        <n x="7" s="1"/>
        <n x="67" s="1"/>
        <n x="3" s="1"/>
        <n x="6" s="1"/>
        <n x="68"/>
        <n x="78"/>
        <n x="15"/>
      </t>
    </mdx>
    <mdx n="0" f="v">
      <t c="8">
        <n x="4" s="1"/>
        <n x="7" s="1"/>
        <n x="67" s="1"/>
        <n x="3" s="1"/>
        <n x="6" s="1"/>
        <n x="68"/>
        <n x="78"/>
        <n x="16"/>
      </t>
    </mdx>
    <mdx n="0" f="v">
      <t c="8">
        <n x="4" s="1"/>
        <n x="7" s="1"/>
        <n x="67" s="1"/>
        <n x="3" s="1"/>
        <n x="6" s="1"/>
        <n x="68"/>
        <n x="78"/>
        <n x="17"/>
      </t>
    </mdx>
    <mdx n="0" f="v">
      <t c="8">
        <n x="4" s="1"/>
        <n x="7" s="1"/>
        <n x="67" s="1"/>
        <n x="3" s="1"/>
        <n x="6" s="1"/>
        <n x="68"/>
        <n x="78"/>
        <n x="18"/>
      </t>
    </mdx>
    <mdx n="0" f="v">
      <t c="8">
        <n x="4" s="1"/>
        <n x="7" s="1"/>
        <n x="67" s="1"/>
        <n x="3" s="1"/>
        <n x="6" s="1"/>
        <n x="68"/>
        <n x="78"/>
        <n x="19"/>
      </t>
    </mdx>
    <mdx n="0" f="v">
      <t c="8">
        <n x="4" s="1"/>
        <n x="7" s="1"/>
        <n x="67" s="1"/>
        <n x="3" s="1"/>
        <n x="6" s="1"/>
        <n x="68"/>
        <n x="78"/>
        <n x="20"/>
      </t>
    </mdx>
    <mdx n="0" f="v">
      <t c="8">
        <n x="4" s="1"/>
        <n x="7" s="1"/>
        <n x="67" s="1"/>
        <n x="3" s="1"/>
        <n x="6" s="1"/>
        <n x="68"/>
        <n x="78"/>
        <n x="21"/>
      </t>
    </mdx>
    <mdx n="0" f="v">
      <t c="8">
        <n x="4" s="1"/>
        <n x="7" s="1"/>
        <n x="67" s="1"/>
        <n x="3" s="1"/>
        <n x="6" s="1"/>
        <n x="68"/>
        <n x="78"/>
        <n x="22"/>
      </t>
    </mdx>
    <mdx n="0" f="v">
      <t c="8">
        <n x="4" s="1"/>
        <n x="7" s="1"/>
        <n x="67" s="1"/>
        <n x="3" s="1"/>
        <n x="6" s="1"/>
        <n x="68"/>
        <n x="78"/>
        <n x="23"/>
      </t>
    </mdx>
    <mdx n="0" f="v">
      <t c="8">
        <n x="4" s="1"/>
        <n x="7" s="1"/>
        <n x="67" s="1"/>
        <n x="3" s="1"/>
        <n x="6" s="1"/>
        <n x="68"/>
        <n x="78"/>
        <n x="24"/>
      </t>
    </mdx>
    <mdx n="0" f="v">
      <t c="8">
        <n x="4" s="1"/>
        <n x="7" s="1"/>
        <n x="67" s="1"/>
        <n x="3" s="1"/>
        <n x="6" s="1"/>
        <n x="68"/>
        <n x="78"/>
        <n x="25"/>
      </t>
    </mdx>
    <mdx n="0" f="v">
      <t c="8">
        <n x="4" s="1"/>
        <n x="7" s="1"/>
        <n x="67" s="1"/>
        <n x="3" s="1"/>
        <n x="6" s="1"/>
        <n x="68"/>
        <n x="78"/>
        <n x="26"/>
      </t>
    </mdx>
    <mdx n="0" f="v">
      <t c="8">
        <n x="4" s="1"/>
        <n x="7" s="1"/>
        <n x="67" s="1"/>
        <n x="3" s="1"/>
        <n x="6" s="1"/>
        <n x="68"/>
        <n x="78"/>
        <n x="27"/>
      </t>
    </mdx>
    <mdx n="0" f="v">
      <t c="8">
        <n x="4" s="1"/>
        <n x="7" s="1"/>
        <n x="67" s="1"/>
        <n x="3" s="1"/>
        <n x="6" s="1"/>
        <n x="68"/>
        <n x="78"/>
        <n x="28"/>
      </t>
    </mdx>
    <mdx n="0" f="v">
      <t c="8">
        <n x="4" s="1"/>
        <n x="7" s="1"/>
        <n x="67" s="1"/>
        <n x="3" s="1"/>
        <n x="6" s="1"/>
        <n x="68"/>
        <n x="78"/>
        <n x="29"/>
      </t>
    </mdx>
    <mdx n="0" f="v">
      <t c="8">
        <n x="4" s="1"/>
        <n x="7" s="1"/>
        <n x="67" s="1"/>
        <n x="3" s="1"/>
        <n x="6" s="1"/>
        <n x="68"/>
        <n x="78"/>
        <n x="30"/>
      </t>
    </mdx>
    <mdx n="0" f="v">
      <t c="8">
        <n x="4" s="1"/>
        <n x="7" s="1"/>
        <n x="67" s="1"/>
        <n x="3" s="1"/>
        <n x="6" s="1"/>
        <n x="68"/>
        <n x="78"/>
        <n x="31"/>
      </t>
    </mdx>
    <mdx n="0" f="v">
      <t c="8">
        <n x="4" s="1"/>
        <n x="7" s="1"/>
        <n x="67" s="1"/>
        <n x="3" s="1"/>
        <n x="6" s="1"/>
        <n x="68"/>
        <n x="78"/>
        <n x="32"/>
      </t>
    </mdx>
    <mdx n="0" f="v">
      <t c="8">
        <n x="4" s="1"/>
        <n x="7" s="1"/>
        <n x="67" s="1"/>
        <n x="3" s="1"/>
        <n x="6" s="1"/>
        <n x="68"/>
        <n x="78"/>
        <n x="33"/>
      </t>
    </mdx>
    <mdx n="0" f="v">
      <t c="8">
        <n x="4" s="1"/>
        <n x="7" s="1"/>
        <n x="67" s="1"/>
        <n x="3" s="1"/>
        <n x="6" s="1"/>
        <n x="68"/>
        <n x="78"/>
        <n x="34"/>
      </t>
    </mdx>
    <mdx n="0" f="v">
      <t c="8">
        <n x="4" s="1"/>
        <n x="7" s="1"/>
        <n x="67" s="1"/>
        <n x="3" s="1"/>
        <n x="6" s="1"/>
        <n x="68"/>
        <n x="78"/>
        <n x="35"/>
      </t>
    </mdx>
    <mdx n="0" f="v">
      <t c="8">
        <n x="4" s="1"/>
        <n x="7" s="1"/>
        <n x="67" s="1"/>
        <n x="3" s="1"/>
        <n x="6" s="1"/>
        <n x="68"/>
        <n x="78"/>
        <n x="36"/>
      </t>
    </mdx>
    <mdx n="0" f="v">
      <t c="8">
        <n x="4" s="1"/>
        <n x="7" s="1"/>
        <n x="67" s="1"/>
        <n x="3" s="1"/>
        <n x="6" s="1"/>
        <n x="68"/>
        <n x="78"/>
        <n x="37"/>
      </t>
    </mdx>
    <mdx n="0" f="v">
      <t c="8">
        <n x="4" s="1"/>
        <n x="7" s="1"/>
        <n x="67" s="1"/>
        <n x="3" s="1"/>
        <n x="6" s="1"/>
        <n x="68"/>
        <n x="78"/>
        <n x="38"/>
      </t>
    </mdx>
    <mdx n="0" f="v">
      <t c="8">
        <n x="4" s="1"/>
        <n x="7" s="1"/>
        <n x="67" s="1"/>
        <n x="3" s="1"/>
        <n x="6" s="1"/>
        <n x="68"/>
        <n x="78"/>
        <n x="39"/>
      </t>
    </mdx>
    <mdx n="0" f="v">
      <t c="8">
        <n x="4" s="1"/>
        <n x="7" s="1"/>
        <n x="67" s="1"/>
        <n x="3" s="1"/>
        <n x="6" s="1"/>
        <n x="68"/>
        <n x="78"/>
        <n x="40"/>
      </t>
    </mdx>
    <mdx n="0" f="v">
      <t c="8">
        <n x="4" s="1"/>
        <n x="7" s="1"/>
        <n x="67" s="1"/>
        <n x="3" s="1"/>
        <n x="6" s="1"/>
        <n x="68"/>
        <n x="78"/>
        <n x="41"/>
      </t>
    </mdx>
    <mdx n="0" f="v">
      <t c="8">
        <n x="4" s="1"/>
        <n x="7" s="1"/>
        <n x="67" s="1"/>
        <n x="3" s="1"/>
        <n x="6" s="1"/>
        <n x="68"/>
        <n x="78"/>
        <n x="42"/>
      </t>
    </mdx>
    <mdx n="0" f="v">
      <t c="8">
        <n x="4" s="1"/>
        <n x="7" s="1"/>
        <n x="67" s="1"/>
        <n x="3" s="1"/>
        <n x="6" s="1"/>
        <n x="68"/>
        <n x="78"/>
        <n x="43"/>
      </t>
    </mdx>
    <mdx n="0" f="v">
      <t c="8">
        <n x="4" s="1"/>
        <n x="7" s="1"/>
        <n x="67" s="1"/>
        <n x="3" s="1"/>
        <n x="6" s="1"/>
        <n x="68"/>
        <n x="78"/>
        <n x="44"/>
      </t>
    </mdx>
    <mdx n="0" f="v">
      <t c="8">
        <n x="4" s="1"/>
        <n x="7" s="1"/>
        <n x="67" s="1"/>
        <n x="3" s="1"/>
        <n x="6" s="1"/>
        <n x="68"/>
        <n x="78"/>
        <n x="45"/>
      </t>
    </mdx>
    <mdx n="0" f="v">
      <t c="8">
        <n x="4" s="1"/>
        <n x="7" s="1"/>
        <n x="67" s="1"/>
        <n x="3" s="1"/>
        <n x="6" s="1"/>
        <n x="68"/>
        <n x="78"/>
        <n x="46"/>
      </t>
    </mdx>
    <mdx n="0" f="v">
      <t c="8">
        <n x="4" s="1"/>
        <n x="7" s="1"/>
        <n x="67" s="1"/>
        <n x="3" s="1"/>
        <n x="6" s="1"/>
        <n x="68"/>
        <n x="78"/>
        <n x="47"/>
      </t>
    </mdx>
    <mdx n="0" f="v">
      <t c="8">
        <n x="4" s="1"/>
        <n x="7" s="1"/>
        <n x="67" s="1"/>
        <n x="3" s="1"/>
        <n x="6" s="1"/>
        <n x="68"/>
        <n x="78"/>
        <n x="48"/>
      </t>
    </mdx>
    <mdx n="0" f="v">
      <t c="8">
        <n x="4" s="1"/>
        <n x="7" s="1"/>
        <n x="67" s="1"/>
        <n x="3" s="1"/>
        <n x="6" s="1"/>
        <n x="68"/>
        <n x="78"/>
        <n x="49"/>
      </t>
    </mdx>
    <mdx n="0" f="v">
      <t c="8">
        <n x="4" s="1"/>
        <n x="7" s="1"/>
        <n x="67" s="1"/>
        <n x="3" s="1"/>
        <n x="6" s="1"/>
        <n x="68"/>
        <n x="78"/>
        <n x="50"/>
      </t>
    </mdx>
    <mdx n="0" f="v">
      <t c="8">
        <n x="4" s="1"/>
        <n x="7" s="1"/>
        <n x="67" s="1"/>
        <n x="3" s="1"/>
        <n x="6" s="1"/>
        <n x="68"/>
        <n x="78"/>
        <n x="51"/>
      </t>
    </mdx>
    <mdx n="0" f="v">
      <t c="8">
        <n x="4" s="1"/>
        <n x="7" s="1"/>
        <n x="67" s="1"/>
        <n x="3" s="1"/>
        <n x="6" s="1"/>
        <n x="68"/>
        <n x="78"/>
        <n x="52"/>
      </t>
    </mdx>
    <mdx n="0" f="v">
      <t c="8">
        <n x="4" s="1"/>
        <n x="7" s="1"/>
        <n x="67" s="1"/>
        <n x="3" s="1"/>
        <n x="6" s="1"/>
        <n x="68"/>
        <n x="78"/>
        <n x="53"/>
      </t>
    </mdx>
    <mdx n="0" f="v">
      <t c="8">
        <n x="4" s="1"/>
        <n x="7" s="1"/>
        <n x="67" s="1"/>
        <n x="3" s="1"/>
        <n x="6" s="1"/>
        <n x="68"/>
        <n x="78"/>
        <n x="54"/>
      </t>
    </mdx>
    <mdx n="0" f="v">
      <t c="8">
        <n x="4" s="1"/>
        <n x="7" s="1"/>
        <n x="67" s="1"/>
        <n x="3" s="1"/>
        <n x="6" s="1"/>
        <n x="68"/>
        <n x="78"/>
        <n x="55"/>
      </t>
    </mdx>
    <mdx n="0" f="v">
      <t c="8">
        <n x="4" s="1"/>
        <n x="7" s="1"/>
        <n x="67" s="1"/>
        <n x="3" s="1"/>
        <n x="6" s="1"/>
        <n x="68"/>
        <n x="78"/>
        <n x="56"/>
      </t>
    </mdx>
    <mdx n="0" f="v">
      <t c="8">
        <n x="4" s="1"/>
        <n x="7" s="1"/>
        <n x="67" s="1"/>
        <n x="3" s="1"/>
        <n x="6" s="1"/>
        <n x="68"/>
        <n x="78"/>
        <n x="57"/>
      </t>
    </mdx>
    <mdx n="0" f="v">
      <t c="8">
        <n x="4" s="1"/>
        <n x="7" s="1"/>
        <n x="67" s="1"/>
        <n x="3" s="1"/>
        <n x="6" s="1"/>
        <n x="68"/>
        <n x="78"/>
        <n x="58"/>
      </t>
    </mdx>
    <mdx n="0" f="v">
      <t c="8">
        <n x="4" s="1"/>
        <n x="7" s="1"/>
        <n x="67" s="1"/>
        <n x="3" s="1"/>
        <n x="6" s="1"/>
        <n x="68"/>
        <n x="78"/>
        <n x="59"/>
      </t>
    </mdx>
    <mdx n="0" f="v">
      <t c="8">
        <n x="4" s="1"/>
        <n x="7" s="1"/>
        <n x="67" s="1"/>
        <n x="3" s="1"/>
        <n x="6" s="1"/>
        <n x="68"/>
        <n x="78"/>
        <n x="60"/>
      </t>
    </mdx>
    <mdx n="0" f="v">
      <t c="8">
        <n x="4" s="1"/>
        <n x="7" s="1"/>
        <n x="67" s="1"/>
        <n x="3" s="1"/>
        <n x="6" s="1"/>
        <n x="68"/>
        <n x="78"/>
        <n x="61"/>
      </t>
    </mdx>
    <mdx n="0" f="v">
      <t c="8">
        <n x="4" s="1"/>
        <n x="7" s="1"/>
        <n x="67" s="1"/>
        <n x="3" s="1"/>
        <n x="6" s="1"/>
        <n x="68"/>
        <n x="78"/>
        <n x="62"/>
      </t>
    </mdx>
    <mdx n="0" f="v">
      <t c="8">
        <n x="4" s="1"/>
        <n x="7" s="1"/>
        <n x="67" s="1"/>
        <n x="3" s="1"/>
        <n x="6" s="1"/>
        <n x="68"/>
        <n x="78"/>
        <n x="63"/>
      </t>
    </mdx>
    <mdx n="0" f="v">
      <t c="8">
        <n x="4" s="1"/>
        <n x="7" s="1"/>
        <n x="67" s="1"/>
        <n x="3" s="1"/>
        <n x="6" s="1"/>
        <n x="68"/>
        <n x="78"/>
        <n x="64"/>
      </t>
    </mdx>
    <mdx n="0" f="v">
      <t c="8">
        <n x="4" s="1"/>
        <n x="7" s="1"/>
        <n x="67" s="1"/>
        <n x="3" s="1"/>
        <n x="6" s="1"/>
        <n x="68"/>
        <n x="78"/>
        <n x="65"/>
      </t>
    </mdx>
    <mdx n="0" f="v">
      <t c="8">
        <n x="4" s="1"/>
        <n x="7" s="1"/>
        <n x="67" s="1"/>
        <n x="3" s="1"/>
        <n x="6" s="1"/>
        <n x="68"/>
        <n x="78"/>
        <n x="66"/>
      </t>
    </mdx>
    <mdx n="0" f="m">
      <t c="1">
        <n x="79"/>
      </t>
    </mdx>
    <mdx n="0" f="v">
      <t c="8">
        <n x="4" s="1"/>
        <n x="7" s="1"/>
        <n x="67" s="1"/>
        <n x="3" s="1"/>
        <n x="6" s="1"/>
        <n x="68"/>
        <n x="79"/>
        <n x="8"/>
      </t>
    </mdx>
    <mdx n="0" f="v">
      <t c="8">
        <n x="4" s="1"/>
        <n x="7" s="1"/>
        <n x="67" s="1"/>
        <n x="3" s="1"/>
        <n x="6" s="1"/>
        <n x="68"/>
        <n x="79"/>
        <n x="9"/>
      </t>
    </mdx>
    <mdx n="0" f="v">
      <t c="8">
        <n x="4" s="1"/>
        <n x="7" s="1"/>
        <n x="67" s="1"/>
        <n x="3" s="1"/>
        <n x="6" s="1"/>
        <n x="68"/>
        <n x="79"/>
        <n x="10"/>
      </t>
    </mdx>
    <mdx n="0" f="v">
      <t c="8">
        <n x="4" s="1"/>
        <n x="7" s="1"/>
        <n x="67" s="1"/>
        <n x="3" s="1"/>
        <n x="6" s="1"/>
        <n x="68"/>
        <n x="79"/>
        <n x="11"/>
      </t>
    </mdx>
    <mdx n="0" f="v">
      <t c="8">
        <n x="4" s="1"/>
        <n x="7" s="1"/>
        <n x="67" s="1"/>
        <n x="3" s="1"/>
        <n x="6" s="1"/>
        <n x="68"/>
        <n x="79"/>
        <n x="12"/>
      </t>
    </mdx>
    <mdx n="0" f="v">
      <t c="8">
        <n x="4" s="1"/>
        <n x="7" s="1"/>
        <n x="67" s="1"/>
        <n x="3" s="1"/>
        <n x="6" s="1"/>
        <n x="68"/>
        <n x="79"/>
        <n x="13"/>
      </t>
    </mdx>
    <mdx n="0" f="v">
      <t c="8">
        <n x="4" s="1"/>
        <n x="7" s="1"/>
        <n x="67" s="1"/>
        <n x="3" s="1"/>
        <n x="6" s="1"/>
        <n x="68"/>
        <n x="79"/>
        <n x="14"/>
      </t>
    </mdx>
    <mdx n="0" f="v">
      <t c="8">
        <n x="4" s="1"/>
        <n x="7" s="1"/>
        <n x="67" s="1"/>
        <n x="3" s="1"/>
        <n x="6" s="1"/>
        <n x="68"/>
        <n x="79"/>
        <n x="15"/>
      </t>
    </mdx>
    <mdx n="0" f="v">
      <t c="8">
        <n x="4" s="1"/>
        <n x="7" s="1"/>
        <n x="67" s="1"/>
        <n x="3" s="1"/>
        <n x="6" s="1"/>
        <n x="68"/>
        <n x="79"/>
        <n x="16"/>
      </t>
    </mdx>
    <mdx n="0" f="v">
      <t c="8">
        <n x="4" s="1"/>
        <n x="7" s="1"/>
        <n x="67" s="1"/>
        <n x="3" s="1"/>
        <n x="6" s="1"/>
        <n x="68"/>
        <n x="79"/>
        <n x="17"/>
      </t>
    </mdx>
    <mdx n="0" f="v">
      <t c="8">
        <n x="4" s="1"/>
        <n x="7" s="1"/>
        <n x="67" s="1"/>
        <n x="3" s="1"/>
        <n x="6" s="1"/>
        <n x="68"/>
        <n x="79"/>
        <n x="18"/>
      </t>
    </mdx>
    <mdx n="0" f="v">
      <t c="8">
        <n x="4" s="1"/>
        <n x="7" s="1"/>
        <n x="67" s="1"/>
        <n x="3" s="1"/>
        <n x="6" s="1"/>
        <n x="68"/>
        <n x="79"/>
        <n x="19"/>
      </t>
    </mdx>
    <mdx n="0" f="v">
      <t c="8">
        <n x="4" s="1"/>
        <n x="7" s="1"/>
        <n x="67" s="1"/>
        <n x="3" s="1"/>
        <n x="6" s="1"/>
        <n x="68"/>
        <n x="79"/>
        <n x="20"/>
      </t>
    </mdx>
    <mdx n="0" f="v">
      <t c="8">
        <n x="4" s="1"/>
        <n x="7" s="1"/>
        <n x="67" s="1"/>
        <n x="3" s="1"/>
        <n x="6" s="1"/>
        <n x="68"/>
        <n x="79"/>
        <n x="21"/>
      </t>
    </mdx>
    <mdx n="0" f="v">
      <t c="8">
        <n x="4" s="1"/>
        <n x="7" s="1"/>
        <n x="67" s="1"/>
        <n x="3" s="1"/>
        <n x="6" s="1"/>
        <n x="68"/>
        <n x="79"/>
        <n x="22"/>
      </t>
    </mdx>
    <mdx n="0" f="v">
      <t c="8">
        <n x="4" s="1"/>
        <n x="7" s="1"/>
        <n x="67" s="1"/>
        <n x="3" s="1"/>
        <n x="6" s="1"/>
        <n x="68"/>
        <n x="79"/>
        <n x="23"/>
      </t>
    </mdx>
    <mdx n="0" f="v">
      <t c="8">
        <n x="4" s="1"/>
        <n x="7" s="1"/>
        <n x="67" s="1"/>
        <n x="3" s="1"/>
        <n x="6" s="1"/>
        <n x="68"/>
        <n x="79"/>
        <n x="24"/>
      </t>
    </mdx>
    <mdx n="0" f="v">
      <t c="8">
        <n x="4" s="1"/>
        <n x="7" s="1"/>
        <n x="67" s="1"/>
        <n x="3" s="1"/>
        <n x="6" s="1"/>
        <n x="68"/>
        <n x="79"/>
        <n x="25"/>
      </t>
    </mdx>
    <mdx n="0" f="v">
      <t c="8">
        <n x="4" s="1"/>
        <n x="7" s="1"/>
        <n x="67" s="1"/>
        <n x="3" s="1"/>
        <n x="6" s="1"/>
        <n x="68"/>
        <n x="79"/>
        <n x="26"/>
      </t>
    </mdx>
    <mdx n="0" f="v">
      <t c="8">
        <n x="4" s="1"/>
        <n x="7" s="1"/>
        <n x="67" s="1"/>
        <n x="3" s="1"/>
        <n x="6" s="1"/>
        <n x="68"/>
        <n x="79"/>
        <n x="27"/>
      </t>
    </mdx>
    <mdx n="0" f="v">
      <t c="8">
        <n x="4" s="1"/>
        <n x="7" s="1"/>
        <n x="67" s="1"/>
        <n x="3" s="1"/>
        <n x="6" s="1"/>
        <n x="68"/>
        <n x="79"/>
        <n x="28"/>
      </t>
    </mdx>
    <mdx n="0" f="v">
      <t c="8">
        <n x="4" s="1"/>
        <n x="7" s="1"/>
        <n x="67" s="1"/>
        <n x="3" s="1"/>
        <n x="6" s="1"/>
        <n x="68"/>
        <n x="79"/>
        <n x="29"/>
      </t>
    </mdx>
    <mdx n="0" f="v">
      <t c="8">
        <n x="4" s="1"/>
        <n x="7" s="1"/>
        <n x="67" s="1"/>
        <n x="3" s="1"/>
        <n x="6" s="1"/>
        <n x="68"/>
        <n x="79"/>
        <n x="30"/>
      </t>
    </mdx>
    <mdx n="0" f="v">
      <t c="8">
        <n x="4" s="1"/>
        <n x="7" s="1"/>
        <n x="67" s="1"/>
        <n x="3" s="1"/>
        <n x="6" s="1"/>
        <n x="68"/>
        <n x="79"/>
        <n x="31"/>
      </t>
    </mdx>
    <mdx n="0" f="v">
      <t c="8">
        <n x="4" s="1"/>
        <n x="7" s="1"/>
        <n x="67" s="1"/>
        <n x="3" s="1"/>
        <n x="6" s="1"/>
        <n x="68"/>
        <n x="79"/>
        <n x="32"/>
      </t>
    </mdx>
    <mdx n="0" f="v">
      <t c="8">
        <n x="4" s="1"/>
        <n x="7" s="1"/>
        <n x="67" s="1"/>
        <n x="3" s="1"/>
        <n x="6" s="1"/>
        <n x="68"/>
        <n x="79"/>
        <n x="33"/>
      </t>
    </mdx>
    <mdx n="0" f="v">
      <t c="8">
        <n x="4" s="1"/>
        <n x="7" s="1"/>
        <n x="67" s="1"/>
        <n x="3" s="1"/>
        <n x="6" s="1"/>
        <n x="68"/>
        <n x="79"/>
        <n x="34"/>
      </t>
    </mdx>
    <mdx n="0" f="v">
      <t c="8">
        <n x="4" s="1"/>
        <n x="7" s="1"/>
        <n x="67" s="1"/>
        <n x="3" s="1"/>
        <n x="6" s="1"/>
        <n x="68"/>
        <n x="79"/>
        <n x="35"/>
      </t>
    </mdx>
    <mdx n="0" f="v">
      <t c="8">
        <n x="4" s="1"/>
        <n x="7" s="1"/>
        <n x="67" s="1"/>
        <n x="3" s="1"/>
        <n x="6" s="1"/>
        <n x="68"/>
        <n x="79"/>
        <n x="36"/>
      </t>
    </mdx>
    <mdx n="0" f="v">
      <t c="8">
        <n x="4" s="1"/>
        <n x="7" s="1"/>
        <n x="67" s="1"/>
        <n x="3" s="1"/>
        <n x="6" s="1"/>
        <n x="68"/>
        <n x="79"/>
        <n x="37"/>
      </t>
    </mdx>
    <mdx n="0" f="v">
      <t c="8">
        <n x="4" s="1"/>
        <n x="7" s="1"/>
        <n x="67" s="1"/>
        <n x="3" s="1"/>
        <n x="6" s="1"/>
        <n x="68"/>
        <n x="79"/>
        <n x="38"/>
      </t>
    </mdx>
    <mdx n="0" f="v">
      <t c="8">
        <n x="4" s="1"/>
        <n x="7" s="1"/>
        <n x="67" s="1"/>
        <n x="3" s="1"/>
        <n x="6" s="1"/>
        <n x="68"/>
        <n x="79"/>
        <n x="39"/>
      </t>
    </mdx>
    <mdx n="0" f="v">
      <t c="8">
        <n x="4" s="1"/>
        <n x="7" s="1"/>
        <n x="67" s="1"/>
        <n x="3" s="1"/>
        <n x="6" s="1"/>
        <n x="68"/>
        <n x="79"/>
        <n x="40"/>
      </t>
    </mdx>
    <mdx n="0" f="v">
      <t c="8">
        <n x="4" s="1"/>
        <n x="7" s="1"/>
        <n x="67" s="1"/>
        <n x="3" s="1"/>
        <n x="6" s="1"/>
        <n x="68"/>
        <n x="79"/>
        <n x="41"/>
      </t>
    </mdx>
    <mdx n="0" f="v">
      <t c="8">
        <n x="4" s="1"/>
        <n x="7" s="1"/>
        <n x="67" s="1"/>
        <n x="3" s="1"/>
        <n x="6" s="1"/>
        <n x="68"/>
        <n x="79"/>
        <n x="42"/>
      </t>
    </mdx>
    <mdx n="0" f="v">
      <t c="8">
        <n x="4" s="1"/>
        <n x="7" s="1"/>
        <n x="67" s="1"/>
        <n x="3" s="1"/>
        <n x="6" s="1"/>
        <n x="68"/>
        <n x="79"/>
        <n x="43"/>
      </t>
    </mdx>
    <mdx n="0" f="v">
      <t c="8">
        <n x="4" s="1"/>
        <n x="7" s="1"/>
        <n x="67" s="1"/>
        <n x="3" s="1"/>
        <n x="6" s="1"/>
        <n x="68"/>
        <n x="79"/>
        <n x="44"/>
      </t>
    </mdx>
    <mdx n="0" f="v">
      <t c="8">
        <n x="4" s="1"/>
        <n x="7" s="1"/>
        <n x="67" s="1"/>
        <n x="3" s="1"/>
        <n x="6" s="1"/>
        <n x="68"/>
        <n x="79"/>
        <n x="45"/>
      </t>
    </mdx>
    <mdx n="0" f="v">
      <t c="8">
        <n x="4" s="1"/>
        <n x="7" s="1"/>
        <n x="67" s="1"/>
        <n x="3" s="1"/>
        <n x="6" s="1"/>
        <n x="68"/>
        <n x="79"/>
        <n x="46"/>
      </t>
    </mdx>
    <mdx n="0" f="v">
      <t c="8">
        <n x="4" s="1"/>
        <n x="7" s="1"/>
        <n x="67" s="1"/>
        <n x="3" s="1"/>
        <n x="6" s="1"/>
        <n x="68"/>
        <n x="79"/>
        <n x="47"/>
      </t>
    </mdx>
    <mdx n="0" f="v">
      <t c="8">
        <n x="4" s="1"/>
        <n x="7" s="1"/>
        <n x="67" s="1"/>
        <n x="3" s="1"/>
        <n x="6" s="1"/>
        <n x="68"/>
        <n x="79"/>
        <n x="48"/>
      </t>
    </mdx>
    <mdx n="0" f="v">
      <t c="8">
        <n x="4" s="1"/>
        <n x="7" s="1"/>
        <n x="67" s="1"/>
        <n x="3" s="1"/>
        <n x="6" s="1"/>
        <n x="68"/>
        <n x="79"/>
        <n x="49"/>
      </t>
    </mdx>
    <mdx n="0" f="v">
      <t c="8">
        <n x="4" s="1"/>
        <n x="7" s="1"/>
        <n x="67" s="1"/>
        <n x="3" s="1"/>
        <n x="6" s="1"/>
        <n x="68"/>
        <n x="79"/>
        <n x="50"/>
      </t>
    </mdx>
    <mdx n="0" f="v">
      <t c="8">
        <n x="4" s="1"/>
        <n x="7" s="1"/>
        <n x="67" s="1"/>
        <n x="3" s="1"/>
        <n x="6" s="1"/>
        <n x="68"/>
        <n x="79"/>
        <n x="51"/>
      </t>
    </mdx>
    <mdx n="0" f="v">
      <t c="8">
        <n x="4" s="1"/>
        <n x="7" s="1"/>
        <n x="67" s="1"/>
        <n x="3" s="1"/>
        <n x="6" s="1"/>
        <n x="68"/>
        <n x="79"/>
        <n x="52"/>
      </t>
    </mdx>
    <mdx n="0" f="v">
      <t c="8">
        <n x="4" s="1"/>
        <n x="7" s="1"/>
        <n x="67" s="1"/>
        <n x="3" s="1"/>
        <n x="6" s="1"/>
        <n x="68"/>
        <n x="79"/>
        <n x="53"/>
      </t>
    </mdx>
    <mdx n="0" f="v">
      <t c="8">
        <n x="4" s="1"/>
        <n x="7" s="1"/>
        <n x="67" s="1"/>
        <n x="3" s="1"/>
        <n x="6" s="1"/>
        <n x="68"/>
        <n x="79"/>
        <n x="54"/>
      </t>
    </mdx>
    <mdx n="0" f="v">
      <t c="8">
        <n x="4" s="1"/>
        <n x="7" s="1"/>
        <n x="67" s="1"/>
        <n x="3" s="1"/>
        <n x="6" s="1"/>
        <n x="68"/>
        <n x="79"/>
        <n x="55"/>
      </t>
    </mdx>
    <mdx n="0" f="v">
      <t c="8">
        <n x="4" s="1"/>
        <n x="7" s="1"/>
        <n x="67" s="1"/>
        <n x="3" s="1"/>
        <n x="6" s="1"/>
        <n x="68"/>
        <n x="79"/>
        <n x="56"/>
      </t>
    </mdx>
    <mdx n="0" f="v">
      <t c="8">
        <n x="4" s="1"/>
        <n x="7" s="1"/>
        <n x="67" s="1"/>
        <n x="3" s="1"/>
        <n x="6" s="1"/>
        <n x="68"/>
        <n x="79"/>
        <n x="57"/>
      </t>
    </mdx>
    <mdx n="0" f="v">
      <t c="8">
        <n x="4" s="1"/>
        <n x="7" s="1"/>
        <n x="67" s="1"/>
        <n x="3" s="1"/>
        <n x="6" s="1"/>
        <n x="68"/>
        <n x="79"/>
        <n x="58"/>
      </t>
    </mdx>
    <mdx n="0" f="v">
      <t c="8">
        <n x="4" s="1"/>
        <n x="7" s="1"/>
        <n x="67" s="1"/>
        <n x="3" s="1"/>
        <n x="6" s="1"/>
        <n x="68"/>
        <n x="79"/>
        <n x="59"/>
      </t>
    </mdx>
    <mdx n="0" f="v">
      <t c="8">
        <n x="4" s="1"/>
        <n x="7" s="1"/>
        <n x="67" s="1"/>
        <n x="3" s="1"/>
        <n x="6" s="1"/>
        <n x="68"/>
        <n x="79"/>
        <n x="60"/>
      </t>
    </mdx>
    <mdx n="0" f="v">
      <t c="8">
        <n x="4" s="1"/>
        <n x="7" s="1"/>
        <n x="67" s="1"/>
        <n x="3" s="1"/>
        <n x="6" s="1"/>
        <n x="68"/>
        <n x="79"/>
        <n x="61"/>
      </t>
    </mdx>
    <mdx n="0" f="v">
      <t c="8">
        <n x="4" s="1"/>
        <n x="7" s="1"/>
        <n x="67" s="1"/>
        <n x="3" s="1"/>
        <n x="6" s="1"/>
        <n x="68"/>
        <n x="79"/>
        <n x="62"/>
      </t>
    </mdx>
    <mdx n="0" f="v">
      <t c="8">
        <n x="4" s="1"/>
        <n x="7" s="1"/>
        <n x="67" s="1"/>
        <n x="3" s="1"/>
        <n x="6" s="1"/>
        <n x="68"/>
        <n x="79"/>
        <n x="63"/>
      </t>
    </mdx>
    <mdx n="0" f="v">
      <t c="8">
        <n x="4" s="1"/>
        <n x="7" s="1"/>
        <n x="67" s="1"/>
        <n x="3" s="1"/>
        <n x="6" s="1"/>
        <n x="68"/>
        <n x="79"/>
        <n x="64"/>
      </t>
    </mdx>
    <mdx n="0" f="v">
      <t c="8">
        <n x="4" s="1"/>
        <n x="7" s="1"/>
        <n x="67" s="1"/>
        <n x="3" s="1"/>
        <n x="6" s="1"/>
        <n x="68"/>
        <n x="79"/>
        <n x="65"/>
      </t>
    </mdx>
    <mdx n="0" f="v">
      <t c="8">
        <n x="4" s="1"/>
        <n x="7" s="1"/>
        <n x="67" s="1"/>
        <n x="3" s="1"/>
        <n x="6" s="1"/>
        <n x="68"/>
        <n x="79"/>
        <n x="66"/>
      </t>
    </mdx>
    <mdx n="0" f="m">
      <t c="1">
        <n x="80"/>
      </t>
    </mdx>
    <mdx n="0" f="v">
      <t c="8">
        <n x="4" s="1"/>
        <n x="7" s="1"/>
        <n x="67" s="1"/>
        <n x="3" s="1"/>
        <n x="6" s="1"/>
        <n x="68"/>
        <n x="80"/>
        <n x="8"/>
      </t>
    </mdx>
    <mdx n="0" f="v">
      <t c="8">
        <n x="4" s="1"/>
        <n x="7" s="1"/>
        <n x="67" s="1"/>
        <n x="3" s="1"/>
        <n x="6" s="1"/>
        <n x="68"/>
        <n x="80"/>
        <n x="9"/>
      </t>
    </mdx>
    <mdx n="0" f="v">
      <t c="8">
        <n x="4" s="1"/>
        <n x="7" s="1"/>
        <n x="67" s="1"/>
        <n x="3" s="1"/>
        <n x="6" s="1"/>
        <n x="68"/>
        <n x="80"/>
        <n x="10"/>
      </t>
    </mdx>
    <mdx n="0" f="v">
      <t c="8">
        <n x="4" s="1"/>
        <n x="7" s="1"/>
        <n x="67" s="1"/>
        <n x="3" s="1"/>
        <n x="6" s="1"/>
        <n x="68"/>
        <n x="80"/>
        <n x="11"/>
      </t>
    </mdx>
    <mdx n="0" f="v">
      <t c="8">
        <n x="4" s="1"/>
        <n x="7" s="1"/>
        <n x="67" s="1"/>
        <n x="3" s="1"/>
        <n x="6" s="1"/>
        <n x="68"/>
        <n x="80"/>
        <n x="12"/>
      </t>
    </mdx>
    <mdx n="0" f="v">
      <t c="8">
        <n x="4" s="1"/>
        <n x="7" s="1"/>
        <n x="67" s="1"/>
        <n x="3" s="1"/>
        <n x="6" s="1"/>
        <n x="68"/>
        <n x="80"/>
        <n x="13"/>
      </t>
    </mdx>
    <mdx n="0" f="v">
      <t c="8">
        <n x="4" s="1"/>
        <n x="7" s="1"/>
        <n x="67" s="1"/>
        <n x="3" s="1"/>
        <n x="6" s="1"/>
        <n x="68"/>
        <n x="80"/>
        <n x="14"/>
      </t>
    </mdx>
    <mdx n="0" f="v">
      <t c="8">
        <n x="4" s="1"/>
        <n x="7" s="1"/>
        <n x="67" s="1"/>
        <n x="3" s="1"/>
        <n x="6" s="1"/>
        <n x="68"/>
        <n x="80"/>
        <n x="15"/>
      </t>
    </mdx>
    <mdx n="0" f="v">
      <t c="8">
        <n x="4" s="1"/>
        <n x="7" s="1"/>
        <n x="67" s="1"/>
        <n x="3" s="1"/>
        <n x="6" s="1"/>
        <n x="68"/>
        <n x="80"/>
        <n x="16"/>
      </t>
    </mdx>
    <mdx n="0" f="v">
      <t c="8">
        <n x="4" s="1"/>
        <n x="7" s="1"/>
        <n x="67" s="1"/>
        <n x="3" s="1"/>
        <n x="6" s="1"/>
        <n x="68"/>
        <n x="80"/>
        <n x="17"/>
      </t>
    </mdx>
    <mdx n="0" f="v">
      <t c="8">
        <n x="4" s="1"/>
        <n x="7" s="1"/>
        <n x="67" s="1"/>
        <n x="3" s="1"/>
        <n x="6" s="1"/>
        <n x="68"/>
        <n x="80"/>
        <n x="18"/>
      </t>
    </mdx>
    <mdx n="0" f="v">
      <t c="8">
        <n x="4" s="1"/>
        <n x="7" s="1"/>
        <n x="67" s="1"/>
        <n x="3" s="1"/>
        <n x="6" s="1"/>
        <n x="68"/>
        <n x="80"/>
        <n x="19"/>
      </t>
    </mdx>
    <mdx n="0" f="v">
      <t c="8">
        <n x="4" s="1"/>
        <n x="7" s="1"/>
        <n x="67" s="1"/>
        <n x="3" s="1"/>
        <n x="6" s="1"/>
        <n x="68"/>
        <n x="80"/>
        <n x="20"/>
      </t>
    </mdx>
    <mdx n="0" f="v">
      <t c="8">
        <n x="4" s="1"/>
        <n x="7" s="1"/>
        <n x="67" s="1"/>
        <n x="3" s="1"/>
        <n x="6" s="1"/>
        <n x="68"/>
        <n x="80"/>
        <n x="21"/>
      </t>
    </mdx>
    <mdx n="0" f="v">
      <t c="8">
        <n x="4" s="1"/>
        <n x="7" s="1"/>
        <n x="67" s="1"/>
        <n x="3" s="1"/>
        <n x="6" s="1"/>
        <n x="68"/>
        <n x="80"/>
        <n x="22"/>
      </t>
    </mdx>
    <mdx n="0" f="v">
      <t c="8">
        <n x="4" s="1"/>
        <n x="7" s="1"/>
        <n x="67" s="1"/>
        <n x="3" s="1"/>
        <n x="6" s="1"/>
        <n x="68"/>
        <n x="80"/>
        <n x="23"/>
      </t>
    </mdx>
    <mdx n="0" f="v">
      <t c="8">
        <n x="4" s="1"/>
        <n x="7" s="1"/>
        <n x="67" s="1"/>
        <n x="3" s="1"/>
        <n x="6" s="1"/>
        <n x="68"/>
        <n x="80"/>
        <n x="24"/>
      </t>
    </mdx>
    <mdx n="0" f="v">
      <t c="8">
        <n x="4" s="1"/>
        <n x="7" s="1"/>
        <n x="67" s="1"/>
        <n x="3" s="1"/>
        <n x="6" s="1"/>
        <n x="68"/>
        <n x="80"/>
        <n x="25"/>
      </t>
    </mdx>
    <mdx n="0" f="v">
      <t c="8">
        <n x="4" s="1"/>
        <n x="7" s="1"/>
        <n x="67" s="1"/>
        <n x="3" s="1"/>
        <n x="6" s="1"/>
        <n x="68"/>
        <n x="80"/>
        <n x="26"/>
      </t>
    </mdx>
    <mdx n="0" f="v">
      <t c="8">
        <n x="4" s="1"/>
        <n x="7" s="1"/>
        <n x="67" s="1"/>
        <n x="3" s="1"/>
        <n x="6" s="1"/>
        <n x="68"/>
        <n x="80"/>
        <n x="27"/>
      </t>
    </mdx>
    <mdx n="0" f="v">
      <t c="8">
        <n x="4" s="1"/>
        <n x="7" s="1"/>
        <n x="67" s="1"/>
        <n x="3" s="1"/>
        <n x="6" s="1"/>
        <n x="68"/>
        <n x="80"/>
        <n x="28"/>
      </t>
    </mdx>
    <mdx n="0" f="v">
      <t c="8">
        <n x="4" s="1"/>
        <n x="7" s="1"/>
        <n x="67" s="1"/>
        <n x="3" s="1"/>
        <n x="6" s="1"/>
        <n x="68"/>
        <n x="80"/>
        <n x="29"/>
      </t>
    </mdx>
    <mdx n="0" f="v">
      <t c="8">
        <n x="4" s="1"/>
        <n x="7" s="1"/>
        <n x="67" s="1"/>
        <n x="3" s="1"/>
        <n x="6" s="1"/>
        <n x="68"/>
        <n x="80"/>
        <n x="30"/>
      </t>
    </mdx>
    <mdx n="0" f="v">
      <t c="8">
        <n x="4" s="1"/>
        <n x="7" s="1"/>
        <n x="67" s="1"/>
        <n x="3" s="1"/>
        <n x="6" s="1"/>
        <n x="68"/>
        <n x="80"/>
        <n x="31"/>
      </t>
    </mdx>
    <mdx n="0" f="v">
      <t c="8">
        <n x="4" s="1"/>
        <n x="7" s="1"/>
        <n x="67" s="1"/>
        <n x="3" s="1"/>
        <n x="6" s="1"/>
        <n x="68"/>
        <n x="80"/>
        <n x="32"/>
      </t>
    </mdx>
    <mdx n="0" f="v">
      <t c="8">
        <n x="4" s="1"/>
        <n x="7" s="1"/>
        <n x="67" s="1"/>
        <n x="3" s="1"/>
        <n x="6" s="1"/>
        <n x="68"/>
        <n x="80"/>
        <n x="33"/>
      </t>
    </mdx>
    <mdx n="0" f="v">
      <t c="8">
        <n x="4" s="1"/>
        <n x="7" s="1"/>
        <n x="67" s="1"/>
        <n x="3" s="1"/>
        <n x="6" s="1"/>
        <n x="68"/>
        <n x="80"/>
        <n x="34"/>
      </t>
    </mdx>
    <mdx n="0" f="v">
      <t c="8">
        <n x="4" s="1"/>
        <n x="7" s="1"/>
        <n x="67" s="1"/>
        <n x="3" s="1"/>
        <n x="6" s="1"/>
        <n x="68"/>
        <n x="80"/>
        <n x="35"/>
      </t>
    </mdx>
    <mdx n="0" f="v">
      <t c="8">
        <n x="4" s="1"/>
        <n x="7" s="1"/>
        <n x="67" s="1"/>
        <n x="3" s="1"/>
        <n x="6" s="1"/>
        <n x="68"/>
        <n x="80"/>
        <n x="36"/>
      </t>
    </mdx>
    <mdx n="0" f="v">
      <t c="8">
        <n x="4" s="1"/>
        <n x="7" s="1"/>
        <n x="67" s="1"/>
        <n x="3" s="1"/>
        <n x="6" s="1"/>
        <n x="68"/>
        <n x="80"/>
        <n x="37"/>
      </t>
    </mdx>
    <mdx n="0" f="v">
      <t c="8">
        <n x="4" s="1"/>
        <n x="7" s="1"/>
        <n x="67" s="1"/>
        <n x="3" s="1"/>
        <n x="6" s="1"/>
        <n x="68"/>
        <n x="80"/>
        <n x="38"/>
      </t>
    </mdx>
    <mdx n="0" f="v">
      <t c="8">
        <n x="4" s="1"/>
        <n x="7" s="1"/>
        <n x="67" s="1"/>
        <n x="3" s="1"/>
        <n x="6" s="1"/>
        <n x="68"/>
        <n x="80"/>
        <n x="39"/>
      </t>
    </mdx>
    <mdx n="0" f="v">
      <t c="8">
        <n x="4" s="1"/>
        <n x="7" s="1"/>
        <n x="67" s="1"/>
        <n x="3" s="1"/>
        <n x="6" s="1"/>
        <n x="68"/>
        <n x="80"/>
        <n x="40"/>
      </t>
    </mdx>
    <mdx n="0" f="v">
      <t c="8">
        <n x="4" s="1"/>
        <n x="7" s="1"/>
        <n x="67" s="1"/>
        <n x="3" s="1"/>
        <n x="6" s="1"/>
        <n x="68"/>
        <n x="80"/>
        <n x="41"/>
      </t>
    </mdx>
    <mdx n="0" f="v">
      <t c="8">
        <n x="4" s="1"/>
        <n x="7" s="1"/>
        <n x="67" s="1"/>
        <n x="3" s="1"/>
        <n x="6" s="1"/>
        <n x="68"/>
        <n x="80"/>
        <n x="42"/>
      </t>
    </mdx>
    <mdx n="0" f="v">
      <t c="8">
        <n x="4" s="1"/>
        <n x="7" s="1"/>
        <n x="67" s="1"/>
        <n x="3" s="1"/>
        <n x="6" s="1"/>
        <n x="68"/>
        <n x="80"/>
        <n x="43"/>
      </t>
    </mdx>
    <mdx n="0" f="v">
      <t c="8">
        <n x="4" s="1"/>
        <n x="7" s="1"/>
        <n x="67" s="1"/>
        <n x="3" s="1"/>
        <n x="6" s="1"/>
        <n x="68"/>
        <n x="80"/>
        <n x="44"/>
      </t>
    </mdx>
    <mdx n="0" f="v">
      <t c="8">
        <n x="4" s="1"/>
        <n x="7" s="1"/>
        <n x="67" s="1"/>
        <n x="3" s="1"/>
        <n x="6" s="1"/>
        <n x="68"/>
        <n x="80"/>
        <n x="45"/>
      </t>
    </mdx>
    <mdx n="0" f="v">
      <t c="8">
        <n x="4" s="1"/>
        <n x="7" s="1"/>
        <n x="67" s="1"/>
        <n x="3" s="1"/>
        <n x="6" s="1"/>
        <n x="68"/>
        <n x="80"/>
        <n x="46"/>
      </t>
    </mdx>
    <mdx n="0" f="v">
      <t c="8">
        <n x="4" s="1"/>
        <n x="7" s="1"/>
        <n x="67" s="1"/>
        <n x="3" s="1"/>
        <n x="6" s="1"/>
        <n x="68"/>
        <n x="80"/>
        <n x="47"/>
      </t>
    </mdx>
    <mdx n="0" f="v">
      <t c="8">
        <n x="4" s="1"/>
        <n x="7" s="1"/>
        <n x="67" s="1"/>
        <n x="3" s="1"/>
        <n x="6" s="1"/>
        <n x="68"/>
        <n x="80"/>
        <n x="48"/>
      </t>
    </mdx>
    <mdx n="0" f="v">
      <t c="8">
        <n x="4" s="1"/>
        <n x="7" s="1"/>
        <n x="67" s="1"/>
        <n x="3" s="1"/>
        <n x="6" s="1"/>
        <n x="68"/>
        <n x="80"/>
        <n x="49"/>
      </t>
    </mdx>
    <mdx n="0" f="v">
      <t c="8">
        <n x="4" s="1"/>
        <n x="7" s="1"/>
        <n x="67" s="1"/>
        <n x="3" s="1"/>
        <n x="6" s="1"/>
        <n x="68"/>
        <n x="80"/>
        <n x="50"/>
      </t>
    </mdx>
    <mdx n="0" f="v">
      <t c="8">
        <n x="4" s="1"/>
        <n x="7" s="1"/>
        <n x="67" s="1"/>
        <n x="3" s="1"/>
        <n x="6" s="1"/>
        <n x="68"/>
        <n x="80"/>
        <n x="51"/>
      </t>
    </mdx>
    <mdx n="0" f="v">
      <t c="8">
        <n x="4" s="1"/>
        <n x="7" s="1"/>
        <n x="67" s="1"/>
        <n x="3" s="1"/>
        <n x="6" s="1"/>
        <n x="68"/>
        <n x="80"/>
        <n x="52"/>
      </t>
    </mdx>
    <mdx n="0" f="v">
      <t c="8">
        <n x="4" s="1"/>
        <n x="7" s="1"/>
        <n x="67" s="1"/>
        <n x="3" s="1"/>
        <n x="6" s="1"/>
        <n x="68"/>
        <n x="80"/>
        <n x="53"/>
      </t>
    </mdx>
    <mdx n="0" f="v">
      <t c="8">
        <n x="4" s="1"/>
        <n x="7" s="1"/>
        <n x="67" s="1"/>
        <n x="3" s="1"/>
        <n x="6" s="1"/>
        <n x="68"/>
        <n x="80"/>
        <n x="54"/>
      </t>
    </mdx>
    <mdx n="0" f="v">
      <t c="8">
        <n x="4" s="1"/>
        <n x="7" s="1"/>
        <n x="67" s="1"/>
        <n x="3" s="1"/>
        <n x="6" s="1"/>
        <n x="68"/>
        <n x="80"/>
        <n x="55"/>
      </t>
    </mdx>
    <mdx n="0" f="v">
      <t c="8">
        <n x="4" s="1"/>
        <n x="7" s="1"/>
        <n x="67" s="1"/>
        <n x="3" s="1"/>
        <n x="6" s="1"/>
        <n x="68"/>
        <n x="80"/>
        <n x="56"/>
      </t>
    </mdx>
    <mdx n="0" f="v">
      <t c="8">
        <n x="4" s="1"/>
        <n x="7" s="1"/>
        <n x="67" s="1"/>
        <n x="3" s="1"/>
        <n x="6" s="1"/>
        <n x="68"/>
        <n x="80"/>
        <n x="57"/>
      </t>
    </mdx>
    <mdx n="0" f="v">
      <t c="8">
        <n x="4" s="1"/>
        <n x="7" s="1"/>
        <n x="67" s="1"/>
        <n x="3" s="1"/>
        <n x="6" s="1"/>
        <n x="68"/>
        <n x="80"/>
        <n x="58"/>
      </t>
    </mdx>
    <mdx n="0" f="v">
      <t c="8">
        <n x="4" s="1"/>
        <n x="7" s="1"/>
        <n x="67" s="1"/>
        <n x="3" s="1"/>
        <n x="6" s="1"/>
        <n x="68"/>
        <n x="80"/>
        <n x="59"/>
      </t>
    </mdx>
    <mdx n="0" f="v">
      <t c="8">
        <n x="4" s="1"/>
        <n x="7" s="1"/>
        <n x="67" s="1"/>
        <n x="3" s="1"/>
        <n x="6" s="1"/>
        <n x="68"/>
        <n x="80"/>
        <n x="60"/>
      </t>
    </mdx>
    <mdx n="0" f="v">
      <t c="8">
        <n x="4" s="1"/>
        <n x="7" s="1"/>
        <n x="67" s="1"/>
        <n x="3" s="1"/>
        <n x="6" s="1"/>
        <n x="68"/>
        <n x="80"/>
        <n x="61"/>
      </t>
    </mdx>
    <mdx n="0" f="v">
      <t c="8">
        <n x="4" s="1"/>
        <n x="7" s="1"/>
        <n x="67" s="1"/>
        <n x="3" s="1"/>
        <n x="6" s="1"/>
        <n x="68"/>
        <n x="80"/>
        <n x="62"/>
      </t>
    </mdx>
    <mdx n="0" f="v">
      <t c="8">
        <n x="4" s="1"/>
        <n x="7" s="1"/>
        <n x="67" s="1"/>
        <n x="3" s="1"/>
        <n x="6" s="1"/>
        <n x="68"/>
        <n x="80"/>
        <n x="63"/>
      </t>
    </mdx>
    <mdx n="0" f="v">
      <t c="8">
        <n x="4" s="1"/>
        <n x="7" s="1"/>
        <n x="67" s="1"/>
        <n x="3" s="1"/>
        <n x="6" s="1"/>
        <n x="68"/>
        <n x="80"/>
        <n x="64"/>
      </t>
    </mdx>
    <mdx n="0" f="v">
      <t c="8">
        <n x="4" s="1"/>
        <n x="7" s="1"/>
        <n x="67" s="1"/>
        <n x="3" s="1"/>
        <n x="6" s="1"/>
        <n x="68"/>
        <n x="80"/>
        <n x="65"/>
      </t>
    </mdx>
    <mdx n="0" f="v">
      <t c="8">
        <n x="4" s="1"/>
        <n x="7" s="1"/>
        <n x="67" s="1"/>
        <n x="3" s="1"/>
        <n x="6" s="1"/>
        <n x="68"/>
        <n x="80"/>
        <n x="66"/>
      </t>
    </mdx>
    <mdx n="0" f="m">
      <t c="1">
        <n x="81"/>
      </t>
    </mdx>
    <mdx n="0" f="v">
      <t c="8">
        <n x="4" s="1"/>
        <n x="7" s="1"/>
        <n x="67" s="1"/>
        <n x="3" s="1"/>
        <n x="6" s="1"/>
        <n x="68"/>
        <n x="81"/>
        <n x="8"/>
      </t>
    </mdx>
    <mdx n="0" f="v">
      <t c="8">
        <n x="4" s="1"/>
        <n x="7" s="1"/>
        <n x="67" s="1"/>
        <n x="3" s="1"/>
        <n x="6" s="1"/>
        <n x="68"/>
        <n x="81"/>
        <n x="9"/>
      </t>
    </mdx>
    <mdx n="0" f="v">
      <t c="8">
        <n x="4" s="1"/>
        <n x="7" s="1"/>
        <n x="67" s="1"/>
        <n x="3" s="1"/>
        <n x="6" s="1"/>
        <n x="68"/>
        <n x="81"/>
        <n x="10"/>
      </t>
    </mdx>
    <mdx n="0" f="v">
      <t c="8">
        <n x="4" s="1"/>
        <n x="7" s="1"/>
        <n x="67" s="1"/>
        <n x="3" s="1"/>
        <n x="6" s="1"/>
        <n x="68"/>
        <n x="81"/>
        <n x="11"/>
      </t>
    </mdx>
    <mdx n="0" f="v">
      <t c="8">
        <n x="4" s="1"/>
        <n x="7" s="1"/>
        <n x="67" s="1"/>
        <n x="3" s="1"/>
        <n x="6" s="1"/>
        <n x="68"/>
        <n x="81"/>
        <n x="12"/>
      </t>
    </mdx>
    <mdx n="0" f="v">
      <t c="8">
        <n x="4" s="1"/>
        <n x="7" s="1"/>
        <n x="67" s="1"/>
        <n x="3" s="1"/>
        <n x="6" s="1"/>
        <n x="68"/>
        <n x="81"/>
        <n x="13"/>
      </t>
    </mdx>
    <mdx n="0" f="v">
      <t c="8">
        <n x="4" s="1"/>
        <n x="7" s="1"/>
        <n x="67" s="1"/>
        <n x="3" s="1"/>
        <n x="6" s="1"/>
        <n x="68"/>
        <n x="81"/>
        <n x="14"/>
      </t>
    </mdx>
    <mdx n="0" f="v">
      <t c="8">
        <n x="4" s="1"/>
        <n x="7" s="1"/>
        <n x="67" s="1"/>
        <n x="3" s="1"/>
        <n x="6" s="1"/>
        <n x="68"/>
        <n x="81"/>
        <n x="15"/>
      </t>
    </mdx>
    <mdx n="0" f="v">
      <t c="8">
        <n x="4" s="1"/>
        <n x="7" s="1"/>
        <n x="67" s="1"/>
        <n x="3" s="1"/>
        <n x="6" s="1"/>
        <n x="68"/>
        <n x="81"/>
        <n x="16"/>
      </t>
    </mdx>
    <mdx n="0" f="v">
      <t c="8">
        <n x="4" s="1"/>
        <n x="7" s="1"/>
        <n x="67" s="1"/>
        <n x="3" s="1"/>
        <n x="6" s="1"/>
        <n x="68"/>
        <n x="81"/>
        <n x="17"/>
      </t>
    </mdx>
    <mdx n="0" f="v">
      <t c="8">
        <n x="4" s="1"/>
        <n x="7" s="1"/>
        <n x="67" s="1"/>
        <n x="3" s="1"/>
        <n x="6" s="1"/>
        <n x="68"/>
        <n x="81"/>
        <n x="18"/>
      </t>
    </mdx>
    <mdx n="0" f="v">
      <t c="8">
        <n x="4" s="1"/>
        <n x="7" s="1"/>
        <n x="67" s="1"/>
        <n x="3" s="1"/>
        <n x="6" s="1"/>
        <n x="68"/>
        <n x="81"/>
        <n x="19"/>
      </t>
    </mdx>
    <mdx n="0" f="v">
      <t c="8">
        <n x="4" s="1"/>
        <n x="7" s="1"/>
        <n x="67" s="1"/>
        <n x="3" s="1"/>
        <n x="6" s="1"/>
        <n x="68"/>
        <n x="81"/>
        <n x="20"/>
      </t>
    </mdx>
    <mdx n="0" f="v">
      <t c="8">
        <n x="4" s="1"/>
        <n x="7" s="1"/>
        <n x="67" s="1"/>
        <n x="3" s="1"/>
        <n x="6" s="1"/>
        <n x="68"/>
        <n x="81"/>
        <n x="21"/>
      </t>
    </mdx>
    <mdx n="0" f="v">
      <t c="8">
        <n x="4" s="1"/>
        <n x="7" s="1"/>
        <n x="67" s="1"/>
        <n x="3" s="1"/>
        <n x="6" s="1"/>
        <n x="68"/>
        <n x="81"/>
        <n x="22"/>
      </t>
    </mdx>
    <mdx n="0" f="v">
      <t c="8">
        <n x="4" s="1"/>
        <n x="7" s="1"/>
        <n x="67" s="1"/>
        <n x="3" s="1"/>
        <n x="6" s="1"/>
        <n x="68"/>
        <n x="81"/>
        <n x="23"/>
      </t>
    </mdx>
    <mdx n="0" f="v">
      <t c="8">
        <n x="4" s="1"/>
        <n x="7" s="1"/>
        <n x="67" s="1"/>
        <n x="3" s="1"/>
        <n x="6" s="1"/>
        <n x="68"/>
        <n x="81"/>
        <n x="24"/>
      </t>
    </mdx>
    <mdx n="0" f="v">
      <t c="8">
        <n x="4" s="1"/>
        <n x="7" s="1"/>
        <n x="67" s="1"/>
        <n x="3" s="1"/>
        <n x="6" s="1"/>
        <n x="68"/>
        <n x="81"/>
        <n x="25"/>
      </t>
    </mdx>
    <mdx n="0" f="v">
      <t c="8">
        <n x="4" s="1"/>
        <n x="7" s="1"/>
        <n x="67" s="1"/>
        <n x="3" s="1"/>
        <n x="6" s="1"/>
        <n x="68"/>
        <n x="81"/>
        <n x="26"/>
      </t>
    </mdx>
    <mdx n="0" f="v">
      <t c="8">
        <n x="4" s="1"/>
        <n x="7" s="1"/>
        <n x="67" s="1"/>
        <n x="3" s="1"/>
        <n x="6" s="1"/>
        <n x="68"/>
        <n x="81"/>
        <n x="27"/>
      </t>
    </mdx>
    <mdx n="0" f="v">
      <t c="8">
        <n x="4" s="1"/>
        <n x="7" s="1"/>
        <n x="67" s="1"/>
        <n x="3" s="1"/>
        <n x="6" s="1"/>
        <n x="68"/>
        <n x="81"/>
        <n x="28"/>
      </t>
    </mdx>
    <mdx n="0" f="v">
      <t c="8">
        <n x="4" s="1"/>
        <n x="7" s="1"/>
        <n x="67" s="1"/>
        <n x="3" s="1"/>
        <n x="6" s="1"/>
        <n x="68"/>
        <n x="81"/>
        <n x="29"/>
      </t>
    </mdx>
    <mdx n="0" f="v">
      <t c="8">
        <n x="4" s="1"/>
        <n x="7" s="1"/>
        <n x="67" s="1"/>
        <n x="3" s="1"/>
        <n x="6" s="1"/>
        <n x="68"/>
        <n x="81"/>
        <n x="30"/>
      </t>
    </mdx>
    <mdx n="0" f="v">
      <t c="8">
        <n x="4" s="1"/>
        <n x="7" s="1"/>
        <n x="67" s="1"/>
        <n x="3" s="1"/>
        <n x="6" s="1"/>
        <n x="68"/>
        <n x="81"/>
        <n x="31"/>
      </t>
    </mdx>
    <mdx n="0" f="v">
      <t c="8">
        <n x="4" s="1"/>
        <n x="7" s="1"/>
        <n x="67" s="1"/>
        <n x="3" s="1"/>
        <n x="6" s="1"/>
        <n x="68"/>
        <n x="81"/>
        <n x="32"/>
      </t>
    </mdx>
    <mdx n="0" f="v">
      <t c="8">
        <n x="4" s="1"/>
        <n x="7" s="1"/>
        <n x="67" s="1"/>
        <n x="3" s="1"/>
        <n x="6" s="1"/>
        <n x="68"/>
        <n x="81"/>
        <n x="33"/>
      </t>
    </mdx>
    <mdx n="0" f="v">
      <t c="8">
        <n x="4" s="1"/>
        <n x="7" s="1"/>
        <n x="67" s="1"/>
        <n x="3" s="1"/>
        <n x="6" s="1"/>
        <n x="68"/>
        <n x="81"/>
        <n x="34"/>
      </t>
    </mdx>
    <mdx n="0" f="v">
      <t c="8">
        <n x="4" s="1"/>
        <n x="7" s="1"/>
        <n x="67" s="1"/>
        <n x="3" s="1"/>
        <n x="6" s="1"/>
        <n x="68"/>
        <n x="81"/>
        <n x="35"/>
      </t>
    </mdx>
    <mdx n="0" f="v">
      <t c="8">
        <n x="4" s="1"/>
        <n x="7" s="1"/>
        <n x="67" s="1"/>
        <n x="3" s="1"/>
        <n x="6" s="1"/>
        <n x="68"/>
        <n x="81"/>
        <n x="36"/>
      </t>
    </mdx>
    <mdx n="0" f="v">
      <t c="8">
        <n x="4" s="1"/>
        <n x="7" s="1"/>
        <n x="67" s="1"/>
        <n x="3" s="1"/>
        <n x="6" s="1"/>
        <n x="68"/>
        <n x="81"/>
        <n x="37"/>
      </t>
    </mdx>
    <mdx n="0" f="v">
      <t c="8">
        <n x="4" s="1"/>
        <n x="7" s="1"/>
        <n x="67" s="1"/>
        <n x="3" s="1"/>
        <n x="6" s="1"/>
        <n x="68"/>
        <n x="81"/>
        <n x="38"/>
      </t>
    </mdx>
    <mdx n="0" f="v">
      <t c="8">
        <n x="4" s="1"/>
        <n x="7" s="1"/>
        <n x="67" s="1"/>
        <n x="3" s="1"/>
        <n x="6" s="1"/>
        <n x="68"/>
        <n x="81"/>
        <n x="39"/>
      </t>
    </mdx>
    <mdx n="0" f="v">
      <t c="8">
        <n x="4" s="1"/>
        <n x="7" s="1"/>
        <n x="67" s="1"/>
        <n x="3" s="1"/>
        <n x="6" s="1"/>
        <n x="68"/>
        <n x="81"/>
        <n x="40"/>
      </t>
    </mdx>
    <mdx n="0" f="v">
      <t c="8">
        <n x="4" s="1"/>
        <n x="7" s="1"/>
        <n x="67" s="1"/>
        <n x="3" s="1"/>
        <n x="6" s="1"/>
        <n x="68"/>
        <n x="81"/>
        <n x="41"/>
      </t>
    </mdx>
    <mdx n="0" f="v">
      <t c="8">
        <n x="4" s="1"/>
        <n x="7" s="1"/>
        <n x="67" s="1"/>
        <n x="3" s="1"/>
        <n x="6" s="1"/>
        <n x="68"/>
        <n x="81"/>
        <n x="42"/>
      </t>
    </mdx>
    <mdx n="0" f="v">
      <t c="8">
        <n x="4" s="1"/>
        <n x="7" s="1"/>
        <n x="67" s="1"/>
        <n x="3" s="1"/>
        <n x="6" s="1"/>
        <n x="68"/>
        <n x="81"/>
        <n x="43"/>
      </t>
    </mdx>
    <mdx n="0" f="v">
      <t c="8">
        <n x="4" s="1"/>
        <n x="7" s="1"/>
        <n x="67" s="1"/>
        <n x="3" s="1"/>
        <n x="6" s="1"/>
        <n x="68"/>
        <n x="81"/>
        <n x="44"/>
      </t>
    </mdx>
    <mdx n="0" f="v">
      <t c="8">
        <n x="4" s="1"/>
        <n x="7" s="1"/>
        <n x="67" s="1"/>
        <n x="3" s="1"/>
        <n x="6" s="1"/>
        <n x="68"/>
        <n x="81"/>
        <n x="45"/>
      </t>
    </mdx>
    <mdx n="0" f="v">
      <t c="8">
        <n x="4" s="1"/>
        <n x="7" s="1"/>
        <n x="67" s="1"/>
        <n x="3" s="1"/>
        <n x="6" s="1"/>
        <n x="68"/>
        <n x="81"/>
        <n x="46"/>
      </t>
    </mdx>
    <mdx n="0" f="v">
      <t c="8">
        <n x="4" s="1"/>
        <n x="7" s="1"/>
        <n x="67" s="1"/>
        <n x="3" s="1"/>
        <n x="6" s="1"/>
        <n x="68"/>
        <n x="81"/>
        <n x="47"/>
      </t>
    </mdx>
    <mdx n="0" f="v">
      <t c="8">
        <n x="4" s="1"/>
        <n x="7" s="1"/>
        <n x="67" s="1"/>
        <n x="3" s="1"/>
        <n x="6" s="1"/>
        <n x="68"/>
        <n x="81"/>
        <n x="48"/>
      </t>
    </mdx>
    <mdx n="0" f="v">
      <t c="8">
        <n x="4" s="1"/>
        <n x="7" s="1"/>
        <n x="67" s="1"/>
        <n x="3" s="1"/>
        <n x="6" s="1"/>
        <n x="68"/>
        <n x="81"/>
        <n x="49"/>
      </t>
    </mdx>
    <mdx n="0" f="v">
      <t c="8">
        <n x="4" s="1"/>
        <n x="7" s="1"/>
        <n x="67" s="1"/>
        <n x="3" s="1"/>
        <n x="6" s="1"/>
        <n x="68"/>
        <n x="81"/>
        <n x="50"/>
      </t>
    </mdx>
    <mdx n="0" f="v">
      <t c="8">
        <n x="4" s="1"/>
        <n x="7" s="1"/>
        <n x="67" s="1"/>
        <n x="3" s="1"/>
        <n x="6" s="1"/>
        <n x="68"/>
        <n x="81"/>
        <n x="51"/>
      </t>
    </mdx>
    <mdx n="0" f="v">
      <t c="8">
        <n x="4" s="1"/>
        <n x="7" s="1"/>
        <n x="67" s="1"/>
        <n x="3" s="1"/>
        <n x="6" s="1"/>
        <n x="68"/>
        <n x="81"/>
        <n x="52"/>
      </t>
    </mdx>
    <mdx n="0" f="v">
      <t c="8">
        <n x="4" s="1"/>
        <n x="7" s="1"/>
        <n x="67" s="1"/>
        <n x="3" s="1"/>
        <n x="6" s="1"/>
        <n x="68"/>
        <n x="81"/>
        <n x="53"/>
      </t>
    </mdx>
    <mdx n="0" f="v">
      <t c="8">
        <n x="4" s="1"/>
        <n x="7" s="1"/>
        <n x="67" s="1"/>
        <n x="3" s="1"/>
        <n x="6" s="1"/>
        <n x="68"/>
        <n x="81"/>
        <n x="54"/>
      </t>
    </mdx>
    <mdx n="0" f="v">
      <t c="8">
        <n x="4" s="1"/>
        <n x="7" s="1"/>
        <n x="67" s="1"/>
        <n x="3" s="1"/>
        <n x="6" s="1"/>
        <n x="68"/>
        <n x="81"/>
        <n x="55"/>
      </t>
    </mdx>
    <mdx n="0" f="v">
      <t c="8">
        <n x="4" s="1"/>
        <n x="7" s="1"/>
        <n x="67" s="1"/>
        <n x="3" s="1"/>
        <n x="6" s="1"/>
        <n x="68"/>
        <n x="81"/>
        <n x="56"/>
      </t>
    </mdx>
    <mdx n="0" f="v">
      <t c="8">
        <n x="4" s="1"/>
        <n x="7" s="1"/>
        <n x="67" s="1"/>
        <n x="3" s="1"/>
        <n x="6" s="1"/>
        <n x="68"/>
        <n x="81"/>
        <n x="57"/>
      </t>
    </mdx>
    <mdx n="0" f="v">
      <t c="8">
        <n x="4" s="1"/>
        <n x="7" s="1"/>
        <n x="67" s="1"/>
        <n x="3" s="1"/>
        <n x="6" s="1"/>
        <n x="68"/>
        <n x="81"/>
        <n x="58"/>
      </t>
    </mdx>
    <mdx n="0" f="v">
      <t c="8">
        <n x="4" s="1"/>
        <n x="7" s="1"/>
        <n x="67" s="1"/>
        <n x="3" s="1"/>
        <n x="6" s="1"/>
        <n x="68"/>
        <n x="81"/>
        <n x="59"/>
      </t>
    </mdx>
    <mdx n="0" f="v">
      <t c="8">
        <n x="4" s="1"/>
        <n x="7" s="1"/>
        <n x="67" s="1"/>
        <n x="3" s="1"/>
        <n x="6" s="1"/>
        <n x="68"/>
        <n x="81"/>
        <n x="60"/>
      </t>
    </mdx>
    <mdx n="0" f="v">
      <t c="8">
        <n x="4" s="1"/>
        <n x="7" s="1"/>
        <n x="67" s="1"/>
        <n x="3" s="1"/>
        <n x="6" s="1"/>
        <n x="68"/>
        <n x="81"/>
        <n x="61"/>
      </t>
    </mdx>
    <mdx n="0" f="v">
      <t c="8">
        <n x="4" s="1"/>
        <n x="7" s="1"/>
        <n x="67" s="1"/>
        <n x="3" s="1"/>
        <n x="6" s="1"/>
        <n x="68"/>
        <n x="81"/>
        <n x="62"/>
      </t>
    </mdx>
    <mdx n="0" f="v">
      <t c="8">
        <n x="4" s="1"/>
        <n x="7" s="1"/>
        <n x="67" s="1"/>
        <n x="3" s="1"/>
        <n x="6" s="1"/>
        <n x="68"/>
        <n x="81"/>
        <n x="63"/>
      </t>
    </mdx>
    <mdx n="0" f="v">
      <t c="8">
        <n x="4" s="1"/>
        <n x="7" s="1"/>
        <n x="67" s="1"/>
        <n x="3" s="1"/>
        <n x="6" s="1"/>
        <n x="68"/>
        <n x="81"/>
        <n x="64"/>
      </t>
    </mdx>
    <mdx n="0" f="v">
      <t c="8">
        <n x="4" s="1"/>
        <n x="7" s="1"/>
        <n x="67" s="1"/>
        <n x="3" s="1"/>
        <n x="6" s="1"/>
        <n x="68"/>
        <n x="81"/>
        <n x="65"/>
      </t>
    </mdx>
    <mdx n="0" f="v">
      <t c="8">
        <n x="4" s="1"/>
        <n x="7" s="1"/>
        <n x="67" s="1"/>
        <n x="3" s="1"/>
        <n x="6" s="1"/>
        <n x="68"/>
        <n x="81"/>
        <n x="66"/>
      </t>
    </mdx>
    <mdx n="0" f="m">
      <t c="1">
        <n x="82"/>
      </t>
    </mdx>
    <mdx n="0" f="v">
      <t c="8">
        <n x="4" s="1"/>
        <n x="7" s="1"/>
        <n x="67" s="1"/>
        <n x="3" s="1"/>
        <n x="6" s="1"/>
        <n x="68"/>
        <n x="82"/>
        <n x="8"/>
      </t>
    </mdx>
    <mdx n="0" f="v">
      <t c="8">
        <n x="4" s="1"/>
        <n x="7" s="1"/>
        <n x="67" s="1"/>
        <n x="3" s="1"/>
        <n x="6" s="1"/>
        <n x="68"/>
        <n x="82"/>
        <n x="9"/>
      </t>
    </mdx>
    <mdx n="0" f="v">
      <t c="8">
        <n x="4" s="1"/>
        <n x="7" s="1"/>
        <n x="67" s="1"/>
        <n x="3" s="1"/>
        <n x="6" s="1"/>
        <n x="68"/>
        <n x="82"/>
        <n x="10"/>
      </t>
    </mdx>
    <mdx n="0" f="v">
      <t c="8">
        <n x="4" s="1"/>
        <n x="7" s="1"/>
        <n x="67" s="1"/>
        <n x="3" s="1"/>
        <n x="6" s="1"/>
        <n x="68"/>
        <n x="82"/>
        <n x="11"/>
      </t>
    </mdx>
    <mdx n="0" f="v">
      <t c="8">
        <n x="4" s="1"/>
        <n x="7" s="1"/>
        <n x="67" s="1"/>
        <n x="3" s="1"/>
        <n x="6" s="1"/>
        <n x="68"/>
        <n x="82"/>
        <n x="12"/>
      </t>
    </mdx>
    <mdx n="0" f="v">
      <t c="8">
        <n x="4" s="1"/>
        <n x="7" s="1"/>
        <n x="67" s="1"/>
        <n x="3" s="1"/>
        <n x="6" s="1"/>
        <n x="68"/>
        <n x="82"/>
        <n x="13"/>
      </t>
    </mdx>
    <mdx n="0" f="v">
      <t c="8">
        <n x="4" s="1"/>
        <n x="7" s="1"/>
        <n x="67" s="1"/>
        <n x="3" s="1"/>
        <n x="6" s="1"/>
        <n x="68"/>
        <n x="82"/>
        <n x="14"/>
      </t>
    </mdx>
    <mdx n="0" f="v">
      <t c="8">
        <n x="4" s="1"/>
        <n x="7" s="1"/>
        <n x="67" s="1"/>
        <n x="3" s="1"/>
        <n x="6" s="1"/>
        <n x="68"/>
        <n x="82"/>
        <n x="15"/>
      </t>
    </mdx>
    <mdx n="0" f="v">
      <t c="8">
        <n x="4" s="1"/>
        <n x="7" s="1"/>
        <n x="67" s="1"/>
        <n x="3" s="1"/>
        <n x="6" s="1"/>
        <n x="68"/>
        <n x="82"/>
        <n x="16"/>
      </t>
    </mdx>
    <mdx n="0" f="v">
      <t c="8">
        <n x="4" s="1"/>
        <n x="7" s="1"/>
        <n x="67" s="1"/>
        <n x="3" s="1"/>
        <n x="6" s="1"/>
        <n x="68"/>
        <n x="82"/>
        <n x="17"/>
      </t>
    </mdx>
    <mdx n="0" f="v">
      <t c="8">
        <n x="4" s="1"/>
        <n x="7" s="1"/>
        <n x="67" s="1"/>
        <n x="3" s="1"/>
        <n x="6" s="1"/>
        <n x="68"/>
        <n x="82"/>
        <n x="18"/>
      </t>
    </mdx>
    <mdx n="0" f="v">
      <t c="8">
        <n x="4" s="1"/>
        <n x="7" s="1"/>
        <n x="67" s="1"/>
        <n x="3" s="1"/>
        <n x="6" s="1"/>
        <n x="68"/>
        <n x="82"/>
        <n x="19"/>
      </t>
    </mdx>
    <mdx n="0" f="v">
      <t c="8">
        <n x="4" s="1"/>
        <n x="7" s="1"/>
        <n x="67" s="1"/>
        <n x="3" s="1"/>
        <n x="6" s="1"/>
        <n x="68"/>
        <n x="82"/>
        <n x="20"/>
      </t>
    </mdx>
    <mdx n="0" f="v">
      <t c="8">
        <n x="4" s="1"/>
        <n x="7" s="1"/>
        <n x="67" s="1"/>
        <n x="3" s="1"/>
        <n x="6" s="1"/>
        <n x="68"/>
        <n x="82"/>
        <n x="21"/>
      </t>
    </mdx>
    <mdx n="0" f="v">
      <t c="8">
        <n x="4" s="1"/>
        <n x="7" s="1"/>
        <n x="67" s="1"/>
        <n x="3" s="1"/>
        <n x="6" s="1"/>
        <n x="68"/>
        <n x="82"/>
        <n x="22"/>
      </t>
    </mdx>
    <mdx n="0" f="v">
      <t c="8">
        <n x="4" s="1"/>
        <n x="7" s="1"/>
        <n x="67" s="1"/>
        <n x="3" s="1"/>
        <n x="6" s="1"/>
        <n x="68"/>
        <n x="82"/>
        <n x="23"/>
      </t>
    </mdx>
    <mdx n="0" f="v">
      <t c="8">
        <n x="4" s="1"/>
        <n x="7" s="1"/>
        <n x="67" s="1"/>
        <n x="3" s="1"/>
        <n x="6" s="1"/>
        <n x="68"/>
        <n x="82"/>
        <n x="24"/>
      </t>
    </mdx>
    <mdx n="0" f="v">
      <t c="8">
        <n x="4" s="1"/>
        <n x="7" s="1"/>
        <n x="67" s="1"/>
        <n x="3" s="1"/>
        <n x="6" s="1"/>
        <n x="68"/>
        <n x="82"/>
        <n x="25"/>
      </t>
    </mdx>
    <mdx n="0" f="v">
      <t c="8">
        <n x="4" s="1"/>
        <n x="7" s="1"/>
        <n x="67" s="1"/>
        <n x="3" s="1"/>
        <n x="6" s="1"/>
        <n x="68"/>
        <n x="82"/>
        <n x="26"/>
      </t>
    </mdx>
    <mdx n="0" f="v">
      <t c="8">
        <n x="4" s="1"/>
        <n x="7" s="1"/>
        <n x="67" s="1"/>
        <n x="3" s="1"/>
        <n x="6" s="1"/>
        <n x="68"/>
        <n x="82"/>
        <n x="27"/>
      </t>
    </mdx>
    <mdx n="0" f="v">
      <t c="8">
        <n x="4" s="1"/>
        <n x="7" s="1"/>
        <n x="67" s="1"/>
        <n x="3" s="1"/>
        <n x="6" s="1"/>
        <n x="68"/>
        <n x="82"/>
        <n x="28"/>
      </t>
    </mdx>
    <mdx n="0" f="v">
      <t c="8">
        <n x="4" s="1"/>
        <n x="7" s="1"/>
        <n x="67" s="1"/>
        <n x="3" s="1"/>
        <n x="6" s="1"/>
        <n x="68"/>
        <n x="82"/>
        <n x="29"/>
      </t>
    </mdx>
    <mdx n="0" f="v">
      <t c="8">
        <n x="4" s="1"/>
        <n x="7" s="1"/>
        <n x="67" s="1"/>
        <n x="3" s="1"/>
        <n x="6" s="1"/>
        <n x="68"/>
        <n x="82"/>
        <n x="30"/>
      </t>
    </mdx>
    <mdx n="0" f="v">
      <t c="8">
        <n x="4" s="1"/>
        <n x="7" s="1"/>
        <n x="67" s="1"/>
        <n x="3" s="1"/>
        <n x="6" s="1"/>
        <n x="68"/>
        <n x="82"/>
        <n x="31"/>
      </t>
    </mdx>
    <mdx n="0" f="v">
      <t c="8">
        <n x="4" s="1"/>
        <n x="7" s="1"/>
        <n x="67" s="1"/>
        <n x="3" s="1"/>
        <n x="6" s="1"/>
        <n x="68"/>
        <n x="82"/>
        <n x="32"/>
      </t>
    </mdx>
    <mdx n="0" f="v">
      <t c="8">
        <n x="4" s="1"/>
        <n x="7" s="1"/>
        <n x="67" s="1"/>
        <n x="3" s="1"/>
        <n x="6" s="1"/>
        <n x="68"/>
        <n x="82"/>
        <n x="33"/>
      </t>
    </mdx>
    <mdx n="0" f="v">
      <t c="8">
        <n x="4" s="1"/>
        <n x="7" s="1"/>
        <n x="67" s="1"/>
        <n x="3" s="1"/>
        <n x="6" s="1"/>
        <n x="68"/>
        <n x="82"/>
        <n x="34"/>
      </t>
    </mdx>
    <mdx n="0" f="v">
      <t c="8">
        <n x="4" s="1"/>
        <n x="7" s="1"/>
        <n x="67" s="1"/>
        <n x="3" s="1"/>
        <n x="6" s="1"/>
        <n x="68"/>
        <n x="82"/>
        <n x="35"/>
      </t>
    </mdx>
    <mdx n="0" f="v">
      <t c="8">
        <n x="4" s="1"/>
        <n x="7" s="1"/>
        <n x="67" s="1"/>
        <n x="3" s="1"/>
        <n x="6" s="1"/>
        <n x="68"/>
        <n x="82"/>
        <n x="36"/>
      </t>
    </mdx>
    <mdx n="0" f="v">
      <t c="8">
        <n x="4" s="1"/>
        <n x="7" s="1"/>
        <n x="67" s="1"/>
        <n x="3" s="1"/>
        <n x="6" s="1"/>
        <n x="68"/>
        <n x="82"/>
        <n x="37"/>
      </t>
    </mdx>
    <mdx n="0" f="v">
      <t c="8">
        <n x="4" s="1"/>
        <n x="7" s="1"/>
        <n x="67" s="1"/>
        <n x="3" s="1"/>
        <n x="6" s="1"/>
        <n x="68"/>
        <n x="82"/>
        <n x="38"/>
      </t>
    </mdx>
    <mdx n="0" f="v">
      <t c="8">
        <n x="4" s="1"/>
        <n x="7" s="1"/>
        <n x="67" s="1"/>
        <n x="3" s="1"/>
        <n x="6" s="1"/>
        <n x="68"/>
        <n x="82"/>
        <n x="39"/>
      </t>
    </mdx>
    <mdx n="0" f="v">
      <t c="8">
        <n x="4" s="1"/>
        <n x="7" s="1"/>
        <n x="67" s="1"/>
        <n x="3" s="1"/>
        <n x="6" s="1"/>
        <n x="68"/>
        <n x="82"/>
        <n x="40"/>
      </t>
    </mdx>
    <mdx n="0" f="v">
      <t c="8">
        <n x="4" s="1"/>
        <n x="7" s="1"/>
        <n x="67" s="1"/>
        <n x="3" s="1"/>
        <n x="6" s="1"/>
        <n x="68"/>
        <n x="82"/>
        <n x="41"/>
      </t>
    </mdx>
    <mdx n="0" f="v">
      <t c="8">
        <n x="4" s="1"/>
        <n x="7" s="1"/>
        <n x="67" s="1"/>
        <n x="3" s="1"/>
        <n x="6" s="1"/>
        <n x="68"/>
        <n x="82"/>
        <n x="42"/>
      </t>
    </mdx>
    <mdx n="0" f="v">
      <t c="8">
        <n x="4" s="1"/>
        <n x="7" s="1"/>
        <n x="67" s="1"/>
        <n x="3" s="1"/>
        <n x="6" s="1"/>
        <n x="68"/>
        <n x="82"/>
        <n x="43"/>
      </t>
    </mdx>
    <mdx n="0" f="v">
      <t c="8">
        <n x="4" s="1"/>
        <n x="7" s="1"/>
        <n x="67" s="1"/>
        <n x="3" s="1"/>
        <n x="6" s="1"/>
        <n x="68"/>
        <n x="82"/>
        <n x="44"/>
      </t>
    </mdx>
    <mdx n="0" f="v">
      <t c="8">
        <n x="4" s="1"/>
        <n x="7" s="1"/>
        <n x="67" s="1"/>
        <n x="3" s="1"/>
        <n x="6" s="1"/>
        <n x="68"/>
        <n x="82"/>
        <n x="45"/>
      </t>
    </mdx>
    <mdx n="0" f="v">
      <t c="8">
        <n x="4" s="1"/>
        <n x="7" s="1"/>
        <n x="67" s="1"/>
        <n x="3" s="1"/>
        <n x="6" s="1"/>
        <n x="68"/>
        <n x="82"/>
        <n x="46"/>
      </t>
    </mdx>
    <mdx n="0" f="v">
      <t c="8">
        <n x="4" s="1"/>
        <n x="7" s="1"/>
        <n x="67" s="1"/>
        <n x="3" s="1"/>
        <n x="6" s="1"/>
        <n x="68"/>
        <n x="82"/>
        <n x="47"/>
      </t>
    </mdx>
    <mdx n="0" f="v">
      <t c="8">
        <n x="4" s="1"/>
        <n x="7" s="1"/>
        <n x="67" s="1"/>
        <n x="3" s="1"/>
        <n x="6" s="1"/>
        <n x="68"/>
        <n x="82"/>
        <n x="48"/>
      </t>
    </mdx>
    <mdx n="0" f="v">
      <t c="8">
        <n x="4" s="1"/>
        <n x="7" s="1"/>
        <n x="67" s="1"/>
        <n x="3" s="1"/>
        <n x="6" s="1"/>
        <n x="68"/>
        <n x="82"/>
        <n x="49"/>
      </t>
    </mdx>
    <mdx n="0" f="v">
      <t c="8">
        <n x="4" s="1"/>
        <n x="7" s="1"/>
        <n x="67" s="1"/>
        <n x="3" s="1"/>
        <n x="6" s="1"/>
        <n x="68"/>
        <n x="82"/>
        <n x="50"/>
      </t>
    </mdx>
    <mdx n="0" f="v">
      <t c="8">
        <n x="4" s="1"/>
        <n x="7" s="1"/>
        <n x="67" s="1"/>
        <n x="3" s="1"/>
        <n x="6" s="1"/>
        <n x="68"/>
        <n x="82"/>
        <n x="51"/>
      </t>
    </mdx>
    <mdx n="0" f="v">
      <t c="8">
        <n x="4" s="1"/>
        <n x="7" s="1"/>
        <n x="67" s="1"/>
        <n x="3" s="1"/>
        <n x="6" s="1"/>
        <n x="68"/>
        <n x="82"/>
        <n x="52"/>
      </t>
    </mdx>
    <mdx n="0" f="v">
      <t c="8">
        <n x="4" s="1"/>
        <n x="7" s="1"/>
        <n x="67" s="1"/>
        <n x="3" s="1"/>
        <n x="6" s="1"/>
        <n x="68"/>
        <n x="82"/>
        <n x="53"/>
      </t>
    </mdx>
    <mdx n="0" f="v">
      <t c="8">
        <n x="4" s="1"/>
        <n x="7" s="1"/>
        <n x="67" s="1"/>
        <n x="3" s="1"/>
        <n x="6" s="1"/>
        <n x="68"/>
        <n x="82"/>
        <n x="54"/>
      </t>
    </mdx>
    <mdx n="0" f="v">
      <t c="8">
        <n x="4" s="1"/>
        <n x="7" s="1"/>
        <n x="67" s="1"/>
        <n x="3" s="1"/>
        <n x="6" s="1"/>
        <n x="68"/>
        <n x="82"/>
        <n x="55"/>
      </t>
    </mdx>
    <mdx n="0" f="v">
      <t c="8">
        <n x="4" s="1"/>
        <n x="7" s="1"/>
        <n x="67" s="1"/>
        <n x="3" s="1"/>
        <n x="6" s="1"/>
        <n x="68"/>
        <n x="82"/>
        <n x="56"/>
      </t>
    </mdx>
    <mdx n="0" f="v">
      <t c="8">
        <n x="4" s="1"/>
        <n x="7" s="1"/>
        <n x="67" s="1"/>
        <n x="3" s="1"/>
        <n x="6" s="1"/>
        <n x="68"/>
        <n x="82"/>
        <n x="57"/>
      </t>
    </mdx>
    <mdx n="0" f="v">
      <t c="8">
        <n x="4" s="1"/>
        <n x="7" s="1"/>
        <n x="67" s="1"/>
        <n x="3" s="1"/>
        <n x="6" s="1"/>
        <n x="68"/>
        <n x="82"/>
        <n x="58"/>
      </t>
    </mdx>
    <mdx n="0" f="v">
      <t c="8">
        <n x="4" s="1"/>
        <n x="7" s="1"/>
        <n x="67" s="1"/>
        <n x="3" s="1"/>
        <n x="6" s="1"/>
        <n x="68"/>
        <n x="82"/>
        <n x="59"/>
      </t>
    </mdx>
    <mdx n="0" f="v">
      <t c="8">
        <n x="4" s="1"/>
        <n x="7" s="1"/>
        <n x="67" s="1"/>
        <n x="3" s="1"/>
        <n x="6" s="1"/>
        <n x="68"/>
        <n x="82"/>
        <n x="60"/>
      </t>
    </mdx>
    <mdx n="0" f="v">
      <t c="8">
        <n x="4" s="1"/>
        <n x="7" s="1"/>
        <n x="67" s="1"/>
        <n x="3" s="1"/>
        <n x="6" s="1"/>
        <n x="68"/>
        <n x="82"/>
        <n x="61"/>
      </t>
    </mdx>
    <mdx n="0" f="v">
      <t c="8">
        <n x="4" s="1"/>
        <n x="7" s="1"/>
        <n x="67" s="1"/>
        <n x="3" s="1"/>
        <n x="6" s="1"/>
        <n x="68"/>
        <n x="82"/>
        <n x="62"/>
      </t>
    </mdx>
    <mdx n="0" f="v">
      <t c="8">
        <n x="4" s="1"/>
        <n x="7" s="1"/>
        <n x="67" s="1"/>
        <n x="3" s="1"/>
        <n x="6" s="1"/>
        <n x="68"/>
        <n x="82"/>
        <n x="63"/>
      </t>
    </mdx>
    <mdx n="0" f="v">
      <t c="8">
        <n x="4" s="1"/>
        <n x="7" s="1"/>
        <n x="67" s="1"/>
        <n x="3" s="1"/>
        <n x="6" s="1"/>
        <n x="68"/>
        <n x="82"/>
        <n x="64"/>
      </t>
    </mdx>
    <mdx n="0" f="v">
      <t c="8">
        <n x="4" s="1"/>
        <n x="7" s="1"/>
        <n x="67" s="1"/>
        <n x="3" s="1"/>
        <n x="6" s="1"/>
        <n x="68"/>
        <n x="82"/>
        <n x="65"/>
      </t>
    </mdx>
    <mdx n="0" f="v">
      <t c="8">
        <n x="4" s="1"/>
        <n x="7" s="1"/>
        <n x="67" s="1"/>
        <n x="3" s="1"/>
        <n x="6" s="1"/>
        <n x="68"/>
        <n x="82"/>
        <n x="66"/>
      </t>
    </mdx>
    <mdx n="0" f="m">
      <t c="1">
        <n x="83"/>
      </t>
    </mdx>
    <mdx n="0" f="v">
      <t c="8">
        <n x="4" s="1"/>
        <n x="7" s="1"/>
        <n x="67" s="1"/>
        <n x="3" s="1"/>
        <n x="6" s="1"/>
        <n x="68"/>
        <n x="83"/>
        <n x="8"/>
      </t>
    </mdx>
    <mdx n="0" f="v">
      <t c="8">
        <n x="4" s="1"/>
        <n x="7" s="1"/>
        <n x="67" s="1"/>
        <n x="3" s="1"/>
        <n x="6" s="1"/>
        <n x="68"/>
        <n x="83"/>
        <n x="9"/>
      </t>
    </mdx>
    <mdx n="0" f="v">
      <t c="8">
        <n x="4" s="1"/>
        <n x="7" s="1"/>
        <n x="67" s="1"/>
        <n x="3" s="1"/>
        <n x="6" s="1"/>
        <n x="68"/>
        <n x="83"/>
        <n x="10"/>
      </t>
    </mdx>
    <mdx n="0" f="v">
      <t c="8">
        <n x="4" s="1"/>
        <n x="7" s="1"/>
        <n x="67" s="1"/>
        <n x="3" s="1"/>
        <n x="6" s="1"/>
        <n x="68"/>
        <n x="83"/>
        <n x="11"/>
      </t>
    </mdx>
    <mdx n="0" f="v">
      <t c="8">
        <n x="4" s="1"/>
        <n x="7" s="1"/>
        <n x="67" s="1"/>
        <n x="3" s="1"/>
        <n x="6" s="1"/>
        <n x="68"/>
        <n x="83"/>
        <n x="12"/>
      </t>
    </mdx>
    <mdx n="0" f="v">
      <t c="8">
        <n x="4" s="1"/>
        <n x="7" s="1"/>
        <n x="67" s="1"/>
        <n x="3" s="1"/>
        <n x="6" s="1"/>
        <n x="68"/>
        <n x="83"/>
        <n x="13"/>
      </t>
    </mdx>
    <mdx n="0" f="v">
      <t c="8">
        <n x="4" s="1"/>
        <n x="7" s="1"/>
        <n x="67" s="1"/>
        <n x="3" s="1"/>
        <n x="6" s="1"/>
        <n x="68"/>
        <n x="83"/>
        <n x="14"/>
      </t>
    </mdx>
    <mdx n="0" f="v">
      <t c="8">
        <n x="4" s="1"/>
        <n x="7" s="1"/>
        <n x="67" s="1"/>
        <n x="3" s="1"/>
        <n x="6" s="1"/>
        <n x="68"/>
        <n x="83"/>
        <n x="15"/>
      </t>
    </mdx>
    <mdx n="0" f="v">
      <t c="8">
        <n x="4" s="1"/>
        <n x="7" s="1"/>
        <n x="67" s="1"/>
        <n x="3" s="1"/>
        <n x="6" s="1"/>
        <n x="68"/>
        <n x="83"/>
        <n x="16"/>
      </t>
    </mdx>
    <mdx n="0" f="v">
      <t c="8">
        <n x="4" s="1"/>
        <n x="7" s="1"/>
        <n x="67" s="1"/>
        <n x="3" s="1"/>
        <n x="6" s="1"/>
        <n x="68"/>
        <n x="83"/>
        <n x="17"/>
      </t>
    </mdx>
    <mdx n="0" f="v">
      <t c="8">
        <n x="4" s="1"/>
        <n x="7" s="1"/>
        <n x="67" s="1"/>
        <n x="3" s="1"/>
        <n x="6" s="1"/>
        <n x="68"/>
        <n x="83"/>
        <n x="18"/>
      </t>
    </mdx>
    <mdx n="0" f="v">
      <t c="8">
        <n x="4" s="1"/>
        <n x="7" s="1"/>
        <n x="67" s="1"/>
        <n x="3" s="1"/>
        <n x="6" s="1"/>
        <n x="68"/>
        <n x="83"/>
        <n x="19"/>
      </t>
    </mdx>
    <mdx n="0" f="v">
      <t c="8">
        <n x="4" s="1"/>
        <n x="7" s="1"/>
        <n x="67" s="1"/>
        <n x="3" s="1"/>
        <n x="6" s="1"/>
        <n x="68"/>
        <n x="83"/>
        <n x="20"/>
      </t>
    </mdx>
    <mdx n="0" f="v">
      <t c="8">
        <n x="4" s="1"/>
        <n x="7" s="1"/>
        <n x="67" s="1"/>
        <n x="3" s="1"/>
        <n x="6" s="1"/>
        <n x="68"/>
        <n x="83"/>
        <n x="21"/>
      </t>
    </mdx>
    <mdx n="0" f="v">
      <t c="8">
        <n x="4" s="1"/>
        <n x="7" s="1"/>
        <n x="67" s="1"/>
        <n x="3" s="1"/>
        <n x="6" s="1"/>
        <n x="68"/>
        <n x="83"/>
        <n x="22"/>
      </t>
    </mdx>
    <mdx n="0" f="v">
      <t c="8">
        <n x="4" s="1"/>
        <n x="7" s="1"/>
        <n x="67" s="1"/>
        <n x="3" s="1"/>
        <n x="6" s="1"/>
        <n x="68"/>
        <n x="83"/>
        <n x="23"/>
      </t>
    </mdx>
    <mdx n="0" f="v">
      <t c="8">
        <n x="4" s="1"/>
        <n x="7" s="1"/>
        <n x="67" s="1"/>
        <n x="3" s="1"/>
        <n x="6" s="1"/>
        <n x="68"/>
        <n x="83"/>
        <n x="24"/>
      </t>
    </mdx>
    <mdx n="0" f="v">
      <t c="8">
        <n x="4" s="1"/>
        <n x="7" s="1"/>
        <n x="67" s="1"/>
        <n x="3" s="1"/>
        <n x="6" s="1"/>
        <n x="68"/>
        <n x="83"/>
        <n x="25"/>
      </t>
    </mdx>
    <mdx n="0" f="v">
      <t c="8">
        <n x="4" s="1"/>
        <n x="7" s="1"/>
        <n x="67" s="1"/>
        <n x="3" s="1"/>
        <n x="6" s="1"/>
        <n x="68"/>
        <n x="83"/>
        <n x="26"/>
      </t>
    </mdx>
    <mdx n="0" f="v">
      <t c="8">
        <n x="4" s="1"/>
        <n x="7" s="1"/>
        <n x="67" s="1"/>
        <n x="3" s="1"/>
        <n x="6" s="1"/>
        <n x="68"/>
        <n x="83"/>
        <n x="27"/>
      </t>
    </mdx>
    <mdx n="0" f="v">
      <t c="8">
        <n x="4" s="1"/>
        <n x="7" s="1"/>
        <n x="67" s="1"/>
        <n x="3" s="1"/>
        <n x="6" s="1"/>
        <n x="68"/>
        <n x="83"/>
        <n x="28"/>
      </t>
    </mdx>
    <mdx n="0" f="v">
      <t c="8">
        <n x="4" s="1"/>
        <n x="7" s="1"/>
        <n x="67" s="1"/>
        <n x="3" s="1"/>
        <n x="6" s="1"/>
        <n x="68"/>
        <n x="83"/>
        <n x="29"/>
      </t>
    </mdx>
    <mdx n="0" f="v">
      <t c="8">
        <n x="4" s="1"/>
        <n x="7" s="1"/>
        <n x="67" s="1"/>
        <n x="3" s="1"/>
        <n x="6" s="1"/>
        <n x="68"/>
        <n x="83"/>
        <n x="30"/>
      </t>
    </mdx>
    <mdx n="0" f="v">
      <t c="8">
        <n x="4" s="1"/>
        <n x="7" s="1"/>
        <n x="67" s="1"/>
        <n x="3" s="1"/>
        <n x="6" s="1"/>
        <n x="68"/>
        <n x="83"/>
        <n x="31"/>
      </t>
    </mdx>
    <mdx n="0" f="v">
      <t c="8">
        <n x="4" s="1"/>
        <n x="7" s="1"/>
        <n x="67" s="1"/>
        <n x="3" s="1"/>
        <n x="6" s="1"/>
        <n x="68"/>
        <n x="83"/>
        <n x="32"/>
      </t>
    </mdx>
    <mdx n="0" f="v">
      <t c="8">
        <n x="4" s="1"/>
        <n x="7" s="1"/>
        <n x="67" s="1"/>
        <n x="3" s="1"/>
        <n x="6" s="1"/>
        <n x="68"/>
        <n x="83"/>
        <n x="33"/>
      </t>
    </mdx>
    <mdx n="0" f="v">
      <t c="8">
        <n x="4" s="1"/>
        <n x="7" s="1"/>
        <n x="67" s="1"/>
        <n x="3" s="1"/>
        <n x="6" s="1"/>
        <n x="68"/>
        <n x="83"/>
        <n x="34"/>
      </t>
    </mdx>
    <mdx n="0" f="v">
      <t c="8">
        <n x="4" s="1"/>
        <n x="7" s="1"/>
        <n x="67" s="1"/>
        <n x="3" s="1"/>
        <n x="6" s="1"/>
        <n x="68"/>
        <n x="83"/>
        <n x="35"/>
      </t>
    </mdx>
    <mdx n="0" f="v">
      <t c="8">
        <n x="4" s="1"/>
        <n x="7" s="1"/>
        <n x="67" s="1"/>
        <n x="3" s="1"/>
        <n x="6" s="1"/>
        <n x="68"/>
        <n x="83"/>
        <n x="36"/>
      </t>
    </mdx>
    <mdx n="0" f="v">
      <t c="8">
        <n x="4" s="1"/>
        <n x="7" s="1"/>
        <n x="67" s="1"/>
        <n x="3" s="1"/>
        <n x="6" s="1"/>
        <n x="68"/>
        <n x="83"/>
        <n x="37"/>
      </t>
    </mdx>
    <mdx n="0" f="v">
      <t c="8">
        <n x="4" s="1"/>
        <n x="7" s="1"/>
        <n x="67" s="1"/>
        <n x="3" s="1"/>
        <n x="6" s="1"/>
        <n x="68"/>
        <n x="83"/>
        <n x="38"/>
      </t>
    </mdx>
    <mdx n="0" f="v">
      <t c="8">
        <n x="4" s="1"/>
        <n x="7" s="1"/>
        <n x="67" s="1"/>
        <n x="3" s="1"/>
        <n x="6" s="1"/>
        <n x="68"/>
        <n x="83"/>
        <n x="39"/>
      </t>
    </mdx>
    <mdx n="0" f="v">
      <t c="8">
        <n x="4" s="1"/>
        <n x="7" s="1"/>
        <n x="67" s="1"/>
        <n x="3" s="1"/>
        <n x="6" s="1"/>
        <n x="68"/>
        <n x="83"/>
        <n x="40"/>
      </t>
    </mdx>
    <mdx n="0" f="v">
      <t c="8">
        <n x="4" s="1"/>
        <n x="7" s="1"/>
        <n x="67" s="1"/>
        <n x="3" s="1"/>
        <n x="6" s="1"/>
        <n x="68"/>
        <n x="83"/>
        <n x="41"/>
      </t>
    </mdx>
    <mdx n="0" f="v">
      <t c="8">
        <n x="4" s="1"/>
        <n x="7" s="1"/>
        <n x="67" s="1"/>
        <n x="3" s="1"/>
        <n x="6" s="1"/>
        <n x="68"/>
        <n x="83"/>
        <n x="42"/>
      </t>
    </mdx>
    <mdx n="0" f="v">
      <t c="8">
        <n x="4" s="1"/>
        <n x="7" s="1"/>
        <n x="67" s="1"/>
        <n x="3" s="1"/>
        <n x="6" s="1"/>
        <n x="68"/>
        <n x="83"/>
        <n x="43"/>
      </t>
    </mdx>
    <mdx n="0" f="v">
      <t c="8">
        <n x="4" s="1"/>
        <n x="7" s="1"/>
        <n x="67" s="1"/>
        <n x="3" s="1"/>
        <n x="6" s="1"/>
        <n x="68"/>
        <n x="83"/>
        <n x="44"/>
      </t>
    </mdx>
    <mdx n="0" f="v">
      <t c="8">
        <n x="4" s="1"/>
        <n x="7" s="1"/>
        <n x="67" s="1"/>
        <n x="3" s="1"/>
        <n x="6" s="1"/>
        <n x="68"/>
        <n x="83"/>
        <n x="45"/>
      </t>
    </mdx>
    <mdx n="0" f="v">
      <t c="8">
        <n x="4" s="1"/>
        <n x="7" s="1"/>
        <n x="67" s="1"/>
        <n x="3" s="1"/>
        <n x="6" s="1"/>
        <n x="68"/>
        <n x="83"/>
        <n x="46"/>
      </t>
    </mdx>
    <mdx n="0" f="v">
      <t c="8">
        <n x="4" s="1"/>
        <n x="7" s="1"/>
        <n x="67" s="1"/>
        <n x="3" s="1"/>
        <n x="6" s="1"/>
        <n x="68"/>
        <n x="83"/>
        <n x="47"/>
      </t>
    </mdx>
    <mdx n="0" f="v">
      <t c="8">
        <n x="4" s="1"/>
        <n x="7" s="1"/>
        <n x="67" s="1"/>
        <n x="3" s="1"/>
        <n x="6" s="1"/>
        <n x="68"/>
        <n x="83"/>
        <n x="48"/>
      </t>
    </mdx>
    <mdx n="0" f="v">
      <t c="8">
        <n x="4" s="1"/>
        <n x="7" s="1"/>
        <n x="67" s="1"/>
        <n x="3" s="1"/>
        <n x="6" s="1"/>
        <n x="68"/>
        <n x="83"/>
        <n x="49"/>
      </t>
    </mdx>
    <mdx n="0" f="v">
      <t c="8">
        <n x="4" s="1"/>
        <n x="7" s="1"/>
        <n x="67" s="1"/>
        <n x="3" s="1"/>
        <n x="6" s="1"/>
        <n x="68"/>
        <n x="83"/>
        <n x="50"/>
      </t>
    </mdx>
    <mdx n="0" f="v">
      <t c="8">
        <n x="4" s="1"/>
        <n x="7" s="1"/>
        <n x="67" s="1"/>
        <n x="3" s="1"/>
        <n x="6" s="1"/>
        <n x="68"/>
        <n x="83"/>
        <n x="51"/>
      </t>
    </mdx>
    <mdx n="0" f="v">
      <t c="8">
        <n x="4" s="1"/>
        <n x="7" s="1"/>
        <n x="67" s="1"/>
        <n x="3" s="1"/>
        <n x="6" s="1"/>
        <n x="68"/>
        <n x="83"/>
        <n x="52"/>
      </t>
    </mdx>
    <mdx n="0" f="v">
      <t c="8">
        <n x="4" s="1"/>
        <n x="7" s="1"/>
        <n x="67" s="1"/>
        <n x="3" s="1"/>
        <n x="6" s="1"/>
        <n x="68"/>
        <n x="83"/>
        <n x="53"/>
      </t>
    </mdx>
    <mdx n="0" f="v">
      <t c="8">
        <n x="4" s="1"/>
        <n x="7" s="1"/>
        <n x="67" s="1"/>
        <n x="3" s="1"/>
        <n x="6" s="1"/>
        <n x="68"/>
        <n x="83"/>
        <n x="54"/>
      </t>
    </mdx>
    <mdx n="0" f="v">
      <t c="8">
        <n x="4" s="1"/>
        <n x="7" s="1"/>
        <n x="67" s="1"/>
        <n x="3" s="1"/>
        <n x="6" s="1"/>
        <n x="68"/>
        <n x="83"/>
        <n x="55"/>
      </t>
    </mdx>
    <mdx n="0" f="v">
      <t c="8">
        <n x="4" s="1"/>
        <n x="7" s="1"/>
        <n x="67" s="1"/>
        <n x="3" s="1"/>
        <n x="6" s="1"/>
        <n x="68"/>
        <n x="83"/>
        <n x="56"/>
      </t>
    </mdx>
    <mdx n="0" f="v">
      <t c="8">
        <n x="4" s="1"/>
        <n x="7" s="1"/>
        <n x="67" s="1"/>
        <n x="3" s="1"/>
        <n x="6" s="1"/>
        <n x="68"/>
        <n x="83"/>
        <n x="57"/>
      </t>
    </mdx>
    <mdx n="0" f="v">
      <t c="8">
        <n x="4" s="1"/>
        <n x="7" s="1"/>
        <n x="67" s="1"/>
        <n x="3" s="1"/>
        <n x="6" s="1"/>
        <n x="68"/>
        <n x="83"/>
        <n x="58"/>
      </t>
    </mdx>
    <mdx n="0" f="v">
      <t c="8">
        <n x="4" s="1"/>
        <n x="7" s="1"/>
        <n x="67" s="1"/>
        <n x="3" s="1"/>
        <n x="6" s="1"/>
        <n x="68"/>
        <n x="83"/>
        <n x="59"/>
      </t>
    </mdx>
    <mdx n="0" f="v">
      <t c="8">
        <n x="4" s="1"/>
        <n x="7" s="1"/>
        <n x="67" s="1"/>
        <n x="3" s="1"/>
        <n x="6" s="1"/>
        <n x="68"/>
        <n x="83"/>
        <n x="60"/>
      </t>
    </mdx>
    <mdx n="0" f="v">
      <t c="8">
        <n x="4" s="1"/>
        <n x="7" s="1"/>
        <n x="67" s="1"/>
        <n x="3" s="1"/>
        <n x="6" s="1"/>
        <n x="68"/>
        <n x="83"/>
        <n x="61"/>
      </t>
    </mdx>
    <mdx n="0" f="v">
      <t c="8">
        <n x="4" s="1"/>
        <n x="7" s="1"/>
        <n x="67" s="1"/>
        <n x="3" s="1"/>
        <n x="6" s="1"/>
        <n x="68"/>
        <n x="83"/>
        <n x="62"/>
      </t>
    </mdx>
    <mdx n="0" f="v">
      <t c="8">
        <n x="4" s="1"/>
        <n x="7" s="1"/>
        <n x="67" s="1"/>
        <n x="3" s="1"/>
        <n x="6" s="1"/>
        <n x="68"/>
        <n x="83"/>
        <n x="63"/>
      </t>
    </mdx>
    <mdx n="0" f="v">
      <t c="8">
        <n x="4" s="1"/>
        <n x="7" s="1"/>
        <n x="67" s="1"/>
        <n x="3" s="1"/>
        <n x="6" s="1"/>
        <n x="68"/>
        <n x="83"/>
        <n x="64"/>
      </t>
    </mdx>
    <mdx n="0" f="v">
      <t c="8">
        <n x="4" s="1"/>
        <n x="7" s="1"/>
        <n x="67" s="1"/>
        <n x="3" s="1"/>
        <n x="6" s="1"/>
        <n x="68"/>
        <n x="83"/>
        <n x="65"/>
      </t>
    </mdx>
    <mdx n="0" f="v">
      <t c="8">
        <n x="4" s="1"/>
        <n x="7" s="1"/>
        <n x="67" s="1"/>
        <n x="3" s="1"/>
        <n x="6" s="1"/>
        <n x="68"/>
        <n x="83"/>
        <n x="66"/>
      </t>
    </mdx>
    <mdx n="0" f="m">
      <t c="1">
        <n x="84"/>
      </t>
    </mdx>
    <mdx n="0" f="v">
      <t c="8">
        <n x="4" s="1"/>
        <n x="7" s="1"/>
        <n x="67" s="1"/>
        <n x="3" s="1"/>
        <n x="6" s="1"/>
        <n x="68"/>
        <n x="84"/>
        <n x="8"/>
      </t>
    </mdx>
    <mdx n="0" f="v">
      <t c="8">
        <n x="4" s="1"/>
        <n x="7" s="1"/>
        <n x="67" s="1"/>
        <n x="3" s="1"/>
        <n x="6" s="1"/>
        <n x="68"/>
        <n x="84"/>
        <n x="9"/>
      </t>
    </mdx>
    <mdx n="0" f="v">
      <t c="8">
        <n x="4" s="1"/>
        <n x="7" s="1"/>
        <n x="67" s="1"/>
        <n x="3" s="1"/>
        <n x="6" s="1"/>
        <n x="68"/>
        <n x="84"/>
        <n x="10"/>
      </t>
    </mdx>
    <mdx n="0" f="v">
      <t c="8">
        <n x="4" s="1"/>
        <n x="7" s="1"/>
        <n x="67" s="1"/>
        <n x="3" s="1"/>
        <n x="6" s="1"/>
        <n x="68"/>
        <n x="84"/>
        <n x="11"/>
      </t>
    </mdx>
    <mdx n="0" f="v">
      <t c="8">
        <n x="4" s="1"/>
        <n x="7" s="1"/>
        <n x="67" s="1"/>
        <n x="3" s="1"/>
        <n x="6" s="1"/>
        <n x="68"/>
        <n x="84"/>
        <n x="12"/>
      </t>
    </mdx>
    <mdx n="0" f="v">
      <t c="8">
        <n x="4" s="1"/>
        <n x="7" s="1"/>
        <n x="67" s="1"/>
        <n x="3" s="1"/>
        <n x="6" s="1"/>
        <n x="68"/>
        <n x="84"/>
        <n x="13"/>
      </t>
    </mdx>
    <mdx n="0" f="v">
      <t c="8">
        <n x="4" s="1"/>
        <n x="7" s="1"/>
        <n x="67" s="1"/>
        <n x="3" s="1"/>
        <n x="6" s="1"/>
        <n x="68"/>
        <n x="84"/>
        <n x="14"/>
      </t>
    </mdx>
    <mdx n="0" f="v">
      <t c="8">
        <n x="4" s="1"/>
        <n x="7" s="1"/>
        <n x="67" s="1"/>
        <n x="3" s="1"/>
        <n x="6" s="1"/>
        <n x="68"/>
        <n x="84"/>
        <n x="15"/>
      </t>
    </mdx>
    <mdx n="0" f="v">
      <t c="8">
        <n x="4" s="1"/>
        <n x="7" s="1"/>
        <n x="67" s="1"/>
        <n x="3" s="1"/>
        <n x="6" s="1"/>
        <n x="68"/>
        <n x="84"/>
        <n x="16"/>
      </t>
    </mdx>
    <mdx n="0" f="v">
      <t c="8">
        <n x="4" s="1"/>
        <n x="7" s="1"/>
        <n x="67" s="1"/>
        <n x="3" s="1"/>
        <n x="6" s="1"/>
        <n x="68"/>
        <n x="84"/>
        <n x="17"/>
      </t>
    </mdx>
    <mdx n="0" f="v">
      <t c="8">
        <n x="4" s="1"/>
        <n x="7" s="1"/>
        <n x="67" s="1"/>
        <n x="3" s="1"/>
        <n x="6" s="1"/>
        <n x="68"/>
        <n x="84"/>
        <n x="18"/>
      </t>
    </mdx>
    <mdx n="0" f="v">
      <t c="8">
        <n x="4" s="1"/>
        <n x="7" s="1"/>
        <n x="67" s="1"/>
        <n x="3" s="1"/>
        <n x="6" s="1"/>
        <n x="68"/>
        <n x="84"/>
        <n x="19"/>
      </t>
    </mdx>
    <mdx n="0" f="v">
      <t c="8">
        <n x="4" s="1"/>
        <n x="7" s="1"/>
        <n x="67" s="1"/>
        <n x="3" s="1"/>
        <n x="6" s="1"/>
        <n x="68"/>
        <n x="84"/>
        <n x="20"/>
      </t>
    </mdx>
    <mdx n="0" f="v">
      <t c="8">
        <n x="4" s="1"/>
        <n x="7" s="1"/>
        <n x="67" s="1"/>
        <n x="3" s="1"/>
        <n x="6" s="1"/>
        <n x="68"/>
        <n x="84"/>
        <n x="21"/>
      </t>
    </mdx>
    <mdx n="0" f="v">
      <t c="8">
        <n x="4" s="1"/>
        <n x="7" s="1"/>
        <n x="67" s="1"/>
        <n x="3" s="1"/>
        <n x="6" s="1"/>
        <n x="68"/>
        <n x="84"/>
        <n x="22"/>
      </t>
    </mdx>
    <mdx n="0" f="v">
      <t c="8">
        <n x="4" s="1"/>
        <n x="7" s="1"/>
        <n x="67" s="1"/>
        <n x="3" s="1"/>
        <n x="6" s="1"/>
        <n x="68"/>
        <n x="84"/>
        <n x="23"/>
      </t>
    </mdx>
    <mdx n="0" f="v">
      <t c="8">
        <n x="4" s="1"/>
        <n x="7" s="1"/>
        <n x="67" s="1"/>
        <n x="3" s="1"/>
        <n x="6" s="1"/>
        <n x="68"/>
        <n x="84"/>
        <n x="24"/>
      </t>
    </mdx>
    <mdx n="0" f="v">
      <t c="8">
        <n x="4" s="1"/>
        <n x="7" s="1"/>
        <n x="67" s="1"/>
        <n x="3" s="1"/>
        <n x="6" s="1"/>
        <n x="68"/>
        <n x="84"/>
        <n x="25"/>
      </t>
    </mdx>
    <mdx n="0" f="v">
      <t c="8">
        <n x="4" s="1"/>
        <n x="7" s="1"/>
        <n x="67" s="1"/>
        <n x="3" s="1"/>
        <n x="6" s="1"/>
        <n x="68"/>
        <n x="84"/>
        <n x="26"/>
      </t>
    </mdx>
    <mdx n="0" f="v">
      <t c="8">
        <n x="4" s="1"/>
        <n x="7" s="1"/>
        <n x="67" s="1"/>
        <n x="3" s="1"/>
        <n x="6" s="1"/>
        <n x="68"/>
        <n x="84"/>
        <n x="27"/>
      </t>
    </mdx>
    <mdx n="0" f="v">
      <t c="8">
        <n x="4" s="1"/>
        <n x="7" s="1"/>
        <n x="67" s="1"/>
        <n x="3" s="1"/>
        <n x="6" s="1"/>
        <n x="68"/>
        <n x="84"/>
        <n x="28"/>
      </t>
    </mdx>
    <mdx n="0" f="v">
      <t c="8">
        <n x="4" s="1"/>
        <n x="7" s="1"/>
        <n x="67" s="1"/>
        <n x="3" s="1"/>
        <n x="6" s="1"/>
        <n x="68"/>
        <n x="84"/>
        <n x="29"/>
      </t>
    </mdx>
    <mdx n="0" f="v">
      <t c="8">
        <n x="4" s="1"/>
        <n x="7" s="1"/>
        <n x="67" s="1"/>
        <n x="3" s="1"/>
        <n x="6" s="1"/>
        <n x="68"/>
        <n x="84"/>
        <n x="30"/>
      </t>
    </mdx>
    <mdx n="0" f="v">
      <t c="8">
        <n x="4" s="1"/>
        <n x="7" s="1"/>
        <n x="67" s="1"/>
        <n x="3" s="1"/>
        <n x="6" s="1"/>
        <n x="68"/>
        <n x="84"/>
        <n x="31"/>
      </t>
    </mdx>
    <mdx n="0" f="v">
      <t c="8">
        <n x="4" s="1"/>
        <n x="7" s="1"/>
        <n x="67" s="1"/>
        <n x="3" s="1"/>
        <n x="6" s="1"/>
        <n x="68"/>
        <n x="84"/>
        <n x="32"/>
      </t>
    </mdx>
    <mdx n="0" f="v">
      <t c="8">
        <n x="4" s="1"/>
        <n x="7" s="1"/>
        <n x="67" s="1"/>
        <n x="3" s="1"/>
        <n x="6" s="1"/>
        <n x="68"/>
        <n x="84"/>
        <n x="33"/>
      </t>
    </mdx>
    <mdx n="0" f="v">
      <t c="8">
        <n x="4" s="1"/>
        <n x="7" s="1"/>
        <n x="67" s="1"/>
        <n x="3" s="1"/>
        <n x="6" s="1"/>
        <n x="68"/>
        <n x="84"/>
        <n x="34"/>
      </t>
    </mdx>
    <mdx n="0" f="v">
      <t c="8">
        <n x="4" s="1"/>
        <n x="7" s="1"/>
        <n x="67" s="1"/>
        <n x="3" s="1"/>
        <n x="6" s="1"/>
        <n x="68"/>
        <n x="84"/>
        <n x="35"/>
      </t>
    </mdx>
    <mdx n="0" f="v">
      <t c="8">
        <n x="4" s="1"/>
        <n x="7" s="1"/>
        <n x="67" s="1"/>
        <n x="3" s="1"/>
        <n x="6" s="1"/>
        <n x="68"/>
        <n x="84"/>
        <n x="36"/>
      </t>
    </mdx>
    <mdx n="0" f="v">
      <t c="8">
        <n x="4" s="1"/>
        <n x="7" s="1"/>
        <n x="67" s="1"/>
        <n x="3" s="1"/>
        <n x="6" s="1"/>
        <n x="68"/>
        <n x="84"/>
        <n x="37"/>
      </t>
    </mdx>
    <mdx n="0" f="v">
      <t c="8">
        <n x="4" s="1"/>
        <n x="7" s="1"/>
        <n x="67" s="1"/>
        <n x="3" s="1"/>
        <n x="6" s="1"/>
        <n x="68"/>
        <n x="84"/>
        <n x="38"/>
      </t>
    </mdx>
    <mdx n="0" f="v">
      <t c="8">
        <n x="4" s="1"/>
        <n x="7" s="1"/>
        <n x="67" s="1"/>
        <n x="3" s="1"/>
        <n x="6" s="1"/>
        <n x="68"/>
        <n x="84"/>
        <n x="39"/>
      </t>
    </mdx>
    <mdx n="0" f="v">
      <t c="8">
        <n x="4" s="1"/>
        <n x="7" s="1"/>
        <n x="67" s="1"/>
        <n x="3" s="1"/>
        <n x="6" s="1"/>
        <n x="68"/>
        <n x="84"/>
        <n x="40"/>
      </t>
    </mdx>
    <mdx n="0" f="v">
      <t c="8">
        <n x="4" s="1"/>
        <n x="7" s="1"/>
        <n x="67" s="1"/>
        <n x="3" s="1"/>
        <n x="6" s="1"/>
        <n x="68"/>
        <n x="84"/>
        <n x="41"/>
      </t>
    </mdx>
    <mdx n="0" f="v">
      <t c="8">
        <n x="4" s="1"/>
        <n x="7" s="1"/>
        <n x="67" s="1"/>
        <n x="3" s="1"/>
        <n x="6" s="1"/>
        <n x="68"/>
        <n x="84"/>
        <n x="42"/>
      </t>
    </mdx>
    <mdx n="0" f="v">
      <t c="8">
        <n x="4" s="1"/>
        <n x="7" s="1"/>
        <n x="67" s="1"/>
        <n x="3" s="1"/>
        <n x="6" s="1"/>
        <n x="68"/>
        <n x="84"/>
        <n x="43"/>
      </t>
    </mdx>
    <mdx n="0" f="v">
      <t c="8">
        <n x="4" s="1"/>
        <n x="7" s="1"/>
        <n x="67" s="1"/>
        <n x="3" s="1"/>
        <n x="6" s="1"/>
        <n x="68"/>
        <n x="84"/>
        <n x="44"/>
      </t>
    </mdx>
    <mdx n="0" f="v">
      <t c="8">
        <n x="4" s="1"/>
        <n x="7" s="1"/>
        <n x="67" s="1"/>
        <n x="3" s="1"/>
        <n x="6" s="1"/>
        <n x="68"/>
        <n x="84"/>
        <n x="45"/>
      </t>
    </mdx>
    <mdx n="0" f="v">
      <t c="8">
        <n x="4" s="1"/>
        <n x="7" s="1"/>
        <n x="67" s="1"/>
        <n x="3" s="1"/>
        <n x="6" s="1"/>
        <n x="68"/>
        <n x="84"/>
        <n x="46"/>
      </t>
    </mdx>
    <mdx n="0" f="v">
      <t c="8">
        <n x="4" s="1"/>
        <n x="7" s="1"/>
        <n x="67" s="1"/>
        <n x="3" s="1"/>
        <n x="6" s="1"/>
        <n x="68"/>
        <n x="84"/>
        <n x="47"/>
      </t>
    </mdx>
    <mdx n="0" f="v">
      <t c="8">
        <n x="4" s="1"/>
        <n x="7" s="1"/>
        <n x="67" s="1"/>
        <n x="3" s="1"/>
        <n x="6" s="1"/>
        <n x="68"/>
        <n x="84"/>
        <n x="48"/>
      </t>
    </mdx>
    <mdx n="0" f="v">
      <t c="8">
        <n x="4" s="1"/>
        <n x="7" s="1"/>
        <n x="67" s="1"/>
        <n x="3" s="1"/>
        <n x="6" s="1"/>
        <n x="68"/>
        <n x="84"/>
        <n x="49"/>
      </t>
    </mdx>
    <mdx n="0" f="v">
      <t c="8">
        <n x="4" s="1"/>
        <n x="7" s="1"/>
        <n x="67" s="1"/>
        <n x="3" s="1"/>
        <n x="6" s="1"/>
        <n x="68"/>
        <n x="84"/>
        <n x="50"/>
      </t>
    </mdx>
    <mdx n="0" f="v">
      <t c="8">
        <n x="4" s="1"/>
        <n x="7" s="1"/>
        <n x="67" s="1"/>
        <n x="3" s="1"/>
        <n x="6" s="1"/>
        <n x="68"/>
        <n x="84"/>
        <n x="51"/>
      </t>
    </mdx>
    <mdx n="0" f="v">
      <t c="8">
        <n x="4" s="1"/>
        <n x="7" s="1"/>
        <n x="67" s="1"/>
        <n x="3" s="1"/>
        <n x="6" s="1"/>
        <n x="68"/>
        <n x="84"/>
        <n x="52"/>
      </t>
    </mdx>
    <mdx n="0" f="v">
      <t c="8">
        <n x="4" s="1"/>
        <n x="7" s="1"/>
        <n x="67" s="1"/>
        <n x="3" s="1"/>
        <n x="6" s="1"/>
        <n x="68"/>
        <n x="84"/>
        <n x="53"/>
      </t>
    </mdx>
    <mdx n="0" f="v">
      <t c="8">
        <n x="4" s="1"/>
        <n x="7" s="1"/>
        <n x="67" s="1"/>
        <n x="3" s="1"/>
        <n x="6" s="1"/>
        <n x="68"/>
        <n x="84"/>
        <n x="54"/>
      </t>
    </mdx>
    <mdx n="0" f="v">
      <t c="8">
        <n x="4" s="1"/>
        <n x="7" s="1"/>
        <n x="67" s="1"/>
        <n x="3" s="1"/>
        <n x="6" s="1"/>
        <n x="68"/>
        <n x="84"/>
        <n x="55"/>
      </t>
    </mdx>
    <mdx n="0" f="v">
      <t c="8">
        <n x="4" s="1"/>
        <n x="7" s="1"/>
        <n x="67" s="1"/>
        <n x="3" s="1"/>
        <n x="6" s="1"/>
        <n x="68"/>
        <n x="84"/>
        <n x="56"/>
      </t>
    </mdx>
    <mdx n="0" f="v">
      <t c="8">
        <n x="4" s="1"/>
        <n x="7" s="1"/>
        <n x="67" s="1"/>
        <n x="3" s="1"/>
        <n x="6" s="1"/>
        <n x="68"/>
        <n x="84"/>
        <n x="57"/>
      </t>
    </mdx>
    <mdx n="0" f="v">
      <t c="8">
        <n x="4" s="1"/>
        <n x="7" s="1"/>
        <n x="67" s="1"/>
        <n x="3" s="1"/>
        <n x="6" s="1"/>
        <n x="68"/>
        <n x="84"/>
        <n x="58"/>
      </t>
    </mdx>
    <mdx n="0" f="v">
      <t c="8">
        <n x="4" s="1"/>
        <n x="7" s="1"/>
        <n x="67" s="1"/>
        <n x="3" s="1"/>
        <n x="6" s="1"/>
        <n x="68"/>
        <n x="84"/>
        <n x="59"/>
      </t>
    </mdx>
    <mdx n="0" f="v">
      <t c="8">
        <n x="4" s="1"/>
        <n x="7" s="1"/>
        <n x="67" s="1"/>
        <n x="3" s="1"/>
        <n x="6" s="1"/>
        <n x="68"/>
        <n x="84"/>
        <n x="60"/>
      </t>
    </mdx>
    <mdx n="0" f="v">
      <t c="8">
        <n x="4" s="1"/>
        <n x="7" s="1"/>
        <n x="67" s="1"/>
        <n x="3" s="1"/>
        <n x="6" s="1"/>
        <n x="68"/>
        <n x="84"/>
        <n x="61"/>
      </t>
    </mdx>
    <mdx n="0" f="v">
      <t c="8">
        <n x="4" s="1"/>
        <n x="7" s="1"/>
        <n x="67" s="1"/>
        <n x="3" s="1"/>
        <n x="6" s="1"/>
        <n x="68"/>
        <n x="84"/>
        <n x="62"/>
      </t>
    </mdx>
    <mdx n="0" f="v">
      <t c="8">
        <n x="4" s="1"/>
        <n x="7" s="1"/>
        <n x="67" s="1"/>
        <n x="3" s="1"/>
        <n x="6" s="1"/>
        <n x="68"/>
        <n x="84"/>
        <n x="63"/>
      </t>
    </mdx>
    <mdx n="0" f="v">
      <t c="8">
        <n x="4" s="1"/>
        <n x="7" s="1"/>
        <n x="67" s="1"/>
        <n x="3" s="1"/>
        <n x="6" s="1"/>
        <n x="68"/>
        <n x="84"/>
        <n x="64"/>
      </t>
    </mdx>
    <mdx n="0" f="v">
      <t c="8">
        <n x="4" s="1"/>
        <n x="7" s="1"/>
        <n x="67" s="1"/>
        <n x="3" s="1"/>
        <n x="6" s="1"/>
        <n x="68"/>
        <n x="84"/>
        <n x="65"/>
      </t>
    </mdx>
    <mdx n="0" f="v">
      <t c="8">
        <n x="4" s="1"/>
        <n x="7" s="1"/>
        <n x="67" s="1"/>
        <n x="3" s="1"/>
        <n x="6" s="1"/>
        <n x="68"/>
        <n x="84"/>
        <n x="66"/>
      </t>
    </mdx>
    <mdx n="0" f="m">
      <t c="1">
        <n x="85"/>
      </t>
    </mdx>
    <mdx n="0" f="v">
      <t c="8">
        <n x="4" s="1"/>
        <n x="7" s="1"/>
        <n x="67" s="1"/>
        <n x="3" s="1"/>
        <n x="6" s="1"/>
        <n x="68"/>
        <n x="85"/>
        <n x="8"/>
      </t>
    </mdx>
    <mdx n="0" f="v">
      <t c="8">
        <n x="4" s="1"/>
        <n x="7" s="1"/>
        <n x="67" s="1"/>
        <n x="3" s="1"/>
        <n x="6" s="1"/>
        <n x="68"/>
        <n x="85"/>
        <n x="9"/>
      </t>
    </mdx>
    <mdx n="0" f="v">
      <t c="8">
        <n x="4" s="1"/>
        <n x="7" s="1"/>
        <n x="67" s="1"/>
        <n x="3" s="1"/>
        <n x="6" s="1"/>
        <n x="68"/>
        <n x="85"/>
        <n x="10"/>
      </t>
    </mdx>
    <mdx n="0" f="v">
      <t c="8">
        <n x="4" s="1"/>
        <n x="7" s="1"/>
        <n x="67" s="1"/>
        <n x="3" s="1"/>
        <n x="6" s="1"/>
        <n x="68"/>
        <n x="85"/>
        <n x="11"/>
      </t>
    </mdx>
    <mdx n="0" f="v">
      <t c="8">
        <n x="4" s="1"/>
        <n x="7" s="1"/>
        <n x="67" s="1"/>
        <n x="3" s="1"/>
        <n x="6" s="1"/>
        <n x="68"/>
        <n x="85"/>
        <n x="12"/>
      </t>
    </mdx>
    <mdx n="0" f="v">
      <t c="8">
        <n x="4" s="1"/>
        <n x="7" s="1"/>
        <n x="67" s="1"/>
        <n x="3" s="1"/>
        <n x="6" s="1"/>
        <n x="68"/>
        <n x="85"/>
        <n x="13"/>
      </t>
    </mdx>
    <mdx n="0" f="v">
      <t c="8">
        <n x="4" s="1"/>
        <n x="7" s="1"/>
        <n x="67" s="1"/>
        <n x="3" s="1"/>
        <n x="6" s="1"/>
        <n x="68"/>
        <n x="85"/>
        <n x="14"/>
      </t>
    </mdx>
    <mdx n="0" f="v">
      <t c="8">
        <n x="4" s="1"/>
        <n x="7" s="1"/>
        <n x="67" s="1"/>
        <n x="3" s="1"/>
        <n x="6" s="1"/>
        <n x="68"/>
        <n x="85"/>
        <n x="15"/>
      </t>
    </mdx>
    <mdx n="0" f="v">
      <t c="8">
        <n x="4" s="1"/>
        <n x="7" s="1"/>
        <n x="67" s="1"/>
        <n x="3" s="1"/>
        <n x="6" s="1"/>
        <n x="68"/>
        <n x="85"/>
        <n x="16"/>
      </t>
    </mdx>
    <mdx n="0" f="v">
      <t c="8">
        <n x="4" s="1"/>
        <n x="7" s="1"/>
        <n x="67" s="1"/>
        <n x="3" s="1"/>
        <n x="6" s="1"/>
        <n x="68"/>
        <n x="85"/>
        <n x="17"/>
      </t>
    </mdx>
    <mdx n="0" f="v">
      <t c="8">
        <n x="4" s="1"/>
        <n x="7" s="1"/>
        <n x="67" s="1"/>
        <n x="3" s="1"/>
        <n x="6" s="1"/>
        <n x="68"/>
        <n x="85"/>
        <n x="18"/>
      </t>
    </mdx>
    <mdx n="0" f="v">
      <t c="8">
        <n x="4" s="1"/>
        <n x="7" s="1"/>
        <n x="67" s="1"/>
        <n x="3" s="1"/>
        <n x="6" s="1"/>
        <n x="68"/>
        <n x="85"/>
        <n x="19"/>
      </t>
    </mdx>
    <mdx n="0" f="v">
      <t c="8">
        <n x="4" s="1"/>
        <n x="7" s="1"/>
        <n x="67" s="1"/>
        <n x="3" s="1"/>
        <n x="6" s="1"/>
        <n x="68"/>
        <n x="85"/>
        <n x="20"/>
      </t>
    </mdx>
    <mdx n="0" f="v">
      <t c="8">
        <n x="4" s="1"/>
        <n x="7" s="1"/>
        <n x="67" s="1"/>
        <n x="3" s="1"/>
        <n x="6" s="1"/>
        <n x="68"/>
        <n x="85"/>
        <n x="21"/>
      </t>
    </mdx>
    <mdx n="0" f="v">
      <t c="8">
        <n x="4" s="1"/>
        <n x="7" s="1"/>
        <n x="67" s="1"/>
        <n x="3" s="1"/>
        <n x="6" s="1"/>
        <n x="68"/>
        <n x="85"/>
        <n x="22"/>
      </t>
    </mdx>
    <mdx n="0" f="v">
      <t c="8">
        <n x="4" s="1"/>
        <n x="7" s="1"/>
        <n x="67" s="1"/>
        <n x="3" s="1"/>
        <n x="6" s="1"/>
        <n x="68"/>
        <n x="85"/>
        <n x="23"/>
      </t>
    </mdx>
    <mdx n="0" f="v">
      <t c="8">
        <n x="4" s="1"/>
        <n x="7" s="1"/>
        <n x="67" s="1"/>
        <n x="3" s="1"/>
        <n x="6" s="1"/>
        <n x="68"/>
        <n x="85"/>
        <n x="24"/>
      </t>
    </mdx>
    <mdx n="0" f="v">
      <t c="8">
        <n x="4" s="1"/>
        <n x="7" s="1"/>
        <n x="67" s="1"/>
        <n x="3" s="1"/>
        <n x="6" s="1"/>
        <n x="68"/>
        <n x="85"/>
        <n x="25"/>
      </t>
    </mdx>
    <mdx n="0" f="v">
      <t c="8">
        <n x="4" s="1"/>
        <n x="7" s="1"/>
        <n x="67" s="1"/>
        <n x="3" s="1"/>
        <n x="6" s="1"/>
        <n x="68"/>
        <n x="85"/>
        <n x="26"/>
      </t>
    </mdx>
    <mdx n="0" f="v">
      <t c="8">
        <n x="4" s="1"/>
        <n x="7" s="1"/>
        <n x="67" s="1"/>
        <n x="3" s="1"/>
        <n x="6" s="1"/>
        <n x="68"/>
        <n x="85"/>
        <n x="27"/>
      </t>
    </mdx>
    <mdx n="0" f="v">
      <t c="8">
        <n x="4" s="1"/>
        <n x="7" s="1"/>
        <n x="67" s="1"/>
        <n x="3" s="1"/>
        <n x="6" s="1"/>
        <n x="68"/>
        <n x="85"/>
        <n x="28"/>
      </t>
    </mdx>
    <mdx n="0" f="v">
      <t c="8">
        <n x="4" s="1"/>
        <n x="7" s="1"/>
        <n x="67" s="1"/>
        <n x="3" s="1"/>
        <n x="6" s="1"/>
        <n x="68"/>
        <n x="85"/>
        <n x="29"/>
      </t>
    </mdx>
    <mdx n="0" f="v">
      <t c="8">
        <n x="4" s="1"/>
        <n x="7" s="1"/>
        <n x="67" s="1"/>
        <n x="3" s="1"/>
        <n x="6" s="1"/>
        <n x="68"/>
        <n x="85"/>
        <n x="30"/>
      </t>
    </mdx>
    <mdx n="0" f="v">
      <t c="8">
        <n x="4" s="1"/>
        <n x="7" s="1"/>
        <n x="67" s="1"/>
        <n x="3" s="1"/>
        <n x="6" s="1"/>
        <n x="68"/>
        <n x="85"/>
        <n x="31"/>
      </t>
    </mdx>
    <mdx n="0" f="v">
      <t c="8">
        <n x="4" s="1"/>
        <n x="7" s="1"/>
        <n x="67" s="1"/>
        <n x="3" s="1"/>
        <n x="6" s="1"/>
        <n x="68"/>
        <n x="85"/>
        <n x="32"/>
      </t>
    </mdx>
    <mdx n="0" f="v">
      <t c="8">
        <n x="4" s="1"/>
        <n x="7" s="1"/>
        <n x="67" s="1"/>
        <n x="3" s="1"/>
        <n x="6" s="1"/>
        <n x="68"/>
        <n x="85"/>
        <n x="33"/>
      </t>
    </mdx>
    <mdx n="0" f="v">
      <t c="8">
        <n x="4" s="1"/>
        <n x="7" s="1"/>
        <n x="67" s="1"/>
        <n x="3" s="1"/>
        <n x="6" s="1"/>
        <n x="68"/>
        <n x="85"/>
        <n x="34"/>
      </t>
    </mdx>
    <mdx n="0" f="v">
      <t c="8">
        <n x="4" s="1"/>
        <n x="7" s="1"/>
        <n x="67" s="1"/>
        <n x="3" s="1"/>
        <n x="6" s="1"/>
        <n x="68"/>
        <n x="85"/>
        <n x="35"/>
      </t>
    </mdx>
    <mdx n="0" f="v">
      <t c="8">
        <n x="4" s="1"/>
        <n x="7" s="1"/>
        <n x="67" s="1"/>
        <n x="3" s="1"/>
        <n x="6" s="1"/>
        <n x="68"/>
        <n x="85"/>
        <n x="36"/>
      </t>
    </mdx>
    <mdx n="0" f="v">
      <t c="8">
        <n x="4" s="1"/>
        <n x="7" s="1"/>
        <n x="67" s="1"/>
        <n x="3" s="1"/>
        <n x="6" s="1"/>
        <n x="68"/>
        <n x="85"/>
        <n x="37"/>
      </t>
    </mdx>
    <mdx n="0" f="v">
      <t c="8">
        <n x="4" s="1"/>
        <n x="7" s="1"/>
        <n x="67" s="1"/>
        <n x="3" s="1"/>
        <n x="6" s="1"/>
        <n x="68"/>
        <n x="85"/>
        <n x="38"/>
      </t>
    </mdx>
    <mdx n="0" f="v">
      <t c="8">
        <n x="4" s="1"/>
        <n x="7" s="1"/>
        <n x="67" s="1"/>
        <n x="3" s="1"/>
        <n x="6" s="1"/>
        <n x="68"/>
        <n x="85"/>
        <n x="39"/>
      </t>
    </mdx>
    <mdx n="0" f="v">
      <t c="8">
        <n x="4" s="1"/>
        <n x="7" s="1"/>
        <n x="67" s="1"/>
        <n x="3" s="1"/>
        <n x="6" s="1"/>
        <n x="68"/>
        <n x="85"/>
        <n x="40"/>
      </t>
    </mdx>
    <mdx n="0" f="v">
      <t c="8">
        <n x="4" s="1"/>
        <n x="7" s="1"/>
        <n x="67" s="1"/>
        <n x="3" s="1"/>
        <n x="6" s="1"/>
        <n x="68"/>
        <n x="85"/>
        <n x="41"/>
      </t>
    </mdx>
    <mdx n="0" f="v">
      <t c="8">
        <n x="4" s="1"/>
        <n x="7" s="1"/>
        <n x="67" s="1"/>
        <n x="3" s="1"/>
        <n x="6" s="1"/>
        <n x="68"/>
        <n x="85"/>
        <n x="42"/>
      </t>
    </mdx>
    <mdx n="0" f="v">
      <t c="8">
        <n x="4" s="1"/>
        <n x="7" s="1"/>
        <n x="67" s="1"/>
        <n x="3" s="1"/>
        <n x="6" s="1"/>
        <n x="68"/>
        <n x="85"/>
        <n x="43"/>
      </t>
    </mdx>
    <mdx n="0" f="v">
      <t c="8">
        <n x="4" s="1"/>
        <n x="7" s="1"/>
        <n x="67" s="1"/>
        <n x="3" s="1"/>
        <n x="6" s="1"/>
        <n x="68"/>
        <n x="85"/>
        <n x="44"/>
      </t>
    </mdx>
    <mdx n="0" f="v">
      <t c="8">
        <n x="4" s="1"/>
        <n x="7" s="1"/>
        <n x="67" s="1"/>
        <n x="3" s="1"/>
        <n x="6" s="1"/>
        <n x="68"/>
        <n x="85"/>
        <n x="45"/>
      </t>
    </mdx>
    <mdx n="0" f="v">
      <t c="8">
        <n x="4" s="1"/>
        <n x="7" s="1"/>
        <n x="67" s="1"/>
        <n x="3" s="1"/>
        <n x="6" s="1"/>
        <n x="68"/>
        <n x="85"/>
        <n x="46"/>
      </t>
    </mdx>
    <mdx n="0" f="v">
      <t c="8">
        <n x="4" s="1"/>
        <n x="7" s="1"/>
        <n x="67" s="1"/>
        <n x="3" s="1"/>
        <n x="6" s="1"/>
        <n x="68"/>
        <n x="85"/>
        <n x="47"/>
      </t>
    </mdx>
    <mdx n="0" f="v">
      <t c="8">
        <n x="4" s="1"/>
        <n x="7" s="1"/>
        <n x="67" s="1"/>
        <n x="3" s="1"/>
        <n x="6" s="1"/>
        <n x="68"/>
        <n x="85"/>
        <n x="48"/>
      </t>
    </mdx>
    <mdx n="0" f="v">
      <t c="8">
        <n x="4" s="1"/>
        <n x="7" s="1"/>
        <n x="67" s="1"/>
        <n x="3" s="1"/>
        <n x="6" s="1"/>
        <n x="68"/>
        <n x="85"/>
        <n x="49"/>
      </t>
    </mdx>
    <mdx n="0" f="v">
      <t c="8">
        <n x="4" s="1"/>
        <n x="7" s="1"/>
        <n x="67" s="1"/>
        <n x="3" s="1"/>
        <n x="6" s="1"/>
        <n x="68"/>
        <n x="85"/>
        <n x="50"/>
      </t>
    </mdx>
    <mdx n="0" f="v">
      <t c="8">
        <n x="4" s="1"/>
        <n x="7" s="1"/>
        <n x="67" s="1"/>
        <n x="3" s="1"/>
        <n x="6" s="1"/>
        <n x="68"/>
        <n x="85"/>
        <n x="51"/>
      </t>
    </mdx>
    <mdx n="0" f="v">
      <t c="8">
        <n x="4" s="1"/>
        <n x="7" s="1"/>
        <n x="67" s="1"/>
        <n x="3" s="1"/>
        <n x="6" s="1"/>
        <n x="68"/>
        <n x="85"/>
        <n x="52"/>
      </t>
    </mdx>
    <mdx n="0" f="v">
      <t c="8">
        <n x="4" s="1"/>
        <n x="7" s="1"/>
        <n x="67" s="1"/>
        <n x="3" s="1"/>
        <n x="6" s="1"/>
        <n x="68"/>
        <n x="85"/>
        <n x="53"/>
      </t>
    </mdx>
    <mdx n="0" f="v">
      <t c="8">
        <n x="4" s="1"/>
        <n x="7" s="1"/>
        <n x="67" s="1"/>
        <n x="3" s="1"/>
        <n x="6" s="1"/>
        <n x="68"/>
        <n x="85"/>
        <n x="54"/>
      </t>
    </mdx>
    <mdx n="0" f="v">
      <t c="8">
        <n x="4" s="1"/>
        <n x="7" s="1"/>
        <n x="67" s="1"/>
        <n x="3" s="1"/>
        <n x="6" s="1"/>
        <n x="68"/>
        <n x="85"/>
        <n x="55"/>
      </t>
    </mdx>
    <mdx n="0" f="v">
      <t c="8">
        <n x="4" s="1"/>
        <n x="7" s="1"/>
        <n x="67" s="1"/>
        <n x="3" s="1"/>
        <n x="6" s="1"/>
        <n x="68"/>
        <n x="85"/>
        <n x="56"/>
      </t>
    </mdx>
    <mdx n="0" f="v">
      <t c="8">
        <n x="4" s="1"/>
        <n x="7" s="1"/>
        <n x="67" s="1"/>
        <n x="3" s="1"/>
        <n x="6" s="1"/>
        <n x="68"/>
        <n x="85"/>
        <n x="57"/>
      </t>
    </mdx>
    <mdx n="0" f="v">
      <t c="8">
        <n x="4" s="1"/>
        <n x="7" s="1"/>
        <n x="67" s="1"/>
        <n x="3" s="1"/>
        <n x="6" s="1"/>
        <n x="68"/>
        <n x="85"/>
        <n x="58"/>
      </t>
    </mdx>
    <mdx n="0" f="v">
      <t c="8">
        <n x="4" s="1"/>
        <n x="7" s="1"/>
        <n x="67" s="1"/>
        <n x="3" s="1"/>
        <n x="6" s="1"/>
        <n x="68"/>
        <n x="85"/>
        <n x="59"/>
      </t>
    </mdx>
    <mdx n="0" f="v">
      <t c="8">
        <n x="4" s="1"/>
        <n x="7" s="1"/>
        <n x="67" s="1"/>
        <n x="3" s="1"/>
        <n x="6" s="1"/>
        <n x="68"/>
        <n x="85"/>
        <n x="60"/>
      </t>
    </mdx>
    <mdx n="0" f="v">
      <t c="8">
        <n x="4" s="1"/>
        <n x="7" s="1"/>
        <n x="67" s="1"/>
        <n x="3" s="1"/>
        <n x="6" s="1"/>
        <n x="68"/>
        <n x="85"/>
        <n x="61"/>
      </t>
    </mdx>
    <mdx n="0" f="v">
      <t c="8">
        <n x="4" s="1"/>
        <n x="7" s="1"/>
        <n x="67" s="1"/>
        <n x="3" s="1"/>
        <n x="6" s="1"/>
        <n x="68"/>
        <n x="85"/>
        <n x="62"/>
      </t>
    </mdx>
    <mdx n="0" f="v">
      <t c="8">
        <n x="4" s="1"/>
        <n x="7" s="1"/>
        <n x="67" s="1"/>
        <n x="3" s="1"/>
        <n x="6" s="1"/>
        <n x="68"/>
        <n x="85"/>
        <n x="63"/>
      </t>
    </mdx>
    <mdx n="0" f="v">
      <t c="8">
        <n x="4" s="1"/>
        <n x="7" s="1"/>
        <n x="67" s="1"/>
        <n x="3" s="1"/>
        <n x="6" s="1"/>
        <n x="68"/>
        <n x="85"/>
        <n x="64"/>
      </t>
    </mdx>
    <mdx n="0" f="v">
      <t c="8">
        <n x="4" s="1"/>
        <n x="7" s="1"/>
        <n x="67" s="1"/>
        <n x="3" s="1"/>
        <n x="6" s="1"/>
        <n x="68"/>
        <n x="85"/>
        <n x="65"/>
      </t>
    </mdx>
    <mdx n="0" f="v">
      <t c="8">
        <n x="4" s="1"/>
        <n x="7" s="1"/>
        <n x="67" s="1"/>
        <n x="3" s="1"/>
        <n x="6" s="1"/>
        <n x="68"/>
        <n x="85"/>
        <n x="66"/>
      </t>
    </mdx>
    <mdx n="0" f="m">
      <t c="1">
        <n x="86"/>
      </t>
    </mdx>
    <mdx n="0" f="v">
      <t c="8">
        <n x="4" s="1"/>
        <n x="7" s="1"/>
        <n x="67" s="1"/>
        <n x="3" s="1"/>
        <n x="6" s="1"/>
        <n x="68"/>
        <n x="86"/>
        <n x="8"/>
      </t>
    </mdx>
    <mdx n="0" f="v">
      <t c="8">
        <n x="4" s="1"/>
        <n x="7" s="1"/>
        <n x="67" s="1"/>
        <n x="3" s="1"/>
        <n x="6" s="1"/>
        <n x="68"/>
        <n x="86"/>
        <n x="9"/>
      </t>
    </mdx>
    <mdx n="0" f="v">
      <t c="8">
        <n x="4" s="1"/>
        <n x="7" s="1"/>
        <n x="67" s="1"/>
        <n x="3" s="1"/>
        <n x="6" s="1"/>
        <n x="68"/>
        <n x="86"/>
        <n x="10"/>
      </t>
    </mdx>
    <mdx n="0" f="v">
      <t c="8">
        <n x="4" s="1"/>
        <n x="7" s="1"/>
        <n x="67" s="1"/>
        <n x="3" s="1"/>
        <n x="6" s="1"/>
        <n x="68"/>
        <n x="86"/>
        <n x="11"/>
      </t>
    </mdx>
    <mdx n="0" f="v">
      <t c="8">
        <n x="4" s="1"/>
        <n x="7" s="1"/>
        <n x="67" s="1"/>
        <n x="3" s="1"/>
        <n x="6" s="1"/>
        <n x="68"/>
        <n x="86"/>
        <n x="12"/>
      </t>
    </mdx>
    <mdx n="0" f="v">
      <t c="8">
        <n x="4" s="1"/>
        <n x="7" s="1"/>
        <n x="67" s="1"/>
        <n x="3" s="1"/>
        <n x="6" s="1"/>
        <n x="68"/>
        <n x="86"/>
        <n x="13"/>
      </t>
    </mdx>
    <mdx n="0" f="v">
      <t c="8">
        <n x="4" s="1"/>
        <n x="7" s="1"/>
        <n x="67" s="1"/>
        <n x="3" s="1"/>
        <n x="6" s="1"/>
        <n x="68"/>
        <n x="86"/>
        <n x="14"/>
      </t>
    </mdx>
    <mdx n="0" f="v">
      <t c="8">
        <n x="4" s="1"/>
        <n x="7" s="1"/>
        <n x="67" s="1"/>
        <n x="3" s="1"/>
        <n x="6" s="1"/>
        <n x="68"/>
        <n x="86"/>
        <n x="15"/>
      </t>
    </mdx>
    <mdx n="0" f="v">
      <t c="8">
        <n x="4" s="1"/>
        <n x="7" s="1"/>
        <n x="67" s="1"/>
        <n x="3" s="1"/>
        <n x="6" s="1"/>
        <n x="68"/>
        <n x="86"/>
        <n x="16"/>
      </t>
    </mdx>
    <mdx n="0" f="v">
      <t c="8">
        <n x="4" s="1"/>
        <n x="7" s="1"/>
        <n x="67" s="1"/>
        <n x="3" s="1"/>
        <n x="6" s="1"/>
        <n x="68"/>
        <n x="86"/>
        <n x="17"/>
      </t>
    </mdx>
    <mdx n="0" f="v">
      <t c="8">
        <n x="4" s="1"/>
        <n x="7" s="1"/>
        <n x="67" s="1"/>
        <n x="3" s="1"/>
        <n x="6" s="1"/>
        <n x="68"/>
        <n x="86"/>
        <n x="18"/>
      </t>
    </mdx>
    <mdx n="0" f="v">
      <t c="8">
        <n x="4" s="1"/>
        <n x="7" s="1"/>
        <n x="67" s="1"/>
        <n x="3" s="1"/>
        <n x="6" s="1"/>
        <n x="68"/>
        <n x="86"/>
        <n x="19"/>
      </t>
    </mdx>
    <mdx n="0" f="v">
      <t c="8">
        <n x="4" s="1"/>
        <n x="7" s="1"/>
        <n x="67" s="1"/>
        <n x="3" s="1"/>
        <n x="6" s="1"/>
        <n x="68"/>
        <n x="86"/>
        <n x="20"/>
      </t>
    </mdx>
    <mdx n="0" f="v">
      <t c="8">
        <n x="4" s="1"/>
        <n x="7" s="1"/>
        <n x="67" s="1"/>
        <n x="3" s="1"/>
        <n x="6" s="1"/>
        <n x="68"/>
        <n x="86"/>
        <n x="21"/>
      </t>
    </mdx>
    <mdx n="0" f="v">
      <t c="8">
        <n x="4" s="1"/>
        <n x="7" s="1"/>
        <n x="67" s="1"/>
        <n x="3" s="1"/>
        <n x="6" s="1"/>
        <n x="68"/>
        <n x="86"/>
        <n x="22"/>
      </t>
    </mdx>
    <mdx n="0" f="v">
      <t c="8">
        <n x="4" s="1"/>
        <n x="7" s="1"/>
        <n x="67" s="1"/>
        <n x="3" s="1"/>
        <n x="6" s="1"/>
        <n x="68"/>
        <n x="86"/>
        <n x="23"/>
      </t>
    </mdx>
    <mdx n="0" f="v">
      <t c="8">
        <n x="4" s="1"/>
        <n x="7" s="1"/>
        <n x="67" s="1"/>
        <n x="3" s="1"/>
        <n x="6" s="1"/>
        <n x="68"/>
        <n x="86"/>
        <n x="24"/>
      </t>
    </mdx>
    <mdx n="0" f="v">
      <t c="8">
        <n x="4" s="1"/>
        <n x="7" s="1"/>
        <n x="67" s="1"/>
        <n x="3" s="1"/>
        <n x="6" s="1"/>
        <n x="68"/>
        <n x="86"/>
        <n x="25"/>
      </t>
    </mdx>
    <mdx n="0" f="v">
      <t c="8">
        <n x="4" s="1"/>
        <n x="7" s="1"/>
        <n x="67" s="1"/>
        <n x="3" s="1"/>
        <n x="6" s="1"/>
        <n x="68"/>
        <n x="86"/>
        <n x="26"/>
      </t>
    </mdx>
    <mdx n="0" f="v">
      <t c="8">
        <n x="4" s="1"/>
        <n x="7" s="1"/>
        <n x="67" s="1"/>
        <n x="3" s="1"/>
        <n x="6" s="1"/>
        <n x="68"/>
        <n x="86"/>
        <n x="27"/>
      </t>
    </mdx>
    <mdx n="0" f="v">
      <t c="8">
        <n x="4" s="1"/>
        <n x="7" s="1"/>
        <n x="67" s="1"/>
        <n x="3" s="1"/>
        <n x="6" s="1"/>
        <n x="68"/>
        <n x="86"/>
        <n x="28"/>
      </t>
    </mdx>
    <mdx n="0" f="v">
      <t c="8">
        <n x="4" s="1"/>
        <n x="7" s="1"/>
        <n x="67" s="1"/>
        <n x="3" s="1"/>
        <n x="6" s="1"/>
        <n x="68"/>
        <n x="86"/>
        <n x="29"/>
      </t>
    </mdx>
    <mdx n="0" f="v">
      <t c="8">
        <n x="4" s="1"/>
        <n x="7" s="1"/>
        <n x="67" s="1"/>
        <n x="3" s="1"/>
        <n x="6" s="1"/>
        <n x="68"/>
        <n x="86"/>
        <n x="30"/>
      </t>
    </mdx>
    <mdx n="0" f="v">
      <t c="8">
        <n x="4" s="1"/>
        <n x="7" s="1"/>
        <n x="67" s="1"/>
        <n x="3" s="1"/>
        <n x="6" s="1"/>
        <n x="68"/>
        <n x="86"/>
        <n x="31"/>
      </t>
    </mdx>
    <mdx n="0" f="v">
      <t c="8">
        <n x="4" s="1"/>
        <n x="7" s="1"/>
        <n x="67" s="1"/>
        <n x="3" s="1"/>
        <n x="6" s="1"/>
        <n x="68"/>
        <n x="86"/>
        <n x="32"/>
      </t>
    </mdx>
    <mdx n="0" f="v">
      <t c="8">
        <n x="4" s="1"/>
        <n x="7" s="1"/>
        <n x="67" s="1"/>
        <n x="3" s="1"/>
        <n x="6" s="1"/>
        <n x="68"/>
        <n x="86"/>
        <n x="33"/>
      </t>
    </mdx>
    <mdx n="0" f="v">
      <t c="8">
        <n x="4" s="1"/>
        <n x="7" s="1"/>
        <n x="67" s="1"/>
        <n x="3" s="1"/>
        <n x="6" s="1"/>
        <n x="68"/>
        <n x="86"/>
        <n x="34"/>
      </t>
    </mdx>
    <mdx n="0" f="v">
      <t c="8">
        <n x="4" s="1"/>
        <n x="7" s="1"/>
        <n x="67" s="1"/>
        <n x="3" s="1"/>
        <n x="6" s="1"/>
        <n x="68"/>
        <n x="86"/>
        <n x="35"/>
      </t>
    </mdx>
    <mdx n="0" f="v">
      <t c="8">
        <n x="4" s="1"/>
        <n x="7" s="1"/>
        <n x="67" s="1"/>
        <n x="3" s="1"/>
        <n x="6" s="1"/>
        <n x="68"/>
        <n x="86"/>
        <n x="36"/>
      </t>
    </mdx>
    <mdx n="0" f="v">
      <t c="8">
        <n x="4" s="1"/>
        <n x="7" s="1"/>
        <n x="67" s="1"/>
        <n x="3" s="1"/>
        <n x="6" s="1"/>
        <n x="68"/>
        <n x="86"/>
        <n x="37"/>
      </t>
    </mdx>
    <mdx n="0" f="v">
      <t c="8">
        <n x="4" s="1"/>
        <n x="7" s="1"/>
        <n x="67" s="1"/>
        <n x="3" s="1"/>
        <n x="6" s="1"/>
        <n x="68"/>
        <n x="86"/>
        <n x="38"/>
      </t>
    </mdx>
    <mdx n="0" f="v">
      <t c="8">
        <n x="4" s="1"/>
        <n x="7" s="1"/>
        <n x="67" s="1"/>
        <n x="3" s="1"/>
        <n x="6" s="1"/>
        <n x="68"/>
        <n x="86"/>
        <n x="39"/>
      </t>
    </mdx>
    <mdx n="0" f="v">
      <t c="8">
        <n x="4" s="1"/>
        <n x="7" s="1"/>
        <n x="67" s="1"/>
        <n x="3" s="1"/>
        <n x="6" s="1"/>
        <n x="68"/>
        <n x="86"/>
        <n x="40"/>
      </t>
    </mdx>
    <mdx n="0" f="v">
      <t c="8">
        <n x="4" s="1"/>
        <n x="7" s="1"/>
        <n x="67" s="1"/>
        <n x="3" s="1"/>
        <n x="6" s="1"/>
        <n x="68"/>
        <n x="86"/>
        <n x="41"/>
      </t>
    </mdx>
    <mdx n="0" f="v">
      <t c="8">
        <n x="4" s="1"/>
        <n x="7" s="1"/>
        <n x="67" s="1"/>
        <n x="3" s="1"/>
        <n x="6" s="1"/>
        <n x="68"/>
        <n x="86"/>
        <n x="42"/>
      </t>
    </mdx>
    <mdx n="0" f="v">
      <t c="8">
        <n x="4" s="1"/>
        <n x="7" s="1"/>
        <n x="67" s="1"/>
        <n x="3" s="1"/>
        <n x="6" s="1"/>
        <n x="68"/>
        <n x="86"/>
        <n x="43"/>
      </t>
    </mdx>
    <mdx n="0" f="v">
      <t c="8">
        <n x="4" s="1"/>
        <n x="7" s="1"/>
        <n x="67" s="1"/>
        <n x="3" s="1"/>
        <n x="6" s="1"/>
        <n x="68"/>
        <n x="86"/>
        <n x="44"/>
      </t>
    </mdx>
    <mdx n="0" f="v">
      <t c="8">
        <n x="4" s="1"/>
        <n x="7" s="1"/>
        <n x="67" s="1"/>
        <n x="3" s="1"/>
        <n x="6" s="1"/>
        <n x="68"/>
        <n x="86"/>
        <n x="45"/>
      </t>
    </mdx>
    <mdx n="0" f="v">
      <t c="8">
        <n x="4" s="1"/>
        <n x="7" s="1"/>
        <n x="67" s="1"/>
        <n x="3" s="1"/>
        <n x="6" s="1"/>
        <n x="68"/>
        <n x="86"/>
        <n x="46"/>
      </t>
    </mdx>
    <mdx n="0" f="v">
      <t c="8">
        <n x="4" s="1"/>
        <n x="7" s="1"/>
        <n x="67" s="1"/>
        <n x="3" s="1"/>
        <n x="6" s="1"/>
        <n x="68"/>
        <n x="86"/>
        <n x="47"/>
      </t>
    </mdx>
    <mdx n="0" f="v">
      <t c="8">
        <n x="4" s="1"/>
        <n x="7" s="1"/>
        <n x="67" s="1"/>
        <n x="3" s="1"/>
        <n x="6" s="1"/>
        <n x="68"/>
        <n x="86"/>
        <n x="48"/>
      </t>
    </mdx>
    <mdx n="0" f="v">
      <t c="8">
        <n x="4" s="1"/>
        <n x="7" s="1"/>
        <n x="67" s="1"/>
        <n x="3" s="1"/>
        <n x="6" s="1"/>
        <n x="68"/>
        <n x="86"/>
        <n x="49"/>
      </t>
    </mdx>
    <mdx n="0" f="v">
      <t c="8">
        <n x="4" s="1"/>
        <n x="7" s="1"/>
        <n x="67" s="1"/>
        <n x="3" s="1"/>
        <n x="6" s="1"/>
        <n x="68"/>
        <n x="86"/>
        <n x="50"/>
      </t>
    </mdx>
    <mdx n="0" f="v">
      <t c="8">
        <n x="4" s="1"/>
        <n x="7" s="1"/>
        <n x="67" s="1"/>
        <n x="3" s="1"/>
        <n x="6" s="1"/>
        <n x="68"/>
        <n x="86"/>
        <n x="51"/>
      </t>
    </mdx>
    <mdx n="0" f="v">
      <t c="8">
        <n x="4" s="1"/>
        <n x="7" s="1"/>
        <n x="67" s="1"/>
        <n x="3" s="1"/>
        <n x="6" s="1"/>
        <n x="68"/>
        <n x="86"/>
        <n x="52"/>
      </t>
    </mdx>
    <mdx n="0" f="v">
      <t c="8">
        <n x="4" s="1"/>
        <n x="7" s="1"/>
        <n x="67" s="1"/>
        <n x="3" s="1"/>
        <n x="6" s="1"/>
        <n x="68"/>
        <n x="86"/>
        <n x="53"/>
      </t>
    </mdx>
    <mdx n="0" f="v">
      <t c="8">
        <n x="4" s="1"/>
        <n x="7" s="1"/>
        <n x="67" s="1"/>
        <n x="3" s="1"/>
        <n x="6" s="1"/>
        <n x="68"/>
        <n x="86"/>
        <n x="54"/>
      </t>
    </mdx>
    <mdx n="0" f="v">
      <t c="8">
        <n x="4" s="1"/>
        <n x="7" s="1"/>
        <n x="67" s="1"/>
        <n x="3" s="1"/>
        <n x="6" s="1"/>
        <n x="68"/>
        <n x="86"/>
        <n x="55"/>
      </t>
    </mdx>
    <mdx n="0" f="v">
      <t c="8">
        <n x="4" s="1"/>
        <n x="7" s="1"/>
        <n x="67" s="1"/>
        <n x="3" s="1"/>
        <n x="6" s="1"/>
        <n x="68"/>
        <n x="86"/>
        <n x="56"/>
      </t>
    </mdx>
    <mdx n="0" f="v">
      <t c="8">
        <n x="4" s="1"/>
        <n x="7" s="1"/>
        <n x="67" s="1"/>
        <n x="3" s="1"/>
        <n x="6" s="1"/>
        <n x="68"/>
        <n x="86"/>
        <n x="57"/>
      </t>
    </mdx>
    <mdx n="0" f="v">
      <t c="8">
        <n x="4" s="1"/>
        <n x="7" s="1"/>
        <n x="67" s="1"/>
        <n x="3" s="1"/>
        <n x="6" s="1"/>
        <n x="68"/>
        <n x="86"/>
        <n x="58"/>
      </t>
    </mdx>
    <mdx n="0" f="v">
      <t c="8">
        <n x="4" s="1"/>
        <n x="7" s="1"/>
        <n x="67" s="1"/>
        <n x="3" s="1"/>
        <n x="6" s="1"/>
        <n x="68"/>
        <n x="86"/>
        <n x="59"/>
      </t>
    </mdx>
    <mdx n="0" f="v">
      <t c="8">
        <n x="4" s="1"/>
        <n x="7" s="1"/>
        <n x="67" s="1"/>
        <n x="3" s="1"/>
        <n x="6" s="1"/>
        <n x="68"/>
        <n x="86"/>
        <n x="60"/>
      </t>
    </mdx>
    <mdx n="0" f="v">
      <t c="8">
        <n x="4" s="1"/>
        <n x="7" s="1"/>
        <n x="67" s="1"/>
        <n x="3" s="1"/>
        <n x="6" s="1"/>
        <n x="68"/>
        <n x="86"/>
        <n x="61"/>
      </t>
    </mdx>
    <mdx n="0" f="v">
      <t c="8">
        <n x="4" s="1"/>
        <n x="7" s="1"/>
        <n x="67" s="1"/>
        <n x="3" s="1"/>
        <n x="6" s="1"/>
        <n x="68"/>
        <n x="86"/>
        <n x="62"/>
      </t>
    </mdx>
    <mdx n="0" f="v">
      <t c="8">
        <n x="4" s="1"/>
        <n x="7" s="1"/>
        <n x="67" s="1"/>
        <n x="3" s="1"/>
        <n x="6" s="1"/>
        <n x="68"/>
        <n x="86"/>
        <n x="63"/>
      </t>
    </mdx>
    <mdx n="0" f="v">
      <t c="8">
        <n x="4" s="1"/>
        <n x="7" s="1"/>
        <n x="67" s="1"/>
        <n x="3" s="1"/>
        <n x="6" s="1"/>
        <n x="68"/>
        <n x="86"/>
        <n x="64"/>
      </t>
    </mdx>
    <mdx n="0" f="v">
      <t c="8">
        <n x="4" s="1"/>
        <n x="7" s="1"/>
        <n x="67" s="1"/>
        <n x="3" s="1"/>
        <n x="6" s="1"/>
        <n x="68"/>
        <n x="86"/>
        <n x="65"/>
      </t>
    </mdx>
    <mdx n="0" f="v">
      <t c="8">
        <n x="4" s="1"/>
        <n x="7" s="1"/>
        <n x="67" s="1"/>
        <n x="3" s="1"/>
        <n x="6" s="1"/>
        <n x="68"/>
        <n x="86"/>
        <n x="66"/>
      </t>
    </mdx>
    <mdx n="0" f="m">
      <t c="1">
        <n x="87"/>
      </t>
    </mdx>
    <mdx n="0" f="v">
      <t c="8">
        <n x="4" s="1"/>
        <n x="7" s="1"/>
        <n x="67" s="1"/>
        <n x="3" s="1"/>
        <n x="6" s="1"/>
        <n x="68"/>
        <n x="87"/>
        <n x="8"/>
      </t>
    </mdx>
    <mdx n="0" f="v">
      <t c="8">
        <n x="4" s="1"/>
        <n x="7" s="1"/>
        <n x="67" s="1"/>
        <n x="3" s="1"/>
        <n x="6" s="1"/>
        <n x="68"/>
        <n x="87"/>
        <n x="9"/>
      </t>
    </mdx>
    <mdx n="0" f="v">
      <t c="8">
        <n x="4" s="1"/>
        <n x="7" s="1"/>
        <n x="67" s="1"/>
        <n x="3" s="1"/>
        <n x="6" s="1"/>
        <n x="68"/>
        <n x="87"/>
        <n x="10"/>
      </t>
    </mdx>
    <mdx n="0" f="v">
      <t c="8">
        <n x="4" s="1"/>
        <n x="7" s="1"/>
        <n x="67" s="1"/>
        <n x="3" s="1"/>
        <n x="6" s="1"/>
        <n x="68"/>
        <n x="87"/>
        <n x="11"/>
      </t>
    </mdx>
    <mdx n="0" f="v">
      <t c="8">
        <n x="4" s="1"/>
        <n x="7" s="1"/>
        <n x="67" s="1"/>
        <n x="3" s="1"/>
        <n x="6" s="1"/>
        <n x="68"/>
        <n x="87"/>
        <n x="12"/>
      </t>
    </mdx>
    <mdx n="0" f="v">
      <t c="8">
        <n x="4" s="1"/>
        <n x="7" s="1"/>
        <n x="67" s="1"/>
        <n x="3" s="1"/>
        <n x="6" s="1"/>
        <n x="68"/>
        <n x="87"/>
        <n x="13"/>
      </t>
    </mdx>
    <mdx n="0" f="v">
      <t c="8">
        <n x="4" s="1"/>
        <n x="7" s="1"/>
        <n x="67" s="1"/>
        <n x="3" s="1"/>
        <n x="6" s="1"/>
        <n x="68"/>
        <n x="87"/>
        <n x="14"/>
      </t>
    </mdx>
    <mdx n="0" f="v">
      <t c="8">
        <n x="4" s="1"/>
        <n x="7" s="1"/>
        <n x="67" s="1"/>
        <n x="3" s="1"/>
        <n x="6" s="1"/>
        <n x="68"/>
        <n x="87"/>
        <n x="15"/>
      </t>
    </mdx>
    <mdx n="0" f="v">
      <t c="8">
        <n x="4" s="1"/>
        <n x="7" s="1"/>
        <n x="67" s="1"/>
        <n x="3" s="1"/>
        <n x="6" s="1"/>
        <n x="68"/>
        <n x="87"/>
        <n x="16"/>
      </t>
    </mdx>
    <mdx n="0" f="v">
      <t c="8">
        <n x="4" s="1"/>
        <n x="7" s="1"/>
        <n x="67" s="1"/>
        <n x="3" s="1"/>
        <n x="6" s="1"/>
        <n x="68"/>
        <n x="87"/>
        <n x="17"/>
      </t>
    </mdx>
    <mdx n="0" f="v">
      <t c="8">
        <n x="4" s="1"/>
        <n x="7" s="1"/>
        <n x="67" s="1"/>
        <n x="3" s="1"/>
        <n x="6" s="1"/>
        <n x="68"/>
        <n x="87"/>
        <n x="18"/>
      </t>
    </mdx>
    <mdx n="0" f="v">
      <t c="8">
        <n x="4" s="1"/>
        <n x="7" s="1"/>
        <n x="67" s="1"/>
        <n x="3" s="1"/>
        <n x="6" s="1"/>
        <n x="68"/>
        <n x="87"/>
        <n x="19"/>
      </t>
    </mdx>
    <mdx n="0" f="v">
      <t c="8">
        <n x="4" s="1"/>
        <n x="7" s="1"/>
        <n x="67" s="1"/>
        <n x="3" s="1"/>
        <n x="6" s="1"/>
        <n x="68"/>
        <n x="87"/>
        <n x="20"/>
      </t>
    </mdx>
    <mdx n="0" f="v">
      <t c="8">
        <n x="4" s="1"/>
        <n x="7" s="1"/>
        <n x="67" s="1"/>
        <n x="3" s="1"/>
        <n x="6" s="1"/>
        <n x="68"/>
        <n x="87"/>
        <n x="21"/>
      </t>
    </mdx>
    <mdx n="0" f="v">
      <t c="8">
        <n x="4" s="1"/>
        <n x="7" s="1"/>
        <n x="67" s="1"/>
        <n x="3" s="1"/>
        <n x="6" s="1"/>
        <n x="68"/>
        <n x="87"/>
        <n x="22"/>
      </t>
    </mdx>
    <mdx n="0" f="v">
      <t c="8">
        <n x="4" s="1"/>
        <n x="7" s="1"/>
        <n x="67" s="1"/>
        <n x="3" s="1"/>
        <n x="6" s="1"/>
        <n x="68"/>
        <n x="87"/>
        <n x="23"/>
      </t>
    </mdx>
    <mdx n="0" f="v">
      <t c="8">
        <n x="4" s="1"/>
        <n x="7" s="1"/>
        <n x="67" s="1"/>
        <n x="3" s="1"/>
        <n x="6" s="1"/>
        <n x="68"/>
        <n x="87"/>
        <n x="24"/>
      </t>
    </mdx>
    <mdx n="0" f="v">
      <t c="8">
        <n x="4" s="1"/>
        <n x="7" s="1"/>
        <n x="67" s="1"/>
        <n x="3" s="1"/>
        <n x="6" s="1"/>
        <n x="68"/>
        <n x="87"/>
        <n x="25"/>
      </t>
    </mdx>
    <mdx n="0" f="v">
      <t c="8">
        <n x="4" s="1"/>
        <n x="7" s="1"/>
        <n x="67" s="1"/>
        <n x="3" s="1"/>
        <n x="6" s="1"/>
        <n x="68"/>
        <n x="87"/>
        <n x="26"/>
      </t>
    </mdx>
    <mdx n="0" f="v">
      <t c="8">
        <n x="4" s="1"/>
        <n x="7" s="1"/>
        <n x="67" s="1"/>
        <n x="3" s="1"/>
        <n x="6" s="1"/>
        <n x="68"/>
        <n x="87"/>
        <n x="27"/>
      </t>
    </mdx>
    <mdx n="0" f="v">
      <t c="8">
        <n x="4" s="1"/>
        <n x="7" s="1"/>
        <n x="67" s="1"/>
        <n x="3" s="1"/>
        <n x="6" s="1"/>
        <n x="68"/>
        <n x="87"/>
        <n x="28"/>
      </t>
    </mdx>
    <mdx n="0" f="v">
      <t c="8">
        <n x="4" s="1"/>
        <n x="7" s="1"/>
        <n x="67" s="1"/>
        <n x="3" s="1"/>
        <n x="6" s="1"/>
        <n x="68"/>
        <n x="87"/>
        <n x="29"/>
      </t>
    </mdx>
    <mdx n="0" f="v">
      <t c="8">
        <n x="4" s="1"/>
        <n x="7" s="1"/>
        <n x="67" s="1"/>
        <n x="3" s="1"/>
        <n x="6" s="1"/>
        <n x="68"/>
        <n x="87"/>
        <n x="30"/>
      </t>
    </mdx>
    <mdx n="0" f="v">
      <t c="8">
        <n x="4" s="1"/>
        <n x="7" s="1"/>
        <n x="67" s="1"/>
        <n x="3" s="1"/>
        <n x="6" s="1"/>
        <n x="68"/>
        <n x="87"/>
        <n x="31"/>
      </t>
    </mdx>
    <mdx n="0" f="v">
      <t c="8">
        <n x="4" s="1"/>
        <n x="7" s="1"/>
        <n x="67" s="1"/>
        <n x="3" s="1"/>
        <n x="6" s="1"/>
        <n x="68"/>
        <n x="87"/>
        <n x="32"/>
      </t>
    </mdx>
    <mdx n="0" f="v">
      <t c="8">
        <n x="4" s="1"/>
        <n x="7" s="1"/>
        <n x="67" s="1"/>
        <n x="3" s="1"/>
        <n x="6" s="1"/>
        <n x="68"/>
        <n x="87"/>
        <n x="33"/>
      </t>
    </mdx>
    <mdx n="0" f="v">
      <t c="8">
        <n x="4" s="1"/>
        <n x="7" s="1"/>
        <n x="67" s="1"/>
        <n x="3" s="1"/>
        <n x="6" s="1"/>
        <n x="68"/>
        <n x="87"/>
        <n x="34"/>
      </t>
    </mdx>
    <mdx n="0" f="v">
      <t c="8">
        <n x="4" s="1"/>
        <n x="7" s="1"/>
        <n x="67" s="1"/>
        <n x="3" s="1"/>
        <n x="6" s="1"/>
        <n x="68"/>
        <n x="87"/>
        <n x="35"/>
      </t>
    </mdx>
    <mdx n="0" f="v">
      <t c="8">
        <n x="4" s="1"/>
        <n x="7" s="1"/>
        <n x="67" s="1"/>
        <n x="3" s="1"/>
        <n x="6" s="1"/>
        <n x="68"/>
        <n x="87"/>
        <n x="36"/>
      </t>
    </mdx>
    <mdx n="0" f="v">
      <t c="8">
        <n x="4" s="1"/>
        <n x="7" s="1"/>
        <n x="67" s="1"/>
        <n x="3" s="1"/>
        <n x="6" s="1"/>
        <n x="68"/>
        <n x="87"/>
        <n x="37"/>
      </t>
    </mdx>
    <mdx n="0" f="v">
      <t c="8">
        <n x="4" s="1"/>
        <n x="7" s="1"/>
        <n x="67" s="1"/>
        <n x="3" s="1"/>
        <n x="6" s="1"/>
        <n x="68"/>
        <n x="87"/>
        <n x="38"/>
      </t>
    </mdx>
    <mdx n="0" f="v">
      <t c="8">
        <n x="4" s="1"/>
        <n x="7" s="1"/>
        <n x="67" s="1"/>
        <n x="3" s="1"/>
        <n x="6" s="1"/>
        <n x="68"/>
        <n x="87"/>
        <n x="39"/>
      </t>
    </mdx>
    <mdx n="0" f="v">
      <t c="8">
        <n x="4" s="1"/>
        <n x="7" s="1"/>
        <n x="67" s="1"/>
        <n x="3" s="1"/>
        <n x="6" s="1"/>
        <n x="68"/>
        <n x="87"/>
        <n x="40"/>
      </t>
    </mdx>
    <mdx n="0" f="v">
      <t c="8">
        <n x="4" s="1"/>
        <n x="7" s="1"/>
        <n x="67" s="1"/>
        <n x="3" s="1"/>
        <n x="6" s="1"/>
        <n x="68"/>
        <n x="87"/>
        <n x="41"/>
      </t>
    </mdx>
    <mdx n="0" f="v">
      <t c="8">
        <n x="4" s="1"/>
        <n x="7" s="1"/>
        <n x="67" s="1"/>
        <n x="3" s="1"/>
        <n x="6" s="1"/>
        <n x="68"/>
        <n x="87"/>
        <n x="42"/>
      </t>
    </mdx>
    <mdx n="0" f="v">
      <t c="8">
        <n x="4" s="1"/>
        <n x="7" s="1"/>
        <n x="67" s="1"/>
        <n x="3" s="1"/>
        <n x="6" s="1"/>
        <n x="68"/>
        <n x="87"/>
        <n x="43"/>
      </t>
    </mdx>
    <mdx n="0" f="v">
      <t c="8">
        <n x="4" s="1"/>
        <n x="7" s="1"/>
        <n x="67" s="1"/>
        <n x="3" s="1"/>
        <n x="6" s="1"/>
        <n x="68"/>
        <n x="87"/>
        <n x="44"/>
      </t>
    </mdx>
    <mdx n="0" f="v">
      <t c="8">
        <n x="4" s="1"/>
        <n x="7" s="1"/>
        <n x="67" s="1"/>
        <n x="3" s="1"/>
        <n x="6" s="1"/>
        <n x="68"/>
        <n x="87"/>
        <n x="45"/>
      </t>
    </mdx>
    <mdx n="0" f="v">
      <t c="8">
        <n x="4" s="1"/>
        <n x="7" s="1"/>
        <n x="67" s="1"/>
        <n x="3" s="1"/>
        <n x="6" s="1"/>
        <n x="68"/>
        <n x="87"/>
        <n x="46"/>
      </t>
    </mdx>
    <mdx n="0" f="v">
      <t c="8">
        <n x="4" s="1"/>
        <n x="7" s="1"/>
        <n x="67" s="1"/>
        <n x="3" s="1"/>
        <n x="6" s="1"/>
        <n x="68"/>
        <n x="87"/>
        <n x="47"/>
      </t>
    </mdx>
    <mdx n="0" f="v">
      <t c="8">
        <n x="4" s="1"/>
        <n x="7" s="1"/>
        <n x="67" s="1"/>
        <n x="3" s="1"/>
        <n x="6" s="1"/>
        <n x="68"/>
        <n x="87"/>
        <n x="48"/>
      </t>
    </mdx>
    <mdx n="0" f="v">
      <t c="8">
        <n x="4" s="1"/>
        <n x="7" s="1"/>
        <n x="67" s="1"/>
        <n x="3" s="1"/>
        <n x="6" s="1"/>
        <n x="68"/>
        <n x="87"/>
        <n x="49"/>
      </t>
    </mdx>
    <mdx n="0" f="v">
      <t c="8">
        <n x="4" s="1"/>
        <n x="7" s="1"/>
        <n x="67" s="1"/>
        <n x="3" s="1"/>
        <n x="6" s="1"/>
        <n x="68"/>
        <n x="87"/>
        <n x="50"/>
      </t>
    </mdx>
    <mdx n="0" f="v">
      <t c="8">
        <n x="4" s="1"/>
        <n x="7" s="1"/>
        <n x="67" s="1"/>
        <n x="3" s="1"/>
        <n x="6" s="1"/>
        <n x="68"/>
        <n x="87"/>
        <n x="51"/>
      </t>
    </mdx>
    <mdx n="0" f="v">
      <t c="8">
        <n x="4" s="1"/>
        <n x="7" s="1"/>
        <n x="67" s="1"/>
        <n x="3" s="1"/>
        <n x="6" s="1"/>
        <n x="68"/>
        <n x="87"/>
        <n x="52"/>
      </t>
    </mdx>
    <mdx n="0" f="v">
      <t c="8">
        <n x="4" s="1"/>
        <n x="7" s="1"/>
        <n x="67" s="1"/>
        <n x="3" s="1"/>
        <n x="6" s="1"/>
        <n x="68"/>
        <n x="87"/>
        <n x="53"/>
      </t>
    </mdx>
    <mdx n="0" f="v">
      <t c="8">
        <n x="4" s="1"/>
        <n x="7" s="1"/>
        <n x="67" s="1"/>
        <n x="3" s="1"/>
        <n x="6" s="1"/>
        <n x="68"/>
        <n x="87"/>
        <n x="54"/>
      </t>
    </mdx>
    <mdx n="0" f="v">
      <t c="8">
        <n x="4" s="1"/>
        <n x="7" s="1"/>
        <n x="67" s="1"/>
        <n x="3" s="1"/>
        <n x="6" s="1"/>
        <n x="68"/>
        <n x="87"/>
        <n x="55"/>
      </t>
    </mdx>
    <mdx n="0" f="v">
      <t c="8">
        <n x="4" s="1"/>
        <n x="7" s="1"/>
        <n x="67" s="1"/>
        <n x="3" s="1"/>
        <n x="6" s="1"/>
        <n x="68"/>
        <n x="87"/>
        <n x="56"/>
      </t>
    </mdx>
    <mdx n="0" f="v">
      <t c="8">
        <n x="4" s="1"/>
        <n x="7" s="1"/>
        <n x="67" s="1"/>
        <n x="3" s="1"/>
        <n x="6" s="1"/>
        <n x="68"/>
        <n x="87"/>
        <n x="57"/>
      </t>
    </mdx>
    <mdx n="0" f="v">
      <t c="8">
        <n x="4" s="1"/>
        <n x="7" s="1"/>
        <n x="67" s="1"/>
        <n x="3" s="1"/>
        <n x="6" s="1"/>
        <n x="68"/>
        <n x="87"/>
        <n x="58"/>
      </t>
    </mdx>
    <mdx n="0" f="v">
      <t c="8">
        <n x="4" s="1"/>
        <n x="7" s="1"/>
        <n x="67" s="1"/>
        <n x="3" s="1"/>
        <n x="6" s="1"/>
        <n x="68"/>
        <n x="87"/>
        <n x="59"/>
      </t>
    </mdx>
    <mdx n="0" f="v">
      <t c="8">
        <n x="4" s="1"/>
        <n x="7" s="1"/>
        <n x="67" s="1"/>
        <n x="3" s="1"/>
        <n x="6" s="1"/>
        <n x="68"/>
        <n x="87"/>
        <n x="60"/>
      </t>
    </mdx>
    <mdx n="0" f="v">
      <t c="8">
        <n x="4" s="1"/>
        <n x="7" s="1"/>
        <n x="67" s="1"/>
        <n x="3" s="1"/>
        <n x="6" s="1"/>
        <n x="68"/>
        <n x="87"/>
        <n x="61"/>
      </t>
    </mdx>
    <mdx n="0" f="v">
      <t c="8">
        <n x="4" s="1"/>
        <n x="7" s="1"/>
        <n x="67" s="1"/>
        <n x="3" s="1"/>
        <n x="6" s="1"/>
        <n x="68"/>
        <n x="87"/>
        <n x="62"/>
      </t>
    </mdx>
    <mdx n="0" f="v">
      <t c="8">
        <n x="4" s="1"/>
        <n x="7" s="1"/>
        <n x="67" s="1"/>
        <n x="3" s="1"/>
        <n x="6" s="1"/>
        <n x="68"/>
        <n x="87"/>
        <n x="63"/>
      </t>
    </mdx>
    <mdx n="0" f="v">
      <t c="8">
        <n x="4" s="1"/>
        <n x="7" s="1"/>
        <n x="67" s="1"/>
        <n x="3" s="1"/>
        <n x="6" s="1"/>
        <n x="68"/>
        <n x="87"/>
        <n x="64"/>
      </t>
    </mdx>
    <mdx n="0" f="v">
      <t c="8">
        <n x="4" s="1"/>
        <n x="7" s="1"/>
        <n x="67" s="1"/>
        <n x="3" s="1"/>
        <n x="6" s="1"/>
        <n x="68"/>
        <n x="87"/>
        <n x="65"/>
      </t>
    </mdx>
    <mdx n="0" f="v">
      <t c="8">
        <n x="4" s="1"/>
        <n x="7" s="1"/>
        <n x="67" s="1"/>
        <n x="3" s="1"/>
        <n x="6" s="1"/>
        <n x="68"/>
        <n x="87"/>
        <n x="66"/>
      </t>
    </mdx>
    <mdx n="0" f="m">
      <t c="1">
        <n x="88"/>
      </t>
    </mdx>
    <mdx n="0" f="v">
      <t c="8">
        <n x="4" s="1"/>
        <n x="7" s="1"/>
        <n x="67" s="1"/>
        <n x="3" s="1"/>
        <n x="6" s="1"/>
        <n x="68"/>
        <n x="88"/>
        <n x="8"/>
      </t>
    </mdx>
    <mdx n="0" f="v">
      <t c="8">
        <n x="4" s="1"/>
        <n x="7" s="1"/>
        <n x="67" s="1"/>
        <n x="3" s="1"/>
        <n x="6" s="1"/>
        <n x="68"/>
        <n x="88"/>
        <n x="9"/>
      </t>
    </mdx>
    <mdx n="0" f="v">
      <t c="8">
        <n x="4" s="1"/>
        <n x="7" s="1"/>
        <n x="67" s="1"/>
        <n x="3" s="1"/>
        <n x="6" s="1"/>
        <n x="68"/>
        <n x="88"/>
        <n x="10"/>
      </t>
    </mdx>
    <mdx n="0" f="v">
      <t c="8">
        <n x="4" s="1"/>
        <n x="7" s="1"/>
        <n x="67" s="1"/>
        <n x="3" s="1"/>
        <n x="6" s="1"/>
        <n x="68"/>
        <n x="88"/>
        <n x="11"/>
      </t>
    </mdx>
    <mdx n="0" f="v">
      <t c="8">
        <n x="4" s="1"/>
        <n x="7" s="1"/>
        <n x="67" s="1"/>
        <n x="3" s="1"/>
        <n x="6" s="1"/>
        <n x="68"/>
        <n x="88"/>
        <n x="12"/>
      </t>
    </mdx>
    <mdx n="0" f="v">
      <t c="8">
        <n x="4" s="1"/>
        <n x="7" s="1"/>
        <n x="67" s="1"/>
        <n x="3" s="1"/>
        <n x="6" s="1"/>
        <n x="68"/>
        <n x="88"/>
        <n x="13"/>
      </t>
    </mdx>
    <mdx n="0" f="v">
      <t c="8">
        <n x="4" s="1"/>
        <n x="7" s="1"/>
        <n x="67" s="1"/>
        <n x="3" s="1"/>
        <n x="6" s="1"/>
        <n x="68"/>
        <n x="88"/>
        <n x="14"/>
      </t>
    </mdx>
    <mdx n="0" f="v">
      <t c="8">
        <n x="4" s="1"/>
        <n x="7" s="1"/>
        <n x="67" s="1"/>
        <n x="3" s="1"/>
        <n x="6" s="1"/>
        <n x="68"/>
        <n x="88"/>
        <n x="15"/>
      </t>
    </mdx>
    <mdx n="0" f="v">
      <t c="8">
        <n x="4" s="1"/>
        <n x="7" s="1"/>
        <n x="67" s="1"/>
        <n x="3" s="1"/>
        <n x="6" s="1"/>
        <n x="68"/>
        <n x="88"/>
        <n x="16"/>
      </t>
    </mdx>
    <mdx n="0" f="v">
      <t c="8">
        <n x="4" s="1"/>
        <n x="7" s="1"/>
        <n x="67" s="1"/>
        <n x="3" s="1"/>
        <n x="6" s="1"/>
        <n x="68"/>
        <n x="88"/>
        <n x="17"/>
      </t>
    </mdx>
    <mdx n="0" f="v">
      <t c="8">
        <n x="4" s="1"/>
        <n x="7" s="1"/>
        <n x="67" s="1"/>
        <n x="3" s="1"/>
        <n x="6" s="1"/>
        <n x="68"/>
        <n x="88"/>
        <n x="18"/>
      </t>
    </mdx>
    <mdx n="0" f="v">
      <t c="8">
        <n x="4" s="1"/>
        <n x="7" s="1"/>
        <n x="67" s="1"/>
        <n x="3" s="1"/>
        <n x="6" s="1"/>
        <n x="68"/>
        <n x="88"/>
        <n x="19"/>
      </t>
    </mdx>
    <mdx n="0" f="v">
      <t c="8">
        <n x="4" s="1"/>
        <n x="7" s="1"/>
        <n x="67" s="1"/>
        <n x="3" s="1"/>
        <n x="6" s="1"/>
        <n x="68"/>
        <n x="88"/>
        <n x="20"/>
      </t>
    </mdx>
    <mdx n="0" f="v">
      <t c="8">
        <n x="4" s="1"/>
        <n x="7" s="1"/>
        <n x="67" s="1"/>
        <n x="3" s="1"/>
        <n x="6" s="1"/>
        <n x="68"/>
        <n x="88"/>
        <n x="21"/>
      </t>
    </mdx>
    <mdx n="0" f="v">
      <t c="8">
        <n x="4" s="1"/>
        <n x="7" s="1"/>
        <n x="67" s="1"/>
        <n x="3" s="1"/>
        <n x="6" s="1"/>
        <n x="68"/>
        <n x="88"/>
        <n x="22"/>
      </t>
    </mdx>
    <mdx n="0" f="v">
      <t c="8">
        <n x="4" s="1"/>
        <n x="7" s="1"/>
        <n x="67" s="1"/>
        <n x="3" s="1"/>
        <n x="6" s="1"/>
        <n x="68"/>
        <n x="88"/>
        <n x="23"/>
      </t>
    </mdx>
    <mdx n="0" f="v">
      <t c="8">
        <n x="4" s="1"/>
        <n x="7" s="1"/>
        <n x="67" s="1"/>
        <n x="3" s="1"/>
        <n x="6" s="1"/>
        <n x="68"/>
        <n x="88"/>
        <n x="24"/>
      </t>
    </mdx>
    <mdx n="0" f="v">
      <t c="8">
        <n x="4" s="1"/>
        <n x="7" s="1"/>
        <n x="67" s="1"/>
        <n x="3" s="1"/>
        <n x="6" s="1"/>
        <n x="68"/>
        <n x="88"/>
        <n x="25"/>
      </t>
    </mdx>
    <mdx n="0" f="v">
      <t c="8">
        <n x="4" s="1"/>
        <n x="7" s="1"/>
        <n x="67" s="1"/>
        <n x="3" s="1"/>
        <n x="6" s="1"/>
        <n x="68"/>
        <n x="88"/>
        <n x="26"/>
      </t>
    </mdx>
    <mdx n="0" f="v">
      <t c="8">
        <n x="4" s="1"/>
        <n x="7" s="1"/>
        <n x="67" s="1"/>
        <n x="3" s="1"/>
        <n x="6" s="1"/>
        <n x="68"/>
        <n x="88"/>
        <n x="27"/>
      </t>
    </mdx>
    <mdx n="0" f="v">
      <t c="8">
        <n x="4" s="1"/>
        <n x="7" s="1"/>
        <n x="67" s="1"/>
        <n x="3" s="1"/>
        <n x="6" s="1"/>
        <n x="68"/>
        <n x="88"/>
        <n x="28"/>
      </t>
    </mdx>
    <mdx n="0" f="v">
      <t c="8">
        <n x="4" s="1"/>
        <n x="7" s="1"/>
        <n x="67" s="1"/>
        <n x="3" s="1"/>
        <n x="6" s="1"/>
        <n x="68"/>
        <n x="88"/>
        <n x="29"/>
      </t>
    </mdx>
    <mdx n="0" f="v">
      <t c="8">
        <n x="4" s="1"/>
        <n x="7" s="1"/>
        <n x="67" s="1"/>
        <n x="3" s="1"/>
        <n x="6" s="1"/>
        <n x="68"/>
        <n x="88"/>
        <n x="30"/>
      </t>
    </mdx>
    <mdx n="0" f="v">
      <t c="8">
        <n x="4" s="1"/>
        <n x="7" s="1"/>
        <n x="67" s="1"/>
        <n x="3" s="1"/>
        <n x="6" s="1"/>
        <n x="68"/>
        <n x="88"/>
        <n x="31"/>
      </t>
    </mdx>
    <mdx n="0" f="v">
      <t c="8">
        <n x="4" s="1"/>
        <n x="7" s="1"/>
        <n x="67" s="1"/>
        <n x="3" s="1"/>
        <n x="6" s="1"/>
        <n x="68"/>
        <n x="88"/>
        <n x="32"/>
      </t>
    </mdx>
    <mdx n="0" f="v">
      <t c="8">
        <n x="4" s="1"/>
        <n x="7" s="1"/>
        <n x="67" s="1"/>
        <n x="3" s="1"/>
        <n x="6" s="1"/>
        <n x="68"/>
        <n x="88"/>
        <n x="33"/>
      </t>
    </mdx>
    <mdx n="0" f="v">
      <t c="8">
        <n x="4" s="1"/>
        <n x="7" s="1"/>
        <n x="67" s="1"/>
        <n x="3" s="1"/>
        <n x="6" s="1"/>
        <n x="68"/>
        <n x="88"/>
        <n x="34"/>
      </t>
    </mdx>
    <mdx n="0" f="v">
      <t c="8">
        <n x="4" s="1"/>
        <n x="7" s="1"/>
        <n x="67" s="1"/>
        <n x="3" s="1"/>
        <n x="6" s="1"/>
        <n x="68"/>
        <n x="88"/>
        <n x="35"/>
      </t>
    </mdx>
    <mdx n="0" f="v">
      <t c="8">
        <n x="4" s="1"/>
        <n x="7" s="1"/>
        <n x="67" s="1"/>
        <n x="3" s="1"/>
        <n x="6" s="1"/>
        <n x="68"/>
        <n x="88"/>
        <n x="36"/>
      </t>
    </mdx>
    <mdx n="0" f="v">
      <t c="8">
        <n x="4" s="1"/>
        <n x="7" s="1"/>
        <n x="67" s="1"/>
        <n x="3" s="1"/>
        <n x="6" s="1"/>
        <n x="68"/>
        <n x="88"/>
        <n x="37"/>
      </t>
    </mdx>
    <mdx n="0" f="v">
      <t c="8">
        <n x="4" s="1"/>
        <n x="7" s="1"/>
        <n x="67" s="1"/>
        <n x="3" s="1"/>
        <n x="6" s="1"/>
        <n x="68"/>
        <n x="88"/>
        <n x="38"/>
      </t>
    </mdx>
    <mdx n="0" f="v">
      <t c="8">
        <n x="4" s="1"/>
        <n x="7" s="1"/>
        <n x="67" s="1"/>
        <n x="3" s="1"/>
        <n x="6" s="1"/>
        <n x="68"/>
        <n x="88"/>
        <n x="39"/>
      </t>
    </mdx>
    <mdx n="0" f="v">
      <t c="8">
        <n x="4" s="1"/>
        <n x="7" s="1"/>
        <n x="67" s="1"/>
        <n x="3" s="1"/>
        <n x="6" s="1"/>
        <n x="68"/>
        <n x="88"/>
        <n x="40"/>
      </t>
    </mdx>
    <mdx n="0" f="v">
      <t c="8">
        <n x="4" s="1"/>
        <n x="7" s="1"/>
        <n x="67" s="1"/>
        <n x="3" s="1"/>
        <n x="6" s="1"/>
        <n x="68"/>
        <n x="88"/>
        <n x="41"/>
      </t>
    </mdx>
    <mdx n="0" f="v">
      <t c="8">
        <n x="4" s="1"/>
        <n x="7" s="1"/>
        <n x="67" s="1"/>
        <n x="3" s="1"/>
        <n x="6" s="1"/>
        <n x="68"/>
        <n x="88"/>
        <n x="42"/>
      </t>
    </mdx>
    <mdx n="0" f="v">
      <t c="8">
        <n x="4" s="1"/>
        <n x="7" s="1"/>
        <n x="67" s="1"/>
        <n x="3" s="1"/>
        <n x="6" s="1"/>
        <n x="68"/>
        <n x="88"/>
        <n x="43"/>
      </t>
    </mdx>
    <mdx n="0" f="v">
      <t c="8">
        <n x="4" s="1"/>
        <n x="7" s="1"/>
        <n x="67" s="1"/>
        <n x="3" s="1"/>
        <n x="6" s="1"/>
        <n x="68"/>
        <n x="88"/>
        <n x="44"/>
      </t>
    </mdx>
    <mdx n="0" f="v">
      <t c="8">
        <n x="4" s="1"/>
        <n x="7" s="1"/>
        <n x="67" s="1"/>
        <n x="3" s="1"/>
        <n x="6" s="1"/>
        <n x="68"/>
        <n x="88"/>
        <n x="45"/>
      </t>
    </mdx>
    <mdx n="0" f="v">
      <t c="8">
        <n x="4" s="1"/>
        <n x="7" s="1"/>
        <n x="67" s="1"/>
        <n x="3" s="1"/>
        <n x="6" s="1"/>
        <n x="68"/>
        <n x="88"/>
        <n x="46"/>
      </t>
    </mdx>
    <mdx n="0" f="v">
      <t c="8">
        <n x="4" s="1"/>
        <n x="7" s="1"/>
        <n x="67" s="1"/>
        <n x="3" s="1"/>
        <n x="6" s="1"/>
        <n x="68"/>
        <n x="88"/>
        <n x="47"/>
      </t>
    </mdx>
    <mdx n="0" f="v">
      <t c="8">
        <n x="4" s="1"/>
        <n x="7" s="1"/>
        <n x="67" s="1"/>
        <n x="3" s="1"/>
        <n x="6" s="1"/>
        <n x="68"/>
        <n x="88"/>
        <n x="48"/>
      </t>
    </mdx>
    <mdx n="0" f="v">
      <t c="8">
        <n x="4" s="1"/>
        <n x="7" s="1"/>
        <n x="67" s="1"/>
        <n x="3" s="1"/>
        <n x="6" s="1"/>
        <n x="68"/>
        <n x="88"/>
        <n x="49"/>
      </t>
    </mdx>
    <mdx n="0" f="v">
      <t c="8">
        <n x="4" s="1"/>
        <n x="7" s="1"/>
        <n x="67" s="1"/>
        <n x="3" s="1"/>
        <n x="6" s="1"/>
        <n x="68"/>
        <n x="88"/>
        <n x="50"/>
      </t>
    </mdx>
    <mdx n="0" f="v">
      <t c="8">
        <n x="4" s="1"/>
        <n x="7" s="1"/>
        <n x="67" s="1"/>
        <n x="3" s="1"/>
        <n x="6" s="1"/>
        <n x="68"/>
        <n x="88"/>
        <n x="51"/>
      </t>
    </mdx>
    <mdx n="0" f="v">
      <t c="8">
        <n x="4" s="1"/>
        <n x="7" s="1"/>
        <n x="67" s="1"/>
        <n x="3" s="1"/>
        <n x="6" s="1"/>
        <n x="68"/>
        <n x="88"/>
        <n x="52"/>
      </t>
    </mdx>
    <mdx n="0" f="v">
      <t c="8">
        <n x="4" s="1"/>
        <n x="7" s="1"/>
        <n x="67" s="1"/>
        <n x="3" s="1"/>
        <n x="6" s="1"/>
        <n x="68"/>
        <n x="88"/>
        <n x="53"/>
      </t>
    </mdx>
    <mdx n="0" f="v">
      <t c="8">
        <n x="4" s="1"/>
        <n x="7" s="1"/>
        <n x="67" s="1"/>
        <n x="3" s="1"/>
        <n x="6" s="1"/>
        <n x="68"/>
        <n x="88"/>
        <n x="54"/>
      </t>
    </mdx>
    <mdx n="0" f="v">
      <t c="8">
        <n x="4" s="1"/>
        <n x="7" s="1"/>
        <n x="67" s="1"/>
        <n x="3" s="1"/>
        <n x="6" s="1"/>
        <n x="68"/>
        <n x="88"/>
        <n x="55"/>
      </t>
    </mdx>
    <mdx n="0" f="v">
      <t c="8">
        <n x="4" s="1"/>
        <n x="7" s="1"/>
        <n x="67" s="1"/>
        <n x="3" s="1"/>
        <n x="6" s="1"/>
        <n x="68"/>
        <n x="88"/>
        <n x="56"/>
      </t>
    </mdx>
    <mdx n="0" f="v">
      <t c="8">
        <n x="4" s="1"/>
        <n x="7" s="1"/>
        <n x="67" s="1"/>
        <n x="3" s="1"/>
        <n x="6" s="1"/>
        <n x="68"/>
        <n x="88"/>
        <n x="57"/>
      </t>
    </mdx>
    <mdx n="0" f="v">
      <t c="8">
        <n x="4" s="1"/>
        <n x="7" s="1"/>
        <n x="67" s="1"/>
        <n x="3" s="1"/>
        <n x="6" s="1"/>
        <n x="68"/>
        <n x="88"/>
        <n x="58"/>
      </t>
    </mdx>
    <mdx n="0" f="v">
      <t c="8">
        <n x="4" s="1"/>
        <n x="7" s="1"/>
        <n x="67" s="1"/>
        <n x="3" s="1"/>
        <n x="6" s="1"/>
        <n x="68"/>
        <n x="88"/>
        <n x="59"/>
      </t>
    </mdx>
    <mdx n="0" f="v">
      <t c="8">
        <n x="4" s="1"/>
        <n x="7" s="1"/>
        <n x="67" s="1"/>
        <n x="3" s="1"/>
        <n x="6" s="1"/>
        <n x="68"/>
        <n x="88"/>
        <n x="60"/>
      </t>
    </mdx>
    <mdx n="0" f="v">
      <t c="8">
        <n x="4" s="1"/>
        <n x="7" s="1"/>
        <n x="67" s="1"/>
        <n x="3" s="1"/>
        <n x="6" s="1"/>
        <n x="68"/>
        <n x="88"/>
        <n x="61"/>
      </t>
    </mdx>
    <mdx n="0" f="v">
      <t c="8">
        <n x="4" s="1"/>
        <n x="7" s="1"/>
        <n x="67" s="1"/>
        <n x="3" s="1"/>
        <n x="6" s="1"/>
        <n x="68"/>
        <n x="88"/>
        <n x="62"/>
      </t>
    </mdx>
    <mdx n="0" f="v">
      <t c="8">
        <n x="4" s="1"/>
        <n x="7" s="1"/>
        <n x="67" s="1"/>
        <n x="3" s="1"/>
        <n x="6" s="1"/>
        <n x="68"/>
        <n x="88"/>
        <n x="63"/>
      </t>
    </mdx>
    <mdx n="0" f="v">
      <t c="8">
        <n x="4" s="1"/>
        <n x="7" s="1"/>
        <n x="67" s="1"/>
        <n x="3" s="1"/>
        <n x="6" s="1"/>
        <n x="68"/>
        <n x="88"/>
        <n x="64"/>
      </t>
    </mdx>
    <mdx n="0" f="v">
      <t c="8">
        <n x="4" s="1"/>
        <n x="7" s="1"/>
        <n x="67" s="1"/>
        <n x="3" s="1"/>
        <n x="6" s="1"/>
        <n x="68"/>
        <n x="88"/>
        <n x="65"/>
      </t>
    </mdx>
    <mdx n="0" f="v">
      <t c="8">
        <n x="4" s="1"/>
        <n x="7" s="1"/>
        <n x="67" s="1"/>
        <n x="3" s="1"/>
        <n x="6" s="1"/>
        <n x="68"/>
        <n x="88"/>
        <n x="66"/>
      </t>
    </mdx>
    <mdx n="0" f="m">
      <t c="1">
        <n x="89"/>
      </t>
    </mdx>
    <mdx n="0" f="v">
      <t c="8">
        <n x="4" s="1"/>
        <n x="7" s="1"/>
        <n x="67" s="1"/>
        <n x="3" s="1"/>
        <n x="6" s="1"/>
        <n x="68"/>
        <n x="89"/>
        <n x="8"/>
      </t>
    </mdx>
    <mdx n="0" f="v">
      <t c="8">
        <n x="4" s="1"/>
        <n x="7" s="1"/>
        <n x="67" s="1"/>
        <n x="3" s="1"/>
        <n x="6" s="1"/>
        <n x="68"/>
        <n x="89"/>
        <n x="9"/>
      </t>
    </mdx>
    <mdx n="0" f="v">
      <t c="8">
        <n x="4" s="1"/>
        <n x="7" s="1"/>
        <n x="67" s="1"/>
        <n x="3" s="1"/>
        <n x="6" s="1"/>
        <n x="68"/>
        <n x="89"/>
        <n x="10"/>
      </t>
    </mdx>
    <mdx n="0" f="v">
      <t c="8">
        <n x="4" s="1"/>
        <n x="7" s="1"/>
        <n x="67" s="1"/>
        <n x="3" s="1"/>
        <n x="6" s="1"/>
        <n x="68"/>
        <n x="89"/>
        <n x="11"/>
      </t>
    </mdx>
    <mdx n="0" f="v">
      <t c="8">
        <n x="4" s="1"/>
        <n x="7" s="1"/>
        <n x="67" s="1"/>
        <n x="3" s="1"/>
        <n x="6" s="1"/>
        <n x="68"/>
        <n x="89"/>
        <n x="12"/>
      </t>
    </mdx>
    <mdx n="0" f="v">
      <t c="8">
        <n x="4" s="1"/>
        <n x="7" s="1"/>
        <n x="67" s="1"/>
        <n x="3" s="1"/>
        <n x="6" s="1"/>
        <n x="68"/>
        <n x="89"/>
        <n x="13"/>
      </t>
    </mdx>
    <mdx n="0" f="v">
      <t c="8">
        <n x="4" s="1"/>
        <n x="7" s="1"/>
        <n x="67" s="1"/>
        <n x="3" s="1"/>
        <n x="6" s="1"/>
        <n x="68"/>
        <n x="89"/>
        <n x="14"/>
      </t>
    </mdx>
    <mdx n="0" f="v">
      <t c="8">
        <n x="4" s="1"/>
        <n x="7" s="1"/>
        <n x="67" s="1"/>
        <n x="3" s="1"/>
        <n x="6" s="1"/>
        <n x="68"/>
        <n x="89"/>
        <n x="15"/>
      </t>
    </mdx>
    <mdx n="0" f="v">
      <t c="8">
        <n x="4" s="1"/>
        <n x="7" s="1"/>
        <n x="67" s="1"/>
        <n x="3" s="1"/>
        <n x="6" s="1"/>
        <n x="68"/>
        <n x="89"/>
        <n x="16"/>
      </t>
    </mdx>
    <mdx n="0" f="v">
      <t c="8">
        <n x="4" s="1"/>
        <n x="7" s="1"/>
        <n x="67" s="1"/>
        <n x="3" s="1"/>
        <n x="6" s="1"/>
        <n x="68"/>
        <n x="89"/>
        <n x="17"/>
      </t>
    </mdx>
    <mdx n="0" f="v">
      <t c="8">
        <n x="4" s="1"/>
        <n x="7" s="1"/>
        <n x="67" s="1"/>
        <n x="3" s="1"/>
        <n x="6" s="1"/>
        <n x="68"/>
        <n x="89"/>
        <n x="18"/>
      </t>
    </mdx>
    <mdx n="0" f="v">
      <t c="8">
        <n x="4" s="1"/>
        <n x="7" s="1"/>
        <n x="67" s="1"/>
        <n x="3" s="1"/>
        <n x="6" s="1"/>
        <n x="68"/>
        <n x="89"/>
        <n x="19"/>
      </t>
    </mdx>
    <mdx n="0" f="v">
      <t c="8">
        <n x="4" s="1"/>
        <n x="7" s="1"/>
        <n x="67" s="1"/>
        <n x="3" s="1"/>
        <n x="6" s="1"/>
        <n x="68"/>
        <n x="89"/>
        <n x="20"/>
      </t>
    </mdx>
    <mdx n="0" f="v">
      <t c="8">
        <n x="4" s="1"/>
        <n x="7" s="1"/>
        <n x="67" s="1"/>
        <n x="3" s="1"/>
        <n x="6" s="1"/>
        <n x="68"/>
        <n x="89"/>
        <n x="21"/>
      </t>
    </mdx>
    <mdx n="0" f="v">
      <t c="8">
        <n x="4" s="1"/>
        <n x="7" s="1"/>
        <n x="67" s="1"/>
        <n x="3" s="1"/>
        <n x="6" s="1"/>
        <n x="68"/>
        <n x="89"/>
        <n x="22"/>
      </t>
    </mdx>
    <mdx n="0" f="v">
      <t c="8">
        <n x="4" s="1"/>
        <n x="7" s="1"/>
        <n x="67" s="1"/>
        <n x="3" s="1"/>
        <n x="6" s="1"/>
        <n x="68"/>
        <n x="89"/>
        <n x="23"/>
      </t>
    </mdx>
    <mdx n="0" f="v">
      <t c="8">
        <n x="4" s="1"/>
        <n x="7" s="1"/>
        <n x="67" s="1"/>
        <n x="3" s="1"/>
        <n x="6" s="1"/>
        <n x="68"/>
        <n x="89"/>
        <n x="24"/>
      </t>
    </mdx>
    <mdx n="0" f="v">
      <t c="8">
        <n x="4" s="1"/>
        <n x="7" s="1"/>
        <n x="67" s="1"/>
        <n x="3" s="1"/>
        <n x="6" s="1"/>
        <n x="68"/>
        <n x="89"/>
        <n x="25"/>
      </t>
    </mdx>
    <mdx n="0" f="v">
      <t c="8">
        <n x="4" s="1"/>
        <n x="7" s="1"/>
        <n x="67" s="1"/>
        <n x="3" s="1"/>
        <n x="6" s="1"/>
        <n x="68"/>
        <n x="89"/>
        <n x="26"/>
      </t>
    </mdx>
    <mdx n="0" f="v">
      <t c="8">
        <n x="4" s="1"/>
        <n x="7" s="1"/>
        <n x="67" s="1"/>
        <n x="3" s="1"/>
        <n x="6" s="1"/>
        <n x="68"/>
        <n x="89"/>
        <n x="27"/>
      </t>
    </mdx>
    <mdx n="0" f="v">
      <t c="8">
        <n x="4" s="1"/>
        <n x="7" s="1"/>
        <n x="67" s="1"/>
        <n x="3" s="1"/>
        <n x="6" s="1"/>
        <n x="68"/>
        <n x="89"/>
        <n x="28"/>
      </t>
    </mdx>
    <mdx n="0" f="v">
      <t c="8">
        <n x="4" s="1"/>
        <n x="7" s="1"/>
        <n x="67" s="1"/>
        <n x="3" s="1"/>
        <n x="6" s="1"/>
        <n x="68"/>
        <n x="89"/>
        <n x="29"/>
      </t>
    </mdx>
    <mdx n="0" f="v">
      <t c="8">
        <n x="4" s="1"/>
        <n x="7" s="1"/>
        <n x="67" s="1"/>
        <n x="3" s="1"/>
        <n x="6" s="1"/>
        <n x="68"/>
        <n x="89"/>
        <n x="30"/>
      </t>
    </mdx>
    <mdx n="0" f="v">
      <t c="8">
        <n x="4" s="1"/>
        <n x="7" s="1"/>
        <n x="67" s="1"/>
        <n x="3" s="1"/>
        <n x="6" s="1"/>
        <n x="68"/>
        <n x="89"/>
        <n x="31"/>
      </t>
    </mdx>
    <mdx n="0" f="v">
      <t c="8">
        <n x="4" s="1"/>
        <n x="7" s="1"/>
        <n x="67" s="1"/>
        <n x="3" s="1"/>
        <n x="6" s="1"/>
        <n x="68"/>
        <n x="89"/>
        <n x="32"/>
      </t>
    </mdx>
    <mdx n="0" f="v">
      <t c="8">
        <n x="4" s="1"/>
        <n x="7" s="1"/>
        <n x="67" s="1"/>
        <n x="3" s="1"/>
        <n x="6" s="1"/>
        <n x="68"/>
        <n x="89"/>
        <n x="33"/>
      </t>
    </mdx>
    <mdx n="0" f="v">
      <t c="8">
        <n x="4" s="1"/>
        <n x="7" s="1"/>
        <n x="67" s="1"/>
        <n x="3" s="1"/>
        <n x="6" s="1"/>
        <n x="68"/>
        <n x="89"/>
        <n x="34"/>
      </t>
    </mdx>
    <mdx n="0" f="v">
      <t c="8">
        <n x="4" s="1"/>
        <n x="7" s="1"/>
        <n x="67" s="1"/>
        <n x="3" s="1"/>
        <n x="6" s="1"/>
        <n x="68"/>
        <n x="89"/>
        <n x="35"/>
      </t>
    </mdx>
    <mdx n="0" f="v">
      <t c="8">
        <n x="4" s="1"/>
        <n x="7" s="1"/>
        <n x="67" s="1"/>
        <n x="3" s="1"/>
        <n x="6" s="1"/>
        <n x="68"/>
        <n x="89"/>
        <n x="36"/>
      </t>
    </mdx>
    <mdx n="0" f="v">
      <t c="8">
        <n x="4" s="1"/>
        <n x="7" s="1"/>
        <n x="67" s="1"/>
        <n x="3" s="1"/>
        <n x="6" s="1"/>
        <n x="68"/>
        <n x="89"/>
        <n x="37"/>
      </t>
    </mdx>
    <mdx n="0" f="v">
      <t c="8">
        <n x="4" s="1"/>
        <n x="7" s="1"/>
        <n x="67" s="1"/>
        <n x="3" s="1"/>
        <n x="6" s="1"/>
        <n x="68"/>
        <n x="89"/>
        <n x="38"/>
      </t>
    </mdx>
    <mdx n="0" f="v">
      <t c="8">
        <n x="4" s="1"/>
        <n x="7" s="1"/>
        <n x="67" s="1"/>
        <n x="3" s="1"/>
        <n x="6" s="1"/>
        <n x="68"/>
        <n x="89"/>
        <n x="39"/>
      </t>
    </mdx>
    <mdx n="0" f="v">
      <t c="8">
        <n x="4" s="1"/>
        <n x="7" s="1"/>
        <n x="67" s="1"/>
        <n x="3" s="1"/>
        <n x="6" s="1"/>
        <n x="68"/>
        <n x="89"/>
        <n x="40"/>
      </t>
    </mdx>
    <mdx n="0" f="v">
      <t c="8">
        <n x="4" s="1"/>
        <n x="7" s="1"/>
        <n x="67" s="1"/>
        <n x="3" s="1"/>
        <n x="6" s="1"/>
        <n x="68"/>
        <n x="89"/>
        <n x="41"/>
      </t>
    </mdx>
    <mdx n="0" f="v">
      <t c="8">
        <n x="4" s="1"/>
        <n x="7" s="1"/>
        <n x="67" s="1"/>
        <n x="3" s="1"/>
        <n x="6" s="1"/>
        <n x="68"/>
        <n x="89"/>
        <n x="42"/>
      </t>
    </mdx>
    <mdx n="0" f="v">
      <t c="8">
        <n x="4" s="1"/>
        <n x="7" s="1"/>
        <n x="67" s="1"/>
        <n x="3" s="1"/>
        <n x="6" s="1"/>
        <n x="68"/>
        <n x="89"/>
        <n x="43"/>
      </t>
    </mdx>
    <mdx n="0" f="v">
      <t c="8">
        <n x="4" s="1"/>
        <n x="7" s="1"/>
        <n x="67" s="1"/>
        <n x="3" s="1"/>
        <n x="6" s="1"/>
        <n x="68"/>
        <n x="89"/>
        <n x="44"/>
      </t>
    </mdx>
    <mdx n="0" f="v">
      <t c="8">
        <n x="4" s="1"/>
        <n x="7" s="1"/>
        <n x="67" s="1"/>
        <n x="3" s="1"/>
        <n x="6" s="1"/>
        <n x="68"/>
        <n x="89"/>
        <n x="45"/>
      </t>
    </mdx>
    <mdx n="0" f="v">
      <t c="8">
        <n x="4" s="1"/>
        <n x="7" s="1"/>
        <n x="67" s="1"/>
        <n x="3" s="1"/>
        <n x="6" s="1"/>
        <n x="68"/>
        <n x="89"/>
        <n x="46"/>
      </t>
    </mdx>
    <mdx n="0" f="v">
      <t c="8">
        <n x="4" s="1"/>
        <n x="7" s="1"/>
        <n x="67" s="1"/>
        <n x="3" s="1"/>
        <n x="6" s="1"/>
        <n x="68"/>
        <n x="89"/>
        <n x="47"/>
      </t>
    </mdx>
    <mdx n="0" f="v">
      <t c="8">
        <n x="4" s="1"/>
        <n x="7" s="1"/>
        <n x="67" s="1"/>
        <n x="3" s="1"/>
        <n x="6" s="1"/>
        <n x="68"/>
        <n x="89"/>
        <n x="48"/>
      </t>
    </mdx>
    <mdx n="0" f="v">
      <t c="8">
        <n x="4" s="1"/>
        <n x="7" s="1"/>
        <n x="67" s="1"/>
        <n x="3" s="1"/>
        <n x="6" s="1"/>
        <n x="68"/>
        <n x="89"/>
        <n x="49"/>
      </t>
    </mdx>
    <mdx n="0" f="v">
      <t c="8">
        <n x="4" s="1"/>
        <n x="7" s="1"/>
        <n x="67" s="1"/>
        <n x="3" s="1"/>
        <n x="6" s="1"/>
        <n x="68"/>
        <n x="89"/>
        <n x="50"/>
      </t>
    </mdx>
    <mdx n="0" f="v">
      <t c="8">
        <n x="4" s="1"/>
        <n x="7" s="1"/>
        <n x="67" s="1"/>
        <n x="3" s="1"/>
        <n x="6" s="1"/>
        <n x="68"/>
        <n x="89"/>
        <n x="51"/>
      </t>
    </mdx>
    <mdx n="0" f="v">
      <t c="8">
        <n x="4" s="1"/>
        <n x="7" s="1"/>
        <n x="67" s="1"/>
        <n x="3" s="1"/>
        <n x="6" s="1"/>
        <n x="68"/>
        <n x="89"/>
        <n x="52"/>
      </t>
    </mdx>
    <mdx n="0" f="v">
      <t c="8">
        <n x="4" s="1"/>
        <n x="7" s="1"/>
        <n x="67" s="1"/>
        <n x="3" s="1"/>
        <n x="6" s="1"/>
        <n x="68"/>
        <n x="89"/>
        <n x="53"/>
      </t>
    </mdx>
    <mdx n="0" f="v">
      <t c="8">
        <n x="4" s="1"/>
        <n x="7" s="1"/>
        <n x="67" s="1"/>
        <n x="3" s="1"/>
        <n x="6" s="1"/>
        <n x="68"/>
        <n x="89"/>
        <n x="54"/>
      </t>
    </mdx>
    <mdx n="0" f="v">
      <t c="8">
        <n x="4" s="1"/>
        <n x="7" s="1"/>
        <n x="67" s="1"/>
        <n x="3" s="1"/>
        <n x="6" s="1"/>
        <n x="68"/>
        <n x="89"/>
        <n x="55"/>
      </t>
    </mdx>
    <mdx n="0" f="v">
      <t c="8">
        <n x="4" s="1"/>
        <n x="7" s="1"/>
        <n x="67" s="1"/>
        <n x="3" s="1"/>
        <n x="6" s="1"/>
        <n x="68"/>
        <n x="89"/>
        <n x="56"/>
      </t>
    </mdx>
    <mdx n="0" f="v">
      <t c="8">
        <n x="4" s="1"/>
        <n x="7" s="1"/>
        <n x="67" s="1"/>
        <n x="3" s="1"/>
        <n x="6" s="1"/>
        <n x="68"/>
        <n x="89"/>
        <n x="57"/>
      </t>
    </mdx>
    <mdx n="0" f="v">
      <t c="8">
        <n x="4" s="1"/>
        <n x="7" s="1"/>
        <n x="67" s="1"/>
        <n x="3" s="1"/>
        <n x="6" s="1"/>
        <n x="68"/>
        <n x="89"/>
        <n x="58"/>
      </t>
    </mdx>
    <mdx n="0" f="v">
      <t c="8">
        <n x="4" s="1"/>
        <n x="7" s="1"/>
        <n x="67" s="1"/>
        <n x="3" s="1"/>
        <n x="6" s="1"/>
        <n x="68"/>
        <n x="89"/>
        <n x="59"/>
      </t>
    </mdx>
    <mdx n="0" f="v">
      <t c="8">
        <n x="4" s="1"/>
        <n x="7" s="1"/>
        <n x="67" s="1"/>
        <n x="3" s="1"/>
        <n x="6" s="1"/>
        <n x="68"/>
        <n x="89"/>
        <n x="60"/>
      </t>
    </mdx>
    <mdx n="0" f="v">
      <t c="8">
        <n x="4" s="1"/>
        <n x="7" s="1"/>
        <n x="67" s="1"/>
        <n x="3" s="1"/>
        <n x="6" s="1"/>
        <n x="68"/>
        <n x="89"/>
        <n x="61"/>
      </t>
    </mdx>
    <mdx n="0" f="v">
      <t c="8">
        <n x="4" s="1"/>
        <n x="7" s="1"/>
        <n x="67" s="1"/>
        <n x="3" s="1"/>
        <n x="6" s="1"/>
        <n x="68"/>
        <n x="89"/>
        <n x="62"/>
      </t>
    </mdx>
    <mdx n="0" f="v">
      <t c="8">
        <n x="4" s="1"/>
        <n x="7" s="1"/>
        <n x="67" s="1"/>
        <n x="3" s="1"/>
        <n x="6" s="1"/>
        <n x="68"/>
        <n x="89"/>
        <n x="63"/>
      </t>
    </mdx>
    <mdx n="0" f="v">
      <t c="8">
        <n x="4" s="1"/>
        <n x="7" s="1"/>
        <n x="67" s="1"/>
        <n x="3" s="1"/>
        <n x="6" s="1"/>
        <n x="68"/>
        <n x="89"/>
        <n x="64"/>
      </t>
    </mdx>
    <mdx n="0" f="v">
      <t c="8">
        <n x="4" s="1"/>
        <n x="7" s="1"/>
        <n x="67" s="1"/>
        <n x="3" s="1"/>
        <n x="6" s="1"/>
        <n x="68"/>
        <n x="89"/>
        <n x="65"/>
      </t>
    </mdx>
    <mdx n="0" f="v">
      <t c="8">
        <n x="4" s="1"/>
        <n x="7" s="1"/>
        <n x="67" s="1"/>
        <n x="3" s="1"/>
        <n x="6" s="1"/>
        <n x="68"/>
        <n x="89"/>
        <n x="66"/>
      </t>
    </mdx>
    <mdx n="0" f="v">
      <t c="8">
        <n x="7" s="1"/>
        <n x="69" s="1"/>
        <n x="3" s="1"/>
        <n x="70" s="1"/>
        <n x="2" s="1"/>
        <n x="68"/>
        <n x="71"/>
        <n x="8"/>
      </t>
    </mdx>
    <mdx n="0" f="v">
      <t c="8">
        <n x="7" s="1"/>
        <n x="69" s="1"/>
        <n x="3" s="1"/>
        <n x="70" s="1"/>
        <n x="2" s="1"/>
        <n x="68"/>
        <n x="71"/>
        <n x="9"/>
      </t>
    </mdx>
    <mdx n="0" f="v">
      <t c="8">
        <n x="7" s="1"/>
        <n x="69" s="1"/>
        <n x="3" s="1"/>
        <n x="70" s="1"/>
        <n x="2" s="1"/>
        <n x="68"/>
        <n x="71"/>
        <n x="10"/>
      </t>
    </mdx>
    <mdx n="0" f="v">
      <t c="8">
        <n x="7" s="1"/>
        <n x="69" s="1"/>
        <n x="3" s="1"/>
        <n x="70" s="1"/>
        <n x="2" s="1"/>
        <n x="68"/>
        <n x="71"/>
        <n x="11"/>
      </t>
    </mdx>
    <mdx n="0" f="v">
      <t c="8">
        <n x="7" s="1"/>
        <n x="69" s="1"/>
        <n x="3" s="1"/>
        <n x="70" s="1"/>
        <n x="2" s="1"/>
        <n x="68"/>
        <n x="71"/>
        <n x="12"/>
      </t>
    </mdx>
    <mdx n="0" f="v">
      <t c="8">
        <n x="7" s="1"/>
        <n x="69" s="1"/>
        <n x="3" s="1"/>
        <n x="70" s="1"/>
        <n x="2" s="1"/>
        <n x="68"/>
        <n x="71"/>
        <n x="13"/>
      </t>
    </mdx>
    <mdx n="0" f="v">
      <t c="8">
        <n x="7" s="1"/>
        <n x="69" s="1"/>
        <n x="3" s="1"/>
        <n x="70" s="1"/>
        <n x="2" s="1"/>
        <n x="68"/>
        <n x="71"/>
        <n x="14"/>
      </t>
    </mdx>
    <mdx n="0" f="v">
      <t c="8">
        <n x="7" s="1"/>
        <n x="69" s="1"/>
        <n x="3" s="1"/>
        <n x="70" s="1"/>
        <n x="2" s="1"/>
        <n x="68"/>
        <n x="71"/>
        <n x="15"/>
      </t>
    </mdx>
    <mdx n="0" f="v">
      <t c="8">
        <n x="7" s="1"/>
        <n x="69" s="1"/>
        <n x="3" s="1"/>
        <n x="70" s="1"/>
        <n x="2" s="1"/>
        <n x="68"/>
        <n x="71"/>
        <n x="16"/>
      </t>
    </mdx>
    <mdx n="0" f="v">
      <t c="8">
        <n x="7" s="1"/>
        <n x="69" s="1"/>
        <n x="3" s="1"/>
        <n x="70" s="1"/>
        <n x="2" s="1"/>
        <n x="68"/>
        <n x="71"/>
        <n x="17"/>
      </t>
    </mdx>
    <mdx n="0" f="v">
      <t c="8">
        <n x="7" s="1"/>
        <n x="69" s="1"/>
        <n x="3" s="1"/>
        <n x="70" s="1"/>
        <n x="2" s="1"/>
        <n x="68"/>
        <n x="71"/>
        <n x="18"/>
      </t>
    </mdx>
    <mdx n="0" f="v">
      <t c="8">
        <n x="7" s="1"/>
        <n x="69" s="1"/>
        <n x="3" s="1"/>
        <n x="70" s="1"/>
        <n x="2" s="1"/>
        <n x="68"/>
        <n x="71"/>
        <n x="19"/>
      </t>
    </mdx>
    <mdx n="0" f="v">
      <t c="8">
        <n x="7" s="1"/>
        <n x="69" s="1"/>
        <n x="3" s="1"/>
        <n x="70" s="1"/>
        <n x="2" s="1"/>
        <n x="68"/>
        <n x="71"/>
        <n x="20"/>
      </t>
    </mdx>
    <mdx n="0" f="v">
      <t c="8">
        <n x="7" s="1"/>
        <n x="69" s="1"/>
        <n x="3" s="1"/>
        <n x="70" s="1"/>
        <n x="2" s="1"/>
        <n x="68"/>
        <n x="71"/>
        <n x="21"/>
      </t>
    </mdx>
    <mdx n="0" f="v">
      <t c="8">
        <n x="7" s="1"/>
        <n x="69" s="1"/>
        <n x="3" s="1"/>
        <n x="70" s="1"/>
        <n x="2" s="1"/>
        <n x="68"/>
        <n x="71"/>
        <n x="22"/>
      </t>
    </mdx>
    <mdx n="0" f="v">
      <t c="8">
        <n x="7" s="1"/>
        <n x="69" s="1"/>
        <n x="3" s="1"/>
        <n x="70" s="1"/>
        <n x="2" s="1"/>
        <n x="68"/>
        <n x="71"/>
        <n x="23"/>
      </t>
    </mdx>
    <mdx n="0" f="v">
      <t c="8">
        <n x="7" s="1"/>
        <n x="69" s="1"/>
        <n x="3" s="1"/>
        <n x="70" s="1"/>
        <n x="2" s="1"/>
        <n x="68"/>
        <n x="71"/>
        <n x="24"/>
      </t>
    </mdx>
    <mdx n="0" f="v">
      <t c="8">
        <n x="7" s="1"/>
        <n x="69" s="1"/>
        <n x="3" s="1"/>
        <n x="70" s="1"/>
        <n x="2" s="1"/>
        <n x="68"/>
        <n x="71"/>
        <n x="25"/>
      </t>
    </mdx>
    <mdx n="0" f="v">
      <t c="8">
        <n x="7" s="1"/>
        <n x="69" s="1"/>
        <n x="3" s="1"/>
        <n x="70" s="1"/>
        <n x="2" s="1"/>
        <n x="68"/>
        <n x="71"/>
        <n x="26"/>
      </t>
    </mdx>
    <mdx n="0" f="v">
      <t c="8">
        <n x="7" s="1"/>
        <n x="69" s="1"/>
        <n x="3" s="1"/>
        <n x="70" s="1"/>
        <n x="2" s="1"/>
        <n x="68"/>
        <n x="71"/>
        <n x="27"/>
      </t>
    </mdx>
    <mdx n="0" f="v">
      <t c="8">
        <n x="7" s="1"/>
        <n x="69" s="1"/>
        <n x="3" s="1"/>
        <n x="70" s="1"/>
        <n x="2" s="1"/>
        <n x="68"/>
        <n x="71"/>
        <n x="28"/>
      </t>
    </mdx>
    <mdx n="0" f="v">
      <t c="8">
        <n x="7" s="1"/>
        <n x="69" s="1"/>
        <n x="3" s="1"/>
        <n x="70" s="1"/>
        <n x="2" s="1"/>
        <n x="68"/>
        <n x="71"/>
        <n x="29"/>
      </t>
    </mdx>
    <mdx n="0" f="v">
      <t c="8">
        <n x="7" s="1"/>
        <n x="69" s="1"/>
        <n x="3" s="1"/>
        <n x="70" s="1"/>
        <n x="2" s="1"/>
        <n x="68"/>
        <n x="71"/>
        <n x="30"/>
      </t>
    </mdx>
    <mdx n="0" f="v">
      <t c="8">
        <n x="7" s="1"/>
        <n x="69" s="1"/>
        <n x="3" s="1"/>
        <n x="70" s="1"/>
        <n x="2" s="1"/>
        <n x="68"/>
        <n x="71"/>
        <n x="31"/>
      </t>
    </mdx>
    <mdx n="0" f="v">
      <t c="8">
        <n x="7" s="1"/>
        <n x="69" s="1"/>
        <n x="3" s="1"/>
        <n x="70" s="1"/>
        <n x="2" s="1"/>
        <n x="68"/>
        <n x="71"/>
        <n x="32"/>
      </t>
    </mdx>
    <mdx n="0" f="v">
      <t c="8">
        <n x="7" s="1"/>
        <n x="69" s="1"/>
        <n x="3" s="1"/>
        <n x="70" s="1"/>
        <n x="2" s="1"/>
        <n x="68"/>
        <n x="71"/>
        <n x="33"/>
      </t>
    </mdx>
    <mdx n="0" f="v">
      <t c="8">
        <n x="7" s="1"/>
        <n x="69" s="1"/>
        <n x="3" s="1"/>
        <n x="70" s="1"/>
        <n x="2" s="1"/>
        <n x="68"/>
        <n x="71"/>
        <n x="34"/>
      </t>
    </mdx>
    <mdx n="0" f="v">
      <t c="8">
        <n x="7" s="1"/>
        <n x="69" s="1"/>
        <n x="3" s="1"/>
        <n x="70" s="1"/>
        <n x="2" s="1"/>
        <n x="68"/>
        <n x="71"/>
        <n x="35"/>
      </t>
    </mdx>
    <mdx n="0" f="v">
      <t c="8">
        <n x="7" s="1"/>
        <n x="69" s="1"/>
        <n x="3" s="1"/>
        <n x="70" s="1"/>
        <n x="2" s="1"/>
        <n x="68"/>
        <n x="71"/>
        <n x="36"/>
      </t>
    </mdx>
    <mdx n="0" f="v">
      <t c="8">
        <n x="7" s="1"/>
        <n x="69" s="1"/>
        <n x="3" s="1"/>
        <n x="70" s="1"/>
        <n x="2" s="1"/>
        <n x="68"/>
        <n x="71"/>
        <n x="37"/>
      </t>
    </mdx>
    <mdx n="0" f="v">
      <t c="8">
        <n x="7" s="1"/>
        <n x="69" s="1"/>
        <n x="3" s="1"/>
        <n x="70" s="1"/>
        <n x="2" s="1"/>
        <n x="68"/>
        <n x="71"/>
        <n x="38"/>
      </t>
    </mdx>
    <mdx n="0" f="v">
      <t c="8">
        <n x="7" s="1"/>
        <n x="69" s="1"/>
        <n x="3" s="1"/>
        <n x="70" s="1"/>
        <n x="2" s="1"/>
        <n x="68"/>
        <n x="71"/>
        <n x="39"/>
      </t>
    </mdx>
    <mdx n="0" f="v">
      <t c="8">
        <n x="7" s="1"/>
        <n x="69" s="1"/>
        <n x="3" s="1"/>
        <n x="70" s="1"/>
        <n x="2" s="1"/>
        <n x="68"/>
        <n x="71"/>
        <n x="40"/>
      </t>
    </mdx>
    <mdx n="0" f="v">
      <t c="8">
        <n x="7" s="1"/>
        <n x="69" s="1"/>
        <n x="3" s="1"/>
        <n x="70" s="1"/>
        <n x="2" s="1"/>
        <n x="68"/>
        <n x="71"/>
        <n x="41"/>
      </t>
    </mdx>
    <mdx n="0" f="v">
      <t c="8">
        <n x="7" s="1"/>
        <n x="69" s="1"/>
        <n x="3" s="1"/>
        <n x="70" s="1"/>
        <n x="2" s="1"/>
        <n x="68"/>
        <n x="71"/>
        <n x="42"/>
      </t>
    </mdx>
    <mdx n="0" f="v">
      <t c="8">
        <n x="7" s="1"/>
        <n x="69" s="1"/>
        <n x="3" s="1"/>
        <n x="70" s="1"/>
        <n x="2" s="1"/>
        <n x="68"/>
        <n x="71"/>
        <n x="43"/>
      </t>
    </mdx>
    <mdx n="0" f="v">
      <t c="8">
        <n x="7" s="1"/>
        <n x="69" s="1"/>
        <n x="3" s="1"/>
        <n x="70" s="1"/>
        <n x="2" s="1"/>
        <n x="68"/>
        <n x="71"/>
        <n x="44"/>
      </t>
    </mdx>
    <mdx n="0" f="v">
      <t c="8">
        <n x="7" s="1"/>
        <n x="69" s="1"/>
        <n x="3" s="1"/>
        <n x="70" s="1"/>
        <n x="2" s="1"/>
        <n x="68"/>
        <n x="71"/>
        <n x="45"/>
      </t>
    </mdx>
    <mdx n="0" f="v">
      <t c="8">
        <n x="7" s="1"/>
        <n x="69" s="1"/>
        <n x="3" s="1"/>
        <n x="70" s="1"/>
        <n x="2" s="1"/>
        <n x="68"/>
        <n x="71"/>
        <n x="46"/>
      </t>
    </mdx>
    <mdx n="0" f="v">
      <t c="8">
        <n x="7" s="1"/>
        <n x="69" s="1"/>
        <n x="3" s="1"/>
        <n x="70" s="1"/>
        <n x="2" s="1"/>
        <n x="68"/>
        <n x="71"/>
        <n x="47"/>
      </t>
    </mdx>
    <mdx n="0" f="v">
      <t c="8">
        <n x="7" s="1"/>
        <n x="69" s="1"/>
        <n x="3" s="1"/>
        <n x="70" s="1"/>
        <n x="2" s="1"/>
        <n x="68"/>
        <n x="71"/>
        <n x="48"/>
      </t>
    </mdx>
    <mdx n="0" f="v">
      <t c="8">
        <n x="7" s="1"/>
        <n x="69" s="1"/>
        <n x="3" s="1"/>
        <n x="70" s="1"/>
        <n x="2" s="1"/>
        <n x="68"/>
        <n x="71"/>
        <n x="49"/>
      </t>
    </mdx>
    <mdx n="0" f="v">
      <t c="8">
        <n x="7" s="1"/>
        <n x="69" s="1"/>
        <n x="3" s="1"/>
        <n x="70" s="1"/>
        <n x="2" s="1"/>
        <n x="68"/>
        <n x="71"/>
        <n x="50"/>
      </t>
    </mdx>
    <mdx n="0" f="v">
      <t c="8">
        <n x="7" s="1"/>
        <n x="69" s="1"/>
        <n x="3" s="1"/>
        <n x="70" s="1"/>
        <n x="2" s="1"/>
        <n x="68"/>
        <n x="71"/>
        <n x="51"/>
      </t>
    </mdx>
    <mdx n="0" f="v">
      <t c="8">
        <n x="7" s="1"/>
        <n x="69" s="1"/>
        <n x="3" s="1"/>
        <n x="70" s="1"/>
        <n x="2" s="1"/>
        <n x="68"/>
        <n x="71"/>
        <n x="52"/>
      </t>
    </mdx>
    <mdx n="0" f="v">
      <t c="8">
        <n x="7" s="1"/>
        <n x="69" s="1"/>
        <n x="3" s="1"/>
        <n x="70" s="1"/>
        <n x="2" s="1"/>
        <n x="68"/>
        <n x="71"/>
        <n x="53"/>
      </t>
    </mdx>
    <mdx n="0" f="v">
      <t c="8">
        <n x="7" s="1"/>
        <n x="69" s="1"/>
        <n x="3" s="1"/>
        <n x="70" s="1"/>
        <n x="2" s="1"/>
        <n x="68"/>
        <n x="71"/>
        <n x="54"/>
      </t>
    </mdx>
    <mdx n="0" f="v">
      <t c="8">
        <n x="7" s="1"/>
        <n x="69" s="1"/>
        <n x="3" s="1"/>
        <n x="70" s="1"/>
        <n x="2" s="1"/>
        <n x="68"/>
        <n x="71"/>
        <n x="55"/>
      </t>
    </mdx>
    <mdx n="0" f="v">
      <t c="8">
        <n x="7" s="1"/>
        <n x="69" s="1"/>
        <n x="3" s="1"/>
        <n x="70" s="1"/>
        <n x="2" s="1"/>
        <n x="68"/>
        <n x="71"/>
        <n x="56"/>
      </t>
    </mdx>
    <mdx n="0" f="v">
      <t c="8">
        <n x="7" s="1"/>
        <n x="69" s="1"/>
        <n x="3" s="1"/>
        <n x="70" s="1"/>
        <n x="2" s="1"/>
        <n x="68"/>
        <n x="71"/>
        <n x="57"/>
      </t>
    </mdx>
    <mdx n="0" f="v">
      <t c="8">
        <n x="7" s="1"/>
        <n x="69" s="1"/>
        <n x="3" s="1"/>
        <n x="70" s="1"/>
        <n x="2" s="1"/>
        <n x="68"/>
        <n x="71"/>
        <n x="58"/>
      </t>
    </mdx>
    <mdx n="0" f="v">
      <t c="8">
        <n x="7" s="1"/>
        <n x="69" s="1"/>
        <n x="3" s="1"/>
        <n x="70" s="1"/>
        <n x="2" s="1"/>
        <n x="68"/>
        <n x="71"/>
        <n x="59"/>
      </t>
    </mdx>
    <mdx n="0" f="v">
      <t c="8">
        <n x="7" s="1"/>
        <n x="69" s="1"/>
        <n x="3" s="1"/>
        <n x="70" s="1"/>
        <n x="2" s="1"/>
        <n x="68"/>
        <n x="71"/>
        <n x="60"/>
      </t>
    </mdx>
    <mdx n="0" f="v">
      <t c="8">
        <n x="7" s="1"/>
        <n x="69" s="1"/>
        <n x="3" s="1"/>
        <n x="70" s="1"/>
        <n x="2" s="1"/>
        <n x="68"/>
        <n x="71"/>
        <n x="61"/>
      </t>
    </mdx>
    <mdx n="0" f="v">
      <t c="8">
        <n x="7" s="1"/>
        <n x="69" s="1"/>
        <n x="3" s="1"/>
        <n x="70" s="1"/>
        <n x="2" s="1"/>
        <n x="68"/>
        <n x="71"/>
        <n x="62"/>
      </t>
    </mdx>
    <mdx n="0" f="v">
      <t c="8">
        <n x="7" s="1"/>
        <n x="69" s="1"/>
        <n x="3" s="1"/>
        <n x="70" s="1"/>
        <n x="2" s="1"/>
        <n x="68"/>
        <n x="71"/>
        <n x="63"/>
      </t>
    </mdx>
    <mdx n="0" f="v">
      <t c="8">
        <n x="7" s="1"/>
        <n x="69" s="1"/>
        <n x="3" s="1"/>
        <n x="70" s="1"/>
        <n x="2" s="1"/>
        <n x="68"/>
        <n x="71"/>
        <n x="64"/>
      </t>
    </mdx>
    <mdx n="0" f="v">
      <t c="8">
        <n x="7" s="1"/>
        <n x="69" s="1"/>
        <n x="3" s="1"/>
        <n x="70" s="1"/>
        <n x="2" s="1"/>
        <n x="68"/>
        <n x="71"/>
        <n x="65"/>
      </t>
    </mdx>
    <mdx n="0" f="v">
      <t c="8">
        <n x="7" s="1"/>
        <n x="69" s="1"/>
        <n x="3" s="1"/>
        <n x="70" s="1"/>
        <n x="2" s="1"/>
        <n x="68"/>
        <n x="71"/>
        <n x="66"/>
      </t>
    </mdx>
    <mdx n="0" f="v">
      <t c="8">
        <n x="7" s="1"/>
        <n x="69" s="1"/>
        <n x="3" s="1"/>
        <n x="70" s="1"/>
        <n x="2" s="1"/>
        <n x="68"/>
        <n x="72"/>
        <n x="8"/>
      </t>
    </mdx>
    <mdx n="0" f="v">
      <t c="8">
        <n x="7" s="1"/>
        <n x="69" s="1"/>
        <n x="3" s="1"/>
        <n x="70" s="1"/>
        <n x="2" s="1"/>
        <n x="68"/>
        <n x="72"/>
        <n x="9"/>
      </t>
    </mdx>
    <mdx n="0" f="v">
      <t c="8">
        <n x="7" s="1"/>
        <n x="69" s="1"/>
        <n x="3" s="1"/>
        <n x="70" s="1"/>
        <n x="2" s="1"/>
        <n x="68"/>
        <n x="72"/>
        <n x="10"/>
      </t>
    </mdx>
    <mdx n="0" f="v">
      <t c="8">
        <n x="7" s="1"/>
        <n x="69" s="1"/>
        <n x="3" s="1"/>
        <n x="70" s="1"/>
        <n x="2" s="1"/>
        <n x="68"/>
        <n x="72"/>
        <n x="11"/>
      </t>
    </mdx>
    <mdx n="0" f="v">
      <t c="8">
        <n x="7" s="1"/>
        <n x="69" s="1"/>
        <n x="3" s="1"/>
        <n x="70" s="1"/>
        <n x="2" s="1"/>
        <n x="68"/>
        <n x="72"/>
        <n x="12"/>
      </t>
    </mdx>
    <mdx n="0" f="v">
      <t c="8">
        <n x="7" s="1"/>
        <n x="69" s="1"/>
        <n x="3" s="1"/>
        <n x="70" s="1"/>
        <n x="2" s="1"/>
        <n x="68"/>
        <n x="72"/>
        <n x="13"/>
      </t>
    </mdx>
    <mdx n="0" f="v">
      <t c="8">
        <n x="7" s="1"/>
        <n x="69" s="1"/>
        <n x="3" s="1"/>
        <n x="70" s="1"/>
        <n x="2" s="1"/>
        <n x="68"/>
        <n x="72"/>
        <n x="14"/>
      </t>
    </mdx>
    <mdx n="0" f="v">
      <t c="8">
        <n x="7" s="1"/>
        <n x="69" s="1"/>
        <n x="3" s="1"/>
        <n x="70" s="1"/>
        <n x="2" s="1"/>
        <n x="68"/>
        <n x="72"/>
        <n x="15"/>
      </t>
    </mdx>
    <mdx n="0" f="v">
      <t c="8">
        <n x="7" s="1"/>
        <n x="69" s="1"/>
        <n x="3" s="1"/>
        <n x="70" s="1"/>
        <n x="2" s="1"/>
        <n x="68"/>
        <n x="72"/>
        <n x="16"/>
      </t>
    </mdx>
    <mdx n="0" f="v">
      <t c="8">
        <n x="7" s="1"/>
        <n x="69" s="1"/>
        <n x="3" s="1"/>
        <n x="70" s="1"/>
        <n x="2" s="1"/>
        <n x="68"/>
        <n x="72"/>
        <n x="17"/>
      </t>
    </mdx>
    <mdx n="0" f="v">
      <t c="8">
        <n x="7" s="1"/>
        <n x="69" s="1"/>
        <n x="3" s="1"/>
        <n x="70" s="1"/>
        <n x="2" s="1"/>
        <n x="68"/>
        <n x="72"/>
        <n x="18"/>
      </t>
    </mdx>
    <mdx n="0" f="v">
      <t c="8">
        <n x="7" s="1"/>
        <n x="69" s="1"/>
        <n x="3" s="1"/>
        <n x="70" s="1"/>
        <n x="2" s="1"/>
        <n x="68"/>
        <n x="72"/>
        <n x="19"/>
      </t>
    </mdx>
    <mdx n="0" f="v">
      <t c="8">
        <n x="7" s="1"/>
        <n x="69" s="1"/>
        <n x="3" s="1"/>
        <n x="70" s="1"/>
        <n x="2" s="1"/>
        <n x="68"/>
        <n x="72"/>
        <n x="20"/>
      </t>
    </mdx>
    <mdx n="0" f="v">
      <t c="8">
        <n x="7" s="1"/>
        <n x="69" s="1"/>
        <n x="3" s="1"/>
        <n x="70" s="1"/>
        <n x="2" s="1"/>
        <n x="68"/>
        <n x="72"/>
        <n x="21"/>
      </t>
    </mdx>
    <mdx n="0" f="v">
      <t c="8">
        <n x="7" s="1"/>
        <n x="69" s="1"/>
        <n x="3" s="1"/>
        <n x="70" s="1"/>
        <n x="2" s="1"/>
        <n x="68"/>
        <n x="72"/>
        <n x="22"/>
      </t>
    </mdx>
    <mdx n="0" f="v">
      <t c="8">
        <n x="7" s="1"/>
        <n x="69" s="1"/>
        <n x="3" s="1"/>
        <n x="70" s="1"/>
        <n x="2" s="1"/>
        <n x="68"/>
        <n x="72"/>
        <n x="23"/>
      </t>
    </mdx>
    <mdx n="0" f="v">
      <t c="8">
        <n x="7" s="1"/>
        <n x="69" s="1"/>
        <n x="3" s="1"/>
        <n x="70" s="1"/>
        <n x="2" s="1"/>
        <n x="68"/>
        <n x="72"/>
        <n x="24"/>
      </t>
    </mdx>
    <mdx n="0" f="v">
      <t c="8">
        <n x="7" s="1"/>
        <n x="69" s="1"/>
        <n x="3" s="1"/>
        <n x="70" s="1"/>
        <n x="2" s="1"/>
        <n x="68"/>
        <n x="72"/>
        <n x="25"/>
      </t>
    </mdx>
    <mdx n="0" f="v">
      <t c="8">
        <n x="7" s="1"/>
        <n x="69" s="1"/>
        <n x="3" s="1"/>
        <n x="70" s="1"/>
        <n x="2" s="1"/>
        <n x="68"/>
        <n x="72"/>
        <n x="26"/>
      </t>
    </mdx>
    <mdx n="0" f="v">
      <t c="8">
        <n x="7" s="1"/>
        <n x="69" s="1"/>
        <n x="3" s="1"/>
        <n x="70" s="1"/>
        <n x="2" s="1"/>
        <n x="68"/>
        <n x="72"/>
        <n x="27"/>
      </t>
    </mdx>
    <mdx n="0" f="v">
      <t c="8">
        <n x="7" s="1"/>
        <n x="69" s="1"/>
        <n x="3" s="1"/>
        <n x="70" s="1"/>
        <n x="2" s="1"/>
        <n x="68"/>
        <n x="72"/>
        <n x="28"/>
      </t>
    </mdx>
    <mdx n="0" f="v">
      <t c="8">
        <n x="7" s="1"/>
        <n x="69" s="1"/>
        <n x="3" s="1"/>
        <n x="70" s="1"/>
        <n x="2" s="1"/>
        <n x="68"/>
        <n x="72"/>
        <n x="29"/>
      </t>
    </mdx>
    <mdx n="0" f="v">
      <t c="8">
        <n x="7" s="1"/>
        <n x="69" s="1"/>
        <n x="3" s="1"/>
        <n x="70" s="1"/>
        <n x="2" s="1"/>
        <n x="68"/>
        <n x="72"/>
        <n x="30"/>
      </t>
    </mdx>
    <mdx n="0" f="v">
      <t c="8">
        <n x="7" s="1"/>
        <n x="69" s="1"/>
        <n x="3" s="1"/>
        <n x="70" s="1"/>
        <n x="2" s="1"/>
        <n x="68"/>
        <n x="72"/>
        <n x="31"/>
      </t>
    </mdx>
    <mdx n="0" f="v">
      <t c="8">
        <n x="7" s="1"/>
        <n x="69" s="1"/>
        <n x="3" s="1"/>
        <n x="70" s="1"/>
        <n x="2" s="1"/>
        <n x="68"/>
        <n x="72"/>
        <n x="32"/>
      </t>
    </mdx>
    <mdx n="0" f="v">
      <t c="8">
        <n x="7" s="1"/>
        <n x="69" s="1"/>
        <n x="3" s="1"/>
        <n x="70" s="1"/>
        <n x="2" s="1"/>
        <n x="68"/>
        <n x="72"/>
        <n x="33"/>
      </t>
    </mdx>
    <mdx n="0" f="v">
      <t c="8">
        <n x="7" s="1"/>
        <n x="69" s="1"/>
        <n x="3" s="1"/>
        <n x="70" s="1"/>
        <n x="2" s="1"/>
        <n x="68"/>
        <n x="72"/>
        <n x="34"/>
      </t>
    </mdx>
    <mdx n="0" f="v">
      <t c="8">
        <n x="7" s="1"/>
        <n x="69" s="1"/>
        <n x="3" s="1"/>
        <n x="70" s="1"/>
        <n x="2" s="1"/>
        <n x="68"/>
        <n x="72"/>
        <n x="35"/>
      </t>
    </mdx>
    <mdx n="0" f="v">
      <t c="8">
        <n x="7" s="1"/>
        <n x="69" s="1"/>
        <n x="3" s="1"/>
        <n x="70" s="1"/>
        <n x="2" s="1"/>
        <n x="68"/>
        <n x="72"/>
        <n x="36"/>
      </t>
    </mdx>
    <mdx n="0" f="v">
      <t c="8">
        <n x="7" s="1"/>
        <n x="69" s="1"/>
        <n x="3" s="1"/>
        <n x="70" s="1"/>
        <n x="2" s="1"/>
        <n x="68"/>
        <n x="72"/>
        <n x="37"/>
      </t>
    </mdx>
    <mdx n="0" f="v">
      <t c="8">
        <n x="7" s="1"/>
        <n x="69" s="1"/>
        <n x="3" s="1"/>
        <n x="70" s="1"/>
        <n x="2" s="1"/>
        <n x="68"/>
        <n x="72"/>
        <n x="38"/>
      </t>
    </mdx>
    <mdx n="0" f="v">
      <t c="8">
        <n x="7" s="1"/>
        <n x="69" s="1"/>
        <n x="3" s="1"/>
        <n x="70" s="1"/>
        <n x="2" s="1"/>
        <n x="68"/>
        <n x="72"/>
        <n x="39"/>
      </t>
    </mdx>
    <mdx n="0" f="v">
      <t c="8">
        <n x="7" s="1"/>
        <n x="69" s="1"/>
        <n x="3" s="1"/>
        <n x="70" s="1"/>
        <n x="2" s="1"/>
        <n x="68"/>
        <n x="72"/>
        <n x="40"/>
      </t>
    </mdx>
    <mdx n="0" f="v">
      <t c="8">
        <n x="7" s="1"/>
        <n x="69" s="1"/>
        <n x="3" s="1"/>
        <n x="70" s="1"/>
        <n x="2" s="1"/>
        <n x="68"/>
        <n x="72"/>
        <n x="41"/>
      </t>
    </mdx>
    <mdx n="0" f="v">
      <t c="8">
        <n x="7" s="1"/>
        <n x="69" s="1"/>
        <n x="3" s="1"/>
        <n x="70" s="1"/>
        <n x="2" s="1"/>
        <n x="68"/>
        <n x="72"/>
        <n x="42"/>
      </t>
    </mdx>
    <mdx n="0" f="v">
      <t c="8">
        <n x="7" s="1"/>
        <n x="69" s="1"/>
        <n x="3" s="1"/>
        <n x="70" s="1"/>
        <n x="2" s="1"/>
        <n x="68"/>
        <n x="72"/>
        <n x="43"/>
      </t>
    </mdx>
    <mdx n="0" f="v">
      <t c="8">
        <n x="7" s="1"/>
        <n x="69" s="1"/>
        <n x="3" s="1"/>
        <n x="70" s="1"/>
        <n x="2" s="1"/>
        <n x="68"/>
        <n x="72"/>
        <n x="44"/>
      </t>
    </mdx>
    <mdx n="0" f="v">
      <t c="8">
        <n x="7" s="1"/>
        <n x="69" s="1"/>
        <n x="3" s="1"/>
        <n x="70" s="1"/>
        <n x="2" s="1"/>
        <n x="68"/>
        <n x="72"/>
        <n x="45"/>
      </t>
    </mdx>
    <mdx n="0" f="v">
      <t c="8">
        <n x="7" s="1"/>
        <n x="69" s="1"/>
        <n x="3" s="1"/>
        <n x="70" s="1"/>
        <n x="2" s="1"/>
        <n x="68"/>
        <n x="72"/>
        <n x="46"/>
      </t>
    </mdx>
    <mdx n="0" f="v">
      <t c="8">
        <n x="7" s="1"/>
        <n x="69" s="1"/>
        <n x="3" s="1"/>
        <n x="70" s="1"/>
        <n x="2" s="1"/>
        <n x="68"/>
        <n x="72"/>
        <n x="47"/>
      </t>
    </mdx>
    <mdx n="0" f="v">
      <t c="8">
        <n x="7" s="1"/>
        <n x="69" s="1"/>
        <n x="3" s="1"/>
        <n x="70" s="1"/>
        <n x="2" s="1"/>
        <n x="68"/>
        <n x="72"/>
        <n x="48"/>
      </t>
    </mdx>
    <mdx n="0" f="v">
      <t c="8">
        <n x="7" s="1"/>
        <n x="69" s="1"/>
        <n x="3" s="1"/>
        <n x="70" s="1"/>
        <n x="2" s="1"/>
        <n x="68"/>
        <n x="72"/>
        <n x="49"/>
      </t>
    </mdx>
    <mdx n="0" f="v">
      <t c="8">
        <n x="7" s="1"/>
        <n x="69" s="1"/>
        <n x="3" s="1"/>
        <n x="70" s="1"/>
        <n x="2" s="1"/>
        <n x="68"/>
        <n x="72"/>
        <n x="50"/>
      </t>
    </mdx>
    <mdx n="0" f="v">
      <t c="8">
        <n x="7" s="1"/>
        <n x="69" s="1"/>
        <n x="3" s="1"/>
        <n x="70" s="1"/>
        <n x="2" s="1"/>
        <n x="68"/>
        <n x="72"/>
        <n x="51"/>
      </t>
    </mdx>
    <mdx n="0" f="v">
      <t c="8">
        <n x="7" s="1"/>
        <n x="69" s="1"/>
        <n x="3" s="1"/>
        <n x="70" s="1"/>
        <n x="2" s="1"/>
        <n x="68"/>
        <n x="72"/>
        <n x="52"/>
      </t>
    </mdx>
    <mdx n="0" f="v">
      <t c="8">
        <n x="7" s="1"/>
        <n x="69" s="1"/>
        <n x="3" s="1"/>
        <n x="70" s="1"/>
        <n x="2" s="1"/>
        <n x="68"/>
        <n x="72"/>
        <n x="53"/>
      </t>
    </mdx>
    <mdx n="0" f="v">
      <t c="8">
        <n x="7" s="1"/>
        <n x="69" s="1"/>
        <n x="3" s="1"/>
        <n x="70" s="1"/>
        <n x="2" s="1"/>
        <n x="68"/>
        <n x="72"/>
        <n x="54"/>
      </t>
    </mdx>
    <mdx n="0" f="v">
      <t c="8">
        <n x="7" s="1"/>
        <n x="69" s="1"/>
        <n x="3" s="1"/>
        <n x="70" s="1"/>
        <n x="2" s="1"/>
        <n x="68"/>
        <n x="72"/>
        <n x="55"/>
      </t>
    </mdx>
    <mdx n="0" f="v">
      <t c="8">
        <n x="7" s="1"/>
        <n x="69" s="1"/>
        <n x="3" s="1"/>
        <n x="70" s="1"/>
        <n x="2" s="1"/>
        <n x="68"/>
        <n x="72"/>
        <n x="56"/>
      </t>
    </mdx>
    <mdx n="0" f="v">
      <t c="8">
        <n x="7" s="1"/>
        <n x="69" s="1"/>
        <n x="3" s="1"/>
        <n x="70" s="1"/>
        <n x="2" s="1"/>
        <n x="68"/>
        <n x="72"/>
        <n x="57"/>
      </t>
    </mdx>
    <mdx n="0" f="v">
      <t c="8">
        <n x="7" s="1"/>
        <n x="69" s="1"/>
        <n x="3" s="1"/>
        <n x="70" s="1"/>
        <n x="2" s="1"/>
        <n x="68"/>
        <n x="72"/>
        <n x="58"/>
      </t>
    </mdx>
    <mdx n="0" f="v">
      <t c="8">
        <n x="7" s="1"/>
        <n x="69" s="1"/>
        <n x="3" s="1"/>
        <n x="70" s="1"/>
        <n x="2" s="1"/>
        <n x="68"/>
        <n x="72"/>
        <n x="59"/>
      </t>
    </mdx>
    <mdx n="0" f="v">
      <t c="8">
        <n x="7" s="1"/>
        <n x="69" s="1"/>
        <n x="3" s="1"/>
        <n x="70" s="1"/>
        <n x="2" s="1"/>
        <n x="68"/>
        <n x="72"/>
        <n x="60"/>
      </t>
    </mdx>
    <mdx n="0" f="v">
      <t c="8">
        <n x="7" s="1"/>
        <n x="69" s="1"/>
        <n x="3" s="1"/>
        <n x="70" s="1"/>
        <n x="2" s="1"/>
        <n x="68"/>
        <n x="72"/>
        <n x="61"/>
      </t>
    </mdx>
    <mdx n="0" f="v">
      <t c="8">
        <n x="7" s="1"/>
        <n x="69" s="1"/>
        <n x="3" s="1"/>
        <n x="70" s="1"/>
        <n x="2" s="1"/>
        <n x="68"/>
        <n x="72"/>
        <n x="62"/>
      </t>
    </mdx>
    <mdx n="0" f="v">
      <t c="8">
        <n x="7" s="1"/>
        <n x="69" s="1"/>
        <n x="3" s="1"/>
        <n x="70" s="1"/>
        <n x="2" s="1"/>
        <n x="68"/>
        <n x="72"/>
        <n x="63"/>
      </t>
    </mdx>
    <mdx n="0" f="v">
      <t c="8">
        <n x="7" s="1"/>
        <n x="69" s="1"/>
        <n x="3" s="1"/>
        <n x="70" s="1"/>
        <n x="2" s="1"/>
        <n x="68"/>
        <n x="72"/>
        <n x="64"/>
      </t>
    </mdx>
    <mdx n="0" f="v">
      <t c="8">
        <n x="7" s="1"/>
        <n x="69" s="1"/>
        <n x="3" s="1"/>
        <n x="70" s="1"/>
        <n x="2" s="1"/>
        <n x="68"/>
        <n x="72"/>
        <n x="65"/>
      </t>
    </mdx>
    <mdx n="0" f="v">
      <t c="8">
        <n x="7" s="1"/>
        <n x="69" s="1"/>
        <n x="3" s="1"/>
        <n x="70" s="1"/>
        <n x="2" s="1"/>
        <n x="68"/>
        <n x="72"/>
        <n x="66"/>
      </t>
    </mdx>
    <mdx n="0" f="v">
      <t c="8">
        <n x="7" s="1"/>
        <n x="69" s="1"/>
        <n x="3" s="1"/>
        <n x="70" s="1"/>
        <n x="2" s="1"/>
        <n x="68"/>
        <n x="73"/>
        <n x="8"/>
      </t>
    </mdx>
    <mdx n="0" f="v">
      <t c="8">
        <n x="7" s="1"/>
        <n x="69" s="1"/>
        <n x="3" s="1"/>
        <n x="70" s="1"/>
        <n x="2" s="1"/>
        <n x="68"/>
        <n x="73"/>
        <n x="9"/>
      </t>
    </mdx>
    <mdx n="0" f="v">
      <t c="8">
        <n x="7" s="1"/>
        <n x="69" s="1"/>
        <n x="3" s="1"/>
        <n x="70" s="1"/>
        <n x="2" s="1"/>
        <n x="68"/>
        <n x="73"/>
        <n x="10"/>
      </t>
    </mdx>
    <mdx n="0" f="v">
      <t c="8">
        <n x="7" s="1"/>
        <n x="69" s="1"/>
        <n x="3" s="1"/>
        <n x="70" s="1"/>
        <n x="2" s="1"/>
        <n x="68"/>
        <n x="73"/>
        <n x="11"/>
      </t>
    </mdx>
    <mdx n="0" f="v">
      <t c="8">
        <n x="7" s="1"/>
        <n x="69" s="1"/>
        <n x="3" s="1"/>
        <n x="70" s="1"/>
        <n x="2" s="1"/>
        <n x="68"/>
        <n x="73"/>
        <n x="12"/>
      </t>
    </mdx>
    <mdx n="0" f="v">
      <t c="8">
        <n x="7" s="1"/>
        <n x="69" s="1"/>
        <n x="3" s="1"/>
        <n x="70" s="1"/>
        <n x="2" s="1"/>
        <n x="68"/>
        <n x="73"/>
        <n x="13"/>
      </t>
    </mdx>
    <mdx n="0" f="v">
      <t c="8">
        <n x="7" s="1"/>
        <n x="69" s="1"/>
        <n x="3" s="1"/>
        <n x="70" s="1"/>
        <n x="2" s="1"/>
        <n x="68"/>
        <n x="73"/>
        <n x="14"/>
      </t>
    </mdx>
    <mdx n="0" f="v">
      <t c="8">
        <n x="7" s="1"/>
        <n x="69" s="1"/>
        <n x="3" s="1"/>
        <n x="70" s="1"/>
        <n x="2" s="1"/>
        <n x="68"/>
        <n x="73"/>
        <n x="15"/>
      </t>
    </mdx>
    <mdx n="0" f="v">
      <t c="8">
        <n x="7" s="1"/>
        <n x="69" s="1"/>
        <n x="3" s="1"/>
        <n x="70" s="1"/>
        <n x="2" s="1"/>
        <n x="68"/>
        <n x="73"/>
        <n x="16"/>
      </t>
    </mdx>
    <mdx n="0" f="v">
      <t c="8">
        <n x="7" s="1"/>
        <n x="69" s="1"/>
        <n x="3" s="1"/>
        <n x="70" s="1"/>
        <n x="2" s="1"/>
        <n x="68"/>
        <n x="73"/>
        <n x="17"/>
      </t>
    </mdx>
    <mdx n="0" f="v">
      <t c="8">
        <n x="7" s="1"/>
        <n x="69" s="1"/>
        <n x="3" s="1"/>
        <n x="70" s="1"/>
        <n x="2" s="1"/>
        <n x="68"/>
        <n x="73"/>
        <n x="18"/>
      </t>
    </mdx>
    <mdx n="0" f="v">
      <t c="8">
        <n x="7" s="1"/>
        <n x="69" s="1"/>
        <n x="3" s="1"/>
        <n x="70" s="1"/>
        <n x="2" s="1"/>
        <n x="68"/>
        <n x="73"/>
        <n x="19"/>
      </t>
    </mdx>
    <mdx n="0" f="v">
      <t c="8">
        <n x="7" s="1"/>
        <n x="69" s="1"/>
        <n x="3" s="1"/>
        <n x="70" s="1"/>
        <n x="2" s="1"/>
        <n x="68"/>
        <n x="73"/>
        <n x="20"/>
      </t>
    </mdx>
    <mdx n="0" f="v">
      <t c="8">
        <n x="7" s="1"/>
        <n x="69" s="1"/>
        <n x="3" s="1"/>
        <n x="70" s="1"/>
        <n x="2" s="1"/>
        <n x="68"/>
        <n x="73"/>
        <n x="21"/>
      </t>
    </mdx>
    <mdx n="0" f="v">
      <t c="8">
        <n x="7" s="1"/>
        <n x="69" s="1"/>
        <n x="3" s="1"/>
        <n x="70" s="1"/>
        <n x="2" s="1"/>
        <n x="68"/>
        <n x="73"/>
        <n x="22"/>
      </t>
    </mdx>
    <mdx n="0" f="v">
      <t c="8">
        <n x="7" s="1"/>
        <n x="69" s="1"/>
        <n x="3" s="1"/>
        <n x="70" s="1"/>
        <n x="2" s="1"/>
        <n x="68"/>
        <n x="73"/>
        <n x="23"/>
      </t>
    </mdx>
    <mdx n="0" f="v">
      <t c="8">
        <n x="7" s="1"/>
        <n x="69" s="1"/>
        <n x="3" s="1"/>
        <n x="70" s="1"/>
        <n x="2" s="1"/>
        <n x="68"/>
        <n x="73"/>
        <n x="24"/>
      </t>
    </mdx>
    <mdx n="0" f="v">
      <t c="8">
        <n x="7" s="1"/>
        <n x="69" s="1"/>
        <n x="3" s="1"/>
        <n x="70" s="1"/>
        <n x="2" s="1"/>
        <n x="68"/>
        <n x="73"/>
        <n x="25"/>
      </t>
    </mdx>
    <mdx n="0" f="v">
      <t c="8">
        <n x="7" s="1"/>
        <n x="69" s="1"/>
        <n x="3" s="1"/>
        <n x="70" s="1"/>
        <n x="2" s="1"/>
        <n x="68"/>
        <n x="73"/>
        <n x="26"/>
      </t>
    </mdx>
    <mdx n="0" f="v">
      <t c="8">
        <n x="7" s="1"/>
        <n x="69" s="1"/>
        <n x="3" s="1"/>
        <n x="70" s="1"/>
        <n x="2" s="1"/>
        <n x="68"/>
        <n x="73"/>
        <n x="27"/>
      </t>
    </mdx>
    <mdx n="0" f="v">
      <t c="8">
        <n x="7" s="1"/>
        <n x="69" s="1"/>
        <n x="3" s="1"/>
        <n x="70" s="1"/>
        <n x="2" s="1"/>
        <n x="68"/>
        <n x="73"/>
        <n x="28"/>
      </t>
    </mdx>
    <mdx n="0" f="v">
      <t c="8">
        <n x="7" s="1"/>
        <n x="69" s="1"/>
        <n x="3" s="1"/>
        <n x="70" s="1"/>
        <n x="2" s="1"/>
        <n x="68"/>
        <n x="73"/>
        <n x="29"/>
      </t>
    </mdx>
    <mdx n="0" f="v">
      <t c="8">
        <n x="7" s="1"/>
        <n x="69" s="1"/>
        <n x="3" s="1"/>
        <n x="70" s="1"/>
        <n x="2" s="1"/>
        <n x="68"/>
        <n x="73"/>
        <n x="30"/>
      </t>
    </mdx>
    <mdx n="0" f="v">
      <t c="8">
        <n x="7" s="1"/>
        <n x="69" s="1"/>
        <n x="3" s="1"/>
        <n x="70" s="1"/>
        <n x="2" s="1"/>
        <n x="68"/>
        <n x="73"/>
        <n x="31"/>
      </t>
    </mdx>
    <mdx n="0" f="v">
      <t c="8">
        <n x="7" s="1"/>
        <n x="69" s="1"/>
        <n x="3" s="1"/>
        <n x="70" s="1"/>
        <n x="2" s="1"/>
        <n x="68"/>
        <n x="73"/>
        <n x="32"/>
      </t>
    </mdx>
    <mdx n="0" f="v">
      <t c="8">
        <n x="7" s="1"/>
        <n x="69" s="1"/>
        <n x="3" s="1"/>
        <n x="70" s="1"/>
        <n x="2" s="1"/>
        <n x="68"/>
        <n x="73"/>
        <n x="33"/>
      </t>
    </mdx>
    <mdx n="0" f="v">
      <t c="8">
        <n x="7" s="1"/>
        <n x="69" s="1"/>
        <n x="3" s="1"/>
        <n x="70" s="1"/>
        <n x="2" s="1"/>
        <n x="68"/>
        <n x="73"/>
        <n x="34"/>
      </t>
    </mdx>
    <mdx n="0" f="v">
      <t c="8">
        <n x="7" s="1"/>
        <n x="69" s="1"/>
        <n x="3" s="1"/>
        <n x="70" s="1"/>
        <n x="2" s="1"/>
        <n x="68"/>
        <n x="73"/>
        <n x="35"/>
      </t>
    </mdx>
    <mdx n="0" f="v">
      <t c="8">
        <n x="7" s="1"/>
        <n x="69" s="1"/>
        <n x="3" s="1"/>
        <n x="70" s="1"/>
        <n x="2" s="1"/>
        <n x="68"/>
        <n x="73"/>
        <n x="36"/>
      </t>
    </mdx>
    <mdx n="0" f="v">
      <t c="8">
        <n x="7" s="1"/>
        <n x="69" s="1"/>
        <n x="3" s="1"/>
        <n x="70" s="1"/>
        <n x="2" s="1"/>
        <n x="68"/>
        <n x="73"/>
        <n x="37"/>
      </t>
    </mdx>
    <mdx n="0" f="v">
      <t c="8">
        <n x="7" s="1"/>
        <n x="69" s="1"/>
        <n x="3" s="1"/>
        <n x="70" s="1"/>
        <n x="2" s="1"/>
        <n x="68"/>
        <n x="73"/>
        <n x="38"/>
      </t>
    </mdx>
    <mdx n="0" f="v">
      <t c="8">
        <n x="7" s="1"/>
        <n x="69" s="1"/>
        <n x="3" s="1"/>
        <n x="70" s="1"/>
        <n x="2" s="1"/>
        <n x="68"/>
        <n x="73"/>
        <n x="39"/>
      </t>
    </mdx>
    <mdx n="0" f="v">
      <t c="8">
        <n x="7" s="1"/>
        <n x="69" s="1"/>
        <n x="3" s="1"/>
        <n x="70" s="1"/>
        <n x="2" s="1"/>
        <n x="68"/>
        <n x="73"/>
        <n x="40"/>
      </t>
    </mdx>
    <mdx n="0" f="v">
      <t c="8">
        <n x="7" s="1"/>
        <n x="69" s="1"/>
        <n x="3" s="1"/>
        <n x="70" s="1"/>
        <n x="2" s="1"/>
        <n x="68"/>
        <n x="73"/>
        <n x="41"/>
      </t>
    </mdx>
    <mdx n="0" f="v">
      <t c="8">
        <n x="7" s="1"/>
        <n x="69" s="1"/>
        <n x="3" s="1"/>
        <n x="70" s="1"/>
        <n x="2" s="1"/>
        <n x="68"/>
        <n x="73"/>
        <n x="42"/>
      </t>
    </mdx>
    <mdx n="0" f="v">
      <t c="8">
        <n x="7" s="1"/>
        <n x="69" s="1"/>
        <n x="3" s="1"/>
        <n x="70" s="1"/>
        <n x="2" s="1"/>
        <n x="68"/>
        <n x="73"/>
        <n x="43"/>
      </t>
    </mdx>
    <mdx n="0" f="v">
      <t c="8">
        <n x="7" s="1"/>
        <n x="69" s="1"/>
        <n x="3" s="1"/>
        <n x="70" s="1"/>
        <n x="2" s="1"/>
        <n x="68"/>
        <n x="73"/>
        <n x="44"/>
      </t>
    </mdx>
    <mdx n="0" f="v">
      <t c="8">
        <n x="7" s="1"/>
        <n x="69" s="1"/>
        <n x="3" s="1"/>
        <n x="70" s="1"/>
        <n x="2" s="1"/>
        <n x="68"/>
        <n x="73"/>
        <n x="45"/>
      </t>
    </mdx>
    <mdx n="0" f="v">
      <t c="8">
        <n x="7" s="1"/>
        <n x="69" s="1"/>
        <n x="3" s="1"/>
        <n x="70" s="1"/>
        <n x="2" s="1"/>
        <n x="68"/>
        <n x="73"/>
        <n x="46"/>
      </t>
    </mdx>
    <mdx n="0" f="v">
      <t c="8">
        <n x="7" s="1"/>
        <n x="69" s="1"/>
        <n x="3" s="1"/>
        <n x="70" s="1"/>
        <n x="2" s="1"/>
        <n x="68"/>
        <n x="73"/>
        <n x="47"/>
      </t>
    </mdx>
    <mdx n="0" f="v">
      <t c="8">
        <n x="7" s="1"/>
        <n x="69" s="1"/>
        <n x="3" s="1"/>
        <n x="70" s="1"/>
        <n x="2" s="1"/>
        <n x="68"/>
        <n x="73"/>
        <n x="48"/>
      </t>
    </mdx>
    <mdx n="0" f="v">
      <t c="8">
        <n x="7" s="1"/>
        <n x="69" s="1"/>
        <n x="3" s="1"/>
        <n x="70" s="1"/>
        <n x="2" s="1"/>
        <n x="68"/>
        <n x="73"/>
        <n x="49"/>
      </t>
    </mdx>
    <mdx n="0" f="v">
      <t c="8">
        <n x="7" s="1"/>
        <n x="69" s="1"/>
        <n x="3" s="1"/>
        <n x="70" s="1"/>
        <n x="2" s="1"/>
        <n x="68"/>
        <n x="73"/>
        <n x="50"/>
      </t>
    </mdx>
    <mdx n="0" f="v">
      <t c="8">
        <n x="7" s="1"/>
        <n x="69" s="1"/>
        <n x="3" s="1"/>
        <n x="70" s="1"/>
        <n x="2" s="1"/>
        <n x="68"/>
        <n x="73"/>
        <n x="51"/>
      </t>
    </mdx>
    <mdx n="0" f="v">
      <t c="8">
        <n x="7" s="1"/>
        <n x="69" s="1"/>
        <n x="3" s="1"/>
        <n x="70" s="1"/>
        <n x="2" s="1"/>
        <n x="68"/>
        <n x="73"/>
        <n x="52"/>
      </t>
    </mdx>
    <mdx n="0" f="v">
      <t c="8">
        <n x="7" s="1"/>
        <n x="69" s="1"/>
        <n x="3" s="1"/>
        <n x="70" s="1"/>
        <n x="2" s="1"/>
        <n x="68"/>
        <n x="73"/>
        <n x="53"/>
      </t>
    </mdx>
    <mdx n="0" f="v">
      <t c="8">
        <n x="7" s="1"/>
        <n x="69" s="1"/>
        <n x="3" s="1"/>
        <n x="70" s="1"/>
        <n x="2" s="1"/>
        <n x="68"/>
        <n x="73"/>
        <n x="54"/>
      </t>
    </mdx>
    <mdx n="0" f="v">
      <t c="8">
        <n x="7" s="1"/>
        <n x="69" s="1"/>
        <n x="3" s="1"/>
        <n x="70" s="1"/>
        <n x="2" s="1"/>
        <n x="68"/>
        <n x="73"/>
        <n x="55"/>
      </t>
    </mdx>
    <mdx n="0" f="v">
      <t c="8">
        <n x="7" s="1"/>
        <n x="69" s="1"/>
        <n x="3" s="1"/>
        <n x="70" s="1"/>
        <n x="2" s="1"/>
        <n x="68"/>
        <n x="73"/>
        <n x="56"/>
      </t>
    </mdx>
    <mdx n="0" f="v">
      <t c="8">
        <n x="7" s="1"/>
        <n x="69" s="1"/>
        <n x="3" s="1"/>
        <n x="70" s="1"/>
        <n x="2" s="1"/>
        <n x="68"/>
        <n x="73"/>
        <n x="57"/>
      </t>
    </mdx>
    <mdx n="0" f="v">
      <t c="8">
        <n x="7" s="1"/>
        <n x="69" s="1"/>
        <n x="3" s="1"/>
        <n x="70" s="1"/>
        <n x="2" s="1"/>
        <n x="68"/>
        <n x="73"/>
        <n x="58"/>
      </t>
    </mdx>
    <mdx n="0" f="v">
      <t c="8">
        <n x="7" s="1"/>
        <n x="69" s="1"/>
        <n x="3" s="1"/>
        <n x="70" s="1"/>
        <n x="2" s="1"/>
        <n x="68"/>
        <n x="73"/>
        <n x="59"/>
      </t>
    </mdx>
    <mdx n="0" f="v">
      <t c="8">
        <n x="7" s="1"/>
        <n x="69" s="1"/>
        <n x="3" s="1"/>
        <n x="70" s="1"/>
        <n x="2" s="1"/>
        <n x="68"/>
        <n x="73"/>
        <n x="60"/>
      </t>
    </mdx>
    <mdx n="0" f="v">
      <t c="8">
        <n x="7" s="1"/>
        <n x="69" s="1"/>
        <n x="3" s="1"/>
        <n x="70" s="1"/>
        <n x="2" s="1"/>
        <n x="68"/>
        <n x="73"/>
        <n x="61"/>
      </t>
    </mdx>
    <mdx n="0" f="v">
      <t c="8">
        <n x="7" s="1"/>
        <n x="69" s="1"/>
        <n x="3" s="1"/>
        <n x="70" s="1"/>
        <n x="2" s="1"/>
        <n x="68"/>
        <n x="73"/>
        <n x="62"/>
      </t>
    </mdx>
    <mdx n="0" f="v">
      <t c="8">
        <n x="7" s="1"/>
        <n x="69" s="1"/>
        <n x="3" s="1"/>
        <n x="70" s="1"/>
        <n x="2" s="1"/>
        <n x="68"/>
        <n x="73"/>
        <n x="63"/>
      </t>
    </mdx>
    <mdx n="0" f="v">
      <t c="8">
        <n x="7" s="1"/>
        <n x="69" s="1"/>
        <n x="3" s="1"/>
        <n x="70" s="1"/>
        <n x="2" s="1"/>
        <n x="68"/>
        <n x="73"/>
        <n x="64"/>
      </t>
    </mdx>
    <mdx n="0" f="v">
      <t c="8">
        <n x="7" s="1"/>
        <n x="69" s="1"/>
        <n x="3" s="1"/>
        <n x="70" s="1"/>
        <n x="2" s="1"/>
        <n x="68"/>
        <n x="73"/>
        <n x="65"/>
      </t>
    </mdx>
    <mdx n="0" f="v">
      <t c="8">
        <n x="7" s="1"/>
        <n x="69" s="1"/>
        <n x="3" s="1"/>
        <n x="70" s="1"/>
        <n x="2" s="1"/>
        <n x="68"/>
        <n x="73"/>
        <n x="66"/>
      </t>
    </mdx>
    <mdx n="0" f="v">
      <t c="8">
        <n x="7" s="1"/>
        <n x="69" s="1"/>
        <n x="3" s="1"/>
        <n x="70" s="1"/>
        <n x="2" s="1"/>
        <n x="68"/>
        <n x="74"/>
        <n x="8"/>
      </t>
    </mdx>
    <mdx n="0" f="v">
      <t c="8">
        <n x="7" s="1"/>
        <n x="69" s="1"/>
        <n x="3" s="1"/>
        <n x="70" s="1"/>
        <n x="2" s="1"/>
        <n x="68"/>
        <n x="74"/>
        <n x="9"/>
      </t>
    </mdx>
    <mdx n="0" f="v">
      <t c="8">
        <n x="7" s="1"/>
        <n x="69" s="1"/>
        <n x="3" s="1"/>
        <n x="70" s="1"/>
        <n x="2" s="1"/>
        <n x="68"/>
        <n x="74"/>
        <n x="10"/>
      </t>
    </mdx>
    <mdx n="0" f="v">
      <t c="8">
        <n x="7" s="1"/>
        <n x="69" s="1"/>
        <n x="3" s="1"/>
        <n x="70" s="1"/>
        <n x="2" s="1"/>
        <n x="68"/>
        <n x="74"/>
        <n x="11"/>
      </t>
    </mdx>
    <mdx n="0" f="v">
      <t c="8">
        <n x="7" s="1"/>
        <n x="69" s="1"/>
        <n x="3" s="1"/>
        <n x="70" s="1"/>
        <n x="2" s="1"/>
        <n x="68"/>
        <n x="74"/>
        <n x="12"/>
      </t>
    </mdx>
    <mdx n="0" f="v">
      <t c="8">
        <n x="7" s="1"/>
        <n x="69" s="1"/>
        <n x="3" s="1"/>
        <n x="70" s="1"/>
        <n x="2" s="1"/>
        <n x="68"/>
        <n x="74"/>
        <n x="13"/>
      </t>
    </mdx>
    <mdx n="0" f="v">
      <t c="8">
        <n x="7" s="1"/>
        <n x="69" s="1"/>
        <n x="3" s="1"/>
        <n x="70" s="1"/>
        <n x="2" s="1"/>
        <n x="68"/>
        <n x="74"/>
        <n x="14"/>
      </t>
    </mdx>
    <mdx n="0" f="v">
      <t c="8">
        <n x="7" s="1"/>
        <n x="69" s="1"/>
        <n x="3" s="1"/>
        <n x="70" s="1"/>
        <n x="2" s="1"/>
        <n x="68"/>
        <n x="74"/>
        <n x="15"/>
      </t>
    </mdx>
    <mdx n="0" f="v">
      <t c="8">
        <n x="7" s="1"/>
        <n x="69" s="1"/>
        <n x="3" s="1"/>
        <n x="70" s="1"/>
        <n x="2" s="1"/>
        <n x="68"/>
        <n x="74"/>
        <n x="16"/>
      </t>
    </mdx>
    <mdx n="0" f="v">
      <t c="8">
        <n x="7" s="1"/>
        <n x="69" s="1"/>
        <n x="3" s="1"/>
        <n x="70" s="1"/>
        <n x="2" s="1"/>
        <n x="68"/>
        <n x="74"/>
        <n x="17"/>
      </t>
    </mdx>
    <mdx n="0" f="v">
      <t c="8">
        <n x="7" s="1"/>
        <n x="69" s="1"/>
        <n x="3" s="1"/>
        <n x="70" s="1"/>
        <n x="2" s="1"/>
        <n x="68"/>
        <n x="74"/>
        <n x="18"/>
      </t>
    </mdx>
    <mdx n="0" f="v">
      <t c="8">
        <n x="7" s="1"/>
        <n x="69" s="1"/>
        <n x="3" s="1"/>
        <n x="70" s="1"/>
        <n x="2" s="1"/>
        <n x="68"/>
        <n x="74"/>
        <n x="19"/>
      </t>
    </mdx>
    <mdx n="0" f="v">
      <t c="8">
        <n x="7" s="1"/>
        <n x="69" s="1"/>
        <n x="3" s="1"/>
        <n x="70" s="1"/>
        <n x="2" s="1"/>
        <n x="68"/>
        <n x="74"/>
        <n x="20"/>
      </t>
    </mdx>
    <mdx n="0" f="v">
      <t c="8">
        <n x="7" s="1"/>
        <n x="69" s="1"/>
        <n x="3" s="1"/>
        <n x="70" s="1"/>
        <n x="2" s="1"/>
        <n x="68"/>
        <n x="74"/>
        <n x="21"/>
      </t>
    </mdx>
    <mdx n="0" f="v">
      <t c="8">
        <n x="7" s="1"/>
        <n x="69" s="1"/>
        <n x="3" s="1"/>
        <n x="70" s="1"/>
        <n x="2" s="1"/>
        <n x="68"/>
        <n x="74"/>
        <n x="22"/>
      </t>
    </mdx>
    <mdx n="0" f="v">
      <t c="8">
        <n x="7" s="1"/>
        <n x="69" s="1"/>
        <n x="3" s="1"/>
        <n x="70" s="1"/>
        <n x="2" s="1"/>
        <n x="68"/>
        <n x="74"/>
        <n x="23"/>
      </t>
    </mdx>
    <mdx n="0" f="v">
      <t c="8">
        <n x="7" s="1"/>
        <n x="69" s="1"/>
        <n x="3" s="1"/>
        <n x="70" s="1"/>
        <n x="2" s="1"/>
        <n x="68"/>
        <n x="74"/>
        <n x="24"/>
      </t>
    </mdx>
    <mdx n="0" f="v">
      <t c="8">
        <n x="7" s="1"/>
        <n x="69" s="1"/>
        <n x="3" s="1"/>
        <n x="70" s="1"/>
        <n x="2" s="1"/>
        <n x="68"/>
        <n x="74"/>
        <n x="25"/>
      </t>
    </mdx>
    <mdx n="0" f="v">
      <t c="8">
        <n x="7" s="1"/>
        <n x="69" s="1"/>
        <n x="3" s="1"/>
        <n x="70" s="1"/>
        <n x="2" s="1"/>
        <n x="68"/>
        <n x="74"/>
        <n x="26"/>
      </t>
    </mdx>
    <mdx n="0" f="v">
      <t c="8">
        <n x="7" s="1"/>
        <n x="69" s="1"/>
        <n x="3" s="1"/>
        <n x="70" s="1"/>
        <n x="2" s="1"/>
        <n x="68"/>
        <n x="74"/>
        <n x="27"/>
      </t>
    </mdx>
    <mdx n="0" f="v">
      <t c="8">
        <n x="7" s="1"/>
        <n x="69" s="1"/>
        <n x="3" s="1"/>
        <n x="70" s="1"/>
        <n x="2" s="1"/>
        <n x="68"/>
        <n x="74"/>
        <n x="28"/>
      </t>
    </mdx>
    <mdx n="0" f="v">
      <t c="8">
        <n x="7" s="1"/>
        <n x="69" s="1"/>
        <n x="3" s="1"/>
        <n x="70" s="1"/>
        <n x="2" s="1"/>
        <n x="68"/>
        <n x="74"/>
        <n x="29"/>
      </t>
    </mdx>
    <mdx n="0" f="v">
      <t c="8">
        <n x="7" s="1"/>
        <n x="69" s="1"/>
        <n x="3" s="1"/>
        <n x="70" s="1"/>
        <n x="2" s="1"/>
        <n x="68"/>
        <n x="74"/>
        <n x="30"/>
      </t>
    </mdx>
    <mdx n="0" f="v">
      <t c="8">
        <n x="7" s="1"/>
        <n x="69" s="1"/>
        <n x="3" s="1"/>
        <n x="70" s="1"/>
        <n x="2" s="1"/>
        <n x="68"/>
        <n x="74"/>
        <n x="31"/>
      </t>
    </mdx>
    <mdx n="0" f="v">
      <t c="8">
        <n x="7" s="1"/>
        <n x="69" s="1"/>
        <n x="3" s="1"/>
        <n x="70" s="1"/>
        <n x="2" s="1"/>
        <n x="68"/>
        <n x="74"/>
        <n x="32"/>
      </t>
    </mdx>
    <mdx n="0" f="v">
      <t c="8">
        <n x="7" s="1"/>
        <n x="69" s="1"/>
        <n x="3" s="1"/>
        <n x="70" s="1"/>
        <n x="2" s="1"/>
        <n x="68"/>
        <n x="74"/>
        <n x="33"/>
      </t>
    </mdx>
    <mdx n="0" f="v">
      <t c="8">
        <n x="7" s="1"/>
        <n x="69" s="1"/>
        <n x="3" s="1"/>
        <n x="70" s="1"/>
        <n x="2" s="1"/>
        <n x="68"/>
        <n x="74"/>
        <n x="34"/>
      </t>
    </mdx>
    <mdx n="0" f="v">
      <t c="8">
        <n x="7" s="1"/>
        <n x="69" s="1"/>
        <n x="3" s="1"/>
        <n x="70" s="1"/>
        <n x="2" s="1"/>
        <n x="68"/>
        <n x="74"/>
        <n x="35"/>
      </t>
    </mdx>
    <mdx n="0" f="v">
      <t c="8">
        <n x="7" s="1"/>
        <n x="69" s="1"/>
        <n x="3" s="1"/>
        <n x="70" s="1"/>
        <n x="2" s="1"/>
        <n x="68"/>
        <n x="74"/>
        <n x="36"/>
      </t>
    </mdx>
    <mdx n="0" f="v">
      <t c="8">
        <n x="7" s="1"/>
        <n x="69" s="1"/>
        <n x="3" s="1"/>
        <n x="70" s="1"/>
        <n x="2" s="1"/>
        <n x="68"/>
        <n x="74"/>
        <n x="37"/>
      </t>
    </mdx>
    <mdx n="0" f="v">
      <t c="8">
        <n x="7" s="1"/>
        <n x="69" s="1"/>
        <n x="3" s="1"/>
        <n x="70" s="1"/>
        <n x="2" s="1"/>
        <n x="68"/>
        <n x="74"/>
        <n x="38"/>
      </t>
    </mdx>
    <mdx n="0" f="v">
      <t c="8">
        <n x="7" s="1"/>
        <n x="69" s="1"/>
        <n x="3" s="1"/>
        <n x="70" s="1"/>
        <n x="2" s="1"/>
        <n x="68"/>
        <n x="74"/>
        <n x="39"/>
      </t>
    </mdx>
    <mdx n="0" f="v">
      <t c="8">
        <n x="7" s="1"/>
        <n x="69" s="1"/>
        <n x="3" s="1"/>
        <n x="70" s="1"/>
        <n x="2" s="1"/>
        <n x="68"/>
        <n x="74"/>
        <n x="40"/>
      </t>
    </mdx>
    <mdx n="0" f="v">
      <t c="8">
        <n x="7" s="1"/>
        <n x="69" s="1"/>
        <n x="3" s="1"/>
        <n x="70" s="1"/>
        <n x="2" s="1"/>
        <n x="68"/>
        <n x="74"/>
        <n x="41"/>
      </t>
    </mdx>
    <mdx n="0" f="v">
      <t c="8">
        <n x="7" s="1"/>
        <n x="69" s="1"/>
        <n x="3" s="1"/>
        <n x="70" s="1"/>
        <n x="2" s="1"/>
        <n x="68"/>
        <n x="74"/>
        <n x="42"/>
      </t>
    </mdx>
    <mdx n="0" f="v">
      <t c="8">
        <n x="7" s="1"/>
        <n x="69" s="1"/>
        <n x="3" s="1"/>
        <n x="70" s="1"/>
        <n x="2" s="1"/>
        <n x="68"/>
        <n x="74"/>
        <n x="43"/>
      </t>
    </mdx>
    <mdx n="0" f="v">
      <t c="8">
        <n x="7" s="1"/>
        <n x="69" s="1"/>
        <n x="3" s="1"/>
        <n x="70" s="1"/>
        <n x="2" s="1"/>
        <n x="68"/>
        <n x="74"/>
        <n x="44"/>
      </t>
    </mdx>
    <mdx n="0" f="v">
      <t c="8">
        <n x="7" s="1"/>
        <n x="69" s="1"/>
        <n x="3" s="1"/>
        <n x="70" s="1"/>
        <n x="2" s="1"/>
        <n x="68"/>
        <n x="74"/>
        <n x="45"/>
      </t>
    </mdx>
    <mdx n="0" f="v">
      <t c="8">
        <n x="7" s="1"/>
        <n x="69" s="1"/>
        <n x="3" s="1"/>
        <n x="70" s="1"/>
        <n x="2" s="1"/>
        <n x="68"/>
        <n x="74"/>
        <n x="46"/>
      </t>
    </mdx>
    <mdx n="0" f="v">
      <t c="8">
        <n x="7" s="1"/>
        <n x="69" s="1"/>
        <n x="3" s="1"/>
        <n x="70" s="1"/>
        <n x="2" s="1"/>
        <n x="68"/>
        <n x="74"/>
        <n x="47"/>
      </t>
    </mdx>
    <mdx n="0" f="v">
      <t c="8">
        <n x="7" s="1"/>
        <n x="69" s="1"/>
        <n x="3" s="1"/>
        <n x="70" s="1"/>
        <n x="2" s="1"/>
        <n x="68"/>
        <n x="74"/>
        <n x="48"/>
      </t>
    </mdx>
    <mdx n="0" f="v">
      <t c="8">
        <n x="7" s="1"/>
        <n x="69" s="1"/>
        <n x="3" s="1"/>
        <n x="70" s="1"/>
        <n x="2" s="1"/>
        <n x="68"/>
        <n x="74"/>
        <n x="49"/>
      </t>
    </mdx>
    <mdx n="0" f="v">
      <t c="8">
        <n x="7" s="1"/>
        <n x="69" s="1"/>
        <n x="3" s="1"/>
        <n x="70" s="1"/>
        <n x="2" s="1"/>
        <n x="68"/>
        <n x="74"/>
        <n x="50"/>
      </t>
    </mdx>
    <mdx n="0" f="v">
      <t c="8">
        <n x="7" s="1"/>
        <n x="69" s="1"/>
        <n x="3" s="1"/>
        <n x="70" s="1"/>
        <n x="2" s="1"/>
        <n x="68"/>
        <n x="74"/>
        <n x="51"/>
      </t>
    </mdx>
    <mdx n="0" f="v">
      <t c="8">
        <n x="7" s="1"/>
        <n x="69" s="1"/>
        <n x="3" s="1"/>
        <n x="70" s="1"/>
        <n x="2" s="1"/>
        <n x="68"/>
        <n x="74"/>
        <n x="52"/>
      </t>
    </mdx>
    <mdx n="0" f="v">
      <t c="8">
        <n x="7" s="1"/>
        <n x="69" s="1"/>
        <n x="3" s="1"/>
        <n x="70" s="1"/>
        <n x="2" s="1"/>
        <n x="68"/>
        <n x="74"/>
        <n x="53"/>
      </t>
    </mdx>
    <mdx n="0" f="v">
      <t c="8">
        <n x="7" s="1"/>
        <n x="69" s="1"/>
        <n x="3" s="1"/>
        <n x="70" s="1"/>
        <n x="2" s="1"/>
        <n x="68"/>
        <n x="74"/>
        <n x="54"/>
      </t>
    </mdx>
    <mdx n="0" f="v">
      <t c="8">
        <n x="7" s="1"/>
        <n x="69" s="1"/>
        <n x="3" s="1"/>
        <n x="70" s="1"/>
        <n x="2" s="1"/>
        <n x="68"/>
        <n x="74"/>
        <n x="55"/>
      </t>
    </mdx>
    <mdx n="0" f="v">
      <t c="8">
        <n x="7" s="1"/>
        <n x="69" s="1"/>
        <n x="3" s="1"/>
        <n x="70" s="1"/>
        <n x="2" s="1"/>
        <n x="68"/>
        <n x="74"/>
        <n x="56"/>
      </t>
    </mdx>
    <mdx n="0" f="v">
      <t c="8">
        <n x="7" s="1"/>
        <n x="69" s="1"/>
        <n x="3" s="1"/>
        <n x="70" s="1"/>
        <n x="2" s="1"/>
        <n x="68"/>
        <n x="74"/>
        <n x="57"/>
      </t>
    </mdx>
    <mdx n="0" f="v">
      <t c="8">
        <n x="7" s="1"/>
        <n x="69" s="1"/>
        <n x="3" s="1"/>
        <n x="70" s="1"/>
        <n x="2" s="1"/>
        <n x="68"/>
        <n x="74"/>
        <n x="58"/>
      </t>
    </mdx>
    <mdx n="0" f="v">
      <t c="8">
        <n x="7" s="1"/>
        <n x="69" s="1"/>
        <n x="3" s="1"/>
        <n x="70" s="1"/>
        <n x="2" s="1"/>
        <n x="68"/>
        <n x="74"/>
        <n x="59"/>
      </t>
    </mdx>
    <mdx n="0" f="v">
      <t c="8">
        <n x="7" s="1"/>
        <n x="69" s="1"/>
        <n x="3" s="1"/>
        <n x="70" s="1"/>
        <n x="2" s="1"/>
        <n x="68"/>
        <n x="74"/>
        <n x="60"/>
      </t>
    </mdx>
    <mdx n="0" f="v">
      <t c="8">
        <n x="7" s="1"/>
        <n x="69" s="1"/>
        <n x="3" s="1"/>
        <n x="70" s="1"/>
        <n x="2" s="1"/>
        <n x="68"/>
        <n x="74"/>
        <n x="61"/>
      </t>
    </mdx>
    <mdx n="0" f="v">
      <t c="8">
        <n x="7" s="1"/>
        <n x="69" s="1"/>
        <n x="3" s="1"/>
        <n x="70" s="1"/>
        <n x="2" s="1"/>
        <n x="68"/>
        <n x="74"/>
        <n x="62"/>
      </t>
    </mdx>
    <mdx n="0" f="v">
      <t c="8">
        <n x="7" s="1"/>
        <n x="69" s="1"/>
        <n x="3" s="1"/>
        <n x="70" s="1"/>
        <n x="2" s="1"/>
        <n x="68"/>
        <n x="74"/>
        <n x="63"/>
      </t>
    </mdx>
    <mdx n="0" f="v">
      <t c="8">
        <n x="7" s="1"/>
        <n x="69" s="1"/>
        <n x="3" s="1"/>
        <n x="70" s="1"/>
        <n x="2" s="1"/>
        <n x="68"/>
        <n x="74"/>
        <n x="64"/>
      </t>
    </mdx>
    <mdx n="0" f="v">
      <t c="8">
        <n x="7" s="1"/>
        <n x="69" s="1"/>
        <n x="3" s="1"/>
        <n x="70" s="1"/>
        <n x="2" s="1"/>
        <n x="68"/>
        <n x="74"/>
        <n x="65"/>
      </t>
    </mdx>
    <mdx n="0" f="v">
      <t c="8">
        <n x="7" s="1"/>
        <n x="69" s="1"/>
        <n x="3" s="1"/>
        <n x="70" s="1"/>
        <n x="2" s="1"/>
        <n x="68"/>
        <n x="74"/>
        <n x="66"/>
      </t>
    </mdx>
    <mdx n="0" f="v">
      <t c="8">
        <n x="7" s="1"/>
        <n x="69" s="1"/>
        <n x="3" s="1"/>
        <n x="70" s="1"/>
        <n x="2" s="1"/>
        <n x="68"/>
        <n x="75"/>
        <n x="8"/>
      </t>
    </mdx>
    <mdx n="0" f="v">
      <t c="8">
        <n x="7" s="1"/>
        <n x="69" s="1"/>
        <n x="3" s="1"/>
        <n x="70" s="1"/>
        <n x="2" s="1"/>
        <n x="68"/>
        <n x="75"/>
        <n x="9"/>
      </t>
    </mdx>
    <mdx n="0" f="v">
      <t c="8">
        <n x="7" s="1"/>
        <n x="69" s="1"/>
        <n x="3" s="1"/>
        <n x="70" s="1"/>
        <n x="2" s="1"/>
        <n x="68"/>
        <n x="75"/>
        <n x="10"/>
      </t>
    </mdx>
    <mdx n="0" f="v">
      <t c="8">
        <n x="7" s="1"/>
        <n x="69" s="1"/>
        <n x="3" s="1"/>
        <n x="70" s="1"/>
        <n x="2" s="1"/>
        <n x="68"/>
        <n x="75"/>
        <n x="11"/>
      </t>
    </mdx>
    <mdx n="0" f="v">
      <t c="8">
        <n x="7" s="1"/>
        <n x="69" s="1"/>
        <n x="3" s="1"/>
        <n x="70" s="1"/>
        <n x="2" s="1"/>
        <n x="68"/>
        <n x="75"/>
        <n x="12"/>
      </t>
    </mdx>
    <mdx n="0" f="v">
      <t c="8">
        <n x="7" s="1"/>
        <n x="69" s="1"/>
        <n x="3" s="1"/>
        <n x="70" s="1"/>
        <n x="2" s="1"/>
        <n x="68"/>
        <n x="75"/>
        <n x="13"/>
      </t>
    </mdx>
    <mdx n="0" f="v">
      <t c="8">
        <n x="7" s="1"/>
        <n x="69" s="1"/>
        <n x="3" s="1"/>
        <n x="70" s="1"/>
        <n x="2" s="1"/>
        <n x="68"/>
        <n x="75"/>
        <n x="14"/>
      </t>
    </mdx>
    <mdx n="0" f="v">
      <t c="8">
        <n x="7" s="1"/>
        <n x="69" s="1"/>
        <n x="3" s="1"/>
        <n x="70" s="1"/>
        <n x="2" s="1"/>
        <n x="68"/>
        <n x="75"/>
        <n x="15"/>
      </t>
    </mdx>
    <mdx n="0" f="v">
      <t c="8">
        <n x="7" s="1"/>
        <n x="69" s="1"/>
        <n x="3" s="1"/>
        <n x="70" s="1"/>
        <n x="2" s="1"/>
        <n x="68"/>
        <n x="75"/>
        <n x="16"/>
      </t>
    </mdx>
    <mdx n="0" f="v">
      <t c="8">
        <n x="7" s="1"/>
        <n x="69" s="1"/>
        <n x="3" s="1"/>
        <n x="70" s="1"/>
        <n x="2" s="1"/>
        <n x="68"/>
        <n x="75"/>
        <n x="17"/>
      </t>
    </mdx>
    <mdx n="0" f="v">
      <t c="8">
        <n x="7" s="1"/>
        <n x="69" s="1"/>
        <n x="3" s="1"/>
        <n x="70" s="1"/>
        <n x="2" s="1"/>
        <n x="68"/>
        <n x="75"/>
        <n x="18"/>
      </t>
    </mdx>
    <mdx n="0" f="v">
      <t c="8">
        <n x="7" s="1"/>
        <n x="69" s="1"/>
        <n x="3" s="1"/>
        <n x="70" s="1"/>
        <n x="2" s="1"/>
        <n x="68"/>
        <n x="75"/>
        <n x="19"/>
      </t>
    </mdx>
    <mdx n="0" f="v">
      <t c="8">
        <n x="7" s="1"/>
        <n x="69" s="1"/>
        <n x="3" s="1"/>
        <n x="70" s="1"/>
        <n x="2" s="1"/>
        <n x="68"/>
        <n x="75"/>
        <n x="20"/>
      </t>
    </mdx>
    <mdx n="0" f="v">
      <t c="8">
        <n x="7" s="1"/>
        <n x="69" s="1"/>
        <n x="3" s="1"/>
        <n x="70" s="1"/>
        <n x="2" s="1"/>
        <n x="68"/>
        <n x="75"/>
        <n x="21"/>
      </t>
    </mdx>
    <mdx n="0" f="v">
      <t c="8">
        <n x="7" s="1"/>
        <n x="69" s="1"/>
        <n x="3" s="1"/>
        <n x="70" s="1"/>
        <n x="2" s="1"/>
        <n x="68"/>
        <n x="75"/>
        <n x="22"/>
      </t>
    </mdx>
    <mdx n="0" f="v">
      <t c="8">
        <n x="7" s="1"/>
        <n x="69" s="1"/>
        <n x="3" s="1"/>
        <n x="70" s="1"/>
        <n x="2" s="1"/>
        <n x="68"/>
        <n x="75"/>
        <n x="23"/>
      </t>
    </mdx>
    <mdx n="0" f="v">
      <t c="8">
        <n x="7" s="1"/>
        <n x="69" s="1"/>
        <n x="3" s="1"/>
        <n x="70" s="1"/>
        <n x="2" s="1"/>
        <n x="68"/>
        <n x="75"/>
        <n x="24"/>
      </t>
    </mdx>
    <mdx n="0" f="v">
      <t c="8">
        <n x="7" s="1"/>
        <n x="69" s="1"/>
        <n x="3" s="1"/>
        <n x="70" s="1"/>
        <n x="2" s="1"/>
        <n x="68"/>
        <n x="75"/>
        <n x="25"/>
      </t>
    </mdx>
    <mdx n="0" f="v">
      <t c="8">
        <n x="7" s="1"/>
        <n x="69" s="1"/>
        <n x="3" s="1"/>
        <n x="70" s="1"/>
        <n x="2" s="1"/>
        <n x="68"/>
        <n x="75"/>
        <n x="26"/>
      </t>
    </mdx>
    <mdx n="0" f="v">
      <t c="8">
        <n x="7" s="1"/>
        <n x="69" s="1"/>
        <n x="3" s="1"/>
        <n x="70" s="1"/>
        <n x="2" s="1"/>
        <n x="68"/>
        <n x="75"/>
        <n x="27"/>
      </t>
    </mdx>
    <mdx n="0" f="v">
      <t c="8">
        <n x="7" s="1"/>
        <n x="69" s="1"/>
        <n x="3" s="1"/>
        <n x="70" s="1"/>
        <n x="2" s="1"/>
        <n x="68"/>
        <n x="75"/>
        <n x="28"/>
      </t>
    </mdx>
    <mdx n="0" f="v">
      <t c="8">
        <n x="7" s="1"/>
        <n x="69" s="1"/>
        <n x="3" s="1"/>
        <n x="70" s="1"/>
        <n x="2" s="1"/>
        <n x="68"/>
        <n x="75"/>
        <n x="29"/>
      </t>
    </mdx>
    <mdx n="0" f="v">
      <t c="8">
        <n x="7" s="1"/>
        <n x="69" s="1"/>
        <n x="3" s="1"/>
        <n x="70" s="1"/>
        <n x="2" s="1"/>
        <n x="68"/>
        <n x="75"/>
        <n x="30"/>
      </t>
    </mdx>
    <mdx n="0" f="v">
      <t c="8">
        <n x="7" s="1"/>
        <n x="69" s="1"/>
        <n x="3" s="1"/>
        <n x="70" s="1"/>
        <n x="2" s="1"/>
        <n x="68"/>
        <n x="75"/>
        <n x="31"/>
      </t>
    </mdx>
    <mdx n="0" f="v">
      <t c="8">
        <n x="7" s="1"/>
        <n x="69" s="1"/>
        <n x="3" s="1"/>
        <n x="70" s="1"/>
        <n x="2" s="1"/>
        <n x="68"/>
        <n x="75"/>
        <n x="32"/>
      </t>
    </mdx>
    <mdx n="0" f="v">
      <t c="8">
        <n x="7" s="1"/>
        <n x="69" s="1"/>
        <n x="3" s="1"/>
        <n x="70" s="1"/>
        <n x="2" s="1"/>
        <n x="68"/>
        <n x="75"/>
        <n x="33"/>
      </t>
    </mdx>
    <mdx n="0" f="v">
      <t c="8">
        <n x="7" s="1"/>
        <n x="69" s="1"/>
        <n x="3" s="1"/>
        <n x="70" s="1"/>
        <n x="2" s="1"/>
        <n x="68"/>
        <n x="75"/>
        <n x="34"/>
      </t>
    </mdx>
    <mdx n="0" f="v">
      <t c="8">
        <n x="7" s="1"/>
        <n x="69" s="1"/>
        <n x="3" s="1"/>
        <n x="70" s="1"/>
        <n x="2" s="1"/>
        <n x="68"/>
        <n x="75"/>
        <n x="35"/>
      </t>
    </mdx>
    <mdx n="0" f="v">
      <t c="8">
        <n x="7" s="1"/>
        <n x="69" s="1"/>
        <n x="3" s="1"/>
        <n x="70" s="1"/>
        <n x="2" s="1"/>
        <n x="68"/>
        <n x="75"/>
        <n x="36"/>
      </t>
    </mdx>
    <mdx n="0" f="v">
      <t c="8">
        <n x="7" s="1"/>
        <n x="69" s="1"/>
        <n x="3" s="1"/>
        <n x="70" s="1"/>
        <n x="2" s="1"/>
        <n x="68"/>
        <n x="75"/>
        <n x="37"/>
      </t>
    </mdx>
    <mdx n="0" f="v">
      <t c="8">
        <n x="7" s="1"/>
        <n x="69" s="1"/>
        <n x="3" s="1"/>
        <n x="70" s="1"/>
        <n x="2" s="1"/>
        <n x="68"/>
        <n x="75"/>
        <n x="38"/>
      </t>
    </mdx>
    <mdx n="0" f="v">
      <t c="8">
        <n x="7" s="1"/>
        <n x="69" s="1"/>
        <n x="3" s="1"/>
        <n x="70" s="1"/>
        <n x="2" s="1"/>
        <n x="68"/>
        <n x="75"/>
        <n x="39"/>
      </t>
    </mdx>
    <mdx n="0" f="v">
      <t c="8">
        <n x="7" s="1"/>
        <n x="69" s="1"/>
        <n x="3" s="1"/>
        <n x="70" s="1"/>
        <n x="2" s="1"/>
        <n x="68"/>
        <n x="75"/>
        <n x="40"/>
      </t>
    </mdx>
    <mdx n="0" f="v">
      <t c="8">
        <n x="7" s="1"/>
        <n x="69" s="1"/>
        <n x="3" s="1"/>
        <n x="70" s="1"/>
        <n x="2" s="1"/>
        <n x="68"/>
        <n x="75"/>
        <n x="41"/>
      </t>
    </mdx>
    <mdx n="0" f="v">
      <t c="8">
        <n x="7" s="1"/>
        <n x="69" s="1"/>
        <n x="3" s="1"/>
        <n x="70" s="1"/>
        <n x="2" s="1"/>
        <n x="68"/>
        <n x="75"/>
        <n x="42"/>
      </t>
    </mdx>
    <mdx n="0" f="v">
      <t c="8">
        <n x="7" s="1"/>
        <n x="69" s="1"/>
        <n x="3" s="1"/>
        <n x="70" s="1"/>
        <n x="2" s="1"/>
        <n x="68"/>
        <n x="75"/>
        <n x="43"/>
      </t>
    </mdx>
    <mdx n="0" f="v">
      <t c="8">
        <n x="7" s="1"/>
        <n x="69" s="1"/>
        <n x="3" s="1"/>
        <n x="70" s="1"/>
        <n x="2" s="1"/>
        <n x="68"/>
        <n x="75"/>
        <n x="44"/>
      </t>
    </mdx>
    <mdx n="0" f="v">
      <t c="8">
        <n x="7" s="1"/>
        <n x="69" s="1"/>
        <n x="3" s="1"/>
        <n x="70" s="1"/>
        <n x="2" s="1"/>
        <n x="68"/>
        <n x="75"/>
        <n x="45"/>
      </t>
    </mdx>
    <mdx n="0" f="v">
      <t c="8">
        <n x="7" s="1"/>
        <n x="69" s="1"/>
        <n x="3" s="1"/>
        <n x="70" s="1"/>
        <n x="2" s="1"/>
        <n x="68"/>
        <n x="75"/>
        <n x="46"/>
      </t>
    </mdx>
    <mdx n="0" f="v">
      <t c="8">
        <n x="7" s="1"/>
        <n x="69" s="1"/>
        <n x="3" s="1"/>
        <n x="70" s="1"/>
        <n x="2" s="1"/>
        <n x="68"/>
        <n x="75"/>
        <n x="47"/>
      </t>
    </mdx>
    <mdx n="0" f="v">
      <t c="8">
        <n x="7" s="1"/>
        <n x="69" s="1"/>
        <n x="3" s="1"/>
        <n x="70" s="1"/>
        <n x="2" s="1"/>
        <n x="68"/>
        <n x="75"/>
        <n x="48"/>
      </t>
    </mdx>
    <mdx n="0" f="v">
      <t c="8">
        <n x="7" s="1"/>
        <n x="69" s="1"/>
        <n x="3" s="1"/>
        <n x="70" s="1"/>
        <n x="2" s="1"/>
        <n x="68"/>
        <n x="75"/>
        <n x="49"/>
      </t>
    </mdx>
    <mdx n="0" f="v">
      <t c="8">
        <n x="7" s="1"/>
        <n x="69" s="1"/>
        <n x="3" s="1"/>
        <n x="70" s="1"/>
        <n x="2" s="1"/>
        <n x="68"/>
        <n x="75"/>
        <n x="50"/>
      </t>
    </mdx>
    <mdx n="0" f="v">
      <t c="8">
        <n x="7" s="1"/>
        <n x="69" s="1"/>
        <n x="3" s="1"/>
        <n x="70" s="1"/>
        <n x="2" s="1"/>
        <n x="68"/>
        <n x="75"/>
        <n x="51"/>
      </t>
    </mdx>
    <mdx n="0" f="v">
      <t c="8">
        <n x="7" s="1"/>
        <n x="69" s="1"/>
        <n x="3" s="1"/>
        <n x="70" s="1"/>
        <n x="2" s="1"/>
        <n x="68"/>
        <n x="75"/>
        <n x="52"/>
      </t>
    </mdx>
    <mdx n="0" f="v">
      <t c="8">
        <n x="7" s="1"/>
        <n x="69" s="1"/>
        <n x="3" s="1"/>
        <n x="70" s="1"/>
        <n x="2" s="1"/>
        <n x="68"/>
        <n x="75"/>
        <n x="53"/>
      </t>
    </mdx>
    <mdx n="0" f="v">
      <t c="8">
        <n x="7" s="1"/>
        <n x="69" s="1"/>
        <n x="3" s="1"/>
        <n x="70" s="1"/>
        <n x="2" s="1"/>
        <n x="68"/>
        <n x="75"/>
        <n x="54"/>
      </t>
    </mdx>
    <mdx n="0" f="v">
      <t c="8">
        <n x="7" s="1"/>
        <n x="69" s="1"/>
        <n x="3" s="1"/>
        <n x="70" s="1"/>
        <n x="2" s="1"/>
        <n x="68"/>
        <n x="75"/>
        <n x="55"/>
      </t>
    </mdx>
    <mdx n="0" f="v">
      <t c="8">
        <n x="7" s="1"/>
        <n x="69" s="1"/>
        <n x="3" s="1"/>
        <n x="70" s="1"/>
        <n x="2" s="1"/>
        <n x="68"/>
        <n x="75"/>
        <n x="56"/>
      </t>
    </mdx>
    <mdx n="0" f="v">
      <t c="8">
        <n x="7" s="1"/>
        <n x="69" s="1"/>
        <n x="3" s="1"/>
        <n x="70" s="1"/>
        <n x="2" s="1"/>
        <n x="68"/>
        <n x="75"/>
        <n x="57"/>
      </t>
    </mdx>
    <mdx n="0" f="v">
      <t c="8">
        <n x="7" s="1"/>
        <n x="69" s="1"/>
        <n x="3" s="1"/>
        <n x="70" s="1"/>
        <n x="2" s="1"/>
        <n x="68"/>
        <n x="75"/>
        <n x="58"/>
      </t>
    </mdx>
    <mdx n="0" f="v">
      <t c="8">
        <n x="7" s="1"/>
        <n x="69" s="1"/>
        <n x="3" s="1"/>
        <n x="70" s="1"/>
        <n x="2" s="1"/>
        <n x="68"/>
        <n x="75"/>
        <n x="59"/>
      </t>
    </mdx>
    <mdx n="0" f="v">
      <t c="8">
        <n x="7" s="1"/>
        <n x="69" s="1"/>
        <n x="3" s="1"/>
        <n x="70" s="1"/>
        <n x="2" s="1"/>
        <n x="68"/>
        <n x="75"/>
        <n x="60"/>
      </t>
    </mdx>
    <mdx n="0" f="v">
      <t c="8">
        <n x="7" s="1"/>
        <n x="69" s="1"/>
        <n x="3" s="1"/>
        <n x="70" s="1"/>
        <n x="2" s="1"/>
        <n x="68"/>
        <n x="75"/>
        <n x="61"/>
      </t>
    </mdx>
    <mdx n="0" f="v">
      <t c="8">
        <n x="7" s="1"/>
        <n x="69" s="1"/>
        <n x="3" s="1"/>
        <n x="70" s="1"/>
        <n x="2" s="1"/>
        <n x="68"/>
        <n x="75"/>
        <n x="62"/>
      </t>
    </mdx>
    <mdx n="0" f="v">
      <t c="8">
        <n x="7" s="1"/>
        <n x="69" s="1"/>
        <n x="3" s="1"/>
        <n x="70" s="1"/>
        <n x="2" s="1"/>
        <n x="68"/>
        <n x="75"/>
        <n x="63"/>
      </t>
    </mdx>
    <mdx n="0" f="v">
      <t c="8">
        <n x="7" s="1"/>
        <n x="69" s="1"/>
        <n x="3" s="1"/>
        <n x="70" s="1"/>
        <n x="2" s="1"/>
        <n x="68"/>
        <n x="75"/>
        <n x="64"/>
      </t>
    </mdx>
    <mdx n="0" f="v">
      <t c="8">
        <n x="7" s="1"/>
        <n x="69" s="1"/>
        <n x="3" s="1"/>
        <n x="70" s="1"/>
        <n x="2" s="1"/>
        <n x="68"/>
        <n x="75"/>
        <n x="65"/>
      </t>
    </mdx>
    <mdx n="0" f="v">
      <t c="8">
        <n x="7" s="1"/>
        <n x="69" s="1"/>
        <n x="3" s="1"/>
        <n x="70" s="1"/>
        <n x="2" s="1"/>
        <n x="68"/>
        <n x="75"/>
        <n x="66"/>
      </t>
    </mdx>
    <mdx n="0" f="v">
      <t c="8">
        <n x="7" s="1"/>
        <n x="69" s="1"/>
        <n x="3" s="1"/>
        <n x="70" s="1"/>
        <n x="2" s="1"/>
        <n x="68"/>
        <n x="76"/>
        <n x="8"/>
      </t>
    </mdx>
    <mdx n="0" f="v">
      <t c="8">
        <n x="7" s="1"/>
        <n x="69" s="1"/>
        <n x="3" s="1"/>
        <n x="70" s="1"/>
        <n x="2" s="1"/>
        <n x="68"/>
        <n x="76"/>
        <n x="9"/>
      </t>
    </mdx>
    <mdx n="0" f="v">
      <t c="8">
        <n x="7" s="1"/>
        <n x="69" s="1"/>
        <n x="3" s="1"/>
        <n x="70" s="1"/>
        <n x="2" s="1"/>
        <n x="68"/>
        <n x="76"/>
        <n x="10"/>
      </t>
    </mdx>
    <mdx n="0" f="v">
      <t c="8">
        <n x="7" s="1"/>
        <n x="69" s="1"/>
        <n x="3" s="1"/>
        <n x="70" s="1"/>
        <n x="2" s="1"/>
        <n x="68"/>
        <n x="76"/>
        <n x="11"/>
      </t>
    </mdx>
    <mdx n="0" f="v">
      <t c="8">
        <n x="7" s="1"/>
        <n x="69" s="1"/>
        <n x="3" s="1"/>
        <n x="70" s="1"/>
        <n x="2" s="1"/>
        <n x="68"/>
        <n x="76"/>
        <n x="12"/>
      </t>
    </mdx>
    <mdx n="0" f="v">
      <t c="8">
        <n x="7" s="1"/>
        <n x="69" s="1"/>
        <n x="3" s="1"/>
        <n x="70" s="1"/>
        <n x="2" s="1"/>
        <n x="68"/>
        <n x="76"/>
        <n x="13"/>
      </t>
    </mdx>
    <mdx n="0" f="v">
      <t c="8">
        <n x="7" s="1"/>
        <n x="69" s="1"/>
        <n x="3" s="1"/>
        <n x="70" s="1"/>
        <n x="2" s="1"/>
        <n x="68"/>
        <n x="76"/>
        <n x="14"/>
      </t>
    </mdx>
    <mdx n="0" f="v">
      <t c="8">
        <n x="7" s="1"/>
        <n x="69" s="1"/>
        <n x="3" s="1"/>
        <n x="70" s="1"/>
        <n x="2" s="1"/>
        <n x="68"/>
        <n x="76"/>
        <n x="15"/>
      </t>
    </mdx>
    <mdx n="0" f="v">
      <t c="8">
        <n x="7" s="1"/>
        <n x="69" s="1"/>
        <n x="3" s="1"/>
        <n x="70" s="1"/>
        <n x="2" s="1"/>
        <n x="68"/>
        <n x="76"/>
        <n x="16"/>
      </t>
    </mdx>
    <mdx n="0" f="v">
      <t c="8">
        <n x="7" s="1"/>
        <n x="69" s="1"/>
        <n x="3" s="1"/>
        <n x="70" s="1"/>
        <n x="2" s="1"/>
        <n x="68"/>
        <n x="76"/>
        <n x="17"/>
      </t>
    </mdx>
    <mdx n="0" f="v">
      <t c="8">
        <n x="7" s="1"/>
        <n x="69" s="1"/>
        <n x="3" s="1"/>
        <n x="70" s="1"/>
        <n x="2" s="1"/>
        <n x="68"/>
        <n x="76"/>
        <n x="18"/>
      </t>
    </mdx>
    <mdx n="0" f="v">
      <t c="8">
        <n x="7" s="1"/>
        <n x="69" s="1"/>
        <n x="3" s="1"/>
        <n x="70" s="1"/>
        <n x="2" s="1"/>
        <n x="68"/>
        <n x="76"/>
        <n x="19"/>
      </t>
    </mdx>
    <mdx n="0" f="v">
      <t c="8">
        <n x="7" s="1"/>
        <n x="69" s="1"/>
        <n x="3" s="1"/>
        <n x="70" s="1"/>
        <n x="2" s="1"/>
        <n x="68"/>
        <n x="76"/>
        <n x="20"/>
      </t>
    </mdx>
    <mdx n="0" f="v">
      <t c="8">
        <n x="7" s="1"/>
        <n x="69" s="1"/>
        <n x="3" s="1"/>
        <n x="70" s="1"/>
        <n x="2" s="1"/>
        <n x="68"/>
        <n x="76"/>
        <n x="21"/>
      </t>
    </mdx>
    <mdx n="0" f="v">
      <t c="8">
        <n x="7" s="1"/>
        <n x="69" s="1"/>
        <n x="3" s="1"/>
        <n x="70" s="1"/>
        <n x="2" s="1"/>
        <n x="68"/>
        <n x="76"/>
        <n x="22"/>
      </t>
    </mdx>
    <mdx n="0" f="v">
      <t c="8">
        <n x="7" s="1"/>
        <n x="69" s="1"/>
        <n x="3" s="1"/>
        <n x="70" s="1"/>
        <n x="2" s="1"/>
        <n x="68"/>
        <n x="76"/>
        <n x="23"/>
      </t>
    </mdx>
    <mdx n="0" f="v">
      <t c="8">
        <n x="7" s="1"/>
        <n x="69" s="1"/>
        <n x="3" s="1"/>
        <n x="70" s="1"/>
        <n x="2" s="1"/>
        <n x="68"/>
        <n x="76"/>
        <n x="24"/>
      </t>
    </mdx>
    <mdx n="0" f="v">
      <t c="8">
        <n x="7" s="1"/>
        <n x="69" s="1"/>
        <n x="3" s="1"/>
        <n x="70" s="1"/>
        <n x="2" s="1"/>
        <n x="68"/>
        <n x="76"/>
        <n x="25"/>
      </t>
    </mdx>
    <mdx n="0" f="v">
      <t c="8">
        <n x="7" s="1"/>
        <n x="69" s="1"/>
        <n x="3" s="1"/>
        <n x="70" s="1"/>
        <n x="2" s="1"/>
        <n x="68"/>
        <n x="76"/>
        <n x="26"/>
      </t>
    </mdx>
    <mdx n="0" f="v">
      <t c="8">
        <n x="7" s="1"/>
        <n x="69" s="1"/>
        <n x="3" s="1"/>
        <n x="70" s="1"/>
        <n x="2" s="1"/>
        <n x="68"/>
        <n x="76"/>
        <n x="27"/>
      </t>
    </mdx>
    <mdx n="0" f="v">
      <t c="8">
        <n x="7" s="1"/>
        <n x="69" s="1"/>
        <n x="3" s="1"/>
        <n x="70" s="1"/>
        <n x="2" s="1"/>
        <n x="68"/>
        <n x="76"/>
        <n x="28"/>
      </t>
    </mdx>
    <mdx n="0" f="v">
      <t c="8">
        <n x="7" s="1"/>
        <n x="69" s="1"/>
        <n x="3" s="1"/>
        <n x="70" s="1"/>
        <n x="2" s="1"/>
        <n x="68"/>
        <n x="76"/>
        <n x="29"/>
      </t>
    </mdx>
    <mdx n="0" f="v">
      <t c="8">
        <n x="7" s="1"/>
        <n x="69" s="1"/>
        <n x="3" s="1"/>
        <n x="70" s="1"/>
        <n x="2" s="1"/>
        <n x="68"/>
        <n x="76"/>
        <n x="30"/>
      </t>
    </mdx>
    <mdx n="0" f="v">
      <t c="8">
        <n x="7" s="1"/>
        <n x="69" s="1"/>
        <n x="3" s="1"/>
        <n x="70" s="1"/>
        <n x="2" s="1"/>
        <n x="68"/>
        <n x="76"/>
        <n x="31"/>
      </t>
    </mdx>
    <mdx n="0" f="v">
      <t c="8">
        <n x="7" s="1"/>
        <n x="69" s="1"/>
        <n x="3" s="1"/>
        <n x="70" s="1"/>
        <n x="2" s="1"/>
        <n x="68"/>
        <n x="76"/>
        <n x="32"/>
      </t>
    </mdx>
    <mdx n="0" f="v">
      <t c="8">
        <n x="7" s="1"/>
        <n x="69" s="1"/>
        <n x="3" s="1"/>
        <n x="70" s="1"/>
        <n x="2" s="1"/>
        <n x="68"/>
        <n x="76"/>
        <n x="33"/>
      </t>
    </mdx>
    <mdx n="0" f="v">
      <t c="8">
        <n x="7" s="1"/>
        <n x="69" s="1"/>
        <n x="3" s="1"/>
        <n x="70" s="1"/>
        <n x="2" s="1"/>
        <n x="68"/>
        <n x="76"/>
        <n x="34"/>
      </t>
    </mdx>
    <mdx n="0" f="v">
      <t c="8">
        <n x="7" s="1"/>
        <n x="69" s="1"/>
        <n x="3" s="1"/>
        <n x="70" s="1"/>
        <n x="2" s="1"/>
        <n x="68"/>
        <n x="76"/>
        <n x="35"/>
      </t>
    </mdx>
    <mdx n="0" f="v">
      <t c="8">
        <n x="7" s="1"/>
        <n x="69" s="1"/>
        <n x="3" s="1"/>
        <n x="70" s="1"/>
        <n x="2" s="1"/>
        <n x="68"/>
        <n x="76"/>
        <n x="36"/>
      </t>
    </mdx>
    <mdx n="0" f="v">
      <t c="8">
        <n x="7" s="1"/>
        <n x="69" s="1"/>
        <n x="3" s="1"/>
        <n x="70" s="1"/>
        <n x="2" s="1"/>
        <n x="68"/>
        <n x="76"/>
        <n x="37"/>
      </t>
    </mdx>
    <mdx n="0" f="v">
      <t c="8">
        <n x="7" s="1"/>
        <n x="69" s="1"/>
        <n x="3" s="1"/>
        <n x="70" s="1"/>
        <n x="2" s="1"/>
        <n x="68"/>
        <n x="76"/>
        <n x="38"/>
      </t>
    </mdx>
    <mdx n="0" f="v">
      <t c="8">
        <n x="7" s="1"/>
        <n x="69" s="1"/>
        <n x="3" s="1"/>
        <n x="70" s="1"/>
        <n x="2" s="1"/>
        <n x="68"/>
        <n x="76"/>
        <n x="39"/>
      </t>
    </mdx>
    <mdx n="0" f="v">
      <t c="8">
        <n x="7" s="1"/>
        <n x="69" s="1"/>
        <n x="3" s="1"/>
        <n x="70" s="1"/>
        <n x="2" s="1"/>
        <n x="68"/>
        <n x="76"/>
        <n x="40"/>
      </t>
    </mdx>
    <mdx n="0" f="v">
      <t c="8">
        <n x="7" s="1"/>
        <n x="69" s="1"/>
        <n x="3" s="1"/>
        <n x="70" s="1"/>
        <n x="2" s="1"/>
        <n x="68"/>
        <n x="76"/>
        <n x="41"/>
      </t>
    </mdx>
    <mdx n="0" f="v">
      <t c="8">
        <n x="7" s="1"/>
        <n x="69" s="1"/>
        <n x="3" s="1"/>
        <n x="70" s="1"/>
        <n x="2" s="1"/>
        <n x="68"/>
        <n x="76"/>
        <n x="42"/>
      </t>
    </mdx>
    <mdx n="0" f="v">
      <t c="8">
        <n x="7" s="1"/>
        <n x="69" s="1"/>
        <n x="3" s="1"/>
        <n x="70" s="1"/>
        <n x="2" s="1"/>
        <n x="68"/>
        <n x="76"/>
        <n x="43"/>
      </t>
    </mdx>
    <mdx n="0" f="v">
      <t c="8">
        <n x="7" s="1"/>
        <n x="69" s="1"/>
        <n x="3" s="1"/>
        <n x="70" s="1"/>
        <n x="2" s="1"/>
        <n x="68"/>
        <n x="76"/>
        <n x="44"/>
      </t>
    </mdx>
    <mdx n="0" f="v">
      <t c="8">
        <n x="7" s="1"/>
        <n x="69" s="1"/>
        <n x="3" s="1"/>
        <n x="70" s="1"/>
        <n x="2" s="1"/>
        <n x="68"/>
        <n x="76"/>
        <n x="45"/>
      </t>
    </mdx>
    <mdx n="0" f="v">
      <t c="8">
        <n x="7" s="1"/>
        <n x="69" s="1"/>
        <n x="3" s="1"/>
        <n x="70" s="1"/>
        <n x="2" s="1"/>
        <n x="68"/>
        <n x="76"/>
        <n x="46"/>
      </t>
    </mdx>
    <mdx n="0" f="v">
      <t c="8">
        <n x="7" s="1"/>
        <n x="69" s="1"/>
        <n x="3" s="1"/>
        <n x="70" s="1"/>
        <n x="2" s="1"/>
        <n x="68"/>
        <n x="76"/>
        <n x="47"/>
      </t>
    </mdx>
    <mdx n="0" f="v">
      <t c="8">
        <n x="7" s="1"/>
        <n x="69" s="1"/>
        <n x="3" s="1"/>
        <n x="70" s="1"/>
        <n x="2" s="1"/>
        <n x="68"/>
        <n x="76"/>
        <n x="48"/>
      </t>
    </mdx>
    <mdx n="0" f="v">
      <t c="8">
        <n x="7" s="1"/>
        <n x="69" s="1"/>
        <n x="3" s="1"/>
        <n x="70" s="1"/>
        <n x="2" s="1"/>
        <n x="68"/>
        <n x="76"/>
        <n x="49"/>
      </t>
    </mdx>
    <mdx n="0" f="v">
      <t c="8">
        <n x="7" s="1"/>
        <n x="69" s="1"/>
        <n x="3" s="1"/>
        <n x="70" s="1"/>
        <n x="2" s="1"/>
        <n x="68"/>
        <n x="76"/>
        <n x="50"/>
      </t>
    </mdx>
    <mdx n="0" f="v">
      <t c="8">
        <n x="7" s="1"/>
        <n x="69" s="1"/>
        <n x="3" s="1"/>
        <n x="70" s="1"/>
        <n x="2" s="1"/>
        <n x="68"/>
        <n x="76"/>
        <n x="51"/>
      </t>
    </mdx>
    <mdx n="0" f="v">
      <t c="8">
        <n x="7" s="1"/>
        <n x="69" s="1"/>
        <n x="3" s="1"/>
        <n x="70" s="1"/>
        <n x="2" s="1"/>
        <n x="68"/>
        <n x="76"/>
        <n x="52"/>
      </t>
    </mdx>
    <mdx n="0" f="v">
      <t c="8">
        <n x="7" s="1"/>
        <n x="69" s="1"/>
        <n x="3" s="1"/>
        <n x="70" s="1"/>
        <n x="2" s="1"/>
        <n x="68"/>
        <n x="76"/>
        <n x="53"/>
      </t>
    </mdx>
    <mdx n="0" f="v">
      <t c="8">
        <n x="7" s="1"/>
        <n x="69" s="1"/>
        <n x="3" s="1"/>
        <n x="70" s="1"/>
        <n x="2" s="1"/>
        <n x="68"/>
        <n x="76"/>
        <n x="54"/>
      </t>
    </mdx>
    <mdx n="0" f="v">
      <t c="8">
        <n x="7" s="1"/>
        <n x="69" s="1"/>
        <n x="3" s="1"/>
        <n x="70" s="1"/>
        <n x="2" s="1"/>
        <n x="68"/>
        <n x="76"/>
        <n x="55"/>
      </t>
    </mdx>
    <mdx n="0" f="v">
      <t c="8">
        <n x="7" s="1"/>
        <n x="69" s="1"/>
        <n x="3" s="1"/>
        <n x="70" s="1"/>
        <n x="2" s="1"/>
        <n x="68"/>
        <n x="76"/>
        <n x="56"/>
      </t>
    </mdx>
    <mdx n="0" f="v">
      <t c="8">
        <n x="7" s="1"/>
        <n x="69" s="1"/>
        <n x="3" s="1"/>
        <n x="70" s="1"/>
        <n x="2" s="1"/>
        <n x="68"/>
        <n x="76"/>
        <n x="57"/>
      </t>
    </mdx>
    <mdx n="0" f="v">
      <t c="8">
        <n x="7" s="1"/>
        <n x="69" s="1"/>
        <n x="3" s="1"/>
        <n x="70" s="1"/>
        <n x="2" s="1"/>
        <n x="68"/>
        <n x="76"/>
        <n x="58"/>
      </t>
    </mdx>
    <mdx n="0" f="v">
      <t c="8">
        <n x="7" s="1"/>
        <n x="69" s="1"/>
        <n x="3" s="1"/>
        <n x="70" s="1"/>
        <n x="2" s="1"/>
        <n x="68"/>
        <n x="76"/>
        <n x="59"/>
      </t>
    </mdx>
    <mdx n="0" f="v">
      <t c="8">
        <n x="7" s="1"/>
        <n x="69" s="1"/>
        <n x="3" s="1"/>
        <n x="70" s="1"/>
        <n x="2" s="1"/>
        <n x="68"/>
        <n x="76"/>
        <n x="60"/>
      </t>
    </mdx>
    <mdx n="0" f="v">
      <t c="8">
        <n x="7" s="1"/>
        <n x="69" s="1"/>
        <n x="3" s="1"/>
        <n x="70" s="1"/>
        <n x="2" s="1"/>
        <n x="68"/>
        <n x="76"/>
        <n x="61"/>
      </t>
    </mdx>
    <mdx n="0" f="v">
      <t c="8">
        <n x="7" s="1"/>
        <n x="69" s="1"/>
        <n x="3" s="1"/>
        <n x="70" s="1"/>
        <n x="2" s="1"/>
        <n x="68"/>
        <n x="76"/>
        <n x="62"/>
      </t>
    </mdx>
    <mdx n="0" f="v">
      <t c="8">
        <n x="7" s="1"/>
        <n x="69" s="1"/>
        <n x="3" s="1"/>
        <n x="70" s="1"/>
        <n x="2" s="1"/>
        <n x="68"/>
        <n x="76"/>
        <n x="63"/>
      </t>
    </mdx>
    <mdx n="0" f="v">
      <t c="8">
        <n x="7" s="1"/>
        <n x="69" s="1"/>
        <n x="3" s="1"/>
        <n x="70" s="1"/>
        <n x="2" s="1"/>
        <n x="68"/>
        <n x="76"/>
        <n x="64"/>
      </t>
    </mdx>
    <mdx n="0" f="v">
      <t c="8">
        <n x="7" s="1"/>
        <n x="69" s="1"/>
        <n x="3" s="1"/>
        <n x="70" s="1"/>
        <n x="2" s="1"/>
        <n x="68"/>
        <n x="76"/>
        <n x="65"/>
      </t>
    </mdx>
    <mdx n="0" f="v">
      <t c="8">
        <n x="7" s="1"/>
        <n x="69" s="1"/>
        <n x="3" s="1"/>
        <n x="70" s="1"/>
        <n x="2" s="1"/>
        <n x="68"/>
        <n x="76"/>
        <n x="66"/>
      </t>
    </mdx>
    <mdx n="0" f="v">
      <t c="8">
        <n x="7" s="1"/>
        <n x="69" s="1"/>
        <n x="3" s="1"/>
        <n x="70" s="1"/>
        <n x="2" s="1"/>
        <n x="68"/>
        <n x="77"/>
        <n x="8"/>
      </t>
    </mdx>
    <mdx n="0" f="v">
      <t c="8">
        <n x="7" s="1"/>
        <n x="69" s="1"/>
        <n x="3" s="1"/>
        <n x="70" s="1"/>
        <n x="2" s="1"/>
        <n x="68"/>
        <n x="77"/>
        <n x="9"/>
      </t>
    </mdx>
    <mdx n="0" f="v">
      <t c="8">
        <n x="7" s="1"/>
        <n x="69" s="1"/>
        <n x="3" s="1"/>
        <n x="70" s="1"/>
        <n x="2" s="1"/>
        <n x="68"/>
        <n x="77"/>
        <n x="10"/>
      </t>
    </mdx>
    <mdx n="0" f="v">
      <t c="8">
        <n x="7" s="1"/>
        <n x="69" s="1"/>
        <n x="3" s="1"/>
        <n x="70" s="1"/>
        <n x="2" s="1"/>
        <n x="68"/>
        <n x="77"/>
        <n x="11"/>
      </t>
    </mdx>
    <mdx n="0" f="v">
      <t c="8">
        <n x="7" s="1"/>
        <n x="69" s="1"/>
        <n x="3" s="1"/>
        <n x="70" s="1"/>
        <n x="2" s="1"/>
        <n x="68"/>
        <n x="77"/>
        <n x="12"/>
      </t>
    </mdx>
    <mdx n="0" f="v">
      <t c="8">
        <n x="7" s="1"/>
        <n x="69" s="1"/>
        <n x="3" s="1"/>
        <n x="70" s="1"/>
        <n x="2" s="1"/>
        <n x="68"/>
        <n x="77"/>
        <n x="13"/>
      </t>
    </mdx>
    <mdx n="0" f="v">
      <t c="8">
        <n x="7" s="1"/>
        <n x="69" s="1"/>
        <n x="3" s="1"/>
        <n x="70" s="1"/>
        <n x="2" s="1"/>
        <n x="68"/>
        <n x="77"/>
        <n x="14"/>
      </t>
    </mdx>
    <mdx n="0" f="v">
      <t c="8">
        <n x="7" s="1"/>
        <n x="69" s="1"/>
        <n x="3" s="1"/>
        <n x="70" s="1"/>
        <n x="2" s="1"/>
        <n x="68"/>
        <n x="77"/>
        <n x="15"/>
      </t>
    </mdx>
    <mdx n="0" f="v">
      <t c="8">
        <n x="7" s="1"/>
        <n x="69" s="1"/>
        <n x="3" s="1"/>
        <n x="70" s="1"/>
        <n x="2" s="1"/>
        <n x="68"/>
        <n x="77"/>
        <n x="16"/>
      </t>
    </mdx>
    <mdx n="0" f="v">
      <t c="8">
        <n x="7" s="1"/>
        <n x="69" s="1"/>
        <n x="3" s="1"/>
        <n x="70" s="1"/>
        <n x="2" s="1"/>
        <n x="68"/>
        <n x="77"/>
        <n x="17"/>
      </t>
    </mdx>
    <mdx n="0" f="v">
      <t c="8">
        <n x="7" s="1"/>
        <n x="69" s="1"/>
        <n x="3" s="1"/>
        <n x="70" s="1"/>
        <n x="2" s="1"/>
        <n x="68"/>
        <n x="77"/>
        <n x="18"/>
      </t>
    </mdx>
    <mdx n="0" f="v">
      <t c="8">
        <n x="7" s="1"/>
        <n x="69" s="1"/>
        <n x="3" s="1"/>
        <n x="70" s="1"/>
        <n x="2" s="1"/>
        <n x="68"/>
        <n x="77"/>
        <n x="19"/>
      </t>
    </mdx>
    <mdx n="0" f="v">
      <t c="8">
        <n x="7" s="1"/>
        <n x="69" s="1"/>
        <n x="3" s="1"/>
        <n x="70" s="1"/>
        <n x="2" s="1"/>
        <n x="68"/>
        <n x="77"/>
        <n x="20"/>
      </t>
    </mdx>
    <mdx n="0" f="v">
      <t c="8">
        <n x="7" s="1"/>
        <n x="69" s="1"/>
        <n x="3" s="1"/>
        <n x="70" s="1"/>
        <n x="2" s="1"/>
        <n x="68"/>
        <n x="77"/>
        <n x="21"/>
      </t>
    </mdx>
    <mdx n="0" f="v">
      <t c="8">
        <n x="7" s="1"/>
        <n x="69" s="1"/>
        <n x="3" s="1"/>
        <n x="70" s="1"/>
        <n x="2" s="1"/>
        <n x="68"/>
        <n x="77"/>
        <n x="22"/>
      </t>
    </mdx>
    <mdx n="0" f="v">
      <t c="8">
        <n x="7" s="1"/>
        <n x="69" s="1"/>
        <n x="3" s="1"/>
        <n x="70" s="1"/>
        <n x="2" s="1"/>
        <n x="68"/>
        <n x="77"/>
        <n x="23"/>
      </t>
    </mdx>
    <mdx n="0" f="v">
      <t c="8">
        <n x="7" s="1"/>
        <n x="69" s="1"/>
        <n x="3" s="1"/>
        <n x="70" s="1"/>
        <n x="2" s="1"/>
        <n x="68"/>
        <n x="77"/>
        <n x="24"/>
      </t>
    </mdx>
    <mdx n="0" f="v">
      <t c="8">
        <n x="7" s="1"/>
        <n x="69" s="1"/>
        <n x="3" s="1"/>
        <n x="70" s="1"/>
        <n x="2" s="1"/>
        <n x="68"/>
        <n x="77"/>
        <n x="25"/>
      </t>
    </mdx>
    <mdx n="0" f="v">
      <t c="8">
        <n x="7" s="1"/>
        <n x="69" s="1"/>
        <n x="3" s="1"/>
        <n x="70" s="1"/>
        <n x="2" s="1"/>
        <n x="68"/>
        <n x="77"/>
        <n x="26"/>
      </t>
    </mdx>
    <mdx n="0" f="v">
      <t c="8">
        <n x="7" s="1"/>
        <n x="69" s="1"/>
        <n x="3" s="1"/>
        <n x="70" s="1"/>
        <n x="2" s="1"/>
        <n x="68"/>
        <n x="77"/>
        <n x="27"/>
      </t>
    </mdx>
    <mdx n="0" f="v">
      <t c="8">
        <n x="7" s="1"/>
        <n x="69" s="1"/>
        <n x="3" s="1"/>
        <n x="70" s="1"/>
        <n x="2" s="1"/>
        <n x="68"/>
        <n x="77"/>
        <n x="28"/>
      </t>
    </mdx>
    <mdx n="0" f="v">
      <t c="8">
        <n x="7" s="1"/>
        <n x="69" s="1"/>
        <n x="3" s="1"/>
        <n x="70" s="1"/>
        <n x="2" s="1"/>
        <n x="68"/>
        <n x="77"/>
        <n x="29"/>
      </t>
    </mdx>
    <mdx n="0" f="v">
      <t c="8">
        <n x="7" s="1"/>
        <n x="69" s="1"/>
        <n x="3" s="1"/>
        <n x="70" s="1"/>
        <n x="2" s="1"/>
        <n x="68"/>
        <n x="77"/>
        <n x="30"/>
      </t>
    </mdx>
    <mdx n="0" f="v">
      <t c="8">
        <n x="7" s="1"/>
        <n x="69" s="1"/>
        <n x="3" s="1"/>
        <n x="70" s="1"/>
        <n x="2" s="1"/>
        <n x="68"/>
        <n x="77"/>
        <n x="31"/>
      </t>
    </mdx>
    <mdx n="0" f="v">
      <t c="8">
        <n x="7" s="1"/>
        <n x="69" s="1"/>
        <n x="3" s="1"/>
        <n x="70" s="1"/>
        <n x="2" s="1"/>
        <n x="68"/>
        <n x="77"/>
        <n x="32"/>
      </t>
    </mdx>
    <mdx n="0" f="v">
      <t c="8">
        <n x="7" s="1"/>
        <n x="69" s="1"/>
        <n x="3" s="1"/>
        <n x="70" s="1"/>
        <n x="2" s="1"/>
        <n x="68"/>
        <n x="77"/>
        <n x="33"/>
      </t>
    </mdx>
    <mdx n="0" f="v">
      <t c="8">
        <n x="7" s="1"/>
        <n x="69" s="1"/>
        <n x="3" s="1"/>
        <n x="70" s="1"/>
        <n x="2" s="1"/>
        <n x="68"/>
        <n x="77"/>
        <n x="34"/>
      </t>
    </mdx>
    <mdx n="0" f="v">
      <t c="8">
        <n x="7" s="1"/>
        <n x="69" s="1"/>
        <n x="3" s="1"/>
        <n x="70" s="1"/>
        <n x="2" s="1"/>
        <n x="68"/>
        <n x="77"/>
        <n x="35"/>
      </t>
    </mdx>
    <mdx n="0" f="v">
      <t c="8">
        <n x="7" s="1"/>
        <n x="69" s="1"/>
        <n x="3" s="1"/>
        <n x="70" s="1"/>
        <n x="2" s="1"/>
        <n x="68"/>
        <n x="77"/>
        <n x="36"/>
      </t>
    </mdx>
    <mdx n="0" f="v">
      <t c="8">
        <n x="7" s="1"/>
        <n x="69" s="1"/>
        <n x="3" s="1"/>
        <n x="70" s="1"/>
        <n x="2" s="1"/>
        <n x="68"/>
        <n x="77"/>
        <n x="37"/>
      </t>
    </mdx>
    <mdx n="0" f="v">
      <t c="8">
        <n x="7" s="1"/>
        <n x="69" s="1"/>
        <n x="3" s="1"/>
        <n x="70" s="1"/>
        <n x="2" s="1"/>
        <n x="68"/>
        <n x="77"/>
        <n x="38"/>
      </t>
    </mdx>
    <mdx n="0" f="v">
      <t c="8">
        <n x="7" s="1"/>
        <n x="69" s="1"/>
        <n x="3" s="1"/>
        <n x="70" s="1"/>
        <n x="2" s="1"/>
        <n x="68"/>
        <n x="77"/>
        <n x="39"/>
      </t>
    </mdx>
    <mdx n="0" f="v">
      <t c="8">
        <n x="7" s="1"/>
        <n x="69" s="1"/>
        <n x="3" s="1"/>
        <n x="70" s="1"/>
        <n x="2" s="1"/>
        <n x="68"/>
        <n x="77"/>
        <n x="40"/>
      </t>
    </mdx>
    <mdx n="0" f="v">
      <t c="8">
        <n x="7" s="1"/>
        <n x="69" s="1"/>
        <n x="3" s="1"/>
        <n x="70" s="1"/>
        <n x="2" s="1"/>
        <n x="68"/>
        <n x="77"/>
        <n x="41"/>
      </t>
    </mdx>
    <mdx n="0" f="v">
      <t c="8">
        <n x="7" s="1"/>
        <n x="69" s="1"/>
        <n x="3" s="1"/>
        <n x="70" s="1"/>
        <n x="2" s="1"/>
        <n x="68"/>
        <n x="77"/>
        <n x="42"/>
      </t>
    </mdx>
    <mdx n="0" f="v">
      <t c="8">
        <n x="7" s="1"/>
        <n x="69" s="1"/>
        <n x="3" s="1"/>
        <n x="70" s="1"/>
        <n x="2" s="1"/>
        <n x="68"/>
        <n x="77"/>
        <n x="43"/>
      </t>
    </mdx>
    <mdx n="0" f="v">
      <t c="8">
        <n x="7" s="1"/>
        <n x="69" s="1"/>
        <n x="3" s="1"/>
        <n x="70" s="1"/>
        <n x="2" s="1"/>
        <n x="68"/>
        <n x="77"/>
        <n x="44"/>
      </t>
    </mdx>
    <mdx n="0" f="v">
      <t c="8">
        <n x="7" s="1"/>
        <n x="69" s="1"/>
        <n x="3" s="1"/>
        <n x="70" s="1"/>
        <n x="2" s="1"/>
        <n x="68"/>
        <n x="77"/>
        <n x="45"/>
      </t>
    </mdx>
    <mdx n="0" f="v">
      <t c="8">
        <n x="7" s="1"/>
        <n x="69" s="1"/>
        <n x="3" s="1"/>
        <n x="70" s="1"/>
        <n x="2" s="1"/>
        <n x="68"/>
        <n x="77"/>
        <n x="46"/>
      </t>
    </mdx>
    <mdx n="0" f="v">
      <t c="8">
        <n x="7" s="1"/>
        <n x="69" s="1"/>
        <n x="3" s="1"/>
        <n x="70" s="1"/>
        <n x="2" s="1"/>
        <n x="68"/>
        <n x="77"/>
        <n x="47"/>
      </t>
    </mdx>
    <mdx n="0" f="v">
      <t c="8">
        <n x="7" s="1"/>
        <n x="69" s="1"/>
        <n x="3" s="1"/>
        <n x="70" s="1"/>
        <n x="2" s="1"/>
        <n x="68"/>
        <n x="77"/>
        <n x="48"/>
      </t>
    </mdx>
    <mdx n="0" f="v">
      <t c="8">
        <n x="7" s="1"/>
        <n x="69" s="1"/>
        <n x="3" s="1"/>
        <n x="70" s="1"/>
        <n x="2" s="1"/>
        <n x="68"/>
        <n x="77"/>
        <n x="49"/>
      </t>
    </mdx>
    <mdx n="0" f="v">
      <t c="8">
        <n x="7" s="1"/>
        <n x="69" s="1"/>
        <n x="3" s="1"/>
        <n x="70" s="1"/>
        <n x="2" s="1"/>
        <n x="68"/>
        <n x="77"/>
        <n x="50"/>
      </t>
    </mdx>
    <mdx n="0" f="v">
      <t c="8">
        <n x="7" s="1"/>
        <n x="69" s="1"/>
        <n x="3" s="1"/>
        <n x="70" s="1"/>
        <n x="2" s="1"/>
        <n x="68"/>
        <n x="77"/>
        <n x="51"/>
      </t>
    </mdx>
    <mdx n="0" f="v">
      <t c="8">
        <n x="7" s="1"/>
        <n x="69" s="1"/>
        <n x="3" s="1"/>
        <n x="70" s="1"/>
        <n x="2" s="1"/>
        <n x="68"/>
        <n x="77"/>
        <n x="52"/>
      </t>
    </mdx>
    <mdx n="0" f="v">
      <t c="8">
        <n x="7" s="1"/>
        <n x="69" s="1"/>
        <n x="3" s="1"/>
        <n x="70" s="1"/>
        <n x="2" s="1"/>
        <n x="68"/>
        <n x="77"/>
        <n x="53"/>
      </t>
    </mdx>
    <mdx n="0" f="v">
      <t c="8">
        <n x="7" s="1"/>
        <n x="69" s="1"/>
        <n x="3" s="1"/>
        <n x="70" s="1"/>
        <n x="2" s="1"/>
        <n x="68"/>
        <n x="77"/>
        <n x="54"/>
      </t>
    </mdx>
    <mdx n="0" f="v">
      <t c="8">
        <n x="7" s="1"/>
        <n x="69" s="1"/>
        <n x="3" s="1"/>
        <n x="70" s="1"/>
        <n x="2" s="1"/>
        <n x="68"/>
        <n x="77"/>
        <n x="55"/>
      </t>
    </mdx>
    <mdx n="0" f="v">
      <t c="8">
        <n x="7" s="1"/>
        <n x="69" s="1"/>
        <n x="3" s="1"/>
        <n x="70" s="1"/>
        <n x="2" s="1"/>
        <n x="68"/>
        <n x="77"/>
        <n x="56"/>
      </t>
    </mdx>
    <mdx n="0" f="v">
      <t c="8">
        <n x="7" s="1"/>
        <n x="69" s="1"/>
        <n x="3" s="1"/>
        <n x="70" s="1"/>
        <n x="2" s="1"/>
        <n x="68"/>
        <n x="77"/>
        <n x="57"/>
      </t>
    </mdx>
    <mdx n="0" f="v">
      <t c="8">
        <n x="7" s="1"/>
        <n x="69" s="1"/>
        <n x="3" s="1"/>
        <n x="70" s="1"/>
        <n x="2" s="1"/>
        <n x="68"/>
        <n x="77"/>
        <n x="58"/>
      </t>
    </mdx>
    <mdx n="0" f="v">
      <t c="8">
        <n x="7" s="1"/>
        <n x="69" s="1"/>
        <n x="3" s="1"/>
        <n x="70" s="1"/>
        <n x="2" s="1"/>
        <n x="68"/>
        <n x="77"/>
        <n x="59"/>
      </t>
    </mdx>
    <mdx n="0" f="v">
      <t c="8">
        <n x="7" s="1"/>
        <n x="69" s="1"/>
        <n x="3" s="1"/>
        <n x="70" s="1"/>
        <n x="2" s="1"/>
        <n x="68"/>
        <n x="77"/>
        <n x="60"/>
      </t>
    </mdx>
    <mdx n="0" f="v">
      <t c="8">
        <n x="7" s="1"/>
        <n x="69" s="1"/>
        <n x="3" s="1"/>
        <n x="70" s="1"/>
        <n x="2" s="1"/>
        <n x="68"/>
        <n x="77"/>
        <n x="61"/>
      </t>
    </mdx>
    <mdx n="0" f="v">
      <t c="8">
        <n x="7" s="1"/>
        <n x="69" s="1"/>
        <n x="3" s="1"/>
        <n x="70" s="1"/>
        <n x="2" s="1"/>
        <n x="68"/>
        <n x="77"/>
        <n x="62"/>
      </t>
    </mdx>
    <mdx n="0" f="v">
      <t c="8">
        <n x="7" s="1"/>
        <n x="69" s="1"/>
        <n x="3" s="1"/>
        <n x="70" s="1"/>
        <n x="2" s="1"/>
        <n x="68"/>
        <n x="77"/>
        <n x="63"/>
      </t>
    </mdx>
    <mdx n="0" f="v">
      <t c="8">
        <n x="7" s="1"/>
        <n x="69" s="1"/>
        <n x="3" s="1"/>
        <n x="70" s="1"/>
        <n x="2" s="1"/>
        <n x="68"/>
        <n x="77"/>
        <n x="64"/>
      </t>
    </mdx>
    <mdx n="0" f="v">
      <t c="8">
        <n x="7" s="1"/>
        <n x="69" s="1"/>
        <n x="3" s="1"/>
        <n x="70" s="1"/>
        <n x="2" s="1"/>
        <n x="68"/>
        <n x="77"/>
        <n x="65"/>
      </t>
    </mdx>
    <mdx n="0" f="v">
      <t c="8">
        <n x="7" s="1"/>
        <n x="69" s="1"/>
        <n x="3" s="1"/>
        <n x="70" s="1"/>
        <n x="2" s="1"/>
        <n x="68"/>
        <n x="77"/>
        <n x="66"/>
      </t>
    </mdx>
    <mdx n="0" f="v">
      <t c="8">
        <n x="7" s="1"/>
        <n x="69" s="1"/>
        <n x="3" s="1"/>
        <n x="70" s="1"/>
        <n x="2" s="1"/>
        <n x="68"/>
        <n x="78"/>
        <n x="8"/>
      </t>
    </mdx>
    <mdx n="0" f="v">
      <t c="8">
        <n x="7" s="1"/>
        <n x="69" s="1"/>
        <n x="3" s="1"/>
        <n x="70" s="1"/>
        <n x="2" s="1"/>
        <n x="68"/>
        <n x="78"/>
        <n x="9"/>
      </t>
    </mdx>
    <mdx n="0" f="v">
      <t c="8">
        <n x="7" s="1"/>
        <n x="69" s="1"/>
        <n x="3" s="1"/>
        <n x="70" s="1"/>
        <n x="2" s="1"/>
        <n x="68"/>
        <n x="78"/>
        <n x="10"/>
      </t>
    </mdx>
    <mdx n="0" f="v">
      <t c="8">
        <n x="7" s="1"/>
        <n x="69" s="1"/>
        <n x="3" s="1"/>
        <n x="70" s="1"/>
        <n x="2" s="1"/>
        <n x="68"/>
        <n x="78"/>
        <n x="11"/>
      </t>
    </mdx>
    <mdx n="0" f="v">
      <t c="8">
        <n x="7" s="1"/>
        <n x="69" s="1"/>
        <n x="3" s="1"/>
        <n x="70" s="1"/>
        <n x="2" s="1"/>
        <n x="68"/>
        <n x="78"/>
        <n x="12"/>
      </t>
    </mdx>
    <mdx n="0" f="v">
      <t c="8">
        <n x="7" s="1"/>
        <n x="69" s="1"/>
        <n x="3" s="1"/>
        <n x="70" s="1"/>
        <n x="2" s="1"/>
        <n x="68"/>
        <n x="78"/>
        <n x="13"/>
      </t>
    </mdx>
    <mdx n="0" f="v">
      <t c="8">
        <n x="7" s="1"/>
        <n x="69" s="1"/>
        <n x="3" s="1"/>
        <n x="70" s="1"/>
        <n x="2" s="1"/>
        <n x="68"/>
        <n x="78"/>
        <n x="14"/>
      </t>
    </mdx>
    <mdx n="0" f="v">
      <t c="8">
        <n x="7" s="1"/>
        <n x="69" s="1"/>
        <n x="3" s="1"/>
        <n x="70" s="1"/>
        <n x="2" s="1"/>
        <n x="68"/>
        <n x="78"/>
        <n x="15"/>
      </t>
    </mdx>
    <mdx n="0" f="v">
      <t c="8">
        <n x="7" s="1"/>
        <n x="69" s="1"/>
        <n x="3" s="1"/>
        <n x="70" s="1"/>
        <n x="2" s="1"/>
        <n x="68"/>
        <n x="78"/>
        <n x="16"/>
      </t>
    </mdx>
    <mdx n="0" f="v">
      <t c="8">
        <n x="7" s="1"/>
        <n x="69" s="1"/>
        <n x="3" s="1"/>
        <n x="70" s="1"/>
        <n x="2" s="1"/>
        <n x="68"/>
        <n x="78"/>
        <n x="17"/>
      </t>
    </mdx>
    <mdx n="0" f="v">
      <t c="8">
        <n x="7" s="1"/>
        <n x="69" s="1"/>
        <n x="3" s="1"/>
        <n x="70" s="1"/>
        <n x="2" s="1"/>
        <n x="68"/>
        <n x="78"/>
        <n x="18"/>
      </t>
    </mdx>
    <mdx n="0" f="v">
      <t c="8">
        <n x="7" s="1"/>
        <n x="69" s="1"/>
        <n x="3" s="1"/>
        <n x="70" s="1"/>
        <n x="2" s="1"/>
        <n x="68"/>
        <n x="78"/>
        <n x="19"/>
      </t>
    </mdx>
    <mdx n="0" f="v">
      <t c="8">
        <n x="7" s="1"/>
        <n x="69" s="1"/>
        <n x="3" s="1"/>
        <n x="70" s="1"/>
        <n x="2" s="1"/>
        <n x="68"/>
        <n x="78"/>
        <n x="20"/>
      </t>
    </mdx>
    <mdx n="0" f="v">
      <t c="8">
        <n x="7" s="1"/>
        <n x="69" s="1"/>
        <n x="3" s="1"/>
        <n x="70" s="1"/>
        <n x="2" s="1"/>
        <n x="68"/>
        <n x="78"/>
        <n x="21"/>
      </t>
    </mdx>
    <mdx n="0" f="v">
      <t c="8">
        <n x="7" s="1"/>
        <n x="69" s="1"/>
        <n x="3" s="1"/>
        <n x="70" s="1"/>
        <n x="2" s="1"/>
        <n x="68"/>
        <n x="78"/>
        <n x="22"/>
      </t>
    </mdx>
    <mdx n="0" f="v">
      <t c="8">
        <n x="7" s="1"/>
        <n x="69" s="1"/>
        <n x="3" s="1"/>
        <n x="70" s="1"/>
        <n x="2" s="1"/>
        <n x="68"/>
        <n x="78"/>
        <n x="23"/>
      </t>
    </mdx>
    <mdx n="0" f="v">
      <t c="8">
        <n x="7" s="1"/>
        <n x="69" s="1"/>
        <n x="3" s="1"/>
        <n x="70" s="1"/>
        <n x="2" s="1"/>
        <n x="68"/>
        <n x="78"/>
        <n x="24"/>
      </t>
    </mdx>
    <mdx n="0" f="v">
      <t c="8">
        <n x="7" s="1"/>
        <n x="69" s="1"/>
        <n x="3" s="1"/>
        <n x="70" s="1"/>
        <n x="2" s="1"/>
        <n x="68"/>
        <n x="78"/>
        <n x="25"/>
      </t>
    </mdx>
    <mdx n="0" f="v">
      <t c="8">
        <n x="7" s="1"/>
        <n x="69" s="1"/>
        <n x="3" s="1"/>
        <n x="70" s="1"/>
        <n x="2" s="1"/>
        <n x="68"/>
        <n x="78"/>
        <n x="26"/>
      </t>
    </mdx>
    <mdx n="0" f="v">
      <t c="8">
        <n x="7" s="1"/>
        <n x="69" s="1"/>
        <n x="3" s="1"/>
        <n x="70" s="1"/>
        <n x="2" s="1"/>
        <n x="68"/>
        <n x="78"/>
        <n x="27"/>
      </t>
    </mdx>
    <mdx n="0" f="v">
      <t c="8">
        <n x="7" s="1"/>
        <n x="69" s="1"/>
        <n x="3" s="1"/>
        <n x="70" s="1"/>
        <n x="2" s="1"/>
        <n x="68"/>
        <n x="78"/>
        <n x="28"/>
      </t>
    </mdx>
    <mdx n="0" f="v">
      <t c="8">
        <n x="7" s="1"/>
        <n x="69" s="1"/>
        <n x="3" s="1"/>
        <n x="70" s="1"/>
        <n x="2" s="1"/>
        <n x="68"/>
        <n x="78"/>
        <n x="29"/>
      </t>
    </mdx>
    <mdx n="0" f="v">
      <t c="8">
        <n x="7" s="1"/>
        <n x="69" s="1"/>
        <n x="3" s="1"/>
        <n x="70" s="1"/>
        <n x="2" s="1"/>
        <n x="68"/>
        <n x="78"/>
        <n x="30"/>
      </t>
    </mdx>
    <mdx n="0" f="v">
      <t c="8">
        <n x="7" s="1"/>
        <n x="69" s="1"/>
        <n x="3" s="1"/>
        <n x="70" s="1"/>
        <n x="2" s="1"/>
        <n x="68"/>
        <n x="78"/>
        <n x="31"/>
      </t>
    </mdx>
    <mdx n="0" f="v">
      <t c="8">
        <n x="7" s="1"/>
        <n x="69" s="1"/>
        <n x="3" s="1"/>
        <n x="70" s="1"/>
        <n x="2" s="1"/>
        <n x="68"/>
        <n x="78"/>
        <n x="32"/>
      </t>
    </mdx>
    <mdx n="0" f="v">
      <t c="8">
        <n x="7" s="1"/>
        <n x="69" s="1"/>
        <n x="3" s="1"/>
        <n x="70" s="1"/>
        <n x="2" s="1"/>
        <n x="68"/>
        <n x="78"/>
        <n x="33"/>
      </t>
    </mdx>
    <mdx n="0" f="v">
      <t c="8">
        <n x="7" s="1"/>
        <n x="69" s="1"/>
        <n x="3" s="1"/>
        <n x="70" s="1"/>
        <n x="2" s="1"/>
        <n x="68"/>
        <n x="78"/>
        <n x="34"/>
      </t>
    </mdx>
    <mdx n="0" f="v">
      <t c="8">
        <n x="7" s="1"/>
        <n x="69" s="1"/>
        <n x="3" s="1"/>
        <n x="70" s="1"/>
        <n x="2" s="1"/>
        <n x="68"/>
        <n x="78"/>
        <n x="35"/>
      </t>
    </mdx>
    <mdx n="0" f="v">
      <t c="8">
        <n x="7" s="1"/>
        <n x="69" s="1"/>
        <n x="3" s="1"/>
        <n x="70" s="1"/>
        <n x="2" s="1"/>
        <n x="68"/>
        <n x="78"/>
        <n x="36"/>
      </t>
    </mdx>
    <mdx n="0" f="v">
      <t c="8">
        <n x="7" s="1"/>
        <n x="69" s="1"/>
        <n x="3" s="1"/>
        <n x="70" s="1"/>
        <n x="2" s="1"/>
        <n x="68"/>
        <n x="78"/>
        <n x="37"/>
      </t>
    </mdx>
    <mdx n="0" f="v">
      <t c="8">
        <n x="7" s="1"/>
        <n x="69" s="1"/>
        <n x="3" s="1"/>
        <n x="70" s="1"/>
        <n x="2" s="1"/>
        <n x="68"/>
        <n x="78"/>
        <n x="38"/>
      </t>
    </mdx>
    <mdx n="0" f="v">
      <t c="8">
        <n x="7" s="1"/>
        <n x="69" s="1"/>
        <n x="3" s="1"/>
        <n x="70" s="1"/>
        <n x="2" s="1"/>
        <n x="68"/>
        <n x="78"/>
        <n x="39"/>
      </t>
    </mdx>
    <mdx n="0" f="v">
      <t c="8">
        <n x="7" s="1"/>
        <n x="69" s="1"/>
        <n x="3" s="1"/>
        <n x="70" s="1"/>
        <n x="2" s="1"/>
        <n x="68"/>
        <n x="78"/>
        <n x="40"/>
      </t>
    </mdx>
    <mdx n="0" f="v">
      <t c="8">
        <n x="7" s="1"/>
        <n x="69" s="1"/>
        <n x="3" s="1"/>
        <n x="70" s="1"/>
        <n x="2" s="1"/>
        <n x="68"/>
        <n x="78"/>
        <n x="41"/>
      </t>
    </mdx>
    <mdx n="0" f="v">
      <t c="8">
        <n x="7" s="1"/>
        <n x="69" s="1"/>
        <n x="3" s="1"/>
        <n x="70" s="1"/>
        <n x="2" s="1"/>
        <n x="68"/>
        <n x="78"/>
        <n x="42"/>
      </t>
    </mdx>
    <mdx n="0" f="v">
      <t c="8">
        <n x="7" s="1"/>
        <n x="69" s="1"/>
        <n x="3" s="1"/>
        <n x="70" s="1"/>
        <n x="2" s="1"/>
        <n x="68"/>
        <n x="78"/>
        <n x="43"/>
      </t>
    </mdx>
    <mdx n="0" f="v">
      <t c="8">
        <n x="7" s="1"/>
        <n x="69" s="1"/>
        <n x="3" s="1"/>
        <n x="70" s="1"/>
        <n x="2" s="1"/>
        <n x="68"/>
        <n x="78"/>
        <n x="44"/>
      </t>
    </mdx>
    <mdx n="0" f="v">
      <t c="8">
        <n x="7" s="1"/>
        <n x="69" s="1"/>
        <n x="3" s="1"/>
        <n x="70" s="1"/>
        <n x="2" s="1"/>
        <n x="68"/>
        <n x="78"/>
        <n x="45"/>
      </t>
    </mdx>
    <mdx n="0" f="v">
      <t c="8">
        <n x="7" s="1"/>
        <n x="69" s="1"/>
        <n x="3" s="1"/>
        <n x="70" s="1"/>
        <n x="2" s="1"/>
        <n x="68"/>
        <n x="78"/>
        <n x="46"/>
      </t>
    </mdx>
    <mdx n="0" f="v">
      <t c="8">
        <n x="7" s="1"/>
        <n x="69" s="1"/>
        <n x="3" s="1"/>
        <n x="70" s="1"/>
        <n x="2" s="1"/>
        <n x="68"/>
        <n x="78"/>
        <n x="47"/>
      </t>
    </mdx>
    <mdx n="0" f="v">
      <t c="8">
        <n x="7" s="1"/>
        <n x="69" s="1"/>
        <n x="3" s="1"/>
        <n x="70" s="1"/>
        <n x="2" s="1"/>
        <n x="68"/>
        <n x="78"/>
        <n x="48"/>
      </t>
    </mdx>
    <mdx n="0" f="v">
      <t c="8">
        <n x="7" s="1"/>
        <n x="69" s="1"/>
        <n x="3" s="1"/>
        <n x="70" s="1"/>
        <n x="2" s="1"/>
        <n x="68"/>
        <n x="78"/>
        <n x="49"/>
      </t>
    </mdx>
    <mdx n="0" f="v">
      <t c="8">
        <n x="7" s="1"/>
        <n x="69" s="1"/>
        <n x="3" s="1"/>
        <n x="70" s="1"/>
        <n x="2" s="1"/>
        <n x="68"/>
        <n x="78"/>
        <n x="50"/>
      </t>
    </mdx>
    <mdx n="0" f="v">
      <t c="8">
        <n x="7" s="1"/>
        <n x="69" s="1"/>
        <n x="3" s="1"/>
        <n x="70" s="1"/>
        <n x="2" s="1"/>
        <n x="68"/>
        <n x="78"/>
        <n x="51"/>
      </t>
    </mdx>
    <mdx n="0" f="v">
      <t c="8">
        <n x="7" s="1"/>
        <n x="69" s="1"/>
        <n x="3" s="1"/>
        <n x="70" s="1"/>
        <n x="2" s="1"/>
        <n x="68"/>
        <n x="78"/>
        <n x="52"/>
      </t>
    </mdx>
    <mdx n="0" f="v">
      <t c="8">
        <n x="7" s="1"/>
        <n x="69" s="1"/>
        <n x="3" s="1"/>
        <n x="70" s="1"/>
        <n x="2" s="1"/>
        <n x="68"/>
        <n x="78"/>
        <n x="53"/>
      </t>
    </mdx>
    <mdx n="0" f="v">
      <t c="8">
        <n x="7" s="1"/>
        <n x="69" s="1"/>
        <n x="3" s="1"/>
        <n x="70" s="1"/>
        <n x="2" s="1"/>
        <n x="68"/>
        <n x="78"/>
        <n x="54"/>
      </t>
    </mdx>
    <mdx n="0" f="v">
      <t c="8">
        <n x="7" s="1"/>
        <n x="69" s="1"/>
        <n x="3" s="1"/>
        <n x="70" s="1"/>
        <n x="2" s="1"/>
        <n x="68"/>
        <n x="78"/>
        <n x="55"/>
      </t>
    </mdx>
    <mdx n="0" f="v">
      <t c="8">
        <n x="7" s="1"/>
        <n x="69" s="1"/>
        <n x="3" s="1"/>
        <n x="70" s="1"/>
        <n x="2" s="1"/>
        <n x="68"/>
        <n x="78"/>
        <n x="56"/>
      </t>
    </mdx>
    <mdx n="0" f="v">
      <t c="8">
        <n x="7" s="1"/>
        <n x="69" s="1"/>
        <n x="3" s="1"/>
        <n x="70" s="1"/>
        <n x="2" s="1"/>
        <n x="68"/>
        <n x="78"/>
        <n x="57"/>
      </t>
    </mdx>
    <mdx n="0" f="v">
      <t c="8">
        <n x="7" s="1"/>
        <n x="69" s="1"/>
        <n x="3" s="1"/>
        <n x="70" s="1"/>
        <n x="2" s="1"/>
        <n x="68"/>
        <n x="78"/>
        <n x="58"/>
      </t>
    </mdx>
    <mdx n="0" f="v">
      <t c="8">
        <n x="7" s="1"/>
        <n x="69" s="1"/>
        <n x="3" s="1"/>
        <n x="70" s="1"/>
        <n x="2" s="1"/>
        <n x="68"/>
        <n x="78"/>
        <n x="59"/>
      </t>
    </mdx>
    <mdx n="0" f="v">
      <t c="8">
        <n x="7" s="1"/>
        <n x="69" s="1"/>
        <n x="3" s="1"/>
        <n x="70" s="1"/>
        <n x="2" s="1"/>
        <n x="68"/>
        <n x="78"/>
        <n x="60"/>
      </t>
    </mdx>
    <mdx n="0" f="v">
      <t c="8">
        <n x="7" s="1"/>
        <n x="69" s="1"/>
        <n x="3" s="1"/>
        <n x="70" s="1"/>
        <n x="2" s="1"/>
        <n x="68"/>
        <n x="78"/>
        <n x="61"/>
      </t>
    </mdx>
    <mdx n="0" f="v">
      <t c="8">
        <n x="7" s="1"/>
        <n x="69" s="1"/>
        <n x="3" s="1"/>
        <n x="70" s="1"/>
        <n x="2" s="1"/>
        <n x="68"/>
        <n x="78"/>
        <n x="62"/>
      </t>
    </mdx>
    <mdx n="0" f="v">
      <t c="8">
        <n x="7" s="1"/>
        <n x="69" s="1"/>
        <n x="3" s="1"/>
        <n x="70" s="1"/>
        <n x="2" s="1"/>
        <n x="68"/>
        <n x="78"/>
        <n x="63"/>
      </t>
    </mdx>
    <mdx n="0" f="v">
      <t c="8">
        <n x="7" s="1"/>
        <n x="69" s="1"/>
        <n x="3" s="1"/>
        <n x="70" s="1"/>
        <n x="2" s="1"/>
        <n x="68"/>
        <n x="78"/>
        <n x="64"/>
      </t>
    </mdx>
    <mdx n="0" f="v">
      <t c="8">
        <n x="7" s="1"/>
        <n x="69" s="1"/>
        <n x="3" s="1"/>
        <n x="70" s="1"/>
        <n x="2" s="1"/>
        <n x="68"/>
        <n x="78"/>
        <n x="65"/>
      </t>
    </mdx>
    <mdx n="0" f="v">
      <t c="8">
        <n x="7" s="1"/>
        <n x="69" s="1"/>
        <n x="3" s="1"/>
        <n x="70" s="1"/>
        <n x="2" s="1"/>
        <n x="68"/>
        <n x="78"/>
        <n x="66"/>
      </t>
    </mdx>
    <mdx n="0" f="v">
      <t c="8">
        <n x="7" s="1"/>
        <n x="69" s="1"/>
        <n x="3" s="1"/>
        <n x="70" s="1"/>
        <n x="2" s="1"/>
        <n x="68"/>
        <n x="79"/>
        <n x="8"/>
      </t>
    </mdx>
    <mdx n="0" f="v">
      <t c="8">
        <n x="7" s="1"/>
        <n x="69" s="1"/>
        <n x="3" s="1"/>
        <n x="70" s="1"/>
        <n x="2" s="1"/>
        <n x="68"/>
        <n x="79"/>
        <n x="9"/>
      </t>
    </mdx>
    <mdx n="0" f="v">
      <t c="8">
        <n x="7" s="1"/>
        <n x="69" s="1"/>
        <n x="3" s="1"/>
        <n x="70" s="1"/>
        <n x="2" s="1"/>
        <n x="68"/>
        <n x="79"/>
        <n x="10"/>
      </t>
    </mdx>
    <mdx n="0" f="v">
      <t c="8">
        <n x="7" s="1"/>
        <n x="69" s="1"/>
        <n x="3" s="1"/>
        <n x="70" s="1"/>
        <n x="2" s="1"/>
        <n x="68"/>
        <n x="79"/>
        <n x="11"/>
      </t>
    </mdx>
    <mdx n="0" f="v">
      <t c="8">
        <n x="7" s="1"/>
        <n x="69" s="1"/>
        <n x="3" s="1"/>
        <n x="70" s="1"/>
        <n x="2" s="1"/>
        <n x="68"/>
        <n x="79"/>
        <n x="12"/>
      </t>
    </mdx>
    <mdx n="0" f="v">
      <t c="8">
        <n x="7" s="1"/>
        <n x="69" s="1"/>
        <n x="3" s="1"/>
        <n x="70" s="1"/>
        <n x="2" s="1"/>
        <n x="68"/>
        <n x="79"/>
        <n x="13"/>
      </t>
    </mdx>
    <mdx n="0" f="v">
      <t c="8">
        <n x="7" s="1"/>
        <n x="69" s="1"/>
        <n x="3" s="1"/>
        <n x="70" s="1"/>
        <n x="2" s="1"/>
        <n x="68"/>
        <n x="79"/>
        <n x="14"/>
      </t>
    </mdx>
    <mdx n="0" f="v">
      <t c="8">
        <n x="7" s="1"/>
        <n x="69" s="1"/>
        <n x="3" s="1"/>
        <n x="70" s="1"/>
        <n x="2" s="1"/>
        <n x="68"/>
        <n x="79"/>
        <n x="15"/>
      </t>
    </mdx>
    <mdx n="0" f="v">
      <t c="8">
        <n x="7" s="1"/>
        <n x="69" s="1"/>
        <n x="3" s="1"/>
        <n x="70" s="1"/>
        <n x="2" s="1"/>
        <n x="68"/>
        <n x="79"/>
        <n x="16"/>
      </t>
    </mdx>
    <mdx n="0" f="v">
      <t c="8">
        <n x="7" s="1"/>
        <n x="69" s="1"/>
        <n x="3" s="1"/>
        <n x="70" s="1"/>
        <n x="2" s="1"/>
        <n x="68"/>
        <n x="79"/>
        <n x="17"/>
      </t>
    </mdx>
    <mdx n="0" f="v">
      <t c="8">
        <n x="7" s="1"/>
        <n x="69" s="1"/>
        <n x="3" s="1"/>
        <n x="70" s="1"/>
        <n x="2" s="1"/>
        <n x="68"/>
        <n x="79"/>
        <n x="18"/>
      </t>
    </mdx>
    <mdx n="0" f="v">
      <t c="8">
        <n x="7" s="1"/>
        <n x="69" s="1"/>
        <n x="3" s="1"/>
        <n x="70" s="1"/>
        <n x="2" s="1"/>
        <n x="68"/>
        <n x="79"/>
        <n x="19"/>
      </t>
    </mdx>
    <mdx n="0" f="v">
      <t c="8">
        <n x="7" s="1"/>
        <n x="69" s="1"/>
        <n x="3" s="1"/>
        <n x="70" s="1"/>
        <n x="2" s="1"/>
        <n x="68"/>
        <n x="79"/>
        <n x="20"/>
      </t>
    </mdx>
    <mdx n="0" f="v">
      <t c="8">
        <n x="7" s="1"/>
        <n x="69" s="1"/>
        <n x="3" s="1"/>
        <n x="70" s="1"/>
        <n x="2" s="1"/>
        <n x="68"/>
        <n x="79"/>
        <n x="21"/>
      </t>
    </mdx>
    <mdx n="0" f="v">
      <t c="8">
        <n x="7" s="1"/>
        <n x="69" s="1"/>
        <n x="3" s="1"/>
        <n x="70" s="1"/>
        <n x="2" s="1"/>
        <n x="68"/>
        <n x="79"/>
        <n x="22"/>
      </t>
    </mdx>
    <mdx n="0" f="v">
      <t c="8">
        <n x="7" s="1"/>
        <n x="69" s="1"/>
        <n x="3" s="1"/>
        <n x="70" s="1"/>
        <n x="2" s="1"/>
        <n x="68"/>
        <n x="79"/>
        <n x="23"/>
      </t>
    </mdx>
    <mdx n="0" f="v">
      <t c="8">
        <n x="7" s="1"/>
        <n x="69" s="1"/>
        <n x="3" s="1"/>
        <n x="70" s="1"/>
        <n x="2" s="1"/>
        <n x="68"/>
        <n x="79"/>
        <n x="24"/>
      </t>
    </mdx>
    <mdx n="0" f="v">
      <t c="8">
        <n x="7" s="1"/>
        <n x="69" s="1"/>
        <n x="3" s="1"/>
        <n x="70" s="1"/>
        <n x="2" s="1"/>
        <n x="68"/>
        <n x="79"/>
        <n x="25"/>
      </t>
    </mdx>
    <mdx n="0" f="v">
      <t c="8">
        <n x="7" s="1"/>
        <n x="69" s="1"/>
        <n x="3" s="1"/>
        <n x="70" s="1"/>
        <n x="2" s="1"/>
        <n x="68"/>
        <n x="79"/>
        <n x="26"/>
      </t>
    </mdx>
    <mdx n="0" f="v">
      <t c="8">
        <n x="7" s="1"/>
        <n x="69" s="1"/>
        <n x="3" s="1"/>
        <n x="70" s="1"/>
        <n x="2" s="1"/>
        <n x="68"/>
        <n x="79"/>
        <n x="27"/>
      </t>
    </mdx>
    <mdx n="0" f="v">
      <t c="8">
        <n x="7" s="1"/>
        <n x="69" s="1"/>
        <n x="3" s="1"/>
        <n x="70" s="1"/>
        <n x="2" s="1"/>
        <n x="68"/>
        <n x="79"/>
        <n x="28"/>
      </t>
    </mdx>
    <mdx n="0" f="v">
      <t c="8">
        <n x="7" s="1"/>
        <n x="69" s="1"/>
        <n x="3" s="1"/>
        <n x="70" s="1"/>
        <n x="2" s="1"/>
        <n x="68"/>
        <n x="79"/>
        <n x="29"/>
      </t>
    </mdx>
    <mdx n="0" f="v">
      <t c="8">
        <n x="7" s="1"/>
        <n x="69" s="1"/>
        <n x="3" s="1"/>
        <n x="70" s="1"/>
        <n x="2" s="1"/>
        <n x="68"/>
        <n x="79"/>
        <n x="30"/>
      </t>
    </mdx>
    <mdx n="0" f="v">
      <t c="8">
        <n x="7" s="1"/>
        <n x="69" s="1"/>
        <n x="3" s="1"/>
        <n x="70" s="1"/>
        <n x="2" s="1"/>
        <n x="68"/>
        <n x="79"/>
        <n x="31"/>
      </t>
    </mdx>
    <mdx n="0" f="v">
      <t c="8">
        <n x="7" s="1"/>
        <n x="69" s="1"/>
        <n x="3" s="1"/>
        <n x="70" s="1"/>
        <n x="2" s="1"/>
        <n x="68"/>
        <n x="79"/>
        <n x="32"/>
      </t>
    </mdx>
    <mdx n="0" f="v">
      <t c="8">
        <n x="7" s="1"/>
        <n x="69" s="1"/>
        <n x="3" s="1"/>
        <n x="70" s="1"/>
        <n x="2" s="1"/>
        <n x="68"/>
        <n x="79"/>
        <n x="33"/>
      </t>
    </mdx>
    <mdx n="0" f="v">
      <t c="8">
        <n x="7" s="1"/>
        <n x="69" s="1"/>
        <n x="3" s="1"/>
        <n x="70" s="1"/>
        <n x="2" s="1"/>
        <n x="68"/>
        <n x="79"/>
        <n x="34"/>
      </t>
    </mdx>
    <mdx n="0" f="v">
      <t c="8">
        <n x="7" s="1"/>
        <n x="69" s="1"/>
        <n x="3" s="1"/>
        <n x="70" s="1"/>
        <n x="2" s="1"/>
        <n x="68"/>
        <n x="79"/>
        <n x="35"/>
      </t>
    </mdx>
    <mdx n="0" f="v">
      <t c="8">
        <n x="7" s="1"/>
        <n x="69" s="1"/>
        <n x="3" s="1"/>
        <n x="70" s="1"/>
        <n x="2" s="1"/>
        <n x="68"/>
        <n x="79"/>
        <n x="36"/>
      </t>
    </mdx>
    <mdx n="0" f="v">
      <t c="8">
        <n x="7" s="1"/>
        <n x="69" s="1"/>
        <n x="3" s="1"/>
        <n x="70" s="1"/>
        <n x="2" s="1"/>
        <n x="68"/>
        <n x="79"/>
        <n x="37"/>
      </t>
    </mdx>
    <mdx n="0" f="v">
      <t c="8">
        <n x="7" s="1"/>
        <n x="69" s="1"/>
        <n x="3" s="1"/>
        <n x="70" s="1"/>
        <n x="2" s="1"/>
        <n x="68"/>
        <n x="79"/>
        <n x="38"/>
      </t>
    </mdx>
    <mdx n="0" f="v">
      <t c="8">
        <n x="7" s="1"/>
        <n x="69" s="1"/>
        <n x="3" s="1"/>
        <n x="70" s="1"/>
        <n x="2" s="1"/>
        <n x="68"/>
        <n x="79"/>
        <n x="39"/>
      </t>
    </mdx>
    <mdx n="0" f="v">
      <t c="8">
        <n x="7" s="1"/>
        <n x="69" s="1"/>
        <n x="3" s="1"/>
        <n x="70" s="1"/>
        <n x="2" s="1"/>
        <n x="68"/>
        <n x="79"/>
        <n x="40"/>
      </t>
    </mdx>
    <mdx n="0" f="v">
      <t c="8">
        <n x="7" s="1"/>
        <n x="69" s="1"/>
        <n x="3" s="1"/>
        <n x="70" s="1"/>
        <n x="2" s="1"/>
        <n x="68"/>
        <n x="79"/>
        <n x="41"/>
      </t>
    </mdx>
    <mdx n="0" f="v">
      <t c="8">
        <n x="7" s="1"/>
        <n x="69" s="1"/>
        <n x="3" s="1"/>
        <n x="70" s="1"/>
        <n x="2" s="1"/>
        <n x="68"/>
        <n x="79"/>
        <n x="42"/>
      </t>
    </mdx>
    <mdx n="0" f="v">
      <t c="8">
        <n x="7" s="1"/>
        <n x="69" s="1"/>
        <n x="3" s="1"/>
        <n x="70" s="1"/>
        <n x="2" s="1"/>
        <n x="68"/>
        <n x="79"/>
        <n x="43"/>
      </t>
    </mdx>
    <mdx n="0" f="v">
      <t c="8">
        <n x="7" s="1"/>
        <n x="69" s="1"/>
        <n x="3" s="1"/>
        <n x="70" s="1"/>
        <n x="2" s="1"/>
        <n x="68"/>
        <n x="79"/>
        <n x="44"/>
      </t>
    </mdx>
    <mdx n="0" f="v">
      <t c="8">
        <n x="7" s="1"/>
        <n x="69" s="1"/>
        <n x="3" s="1"/>
        <n x="70" s="1"/>
        <n x="2" s="1"/>
        <n x="68"/>
        <n x="79"/>
        <n x="45"/>
      </t>
    </mdx>
    <mdx n="0" f="v">
      <t c="8">
        <n x="7" s="1"/>
        <n x="69" s="1"/>
        <n x="3" s="1"/>
        <n x="70" s="1"/>
        <n x="2" s="1"/>
        <n x="68"/>
        <n x="79"/>
        <n x="46"/>
      </t>
    </mdx>
    <mdx n="0" f="v">
      <t c="8">
        <n x="7" s="1"/>
        <n x="69" s="1"/>
        <n x="3" s="1"/>
        <n x="70" s="1"/>
        <n x="2" s="1"/>
        <n x="68"/>
        <n x="79"/>
        <n x="47"/>
      </t>
    </mdx>
    <mdx n="0" f="v">
      <t c="8">
        <n x="7" s="1"/>
        <n x="69" s="1"/>
        <n x="3" s="1"/>
        <n x="70" s="1"/>
        <n x="2" s="1"/>
        <n x="68"/>
        <n x="79"/>
        <n x="48"/>
      </t>
    </mdx>
    <mdx n="0" f="v">
      <t c="8">
        <n x="7" s="1"/>
        <n x="69" s="1"/>
        <n x="3" s="1"/>
        <n x="70" s="1"/>
        <n x="2" s="1"/>
        <n x="68"/>
        <n x="79"/>
        <n x="49"/>
      </t>
    </mdx>
    <mdx n="0" f="v">
      <t c="8">
        <n x="7" s="1"/>
        <n x="69" s="1"/>
        <n x="3" s="1"/>
        <n x="70" s="1"/>
        <n x="2" s="1"/>
        <n x="68"/>
        <n x="79"/>
        <n x="50"/>
      </t>
    </mdx>
    <mdx n="0" f="v">
      <t c="8">
        <n x="7" s="1"/>
        <n x="69" s="1"/>
        <n x="3" s="1"/>
        <n x="70" s="1"/>
        <n x="2" s="1"/>
        <n x="68"/>
        <n x="79"/>
        <n x="51"/>
      </t>
    </mdx>
    <mdx n="0" f="v">
      <t c="8">
        <n x="7" s="1"/>
        <n x="69" s="1"/>
        <n x="3" s="1"/>
        <n x="70" s="1"/>
        <n x="2" s="1"/>
        <n x="68"/>
        <n x="79"/>
        <n x="52"/>
      </t>
    </mdx>
    <mdx n="0" f="v">
      <t c="8">
        <n x="7" s="1"/>
        <n x="69" s="1"/>
        <n x="3" s="1"/>
        <n x="70" s="1"/>
        <n x="2" s="1"/>
        <n x="68"/>
        <n x="79"/>
        <n x="53"/>
      </t>
    </mdx>
    <mdx n="0" f="v">
      <t c="8">
        <n x="7" s="1"/>
        <n x="69" s="1"/>
        <n x="3" s="1"/>
        <n x="70" s="1"/>
        <n x="2" s="1"/>
        <n x="68"/>
        <n x="79"/>
        <n x="54"/>
      </t>
    </mdx>
    <mdx n="0" f="v">
      <t c="8">
        <n x="7" s="1"/>
        <n x="69" s="1"/>
        <n x="3" s="1"/>
        <n x="70" s="1"/>
        <n x="2" s="1"/>
        <n x="68"/>
        <n x="79"/>
        <n x="55"/>
      </t>
    </mdx>
    <mdx n="0" f="v">
      <t c="8">
        <n x="7" s="1"/>
        <n x="69" s="1"/>
        <n x="3" s="1"/>
        <n x="70" s="1"/>
        <n x="2" s="1"/>
        <n x="68"/>
        <n x="79"/>
        <n x="56"/>
      </t>
    </mdx>
    <mdx n="0" f="v">
      <t c="8">
        <n x="7" s="1"/>
        <n x="69" s="1"/>
        <n x="3" s="1"/>
        <n x="70" s="1"/>
        <n x="2" s="1"/>
        <n x="68"/>
        <n x="79"/>
        <n x="57"/>
      </t>
    </mdx>
    <mdx n="0" f="v">
      <t c="8">
        <n x="7" s="1"/>
        <n x="69" s="1"/>
        <n x="3" s="1"/>
        <n x="70" s="1"/>
        <n x="2" s="1"/>
        <n x="68"/>
        <n x="79"/>
        <n x="58"/>
      </t>
    </mdx>
    <mdx n="0" f="v">
      <t c="8">
        <n x="7" s="1"/>
        <n x="69" s="1"/>
        <n x="3" s="1"/>
        <n x="70" s="1"/>
        <n x="2" s="1"/>
        <n x="68"/>
        <n x="79"/>
        <n x="59"/>
      </t>
    </mdx>
    <mdx n="0" f="v">
      <t c="8">
        <n x="7" s="1"/>
        <n x="69" s="1"/>
        <n x="3" s="1"/>
        <n x="70" s="1"/>
        <n x="2" s="1"/>
        <n x="68"/>
        <n x="79"/>
        <n x="60"/>
      </t>
    </mdx>
    <mdx n="0" f="v">
      <t c="8">
        <n x="7" s="1"/>
        <n x="69" s="1"/>
        <n x="3" s="1"/>
        <n x="70" s="1"/>
        <n x="2" s="1"/>
        <n x="68"/>
        <n x="79"/>
        <n x="61"/>
      </t>
    </mdx>
    <mdx n="0" f="v">
      <t c="8">
        <n x="7" s="1"/>
        <n x="69" s="1"/>
        <n x="3" s="1"/>
        <n x="70" s="1"/>
        <n x="2" s="1"/>
        <n x="68"/>
        <n x="79"/>
        <n x="62"/>
      </t>
    </mdx>
    <mdx n="0" f="v">
      <t c="8">
        <n x="7" s="1"/>
        <n x="69" s="1"/>
        <n x="3" s="1"/>
        <n x="70" s="1"/>
        <n x="2" s="1"/>
        <n x="68"/>
        <n x="79"/>
        <n x="63"/>
      </t>
    </mdx>
    <mdx n="0" f="v">
      <t c="8">
        <n x="7" s="1"/>
        <n x="69" s="1"/>
        <n x="3" s="1"/>
        <n x="70" s="1"/>
        <n x="2" s="1"/>
        <n x="68"/>
        <n x="79"/>
        <n x="64"/>
      </t>
    </mdx>
    <mdx n="0" f="v">
      <t c="8">
        <n x="7" s="1"/>
        <n x="69" s="1"/>
        <n x="3" s="1"/>
        <n x="70" s="1"/>
        <n x="2" s="1"/>
        <n x="68"/>
        <n x="79"/>
        <n x="65"/>
      </t>
    </mdx>
    <mdx n="0" f="v">
      <t c="8">
        <n x="7" s="1"/>
        <n x="69" s="1"/>
        <n x="3" s="1"/>
        <n x="70" s="1"/>
        <n x="2" s="1"/>
        <n x="68"/>
        <n x="79"/>
        <n x="66"/>
      </t>
    </mdx>
    <mdx n="0" f="v">
      <t c="8">
        <n x="7" s="1"/>
        <n x="69" s="1"/>
        <n x="3" s="1"/>
        <n x="70" s="1"/>
        <n x="2" s="1"/>
        <n x="68"/>
        <n x="80"/>
        <n x="8"/>
      </t>
    </mdx>
    <mdx n="0" f="v">
      <t c="8">
        <n x="7" s="1"/>
        <n x="69" s="1"/>
        <n x="3" s="1"/>
        <n x="70" s="1"/>
        <n x="2" s="1"/>
        <n x="68"/>
        <n x="80"/>
        <n x="9"/>
      </t>
    </mdx>
    <mdx n="0" f="v">
      <t c="8">
        <n x="7" s="1"/>
        <n x="69" s="1"/>
        <n x="3" s="1"/>
        <n x="70" s="1"/>
        <n x="2" s="1"/>
        <n x="68"/>
        <n x="80"/>
        <n x="10"/>
      </t>
    </mdx>
    <mdx n="0" f="v">
      <t c="8">
        <n x="7" s="1"/>
        <n x="69" s="1"/>
        <n x="3" s="1"/>
        <n x="70" s="1"/>
        <n x="2" s="1"/>
        <n x="68"/>
        <n x="80"/>
        <n x="11"/>
      </t>
    </mdx>
    <mdx n="0" f="v">
      <t c="8">
        <n x="7" s="1"/>
        <n x="69" s="1"/>
        <n x="3" s="1"/>
        <n x="70" s="1"/>
        <n x="2" s="1"/>
        <n x="68"/>
        <n x="80"/>
        <n x="12"/>
      </t>
    </mdx>
    <mdx n="0" f="v">
      <t c="8">
        <n x="7" s="1"/>
        <n x="69" s="1"/>
        <n x="3" s="1"/>
        <n x="70" s="1"/>
        <n x="2" s="1"/>
        <n x="68"/>
        <n x="80"/>
        <n x="13"/>
      </t>
    </mdx>
    <mdx n="0" f="v">
      <t c="8">
        <n x="7" s="1"/>
        <n x="69" s="1"/>
        <n x="3" s="1"/>
        <n x="70" s="1"/>
        <n x="2" s="1"/>
        <n x="68"/>
        <n x="80"/>
        <n x="14"/>
      </t>
    </mdx>
    <mdx n="0" f="v">
      <t c="8">
        <n x="7" s="1"/>
        <n x="69" s="1"/>
        <n x="3" s="1"/>
        <n x="70" s="1"/>
        <n x="2" s="1"/>
        <n x="68"/>
        <n x="80"/>
        <n x="15"/>
      </t>
    </mdx>
    <mdx n="0" f="v">
      <t c="8">
        <n x="7" s="1"/>
        <n x="69" s="1"/>
        <n x="3" s="1"/>
        <n x="70" s="1"/>
        <n x="2" s="1"/>
        <n x="68"/>
        <n x="80"/>
        <n x="16"/>
      </t>
    </mdx>
    <mdx n="0" f="v">
      <t c="8">
        <n x="7" s="1"/>
        <n x="69" s="1"/>
        <n x="3" s="1"/>
        <n x="70" s="1"/>
        <n x="2" s="1"/>
        <n x="68"/>
        <n x="80"/>
        <n x="17"/>
      </t>
    </mdx>
    <mdx n="0" f="v">
      <t c="8">
        <n x="7" s="1"/>
        <n x="69" s="1"/>
        <n x="3" s="1"/>
        <n x="70" s="1"/>
        <n x="2" s="1"/>
        <n x="68"/>
        <n x="80"/>
        <n x="18"/>
      </t>
    </mdx>
    <mdx n="0" f="v">
      <t c="8">
        <n x="7" s="1"/>
        <n x="69" s="1"/>
        <n x="3" s="1"/>
        <n x="70" s="1"/>
        <n x="2" s="1"/>
        <n x="68"/>
        <n x="80"/>
        <n x="19"/>
      </t>
    </mdx>
    <mdx n="0" f="v">
      <t c="8">
        <n x="7" s="1"/>
        <n x="69" s="1"/>
        <n x="3" s="1"/>
        <n x="70" s="1"/>
        <n x="2" s="1"/>
        <n x="68"/>
        <n x="80"/>
        <n x="20"/>
      </t>
    </mdx>
    <mdx n="0" f="v">
      <t c="8">
        <n x="7" s="1"/>
        <n x="69" s="1"/>
        <n x="3" s="1"/>
        <n x="70" s="1"/>
        <n x="2" s="1"/>
        <n x="68"/>
        <n x="80"/>
        <n x="21"/>
      </t>
    </mdx>
    <mdx n="0" f="v">
      <t c="8">
        <n x="7" s="1"/>
        <n x="69" s="1"/>
        <n x="3" s="1"/>
        <n x="70" s="1"/>
        <n x="2" s="1"/>
        <n x="68"/>
        <n x="80"/>
        <n x="22"/>
      </t>
    </mdx>
    <mdx n="0" f="v">
      <t c="8">
        <n x="7" s="1"/>
        <n x="69" s="1"/>
        <n x="3" s="1"/>
        <n x="70" s="1"/>
        <n x="2" s="1"/>
        <n x="68"/>
        <n x="80"/>
        <n x="23"/>
      </t>
    </mdx>
    <mdx n="0" f="v">
      <t c="8">
        <n x="7" s="1"/>
        <n x="69" s="1"/>
        <n x="3" s="1"/>
        <n x="70" s="1"/>
        <n x="2" s="1"/>
        <n x="68"/>
        <n x="80"/>
        <n x="24"/>
      </t>
    </mdx>
    <mdx n="0" f="v">
      <t c="8">
        <n x="7" s="1"/>
        <n x="69" s="1"/>
        <n x="3" s="1"/>
        <n x="70" s="1"/>
        <n x="2" s="1"/>
        <n x="68"/>
        <n x="80"/>
        <n x="25"/>
      </t>
    </mdx>
    <mdx n="0" f="v">
      <t c="8">
        <n x="7" s="1"/>
        <n x="69" s="1"/>
        <n x="3" s="1"/>
        <n x="70" s="1"/>
        <n x="2" s="1"/>
        <n x="68"/>
        <n x="80"/>
        <n x="26"/>
      </t>
    </mdx>
    <mdx n="0" f="v">
      <t c="8">
        <n x="7" s="1"/>
        <n x="69" s="1"/>
        <n x="3" s="1"/>
        <n x="70" s="1"/>
        <n x="2" s="1"/>
        <n x="68"/>
        <n x="80"/>
        <n x="27"/>
      </t>
    </mdx>
    <mdx n="0" f="v">
      <t c="8">
        <n x="7" s="1"/>
        <n x="69" s="1"/>
        <n x="3" s="1"/>
        <n x="70" s="1"/>
        <n x="2" s="1"/>
        <n x="68"/>
        <n x="80"/>
        <n x="28"/>
      </t>
    </mdx>
    <mdx n="0" f="v">
      <t c="8">
        <n x="7" s="1"/>
        <n x="69" s="1"/>
        <n x="3" s="1"/>
        <n x="70" s="1"/>
        <n x="2" s="1"/>
        <n x="68"/>
        <n x="80"/>
        <n x="29"/>
      </t>
    </mdx>
    <mdx n="0" f="v">
      <t c="8">
        <n x="7" s="1"/>
        <n x="69" s="1"/>
        <n x="3" s="1"/>
        <n x="70" s="1"/>
        <n x="2" s="1"/>
        <n x="68"/>
        <n x="80"/>
        <n x="30"/>
      </t>
    </mdx>
    <mdx n="0" f="v">
      <t c="8">
        <n x="7" s="1"/>
        <n x="69" s="1"/>
        <n x="3" s="1"/>
        <n x="70" s="1"/>
        <n x="2" s="1"/>
        <n x="68"/>
        <n x="80"/>
        <n x="31"/>
      </t>
    </mdx>
    <mdx n="0" f="v">
      <t c="8">
        <n x="7" s="1"/>
        <n x="69" s="1"/>
        <n x="3" s="1"/>
        <n x="70" s="1"/>
        <n x="2" s="1"/>
        <n x="68"/>
        <n x="80"/>
        <n x="32"/>
      </t>
    </mdx>
    <mdx n="0" f="v">
      <t c="8">
        <n x="7" s="1"/>
        <n x="69" s="1"/>
        <n x="3" s="1"/>
        <n x="70" s="1"/>
        <n x="2" s="1"/>
        <n x="68"/>
        <n x="80"/>
        <n x="33"/>
      </t>
    </mdx>
    <mdx n="0" f="v">
      <t c="8">
        <n x="7" s="1"/>
        <n x="69" s="1"/>
        <n x="3" s="1"/>
        <n x="70" s="1"/>
        <n x="2" s="1"/>
        <n x="68"/>
        <n x="80"/>
        <n x="34"/>
      </t>
    </mdx>
    <mdx n="0" f="v">
      <t c="8">
        <n x="7" s="1"/>
        <n x="69" s="1"/>
        <n x="3" s="1"/>
        <n x="70" s="1"/>
        <n x="2" s="1"/>
        <n x="68"/>
        <n x="80"/>
        <n x="35"/>
      </t>
    </mdx>
    <mdx n="0" f="v">
      <t c="8">
        <n x="7" s="1"/>
        <n x="69" s="1"/>
        <n x="3" s="1"/>
        <n x="70" s="1"/>
        <n x="2" s="1"/>
        <n x="68"/>
        <n x="80"/>
        <n x="36"/>
      </t>
    </mdx>
    <mdx n="0" f="v">
      <t c="8">
        <n x="7" s="1"/>
        <n x="69" s="1"/>
        <n x="3" s="1"/>
        <n x="70" s="1"/>
        <n x="2" s="1"/>
        <n x="68"/>
        <n x="80"/>
        <n x="37"/>
      </t>
    </mdx>
    <mdx n="0" f="v">
      <t c="8">
        <n x="7" s="1"/>
        <n x="69" s="1"/>
        <n x="3" s="1"/>
        <n x="70" s="1"/>
        <n x="2" s="1"/>
        <n x="68"/>
        <n x="80"/>
        <n x="38"/>
      </t>
    </mdx>
    <mdx n="0" f="v">
      <t c="8">
        <n x="7" s="1"/>
        <n x="69" s="1"/>
        <n x="3" s="1"/>
        <n x="70" s="1"/>
        <n x="2" s="1"/>
        <n x="68"/>
        <n x="80"/>
        <n x="39"/>
      </t>
    </mdx>
    <mdx n="0" f="v">
      <t c="8">
        <n x="7" s="1"/>
        <n x="69" s="1"/>
        <n x="3" s="1"/>
        <n x="70" s="1"/>
        <n x="2" s="1"/>
        <n x="68"/>
        <n x="80"/>
        <n x="40"/>
      </t>
    </mdx>
    <mdx n="0" f="v">
      <t c="8">
        <n x="7" s="1"/>
        <n x="69" s="1"/>
        <n x="3" s="1"/>
        <n x="70" s="1"/>
        <n x="2" s="1"/>
        <n x="68"/>
        <n x="80"/>
        <n x="41"/>
      </t>
    </mdx>
    <mdx n="0" f="v">
      <t c="8">
        <n x="7" s="1"/>
        <n x="69" s="1"/>
        <n x="3" s="1"/>
        <n x="70" s="1"/>
        <n x="2" s="1"/>
        <n x="68"/>
        <n x="80"/>
        <n x="42"/>
      </t>
    </mdx>
    <mdx n="0" f="v">
      <t c="8">
        <n x="7" s="1"/>
        <n x="69" s="1"/>
        <n x="3" s="1"/>
        <n x="70" s="1"/>
        <n x="2" s="1"/>
        <n x="68"/>
        <n x="80"/>
        <n x="43"/>
      </t>
    </mdx>
    <mdx n="0" f="v">
      <t c="8">
        <n x="7" s="1"/>
        <n x="69" s="1"/>
        <n x="3" s="1"/>
        <n x="70" s="1"/>
        <n x="2" s="1"/>
        <n x="68"/>
        <n x="80"/>
        <n x="44"/>
      </t>
    </mdx>
    <mdx n="0" f="v">
      <t c="8">
        <n x="7" s="1"/>
        <n x="69" s="1"/>
        <n x="3" s="1"/>
        <n x="70" s="1"/>
        <n x="2" s="1"/>
        <n x="68"/>
        <n x="80"/>
        <n x="45"/>
      </t>
    </mdx>
    <mdx n="0" f="v">
      <t c="8">
        <n x="7" s="1"/>
        <n x="69" s="1"/>
        <n x="3" s="1"/>
        <n x="70" s="1"/>
        <n x="2" s="1"/>
        <n x="68"/>
        <n x="80"/>
        <n x="46"/>
      </t>
    </mdx>
    <mdx n="0" f="v">
      <t c="8">
        <n x="7" s="1"/>
        <n x="69" s="1"/>
        <n x="3" s="1"/>
        <n x="70" s="1"/>
        <n x="2" s="1"/>
        <n x="68"/>
        <n x="80"/>
        <n x="47"/>
      </t>
    </mdx>
    <mdx n="0" f="v">
      <t c="8">
        <n x="7" s="1"/>
        <n x="69" s="1"/>
        <n x="3" s="1"/>
        <n x="70" s="1"/>
        <n x="2" s="1"/>
        <n x="68"/>
        <n x="80"/>
        <n x="48"/>
      </t>
    </mdx>
    <mdx n="0" f="v">
      <t c="8">
        <n x="7" s="1"/>
        <n x="69" s="1"/>
        <n x="3" s="1"/>
        <n x="70" s="1"/>
        <n x="2" s="1"/>
        <n x="68"/>
        <n x="80"/>
        <n x="49"/>
      </t>
    </mdx>
    <mdx n="0" f="v">
      <t c="8">
        <n x="7" s="1"/>
        <n x="69" s="1"/>
        <n x="3" s="1"/>
        <n x="70" s="1"/>
        <n x="2" s="1"/>
        <n x="68"/>
        <n x="80"/>
        <n x="50"/>
      </t>
    </mdx>
    <mdx n="0" f="v">
      <t c="8">
        <n x="7" s="1"/>
        <n x="69" s="1"/>
        <n x="3" s="1"/>
        <n x="70" s="1"/>
        <n x="2" s="1"/>
        <n x="68"/>
        <n x="80"/>
        <n x="51"/>
      </t>
    </mdx>
    <mdx n="0" f="v">
      <t c="8">
        <n x="7" s="1"/>
        <n x="69" s="1"/>
        <n x="3" s="1"/>
        <n x="70" s="1"/>
        <n x="2" s="1"/>
        <n x="68"/>
        <n x="80"/>
        <n x="52"/>
      </t>
    </mdx>
    <mdx n="0" f="v">
      <t c="8">
        <n x="7" s="1"/>
        <n x="69" s="1"/>
        <n x="3" s="1"/>
        <n x="70" s="1"/>
        <n x="2" s="1"/>
        <n x="68"/>
        <n x="80"/>
        <n x="53"/>
      </t>
    </mdx>
    <mdx n="0" f="v">
      <t c="8">
        <n x="7" s="1"/>
        <n x="69" s="1"/>
        <n x="3" s="1"/>
        <n x="70" s="1"/>
        <n x="2" s="1"/>
        <n x="68"/>
        <n x="80"/>
        <n x="54"/>
      </t>
    </mdx>
    <mdx n="0" f="v">
      <t c="8">
        <n x="7" s="1"/>
        <n x="69" s="1"/>
        <n x="3" s="1"/>
        <n x="70" s="1"/>
        <n x="2" s="1"/>
        <n x="68"/>
        <n x="80"/>
        <n x="55"/>
      </t>
    </mdx>
    <mdx n="0" f="v">
      <t c="8">
        <n x="7" s="1"/>
        <n x="69" s="1"/>
        <n x="3" s="1"/>
        <n x="70" s="1"/>
        <n x="2" s="1"/>
        <n x="68"/>
        <n x="80"/>
        <n x="56"/>
      </t>
    </mdx>
    <mdx n="0" f="v">
      <t c="8">
        <n x="7" s="1"/>
        <n x="69" s="1"/>
        <n x="3" s="1"/>
        <n x="70" s="1"/>
        <n x="2" s="1"/>
        <n x="68"/>
        <n x="80"/>
        <n x="57"/>
      </t>
    </mdx>
    <mdx n="0" f="v">
      <t c="8">
        <n x="7" s="1"/>
        <n x="69" s="1"/>
        <n x="3" s="1"/>
        <n x="70" s="1"/>
        <n x="2" s="1"/>
        <n x="68"/>
        <n x="80"/>
        <n x="58"/>
      </t>
    </mdx>
    <mdx n="0" f="v">
      <t c="8">
        <n x="7" s="1"/>
        <n x="69" s="1"/>
        <n x="3" s="1"/>
        <n x="70" s="1"/>
        <n x="2" s="1"/>
        <n x="68"/>
        <n x="80"/>
        <n x="59"/>
      </t>
    </mdx>
    <mdx n="0" f="v">
      <t c="8">
        <n x="7" s="1"/>
        <n x="69" s="1"/>
        <n x="3" s="1"/>
        <n x="70" s="1"/>
        <n x="2" s="1"/>
        <n x="68"/>
        <n x="80"/>
        <n x="60"/>
      </t>
    </mdx>
    <mdx n="0" f="v">
      <t c="8">
        <n x="7" s="1"/>
        <n x="69" s="1"/>
        <n x="3" s="1"/>
        <n x="70" s="1"/>
        <n x="2" s="1"/>
        <n x="68"/>
        <n x="80"/>
        <n x="61"/>
      </t>
    </mdx>
    <mdx n="0" f="v">
      <t c="8">
        <n x="7" s="1"/>
        <n x="69" s="1"/>
        <n x="3" s="1"/>
        <n x="70" s="1"/>
        <n x="2" s="1"/>
        <n x="68"/>
        <n x="80"/>
        <n x="62"/>
      </t>
    </mdx>
    <mdx n="0" f="v">
      <t c="8">
        <n x="7" s="1"/>
        <n x="69" s="1"/>
        <n x="3" s="1"/>
        <n x="70" s="1"/>
        <n x="2" s="1"/>
        <n x="68"/>
        <n x="80"/>
        <n x="63"/>
      </t>
    </mdx>
    <mdx n="0" f="v">
      <t c="8">
        <n x="7" s="1"/>
        <n x="69" s="1"/>
        <n x="3" s="1"/>
        <n x="70" s="1"/>
        <n x="2" s="1"/>
        <n x="68"/>
        <n x="80"/>
        <n x="64"/>
      </t>
    </mdx>
    <mdx n="0" f="v">
      <t c="8">
        <n x="7" s="1"/>
        <n x="69" s="1"/>
        <n x="3" s="1"/>
        <n x="70" s="1"/>
        <n x="2" s="1"/>
        <n x="68"/>
        <n x="80"/>
        <n x="65"/>
      </t>
    </mdx>
    <mdx n="0" f="v">
      <t c="8">
        <n x="7" s="1"/>
        <n x="69" s="1"/>
        <n x="3" s="1"/>
        <n x="70" s="1"/>
        <n x="2" s="1"/>
        <n x="68"/>
        <n x="80"/>
        <n x="66"/>
      </t>
    </mdx>
    <mdx n="0" f="v">
      <t c="8">
        <n x="7" s="1"/>
        <n x="69" s="1"/>
        <n x="3" s="1"/>
        <n x="70" s="1"/>
        <n x="2" s="1"/>
        <n x="68"/>
        <n x="81"/>
        <n x="8"/>
      </t>
    </mdx>
    <mdx n="0" f="v">
      <t c="8">
        <n x="7" s="1"/>
        <n x="69" s="1"/>
        <n x="3" s="1"/>
        <n x="70" s="1"/>
        <n x="2" s="1"/>
        <n x="68"/>
        <n x="81"/>
        <n x="9"/>
      </t>
    </mdx>
    <mdx n="0" f="v">
      <t c="8">
        <n x="7" s="1"/>
        <n x="69" s="1"/>
        <n x="3" s="1"/>
        <n x="70" s="1"/>
        <n x="2" s="1"/>
        <n x="68"/>
        <n x="81"/>
        <n x="10"/>
      </t>
    </mdx>
    <mdx n="0" f="v">
      <t c="8">
        <n x="7" s="1"/>
        <n x="69" s="1"/>
        <n x="3" s="1"/>
        <n x="70" s="1"/>
        <n x="2" s="1"/>
        <n x="68"/>
        <n x="81"/>
        <n x="11"/>
      </t>
    </mdx>
    <mdx n="0" f="v">
      <t c="8">
        <n x="7" s="1"/>
        <n x="69" s="1"/>
        <n x="3" s="1"/>
        <n x="70" s="1"/>
        <n x="2" s="1"/>
        <n x="68"/>
        <n x="81"/>
        <n x="12"/>
      </t>
    </mdx>
    <mdx n="0" f="v">
      <t c="8">
        <n x="7" s="1"/>
        <n x="69" s="1"/>
        <n x="3" s="1"/>
        <n x="70" s="1"/>
        <n x="2" s="1"/>
        <n x="68"/>
        <n x="81"/>
        <n x="13"/>
      </t>
    </mdx>
    <mdx n="0" f="v">
      <t c="8">
        <n x="7" s="1"/>
        <n x="69" s="1"/>
        <n x="3" s="1"/>
        <n x="70" s="1"/>
        <n x="2" s="1"/>
        <n x="68"/>
        <n x="81"/>
        <n x="14"/>
      </t>
    </mdx>
    <mdx n="0" f="v">
      <t c="8">
        <n x="7" s="1"/>
        <n x="69" s="1"/>
        <n x="3" s="1"/>
        <n x="70" s="1"/>
        <n x="2" s="1"/>
        <n x="68"/>
        <n x="81"/>
        <n x="15"/>
      </t>
    </mdx>
    <mdx n="0" f="v">
      <t c="8">
        <n x="7" s="1"/>
        <n x="69" s="1"/>
        <n x="3" s="1"/>
        <n x="70" s="1"/>
        <n x="2" s="1"/>
        <n x="68"/>
        <n x="81"/>
        <n x="16"/>
      </t>
    </mdx>
    <mdx n="0" f="v">
      <t c="8">
        <n x="7" s="1"/>
        <n x="69" s="1"/>
        <n x="3" s="1"/>
        <n x="70" s="1"/>
        <n x="2" s="1"/>
        <n x="68"/>
        <n x="81"/>
        <n x="17"/>
      </t>
    </mdx>
    <mdx n="0" f="v">
      <t c="8">
        <n x="7" s="1"/>
        <n x="69" s="1"/>
        <n x="3" s="1"/>
        <n x="70" s="1"/>
        <n x="2" s="1"/>
        <n x="68"/>
        <n x="81"/>
        <n x="18"/>
      </t>
    </mdx>
    <mdx n="0" f="v">
      <t c="8">
        <n x="7" s="1"/>
        <n x="69" s="1"/>
        <n x="3" s="1"/>
        <n x="70" s="1"/>
        <n x="2" s="1"/>
        <n x="68"/>
        <n x="81"/>
        <n x="19"/>
      </t>
    </mdx>
    <mdx n="0" f="v">
      <t c="8">
        <n x="7" s="1"/>
        <n x="69" s="1"/>
        <n x="3" s="1"/>
        <n x="70" s="1"/>
        <n x="2" s="1"/>
        <n x="68"/>
        <n x="81"/>
        <n x="20"/>
      </t>
    </mdx>
    <mdx n="0" f="v">
      <t c="8">
        <n x="7" s="1"/>
        <n x="69" s="1"/>
        <n x="3" s="1"/>
        <n x="70" s="1"/>
        <n x="2" s="1"/>
        <n x="68"/>
        <n x="81"/>
        <n x="21"/>
      </t>
    </mdx>
    <mdx n="0" f="v">
      <t c="8">
        <n x="7" s="1"/>
        <n x="69" s="1"/>
        <n x="3" s="1"/>
        <n x="70" s="1"/>
        <n x="2" s="1"/>
        <n x="68"/>
        <n x="81"/>
        <n x="22"/>
      </t>
    </mdx>
    <mdx n="0" f="v">
      <t c="8">
        <n x="7" s="1"/>
        <n x="69" s="1"/>
        <n x="3" s="1"/>
        <n x="70" s="1"/>
        <n x="2" s="1"/>
        <n x="68"/>
        <n x="81"/>
        <n x="23"/>
      </t>
    </mdx>
    <mdx n="0" f="v">
      <t c="8">
        <n x="7" s="1"/>
        <n x="69" s="1"/>
        <n x="3" s="1"/>
        <n x="70" s="1"/>
        <n x="2" s="1"/>
        <n x="68"/>
        <n x="81"/>
        <n x="24"/>
      </t>
    </mdx>
    <mdx n="0" f="v">
      <t c="8">
        <n x="7" s="1"/>
        <n x="69" s="1"/>
        <n x="3" s="1"/>
        <n x="70" s="1"/>
        <n x="2" s="1"/>
        <n x="68"/>
        <n x="81"/>
        <n x="25"/>
      </t>
    </mdx>
    <mdx n="0" f="v">
      <t c="8">
        <n x="7" s="1"/>
        <n x="69" s="1"/>
        <n x="3" s="1"/>
        <n x="70" s="1"/>
        <n x="2" s="1"/>
        <n x="68"/>
        <n x="81"/>
        <n x="26"/>
      </t>
    </mdx>
    <mdx n="0" f="v">
      <t c="8">
        <n x="7" s="1"/>
        <n x="69" s="1"/>
        <n x="3" s="1"/>
        <n x="70" s="1"/>
        <n x="2" s="1"/>
        <n x="68"/>
        <n x="81"/>
        <n x="27"/>
      </t>
    </mdx>
    <mdx n="0" f="v">
      <t c="8">
        <n x="7" s="1"/>
        <n x="69" s="1"/>
        <n x="3" s="1"/>
        <n x="70" s="1"/>
        <n x="2" s="1"/>
        <n x="68"/>
        <n x="81"/>
        <n x="28"/>
      </t>
    </mdx>
    <mdx n="0" f="v">
      <t c="8">
        <n x="7" s="1"/>
        <n x="69" s="1"/>
        <n x="3" s="1"/>
        <n x="70" s="1"/>
        <n x="2" s="1"/>
        <n x="68"/>
        <n x="81"/>
        <n x="29"/>
      </t>
    </mdx>
    <mdx n="0" f="v">
      <t c="8">
        <n x="7" s="1"/>
        <n x="69" s="1"/>
        <n x="3" s="1"/>
        <n x="70" s="1"/>
        <n x="2" s="1"/>
        <n x="68"/>
        <n x="81"/>
        <n x="30"/>
      </t>
    </mdx>
    <mdx n="0" f="v">
      <t c="8">
        <n x="7" s="1"/>
        <n x="69" s="1"/>
        <n x="3" s="1"/>
        <n x="70" s="1"/>
        <n x="2" s="1"/>
        <n x="68"/>
        <n x="81"/>
        <n x="31"/>
      </t>
    </mdx>
    <mdx n="0" f="v">
      <t c="8">
        <n x="7" s="1"/>
        <n x="69" s="1"/>
        <n x="3" s="1"/>
        <n x="70" s="1"/>
        <n x="2" s="1"/>
        <n x="68"/>
        <n x="81"/>
        <n x="32"/>
      </t>
    </mdx>
    <mdx n="0" f="v">
      <t c="8">
        <n x="7" s="1"/>
        <n x="69" s="1"/>
        <n x="3" s="1"/>
        <n x="70" s="1"/>
        <n x="2" s="1"/>
        <n x="68"/>
        <n x="81"/>
        <n x="33"/>
      </t>
    </mdx>
    <mdx n="0" f="v">
      <t c="8">
        <n x="7" s="1"/>
        <n x="69" s="1"/>
        <n x="3" s="1"/>
        <n x="70" s="1"/>
        <n x="2" s="1"/>
        <n x="68"/>
        <n x="81"/>
        <n x="34"/>
      </t>
    </mdx>
    <mdx n="0" f="v">
      <t c="8">
        <n x="7" s="1"/>
        <n x="69" s="1"/>
        <n x="3" s="1"/>
        <n x="70" s="1"/>
        <n x="2" s="1"/>
        <n x="68"/>
        <n x="81"/>
        <n x="35"/>
      </t>
    </mdx>
    <mdx n="0" f="v">
      <t c="8">
        <n x="7" s="1"/>
        <n x="69" s="1"/>
        <n x="3" s="1"/>
        <n x="70" s="1"/>
        <n x="2" s="1"/>
        <n x="68"/>
        <n x="81"/>
        <n x="36"/>
      </t>
    </mdx>
    <mdx n="0" f="v">
      <t c="8">
        <n x="7" s="1"/>
        <n x="69" s="1"/>
        <n x="3" s="1"/>
        <n x="70" s="1"/>
        <n x="2" s="1"/>
        <n x="68"/>
        <n x="81"/>
        <n x="37"/>
      </t>
    </mdx>
    <mdx n="0" f="v">
      <t c="8">
        <n x="7" s="1"/>
        <n x="69" s="1"/>
        <n x="3" s="1"/>
        <n x="70" s="1"/>
        <n x="2" s="1"/>
        <n x="68"/>
        <n x="81"/>
        <n x="38"/>
      </t>
    </mdx>
    <mdx n="0" f="v">
      <t c="8">
        <n x="7" s="1"/>
        <n x="69" s="1"/>
        <n x="3" s="1"/>
        <n x="70" s="1"/>
        <n x="2" s="1"/>
        <n x="68"/>
        <n x="81"/>
        <n x="39"/>
      </t>
    </mdx>
    <mdx n="0" f="v">
      <t c="8">
        <n x="7" s="1"/>
        <n x="69" s="1"/>
        <n x="3" s="1"/>
        <n x="70" s="1"/>
        <n x="2" s="1"/>
        <n x="68"/>
        <n x="81"/>
        <n x="40"/>
      </t>
    </mdx>
    <mdx n="0" f="v">
      <t c="8">
        <n x="7" s="1"/>
        <n x="69" s="1"/>
        <n x="3" s="1"/>
        <n x="70" s="1"/>
        <n x="2" s="1"/>
        <n x="68"/>
        <n x="81"/>
        <n x="41"/>
      </t>
    </mdx>
    <mdx n="0" f="v">
      <t c="8">
        <n x="7" s="1"/>
        <n x="69" s="1"/>
        <n x="3" s="1"/>
        <n x="70" s="1"/>
        <n x="2" s="1"/>
        <n x="68"/>
        <n x="81"/>
        <n x="42"/>
      </t>
    </mdx>
    <mdx n="0" f="v">
      <t c="8">
        <n x="7" s="1"/>
        <n x="69" s="1"/>
        <n x="3" s="1"/>
        <n x="70" s="1"/>
        <n x="2" s="1"/>
        <n x="68"/>
        <n x="81"/>
        <n x="43"/>
      </t>
    </mdx>
    <mdx n="0" f="v">
      <t c="8">
        <n x="7" s="1"/>
        <n x="69" s="1"/>
        <n x="3" s="1"/>
        <n x="70" s="1"/>
        <n x="2" s="1"/>
        <n x="68"/>
        <n x="81"/>
        <n x="44"/>
      </t>
    </mdx>
    <mdx n="0" f="v">
      <t c="8">
        <n x="7" s="1"/>
        <n x="69" s="1"/>
        <n x="3" s="1"/>
        <n x="70" s="1"/>
        <n x="2" s="1"/>
        <n x="68"/>
        <n x="81"/>
        <n x="45"/>
      </t>
    </mdx>
    <mdx n="0" f="v">
      <t c="8">
        <n x="7" s="1"/>
        <n x="69" s="1"/>
        <n x="3" s="1"/>
        <n x="70" s="1"/>
        <n x="2" s="1"/>
        <n x="68"/>
        <n x="81"/>
        <n x="46"/>
      </t>
    </mdx>
    <mdx n="0" f="v">
      <t c="8">
        <n x="7" s="1"/>
        <n x="69" s="1"/>
        <n x="3" s="1"/>
        <n x="70" s="1"/>
        <n x="2" s="1"/>
        <n x="68"/>
        <n x="81"/>
        <n x="47"/>
      </t>
    </mdx>
    <mdx n="0" f="v">
      <t c="8">
        <n x="7" s="1"/>
        <n x="69" s="1"/>
        <n x="3" s="1"/>
        <n x="70" s="1"/>
        <n x="2" s="1"/>
        <n x="68"/>
        <n x="81"/>
        <n x="48"/>
      </t>
    </mdx>
    <mdx n="0" f="v">
      <t c="8">
        <n x="7" s="1"/>
        <n x="69" s="1"/>
        <n x="3" s="1"/>
        <n x="70" s="1"/>
        <n x="2" s="1"/>
        <n x="68"/>
        <n x="81"/>
        <n x="49"/>
      </t>
    </mdx>
    <mdx n="0" f="v">
      <t c="8">
        <n x="7" s="1"/>
        <n x="69" s="1"/>
        <n x="3" s="1"/>
        <n x="70" s="1"/>
        <n x="2" s="1"/>
        <n x="68"/>
        <n x="81"/>
        <n x="50"/>
      </t>
    </mdx>
    <mdx n="0" f="v">
      <t c="8">
        <n x="7" s="1"/>
        <n x="69" s="1"/>
        <n x="3" s="1"/>
        <n x="70" s="1"/>
        <n x="2" s="1"/>
        <n x="68"/>
        <n x="81"/>
        <n x="51"/>
      </t>
    </mdx>
    <mdx n="0" f="v">
      <t c="8">
        <n x="7" s="1"/>
        <n x="69" s="1"/>
        <n x="3" s="1"/>
        <n x="70" s="1"/>
        <n x="2" s="1"/>
        <n x="68"/>
        <n x="81"/>
        <n x="52"/>
      </t>
    </mdx>
    <mdx n="0" f="v">
      <t c="8">
        <n x="7" s="1"/>
        <n x="69" s="1"/>
        <n x="3" s="1"/>
        <n x="70" s="1"/>
        <n x="2" s="1"/>
        <n x="68"/>
        <n x="81"/>
        <n x="53"/>
      </t>
    </mdx>
    <mdx n="0" f="v">
      <t c="8">
        <n x="7" s="1"/>
        <n x="69" s="1"/>
        <n x="3" s="1"/>
        <n x="70" s="1"/>
        <n x="2" s="1"/>
        <n x="68"/>
        <n x="81"/>
        <n x="54"/>
      </t>
    </mdx>
    <mdx n="0" f="v">
      <t c="8">
        <n x="7" s="1"/>
        <n x="69" s="1"/>
        <n x="3" s="1"/>
        <n x="70" s="1"/>
        <n x="2" s="1"/>
        <n x="68"/>
        <n x="81"/>
        <n x="55"/>
      </t>
    </mdx>
    <mdx n="0" f="v">
      <t c="8">
        <n x="7" s="1"/>
        <n x="69" s="1"/>
        <n x="3" s="1"/>
        <n x="70" s="1"/>
        <n x="2" s="1"/>
        <n x="68"/>
        <n x="81"/>
        <n x="56"/>
      </t>
    </mdx>
    <mdx n="0" f="v">
      <t c="8">
        <n x="7" s="1"/>
        <n x="69" s="1"/>
        <n x="3" s="1"/>
        <n x="70" s="1"/>
        <n x="2" s="1"/>
        <n x="68"/>
        <n x="81"/>
        <n x="57"/>
      </t>
    </mdx>
    <mdx n="0" f="v">
      <t c="8">
        <n x="7" s="1"/>
        <n x="69" s="1"/>
        <n x="3" s="1"/>
        <n x="70" s="1"/>
        <n x="2" s="1"/>
        <n x="68"/>
        <n x="81"/>
        <n x="58"/>
      </t>
    </mdx>
    <mdx n="0" f="v">
      <t c="8">
        <n x="7" s="1"/>
        <n x="69" s="1"/>
        <n x="3" s="1"/>
        <n x="70" s="1"/>
        <n x="2" s="1"/>
        <n x="68"/>
        <n x="81"/>
        <n x="59"/>
      </t>
    </mdx>
    <mdx n="0" f="v">
      <t c="8">
        <n x="7" s="1"/>
        <n x="69" s="1"/>
        <n x="3" s="1"/>
        <n x="70" s="1"/>
        <n x="2" s="1"/>
        <n x="68"/>
        <n x="81"/>
        <n x="60"/>
      </t>
    </mdx>
    <mdx n="0" f="v">
      <t c="8">
        <n x="7" s="1"/>
        <n x="69" s="1"/>
        <n x="3" s="1"/>
        <n x="70" s="1"/>
        <n x="2" s="1"/>
        <n x="68"/>
        <n x="81"/>
        <n x="61"/>
      </t>
    </mdx>
    <mdx n="0" f="v">
      <t c="8">
        <n x="7" s="1"/>
        <n x="69" s="1"/>
        <n x="3" s="1"/>
        <n x="70" s="1"/>
        <n x="2" s="1"/>
        <n x="68"/>
        <n x="81"/>
        <n x="62"/>
      </t>
    </mdx>
    <mdx n="0" f="v">
      <t c="8">
        <n x="7" s="1"/>
        <n x="69" s="1"/>
        <n x="3" s="1"/>
        <n x="70" s="1"/>
        <n x="2" s="1"/>
        <n x="68"/>
        <n x="81"/>
        <n x="63"/>
      </t>
    </mdx>
    <mdx n="0" f="v">
      <t c="8">
        <n x="7" s="1"/>
        <n x="69" s="1"/>
        <n x="3" s="1"/>
        <n x="70" s="1"/>
        <n x="2" s="1"/>
        <n x="68"/>
        <n x="81"/>
        <n x="64"/>
      </t>
    </mdx>
    <mdx n="0" f="v">
      <t c="8">
        <n x="7" s="1"/>
        <n x="69" s="1"/>
        <n x="3" s="1"/>
        <n x="70" s="1"/>
        <n x="2" s="1"/>
        <n x="68"/>
        <n x="81"/>
        <n x="65"/>
      </t>
    </mdx>
    <mdx n="0" f="v">
      <t c="8">
        <n x="7" s="1"/>
        <n x="69" s="1"/>
        <n x="3" s="1"/>
        <n x="70" s="1"/>
        <n x="2" s="1"/>
        <n x="68"/>
        <n x="81"/>
        <n x="66"/>
      </t>
    </mdx>
    <mdx n="0" f="v">
      <t c="8">
        <n x="7" s="1"/>
        <n x="69" s="1"/>
        <n x="3" s="1"/>
        <n x="70" s="1"/>
        <n x="2" s="1"/>
        <n x="68"/>
        <n x="82"/>
        <n x="8"/>
      </t>
    </mdx>
    <mdx n="0" f="v">
      <t c="8">
        <n x="7" s="1"/>
        <n x="69" s="1"/>
        <n x="3" s="1"/>
        <n x="70" s="1"/>
        <n x="2" s="1"/>
        <n x="68"/>
        <n x="82"/>
        <n x="9"/>
      </t>
    </mdx>
    <mdx n="0" f="v">
      <t c="8">
        <n x="7" s="1"/>
        <n x="69" s="1"/>
        <n x="3" s="1"/>
        <n x="70" s="1"/>
        <n x="2" s="1"/>
        <n x="68"/>
        <n x="82"/>
        <n x="10"/>
      </t>
    </mdx>
    <mdx n="0" f="v">
      <t c="8">
        <n x="7" s="1"/>
        <n x="69" s="1"/>
        <n x="3" s="1"/>
        <n x="70" s="1"/>
        <n x="2" s="1"/>
        <n x="68"/>
        <n x="82"/>
        <n x="11"/>
      </t>
    </mdx>
    <mdx n="0" f="v">
      <t c="8">
        <n x="7" s="1"/>
        <n x="69" s="1"/>
        <n x="3" s="1"/>
        <n x="70" s="1"/>
        <n x="2" s="1"/>
        <n x="68"/>
        <n x="82"/>
        <n x="12"/>
      </t>
    </mdx>
    <mdx n="0" f="v">
      <t c="8">
        <n x="7" s="1"/>
        <n x="69" s="1"/>
        <n x="3" s="1"/>
        <n x="70" s="1"/>
        <n x="2" s="1"/>
        <n x="68"/>
        <n x="82"/>
        <n x="13"/>
      </t>
    </mdx>
    <mdx n="0" f="v">
      <t c="8">
        <n x="7" s="1"/>
        <n x="69" s="1"/>
        <n x="3" s="1"/>
        <n x="70" s="1"/>
        <n x="2" s="1"/>
        <n x="68"/>
        <n x="82"/>
        <n x="14"/>
      </t>
    </mdx>
    <mdx n="0" f="v">
      <t c="8">
        <n x="7" s="1"/>
        <n x="69" s="1"/>
        <n x="3" s="1"/>
        <n x="70" s="1"/>
        <n x="2" s="1"/>
        <n x="68"/>
        <n x="82"/>
        <n x="15"/>
      </t>
    </mdx>
    <mdx n="0" f="v">
      <t c="8">
        <n x="7" s="1"/>
        <n x="69" s="1"/>
        <n x="3" s="1"/>
        <n x="70" s="1"/>
        <n x="2" s="1"/>
        <n x="68"/>
        <n x="82"/>
        <n x="16"/>
      </t>
    </mdx>
    <mdx n="0" f="v">
      <t c="8">
        <n x="7" s="1"/>
        <n x="69" s="1"/>
        <n x="3" s="1"/>
        <n x="70" s="1"/>
        <n x="2" s="1"/>
        <n x="68"/>
        <n x="82"/>
        <n x="17"/>
      </t>
    </mdx>
    <mdx n="0" f="v">
      <t c="8">
        <n x="7" s="1"/>
        <n x="69" s="1"/>
        <n x="3" s="1"/>
        <n x="70" s="1"/>
        <n x="2" s="1"/>
        <n x="68"/>
        <n x="82"/>
        <n x="18"/>
      </t>
    </mdx>
    <mdx n="0" f="v">
      <t c="8">
        <n x="7" s="1"/>
        <n x="69" s="1"/>
        <n x="3" s="1"/>
        <n x="70" s="1"/>
        <n x="2" s="1"/>
        <n x="68"/>
        <n x="82"/>
        <n x="19"/>
      </t>
    </mdx>
    <mdx n="0" f="v">
      <t c="8">
        <n x="7" s="1"/>
        <n x="69" s="1"/>
        <n x="3" s="1"/>
        <n x="70" s="1"/>
        <n x="2" s="1"/>
        <n x="68"/>
        <n x="82"/>
        <n x="20"/>
      </t>
    </mdx>
    <mdx n="0" f="v">
      <t c="8">
        <n x="7" s="1"/>
        <n x="69" s="1"/>
        <n x="3" s="1"/>
        <n x="70" s="1"/>
        <n x="2" s="1"/>
        <n x="68"/>
        <n x="82"/>
        <n x="21"/>
      </t>
    </mdx>
    <mdx n="0" f="v">
      <t c="8">
        <n x="7" s="1"/>
        <n x="69" s="1"/>
        <n x="3" s="1"/>
        <n x="70" s="1"/>
        <n x="2" s="1"/>
        <n x="68"/>
        <n x="82"/>
        <n x="22"/>
      </t>
    </mdx>
    <mdx n="0" f="v">
      <t c="8">
        <n x="7" s="1"/>
        <n x="69" s="1"/>
        <n x="3" s="1"/>
        <n x="70" s="1"/>
        <n x="2" s="1"/>
        <n x="68"/>
        <n x="82"/>
        <n x="23"/>
      </t>
    </mdx>
    <mdx n="0" f="v">
      <t c="8">
        <n x="7" s="1"/>
        <n x="69" s="1"/>
        <n x="3" s="1"/>
        <n x="70" s="1"/>
        <n x="2" s="1"/>
        <n x="68"/>
        <n x="82"/>
        <n x="24"/>
      </t>
    </mdx>
    <mdx n="0" f="v">
      <t c="8">
        <n x="7" s="1"/>
        <n x="69" s="1"/>
        <n x="3" s="1"/>
        <n x="70" s="1"/>
        <n x="2" s="1"/>
        <n x="68"/>
        <n x="82"/>
        <n x="25"/>
      </t>
    </mdx>
    <mdx n="0" f="v">
      <t c="8">
        <n x="7" s="1"/>
        <n x="69" s="1"/>
        <n x="3" s="1"/>
        <n x="70" s="1"/>
        <n x="2" s="1"/>
        <n x="68"/>
        <n x="82"/>
        <n x="26"/>
      </t>
    </mdx>
    <mdx n="0" f="v">
      <t c="8">
        <n x="7" s="1"/>
        <n x="69" s="1"/>
        <n x="3" s="1"/>
        <n x="70" s="1"/>
        <n x="2" s="1"/>
        <n x="68"/>
        <n x="82"/>
        <n x="27"/>
      </t>
    </mdx>
    <mdx n="0" f="v">
      <t c="8">
        <n x="7" s="1"/>
        <n x="69" s="1"/>
        <n x="3" s="1"/>
        <n x="70" s="1"/>
        <n x="2" s="1"/>
        <n x="68"/>
        <n x="82"/>
        <n x="28"/>
      </t>
    </mdx>
    <mdx n="0" f="v">
      <t c="8">
        <n x="7" s="1"/>
        <n x="69" s="1"/>
        <n x="3" s="1"/>
        <n x="70" s="1"/>
        <n x="2" s="1"/>
        <n x="68"/>
        <n x="82"/>
        <n x="29"/>
      </t>
    </mdx>
    <mdx n="0" f="v">
      <t c="8">
        <n x="7" s="1"/>
        <n x="69" s="1"/>
        <n x="3" s="1"/>
        <n x="70" s="1"/>
        <n x="2" s="1"/>
        <n x="68"/>
        <n x="82"/>
        <n x="30"/>
      </t>
    </mdx>
    <mdx n="0" f="v">
      <t c="8">
        <n x="7" s="1"/>
        <n x="69" s="1"/>
        <n x="3" s="1"/>
        <n x="70" s="1"/>
        <n x="2" s="1"/>
        <n x="68"/>
        <n x="82"/>
        <n x="31"/>
      </t>
    </mdx>
    <mdx n="0" f="v">
      <t c="8">
        <n x="7" s="1"/>
        <n x="69" s="1"/>
        <n x="3" s="1"/>
        <n x="70" s="1"/>
        <n x="2" s="1"/>
        <n x="68"/>
        <n x="82"/>
        <n x="32"/>
      </t>
    </mdx>
    <mdx n="0" f="v">
      <t c="8">
        <n x="7" s="1"/>
        <n x="69" s="1"/>
        <n x="3" s="1"/>
        <n x="70" s="1"/>
        <n x="2" s="1"/>
        <n x="68"/>
        <n x="82"/>
        <n x="33"/>
      </t>
    </mdx>
    <mdx n="0" f="v">
      <t c="8">
        <n x="7" s="1"/>
        <n x="69" s="1"/>
        <n x="3" s="1"/>
        <n x="70" s="1"/>
        <n x="2" s="1"/>
        <n x="68"/>
        <n x="82"/>
        <n x="34"/>
      </t>
    </mdx>
    <mdx n="0" f="v">
      <t c="8">
        <n x="7" s="1"/>
        <n x="69" s="1"/>
        <n x="3" s="1"/>
        <n x="70" s="1"/>
        <n x="2" s="1"/>
        <n x="68"/>
        <n x="82"/>
        <n x="35"/>
      </t>
    </mdx>
    <mdx n="0" f="v">
      <t c="8">
        <n x="7" s="1"/>
        <n x="69" s="1"/>
        <n x="3" s="1"/>
        <n x="70" s="1"/>
        <n x="2" s="1"/>
        <n x="68"/>
        <n x="82"/>
        <n x="36"/>
      </t>
    </mdx>
    <mdx n="0" f="v">
      <t c="8">
        <n x="7" s="1"/>
        <n x="69" s="1"/>
        <n x="3" s="1"/>
        <n x="70" s="1"/>
        <n x="2" s="1"/>
        <n x="68"/>
        <n x="82"/>
        <n x="37"/>
      </t>
    </mdx>
    <mdx n="0" f="v">
      <t c="8">
        <n x="7" s="1"/>
        <n x="69" s="1"/>
        <n x="3" s="1"/>
        <n x="70" s="1"/>
        <n x="2" s="1"/>
        <n x="68"/>
        <n x="82"/>
        <n x="38"/>
      </t>
    </mdx>
    <mdx n="0" f="v">
      <t c="8">
        <n x="7" s="1"/>
        <n x="69" s="1"/>
        <n x="3" s="1"/>
        <n x="70" s="1"/>
        <n x="2" s="1"/>
        <n x="68"/>
        <n x="82"/>
        <n x="39"/>
      </t>
    </mdx>
    <mdx n="0" f="v">
      <t c="8">
        <n x="7" s="1"/>
        <n x="69" s="1"/>
        <n x="3" s="1"/>
        <n x="70" s="1"/>
        <n x="2" s="1"/>
        <n x="68"/>
        <n x="82"/>
        <n x="40"/>
      </t>
    </mdx>
    <mdx n="0" f="v">
      <t c="8">
        <n x="7" s="1"/>
        <n x="69" s="1"/>
        <n x="3" s="1"/>
        <n x="70" s="1"/>
        <n x="2" s="1"/>
        <n x="68"/>
        <n x="82"/>
        <n x="41"/>
      </t>
    </mdx>
    <mdx n="0" f="v">
      <t c="8">
        <n x="7" s="1"/>
        <n x="69" s="1"/>
        <n x="3" s="1"/>
        <n x="70" s="1"/>
        <n x="2" s="1"/>
        <n x="68"/>
        <n x="82"/>
        <n x="42"/>
      </t>
    </mdx>
    <mdx n="0" f="v">
      <t c="8">
        <n x="7" s="1"/>
        <n x="69" s="1"/>
        <n x="3" s="1"/>
        <n x="70" s="1"/>
        <n x="2" s="1"/>
        <n x="68"/>
        <n x="82"/>
        <n x="43"/>
      </t>
    </mdx>
    <mdx n="0" f="v">
      <t c="8">
        <n x="7" s="1"/>
        <n x="69" s="1"/>
        <n x="3" s="1"/>
        <n x="70" s="1"/>
        <n x="2" s="1"/>
        <n x="68"/>
        <n x="82"/>
        <n x="44"/>
      </t>
    </mdx>
    <mdx n="0" f="v">
      <t c="8">
        <n x="7" s="1"/>
        <n x="69" s="1"/>
        <n x="3" s="1"/>
        <n x="70" s="1"/>
        <n x="2" s="1"/>
        <n x="68"/>
        <n x="82"/>
        <n x="45"/>
      </t>
    </mdx>
    <mdx n="0" f="v">
      <t c="8">
        <n x="7" s="1"/>
        <n x="69" s="1"/>
        <n x="3" s="1"/>
        <n x="70" s="1"/>
        <n x="2" s="1"/>
        <n x="68"/>
        <n x="82"/>
        <n x="46"/>
      </t>
    </mdx>
    <mdx n="0" f="v">
      <t c="8">
        <n x="7" s="1"/>
        <n x="69" s="1"/>
        <n x="3" s="1"/>
        <n x="70" s="1"/>
        <n x="2" s="1"/>
        <n x="68"/>
        <n x="82"/>
        <n x="47"/>
      </t>
    </mdx>
    <mdx n="0" f="v">
      <t c="8">
        <n x="7" s="1"/>
        <n x="69" s="1"/>
        <n x="3" s="1"/>
        <n x="70" s="1"/>
        <n x="2" s="1"/>
        <n x="68"/>
        <n x="82"/>
        <n x="48"/>
      </t>
    </mdx>
    <mdx n="0" f="v">
      <t c="8">
        <n x="7" s="1"/>
        <n x="69" s="1"/>
        <n x="3" s="1"/>
        <n x="70" s="1"/>
        <n x="2" s="1"/>
        <n x="68"/>
        <n x="82"/>
        <n x="49"/>
      </t>
    </mdx>
    <mdx n="0" f="v">
      <t c="8">
        <n x="7" s="1"/>
        <n x="69" s="1"/>
        <n x="3" s="1"/>
        <n x="70" s="1"/>
        <n x="2" s="1"/>
        <n x="68"/>
        <n x="82"/>
        <n x="50"/>
      </t>
    </mdx>
    <mdx n="0" f="v">
      <t c="8">
        <n x="7" s="1"/>
        <n x="69" s="1"/>
        <n x="3" s="1"/>
        <n x="70" s="1"/>
        <n x="2" s="1"/>
        <n x="68"/>
        <n x="82"/>
        <n x="51"/>
      </t>
    </mdx>
    <mdx n="0" f="v">
      <t c="8">
        <n x="7" s="1"/>
        <n x="69" s="1"/>
        <n x="3" s="1"/>
        <n x="70" s="1"/>
        <n x="2" s="1"/>
        <n x="68"/>
        <n x="82"/>
        <n x="52"/>
      </t>
    </mdx>
    <mdx n="0" f="v">
      <t c="8">
        <n x="7" s="1"/>
        <n x="69" s="1"/>
        <n x="3" s="1"/>
        <n x="70" s="1"/>
        <n x="2" s="1"/>
        <n x="68"/>
        <n x="82"/>
        <n x="53"/>
      </t>
    </mdx>
    <mdx n="0" f="v">
      <t c="8">
        <n x="7" s="1"/>
        <n x="69" s="1"/>
        <n x="3" s="1"/>
        <n x="70" s="1"/>
        <n x="2" s="1"/>
        <n x="68"/>
        <n x="82"/>
        <n x="54"/>
      </t>
    </mdx>
    <mdx n="0" f="v">
      <t c="8">
        <n x="7" s="1"/>
        <n x="69" s="1"/>
        <n x="3" s="1"/>
        <n x="70" s="1"/>
        <n x="2" s="1"/>
        <n x="68"/>
        <n x="82"/>
        <n x="55"/>
      </t>
    </mdx>
    <mdx n="0" f="v">
      <t c="8">
        <n x="7" s="1"/>
        <n x="69" s="1"/>
        <n x="3" s="1"/>
        <n x="70" s="1"/>
        <n x="2" s="1"/>
        <n x="68"/>
        <n x="82"/>
        <n x="56"/>
      </t>
    </mdx>
    <mdx n="0" f="v">
      <t c="8">
        <n x="7" s="1"/>
        <n x="69" s="1"/>
        <n x="3" s="1"/>
        <n x="70" s="1"/>
        <n x="2" s="1"/>
        <n x="68"/>
        <n x="82"/>
        <n x="57"/>
      </t>
    </mdx>
    <mdx n="0" f="v">
      <t c="8">
        <n x="7" s="1"/>
        <n x="69" s="1"/>
        <n x="3" s="1"/>
        <n x="70" s="1"/>
        <n x="2" s="1"/>
        <n x="68"/>
        <n x="82"/>
        <n x="58"/>
      </t>
    </mdx>
    <mdx n="0" f="v">
      <t c="8">
        <n x="7" s="1"/>
        <n x="69" s="1"/>
        <n x="3" s="1"/>
        <n x="70" s="1"/>
        <n x="2" s="1"/>
        <n x="68"/>
        <n x="82"/>
        <n x="59"/>
      </t>
    </mdx>
    <mdx n="0" f="v">
      <t c="8">
        <n x="7" s="1"/>
        <n x="69" s="1"/>
        <n x="3" s="1"/>
        <n x="70" s="1"/>
        <n x="2" s="1"/>
        <n x="68"/>
        <n x="82"/>
        <n x="60"/>
      </t>
    </mdx>
    <mdx n="0" f="v">
      <t c="8">
        <n x="7" s="1"/>
        <n x="69" s="1"/>
        <n x="3" s="1"/>
        <n x="70" s="1"/>
        <n x="2" s="1"/>
        <n x="68"/>
        <n x="82"/>
        <n x="61"/>
      </t>
    </mdx>
    <mdx n="0" f="v">
      <t c="8">
        <n x="7" s="1"/>
        <n x="69" s="1"/>
        <n x="3" s="1"/>
        <n x="70" s="1"/>
        <n x="2" s="1"/>
        <n x="68"/>
        <n x="82"/>
        <n x="62"/>
      </t>
    </mdx>
    <mdx n="0" f="v">
      <t c="8">
        <n x="7" s="1"/>
        <n x="69" s="1"/>
        <n x="3" s="1"/>
        <n x="70" s="1"/>
        <n x="2" s="1"/>
        <n x="68"/>
        <n x="82"/>
        <n x="63"/>
      </t>
    </mdx>
    <mdx n="0" f="v">
      <t c="8">
        <n x="7" s="1"/>
        <n x="69" s="1"/>
        <n x="3" s="1"/>
        <n x="70" s="1"/>
        <n x="2" s="1"/>
        <n x="68"/>
        <n x="82"/>
        <n x="64"/>
      </t>
    </mdx>
    <mdx n="0" f="v">
      <t c="8">
        <n x="7" s="1"/>
        <n x="69" s="1"/>
        <n x="3" s="1"/>
        <n x="70" s="1"/>
        <n x="2" s="1"/>
        <n x="68"/>
        <n x="82"/>
        <n x="65"/>
      </t>
    </mdx>
    <mdx n="0" f="v">
      <t c="8">
        <n x="7" s="1"/>
        <n x="69" s="1"/>
        <n x="3" s="1"/>
        <n x="70" s="1"/>
        <n x="2" s="1"/>
        <n x="68"/>
        <n x="82"/>
        <n x="66"/>
      </t>
    </mdx>
    <mdx n="0" f="v">
      <t c="8">
        <n x="7" s="1"/>
        <n x="69" s="1"/>
        <n x="3" s="1"/>
        <n x="70" s="1"/>
        <n x="2" s="1"/>
        <n x="68"/>
        <n x="83"/>
        <n x="8"/>
      </t>
    </mdx>
    <mdx n="0" f="v">
      <t c="8">
        <n x="7" s="1"/>
        <n x="69" s="1"/>
        <n x="3" s="1"/>
        <n x="70" s="1"/>
        <n x="2" s="1"/>
        <n x="68"/>
        <n x="83"/>
        <n x="9"/>
      </t>
    </mdx>
    <mdx n="0" f="v">
      <t c="8">
        <n x="7" s="1"/>
        <n x="69" s="1"/>
        <n x="3" s="1"/>
        <n x="70" s="1"/>
        <n x="2" s="1"/>
        <n x="68"/>
        <n x="83"/>
        <n x="10"/>
      </t>
    </mdx>
    <mdx n="0" f="v">
      <t c="8">
        <n x="7" s="1"/>
        <n x="69" s="1"/>
        <n x="3" s="1"/>
        <n x="70" s="1"/>
        <n x="2" s="1"/>
        <n x="68"/>
        <n x="83"/>
        <n x="11"/>
      </t>
    </mdx>
    <mdx n="0" f="v">
      <t c="8">
        <n x="7" s="1"/>
        <n x="69" s="1"/>
        <n x="3" s="1"/>
        <n x="70" s="1"/>
        <n x="2" s="1"/>
        <n x="68"/>
        <n x="83"/>
        <n x="12"/>
      </t>
    </mdx>
    <mdx n="0" f="v">
      <t c="8">
        <n x="7" s="1"/>
        <n x="69" s="1"/>
        <n x="3" s="1"/>
        <n x="70" s="1"/>
        <n x="2" s="1"/>
        <n x="68"/>
        <n x="83"/>
        <n x="13"/>
      </t>
    </mdx>
    <mdx n="0" f="v">
      <t c="8">
        <n x="7" s="1"/>
        <n x="69" s="1"/>
        <n x="3" s="1"/>
        <n x="70" s="1"/>
        <n x="2" s="1"/>
        <n x="68"/>
        <n x="83"/>
        <n x="14"/>
      </t>
    </mdx>
    <mdx n="0" f="v">
      <t c="8">
        <n x="7" s="1"/>
        <n x="69" s="1"/>
        <n x="3" s="1"/>
        <n x="70" s="1"/>
        <n x="2" s="1"/>
        <n x="68"/>
        <n x="83"/>
        <n x="15"/>
      </t>
    </mdx>
    <mdx n="0" f="v">
      <t c="8">
        <n x="7" s="1"/>
        <n x="69" s="1"/>
        <n x="3" s="1"/>
        <n x="70" s="1"/>
        <n x="2" s="1"/>
        <n x="68"/>
        <n x="83"/>
        <n x="16"/>
      </t>
    </mdx>
    <mdx n="0" f="v">
      <t c="8">
        <n x="7" s="1"/>
        <n x="69" s="1"/>
        <n x="3" s="1"/>
        <n x="70" s="1"/>
        <n x="2" s="1"/>
        <n x="68"/>
        <n x="83"/>
        <n x="17"/>
      </t>
    </mdx>
    <mdx n="0" f="v">
      <t c="8">
        <n x="7" s="1"/>
        <n x="69" s="1"/>
        <n x="3" s="1"/>
        <n x="70" s="1"/>
        <n x="2" s="1"/>
        <n x="68"/>
        <n x="83"/>
        <n x="18"/>
      </t>
    </mdx>
    <mdx n="0" f="v">
      <t c="8">
        <n x="7" s="1"/>
        <n x="69" s="1"/>
        <n x="3" s="1"/>
        <n x="70" s="1"/>
        <n x="2" s="1"/>
        <n x="68"/>
        <n x="83"/>
        <n x="19"/>
      </t>
    </mdx>
    <mdx n="0" f="v">
      <t c="8">
        <n x="7" s="1"/>
        <n x="69" s="1"/>
        <n x="3" s="1"/>
        <n x="70" s="1"/>
        <n x="2" s="1"/>
        <n x="68"/>
        <n x="83"/>
        <n x="20"/>
      </t>
    </mdx>
    <mdx n="0" f="v">
      <t c="8">
        <n x="7" s="1"/>
        <n x="69" s="1"/>
        <n x="3" s="1"/>
        <n x="70" s="1"/>
        <n x="2" s="1"/>
        <n x="68"/>
        <n x="83"/>
        <n x="21"/>
      </t>
    </mdx>
    <mdx n="0" f="v">
      <t c="8">
        <n x="7" s="1"/>
        <n x="69" s="1"/>
        <n x="3" s="1"/>
        <n x="70" s="1"/>
        <n x="2" s="1"/>
        <n x="68"/>
        <n x="83"/>
        <n x="22"/>
      </t>
    </mdx>
    <mdx n="0" f="v">
      <t c="8">
        <n x="7" s="1"/>
        <n x="69" s="1"/>
        <n x="3" s="1"/>
        <n x="70" s="1"/>
        <n x="2" s="1"/>
        <n x="68"/>
        <n x="83"/>
        <n x="23"/>
      </t>
    </mdx>
    <mdx n="0" f="v">
      <t c="8">
        <n x="7" s="1"/>
        <n x="69" s="1"/>
        <n x="3" s="1"/>
        <n x="70" s="1"/>
        <n x="2" s="1"/>
        <n x="68"/>
        <n x="83"/>
        <n x="24"/>
      </t>
    </mdx>
    <mdx n="0" f="v">
      <t c="8">
        <n x="7" s="1"/>
        <n x="69" s="1"/>
        <n x="3" s="1"/>
        <n x="70" s="1"/>
        <n x="2" s="1"/>
        <n x="68"/>
        <n x="83"/>
        <n x="25"/>
      </t>
    </mdx>
    <mdx n="0" f="v">
      <t c="8">
        <n x="7" s="1"/>
        <n x="69" s="1"/>
        <n x="3" s="1"/>
        <n x="70" s="1"/>
        <n x="2" s="1"/>
        <n x="68"/>
        <n x="83"/>
        <n x="26"/>
      </t>
    </mdx>
    <mdx n="0" f="v">
      <t c="8">
        <n x="7" s="1"/>
        <n x="69" s="1"/>
        <n x="3" s="1"/>
        <n x="70" s="1"/>
        <n x="2" s="1"/>
        <n x="68"/>
        <n x="83"/>
        <n x="27"/>
      </t>
    </mdx>
    <mdx n="0" f="v">
      <t c="8">
        <n x="7" s="1"/>
        <n x="69" s="1"/>
        <n x="3" s="1"/>
        <n x="70" s="1"/>
        <n x="2" s="1"/>
        <n x="68"/>
        <n x="83"/>
        <n x="28"/>
      </t>
    </mdx>
    <mdx n="0" f="v">
      <t c="8">
        <n x="7" s="1"/>
        <n x="69" s="1"/>
        <n x="3" s="1"/>
        <n x="70" s="1"/>
        <n x="2" s="1"/>
        <n x="68"/>
        <n x="83"/>
        <n x="29"/>
      </t>
    </mdx>
    <mdx n="0" f="v">
      <t c="8">
        <n x="7" s="1"/>
        <n x="69" s="1"/>
        <n x="3" s="1"/>
        <n x="70" s="1"/>
        <n x="2" s="1"/>
        <n x="68"/>
        <n x="83"/>
        <n x="30"/>
      </t>
    </mdx>
    <mdx n="0" f="v">
      <t c="8">
        <n x="7" s="1"/>
        <n x="69" s="1"/>
        <n x="3" s="1"/>
        <n x="70" s="1"/>
        <n x="2" s="1"/>
        <n x="68"/>
        <n x="83"/>
        <n x="31"/>
      </t>
    </mdx>
    <mdx n="0" f="v">
      <t c="8">
        <n x="7" s="1"/>
        <n x="69" s="1"/>
        <n x="3" s="1"/>
        <n x="70" s="1"/>
        <n x="2" s="1"/>
        <n x="68"/>
        <n x="83"/>
        <n x="32"/>
      </t>
    </mdx>
    <mdx n="0" f="v">
      <t c="8">
        <n x="7" s="1"/>
        <n x="69" s="1"/>
        <n x="3" s="1"/>
        <n x="70" s="1"/>
        <n x="2" s="1"/>
        <n x="68"/>
        <n x="83"/>
        <n x="33"/>
      </t>
    </mdx>
    <mdx n="0" f="v">
      <t c="8">
        <n x="7" s="1"/>
        <n x="69" s="1"/>
        <n x="3" s="1"/>
        <n x="70" s="1"/>
        <n x="2" s="1"/>
        <n x="68"/>
        <n x="83"/>
        <n x="34"/>
      </t>
    </mdx>
    <mdx n="0" f="v">
      <t c="8">
        <n x="7" s="1"/>
        <n x="69" s="1"/>
        <n x="3" s="1"/>
        <n x="70" s="1"/>
        <n x="2" s="1"/>
        <n x="68"/>
        <n x="83"/>
        <n x="35"/>
      </t>
    </mdx>
    <mdx n="0" f="v">
      <t c="8">
        <n x="7" s="1"/>
        <n x="69" s="1"/>
        <n x="3" s="1"/>
        <n x="70" s="1"/>
        <n x="2" s="1"/>
        <n x="68"/>
        <n x="83"/>
        <n x="36"/>
      </t>
    </mdx>
    <mdx n="0" f="v">
      <t c="8">
        <n x="7" s="1"/>
        <n x="69" s="1"/>
        <n x="3" s="1"/>
        <n x="70" s="1"/>
        <n x="2" s="1"/>
        <n x="68"/>
        <n x="83"/>
        <n x="37"/>
      </t>
    </mdx>
    <mdx n="0" f="v">
      <t c="8">
        <n x="7" s="1"/>
        <n x="69" s="1"/>
        <n x="3" s="1"/>
        <n x="70" s="1"/>
        <n x="2" s="1"/>
        <n x="68"/>
        <n x="83"/>
        <n x="38"/>
      </t>
    </mdx>
    <mdx n="0" f="v">
      <t c="8">
        <n x="7" s="1"/>
        <n x="69" s="1"/>
        <n x="3" s="1"/>
        <n x="70" s="1"/>
        <n x="2" s="1"/>
        <n x="68"/>
        <n x="83"/>
        <n x="39"/>
      </t>
    </mdx>
    <mdx n="0" f="v">
      <t c="8">
        <n x="7" s="1"/>
        <n x="69" s="1"/>
        <n x="3" s="1"/>
        <n x="70" s="1"/>
        <n x="2" s="1"/>
        <n x="68"/>
        <n x="83"/>
        <n x="40"/>
      </t>
    </mdx>
    <mdx n="0" f="v">
      <t c="8">
        <n x="7" s="1"/>
        <n x="69" s="1"/>
        <n x="3" s="1"/>
        <n x="70" s="1"/>
        <n x="2" s="1"/>
        <n x="68"/>
        <n x="83"/>
        <n x="41"/>
      </t>
    </mdx>
    <mdx n="0" f="v">
      <t c="8">
        <n x="7" s="1"/>
        <n x="69" s="1"/>
        <n x="3" s="1"/>
        <n x="70" s="1"/>
        <n x="2" s="1"/>
        <n x="68"/>
        <n x="83"/>
        <n x="42"/>
      </t>
    </mdx>
    <mdx n="0" f="v">
      <t c="8">
        <n x="7" s="1"/>
        <n x="69" s="1"/>
        <n x="3" s="1"/>
        <n x="70" s="1"/>
        <n x="2" s="1"/>
        <n x="68"/>
        <n x="83"/>
        <n x="43"/>
      </t>
    </mdx>
    <mdx n="0" f="v">
      <t c="8">
        <n x="7" s="1"/>
        <n x="69" s="1"/>
        <n x="3" s="1"/>
        <n x="70" s="1"/>
        <n x="2" s="1"/>
        <n x="68"/>
        <n x="83"/>
        <n x="44"/>
      </t>
    </mdx>
    <mdx n="0" f="v">
      <t c="8">
        <n x="7" s="1"/>
        <n x="69" s="1"/>
        <n x="3" s="1"/>
        <n x="70" s="1"/>
        <n x="2" s="1"/>
        <n x="68"/>
        <n x="83"/>
        <n x="45"/>
      </t>
    </mdx>
    <mdx n="0" f="v">
      <t c="8">
        <n x="7" s="1"/>
        <n x="69" s="1"/>
        <n x="3" s="1"/>
        <n x="70" s="1"/>
        <n x="2" s="1"/>
        <n x="68"/>
        <n x="83"/>
        <n x="46"/>
      </t>
    </mdx>
    <mdx n="0" f="v">
      <t c="8">
        <n x="7" s="1"/>
        <n x="69" s="1"/>
        <n x="3" s="1"/>
        <n x="70" s="1"/>
        <n x="2" s="1"/>
        <n x="68"/>
        <n x="83"/>
        <n x="47"/>
      </t>
    </mdx>
    <mdx n="0" f="v">
      <t c="8">
        <n x="7" s="1"/>
        <n x="69" s="1"/>
        <n x="3" s="1"/>
        <n x="70" s="1"/>
        <n x="2" s="1"/>
        <n x="68"/>
        <n x="83"/>
        <n x="48"/>
      </t>
    </mdx>
    <mdx n="0" f="v">
      <t c="8">
        <n x="7" s="1"/>
        <n x="69" s="1"/>
        <n x="3" s="1"/>
        <n x="70" s="1"/>
        <n x="2" s="1"/>
        <n x="68"/>
        <n x="83"/>
        <n x="49"/>
      </t>
    </mdx>
    <mdx n="0" f="v">
      <t c="8">
        <n x="7" s="1"/>
        <n x="69" s="1"/>
        <n x="3" s="1"/>
        <n x="70" s="1"/>
        <n x="2" s="1"/>
        <n x="68"/>
        <n x="83"/>
        <n x="50"/>
      </t>
    </mdx>
    <mdx n="0" f="v">
      <t c="8">
        <n x="7" s="1"/>
        <n x="69" s="1"/>
        <n x="3" s="1"/>
        <n x="70" s="1"/>
        <n x="2" s="1"/>
        <n x="68"/>
        <n x="83"/>
        <n x="51"/>
      </t>
    </mdx>
    <mdx n="0" f="v">
      <t c="8">
        <n x="7" s="1"/>
        <n x="69" s="1"/>
        <n x="3" s="1"/>
        <n x="70" s="1"/>
        <n x="2" s="1"/>
        <n x="68"/>
        <n x="83"/>
        <n x="52"/>
      </t>
    </mdx>
    <mdx n="0" f="v">
      <t c="8">
        <n x="7" s="1"/>
        <n x="69" s="1"/>
        <n x="3" s="1"/>
        <n x="70" s="1"/>
        <n x="2" s="1"/>
        <n x="68"/>
        <n x="83"/>
        <n x="53"/>
      </t>
    </mdx>
    <mdx n="0" f="v">
      <t c="8">
        <n x="7" s="1"/>
        <n x="69" s="1"/>
        <n x="3" s="1"/>
        <n x="70" s="1"/>
        <n x="2" s="1"/>
        <n x="68"/>
        <n x="83"/>
        <n x="54"/>
      </t>
    </mdx>
    <mdx n="0" f="v">
      <t c="8">
        <n x="7" s="1"/>
        <n x="69" s="1"/>
        <n x="3" s="1"/>
        <n x="70" s="1"/>
        <n x="2" s="1"/>
        <n x="68"/>
        <n x="83"/>
        <n x="55"/>
      </t>
    </mdx>
    <mdx n="0" f="v">
      <t c="8">
        <n x="7" s="1"/>
        <n x="69" s="1"/>
        <n x="3" s="1"/>
        <n x="70" s="1"/>
        <n x="2" s="1"/>
        <n x="68"/>
        <n x="83"/>
        <n x="56"/>
      </t>
    </mdx>
    <mdx n="0" f="v">
      <t c="8">
        <n x="7" s="1"/>
        <n x="69" s="1"/>
        <n x="3" s="1"/>
        <n x="70" s="1"/>
        <n x="2" s="1"/>
        <n x="68"/>
        <n x="83"/>
        <n x="57"/>
      </t>
    </mdx>
    <mdx n="0" f="v">
      <t c="8">
        <n x="7" s="1"/>
        <n x="69" s="1"/>
        <n x="3" s="1"/>
        <n x="70" s="1"/>
        <n x="2" s="1"/>
        <n x="68"/>
        <n x="83"/>
        <n x="58"/>
      </t>
    </mdx>
    <mdx n="0" f="v">
      <t c="8">
        <n x="7" s="1"/>
        <n x="69" s="1"/>
        <n x="3" s="1"/>
        <n x="70" s="1"/>
        <n x="2" s="1"/>
        <n x="68"/>
        <n x="83"/>
        <n x="59"/>
      </t>
    </mdx>
    <mdx n="0" f="v">
      <t c="8">
        <n x="7" s="1"/>
        <n x="69" s="1"/>
        <n x="3" s="1"/>
        <n x="70" s="1"/>
        <n x="2" s="1"/>
        <n x="68"/>
        <n x="83"/>
        <n x="60"/>
      </t>
    </mdx>
    <mdx n="0" f="v">
      <t c="8">
        <n x="7" s="1"/>
        <n x="69" s="1"/>
        <n x="3" s="1"/>
        <n x="70" s="1"/>
        <n x="2" s="1"/>
        <n x="68"/>
        <n x="83"/>
        <n x="61"/>
      </t>
    </mdx>
    <mdx n="0" f="v">
      <t c="8">
        <n x="7" s="1"/>
        <n x="69" s="1"/>
        <n x="3" s="1"/>
        <n x="70" s="1"/>
        <n x="2" s="1"/>
        <n x="68"/>
        <n x="83"/>
        <n x="62"/>
      </t>
    </mdx>
    <mdx n="0" f="v">
      <t c="8">
        <n x="7" s="1"/>
        <n x="69" s="1"/>
        <n x="3" s="1"/>
        <n x="70" s="1"/>
        <n x="2" s="1"/>
        <n x="68"/>
        <n x="83"/>
        <n x="63"/>
      </t>
    </mdx>
    <mdx n="0" f="v">
      <t c="8">
        <n x="7" s="1"/>
        <n x="69" s="1"/>
        <n x="3" s="1"/>
        <n x="70" s="1"/>
        <n x="2" s="1"/>
        <n x="68"/>
        <n x="83"/>
        <n x="64"/>
      </t>
    </mdx>
    <mdx n="0" f="v">
      <t c="8">
        <n x="7" s="1"/>
        <n x="69" s="1"/>
        <n x="3" s="1"/>
        <n x="70" s="1"/>
        <n x="2" s="1"/>
        <n x="68"/>
        <n x="83"/>
        <n x="65"/>
      </t>
    </mdx>
    <mdx n="0" f="v">
      <t c="8">
        <n x="7" s="1"/>
        <n x="69" s="1"/>
        <n x="3" s="1"/>
        <n x="70" s="1"/>
        <n x="2" s="1"/>
        <n x="68"/>
        <n x="83"/>
        <n x="66"/>
      </t>
    </mdx>
    <mdx n="0" f="v">
      <t c="8">
        <n x="7" s="1"/>
        <n x="69" s="1"/>
        <n x="3" s="1"/>
        <n x="70" s="1"/>
        <n x="2" s="1"/>
        <n x="68"/>
        <n x="84"/>
        <n x="8"/>
      </t>
    </mdx>
    <mdx n="0" f="v">
      <t c="8">
        <n x="7" s="1"/>
        <n x="69" s="1"/>
        <n x="3" s="1"/>
        <n x="70" s="1"/>
        <n x="2" s="1"/>
        <n x="68"/>
        <n x="84"/>
        <n x="9"/>
      </t>
    </mdx>
    <mdx n="0" f="v">
      <t c="8">
        <n x="7" s="1"/>
        <n x="69" s="1"/>
        <n x="3" s="1"/>
        <n x="70" s="1"/>
        <n x="2" s="1"/>
        <n x="68"/>
        <n x="84"/>
        <n x="10"/>
      </t>
    </mdx>
    <mdx n="0" f="v">
      <t c="8">
        <n x="7" s="1"/>
        <n x="69" s="1"/>
        <n x="3" s="1"/>
        <n x="70" s="1"/>
        <n x="2" s="1"/>
        <n x="68"/>
        <n x="84"/>
        <n x="11"/>
      </t>
    </mdx>
    <mdx n="0" f="v">
      <t c="8">
        <n x="7" s="1"/>
        <n x="69" s="1"/>
        <n x="3" s="1"/>
        <n x="70" s="1"/>
        <n x="2" s="1"/>
        <n x="68"/>
        <n x="84"/>
        <n x="12"/>
      </t>
    </mdx>
    <mdx n="0" f="v">
      <t c="8">
        <n x="7" s="1"/>
        <n x="69" s="1"/>
        <n x="3" s="1"/>
        <n x="70" s="1"/>
        <n x="2" s="1"/>
        <n x="68"/>
        <n x="84"/>
        <n x="13"/>
      </t>
    </mdx>
    <mdx n="0" f="v">
      <t c="8">
        <n x="7" s="1"/>
        <n x="69" s="1"/>
        <n x="3" s="1"/>
        <n x="70" s="1"/>
        <n x="2" s="1"/>
        <n x="68"/>
        <n x="84"/>
        <n x="14"/>
      </t>
    </mdx>
    <mdx n="0" f="v">
      <t c="8">
        <n x="7" s="1"/>
        <n x="69" s="1"/>
        <n x="3" s="1"/>
        <n x="70" s="1"/>
        <n x="2" s="1"/>
        <n x="68"/>
        <n x="84"/>
        <n x="15"/>
      </t>
    </mdx>
    <mdx n="0" f="v">
      <t c="8">
        <n x="7" s="1"/>
        <n x="69" s="1"/>
        <n x="3" s="1"/>
        <n x="70" s="1"/>
        <n x="2" s="1"/>
        <n x="68"/>
        <n x="84"/>
        <n x="16"/>
      </t>
    </mdx>
    <mdx n="0" f="v">
      <t c="8">
        <n x="7" s="1"/>
        <n x="69" s="1"/>
        <n x="3" s="1"/>
        <n x="70" s="1"/>
        <n x="2" s="1"/>
        <n x="68"/>
        <n x="84"/>
        <n x="17"/>
      </t>
    </mdx>
    <mdx n="0" f="v">
      <t c="8">
        <n x="7" s="1"/>
        <n x="69" s="1"/>
        <n x="3" s="1"/>
        <n x="70" s="1"/>
        <n x="2" s="1"/>
        <n x="68"/>
        <n x="84"/>
        <n x="18"/>
      </t>
    </mdx>
    <mdx n="0" f="v">
      <t c="8">
        <n x="7" s="1"/>
        <n x="69" s="1"/>
        <n x="3" s="1"/>
        <n x="70" s="1"/>
        <n x="2" s="1"/>
        <n x="68"/>
        <n x="84"/>
        <n x="19"/>
      </t>
    </mdx>
    <mdx n="0" f="v">
      <t c="8">
        <n x="7" s="1"/>
        <n x="69" s="1"/>
        <n x="3" s="1"/>
        <n x="70" s="1"/>
        <n x="2" s="1"/>
        <n x="68"/>
        <n x="84"/>
        <n x="20"/>
      </t>
    </mdx>
    <mdx n="0" f="v">
      <t c="8">
        <n x="7" s="1"/>
        <n x="69" s="1"/>
        <n x="3" s="1"/>
        <n x="70" s="1"/>
        <n x="2" s="1"/>
        <n x="68"/>
        <n x="84"/>
        <n x="21"/>
      </t>
    </mdx>
    <mdx n="0" f="v">
      <t c="8">
        <n x="7" s="1"/>
        <n x="69" s="1"/>
        <n x="3" s="1"/>
        <n x="70" s="1"/>
        <n x="2" s="1"/>
        <n x="68"/>
        <n x="84"/>
        <n x="22"/>
      </t>
    </mdx>
    <mdx n="0" f="v">
      <t c="8">
        <n x="7" s="1"/>
        <n x="69" s="1"/>
        <n x="3" s="1"/>
        <n x="70" s="1"/>
        <n x="2" s="1"/>
        <n x="68"/>
        <n x="84"/>
        <n x="23"/>
      </t>
    </mdx>
    <mdx n="0" f="v">
      <t c="8">
        <n x="7" s="1"/>
        <n x="69" s="1"/>
        <n x="3" s="1"/>
        <n x="70" s="1"/>
        <n x="2" s="1"/>
        <n x="68"/>
        <n x="84"/>
        <n x="24"/>
      </t>
    </mdx>
    <mdx n="0" f="v">
      <t c="8">
        <n x="7" s="1"/>
        <n x="69" s="1"/>
        <n x="3" s="1"/>
        <n x="70" s="1"/>
        <n x="2" s="1"/>
        <n x="68"/>
        <n x="84"/>
        <n x="25"/>
      </t>
    </mdx>
    <mdx n="0" f="v">
      <t c="8">
        <n x="7" s="1"/>
        <n x="69" s="1"/>
        <n x="3" s="1"/>
        <n x="70" s="1"/>
        <n x="2" s="1"/>
        <n x="68"/>
        <n x="84"/>
        <n x="26"/>
      </t>
    </mdx>
    <mdx n="0" f="v">
      <t c="8">
        <n x="7" s="1"/>
        <n x="69" s="1"/>
        <n x="3" s="1"/>
        <n x="70" s="1"/>
        <n x="2" s="1"/>
        <n x="68"/>
        <n x="84"/>
        <n x="27"/>
      </t>
    </mdx>
    <mdx n="0" f="v">
      <t c="8">
        <n x="7" s="1"/>
        <n x="69" s="1"/>
        <n x="3" s="1"/>
        <n x="70" s="1"/>
        <n x="2" s="1"/>
        <n x="68"/>
        <n x="84"/>
        <n x="28"/>
      </t>
    </mdx>
    <mdx n="0" f="v">
      <t c="8">
        <n x="7" s="1"/>
        <n x="69" s="1"/>
        <n x="3" s="1"/>
        <n x="70" s="1"/>
        <n x="2" s="1"/>
        <n x="68"/>
        <n x="84"/>
        <n x="29"/>
      </t>
    </mdx>
    <mdx n="0" f="v">
      <t c="8">
        <n x="7" s="1"/>
        <n x="69" s="1"/>
        <n x="3" s="1"/>
        <n x="70" s="1"/>
        <n x="2" s="1"/>
        <n x="68"/>
        <n x="84"/>
        <n x="30"/>
      </t>
    </mdx>
    <mdx n="0" f="v">
      <t c="8">
        <n x="7" s="1"/>
        <n x="69" s="1"/>
        <n x="3" s="1"/>
        <n x="70" s="1"/>
        <n x="2" s="1"/>
        <n x="68"/>
        <n x="84"/>
        <n x="31"/>
      </t>
    </mdx>
    <mdx n="0" f="v">
      <t c="8">
        <n x="7" s="1"/>
        <n x="69" s="1"/>
        <n x="3" s="1"/>
        <n x="70" s="1"/>
        <n x="2" s="1"/>
        <n x="68"/>
        <n x="84"/>
        <n x="32"/>
      </t>
    </mdx>
    <mdx n="0" f="v">
      <t c="8">
        <n x="7" s="1"/>
        <n x="69" s="1"/>
        <n x="3" s="1"/>
        <n x="70" s="1"/>
        <n x="2" s="1"/>
        <n x="68"/>
        <n x="84"/>
        <n x="33"/>
      </t>
    </mdx>
    <mdx n="0" f="v">
      <t c="8">
        <n x="7" s="1"/>
        <n x="69" s="1"/>
        <n x="3" s="1"/>
        <n x="70" s="1"/>
        <n x="2" s="1"/>
        <n x="68"/>
        <n x="84"/>
        <n x="34"/>
      </t>
    </mdx>
    <mdx n="0" f="v">
      <t c="8">
        <n x="7" s="1"/>
        <n x="69" s="1"/>
        <n x="3" s="1"/>
        <n x="70" s="1"/>
        <n x="2" s="1"/>
        <n x="68"/>
        <n x="84"/>
        <n x="35"/>
      </t>
    </mdx>
    <mdx n="0" f="v">
      <t c="8">
        <n x="7" s="1"/>
        <n x="69" s="1"/>
        <n x="3" s="1"/>
        <n x="70" s="1"/>
        <n x="2" s="1"/>
        <n x="68"/>
        <n x="84"/>
        <n x="36"/>
      </t>
    </mdx>
    <mdx n="0" f="v">
      <t c="8">
        <n x="7" s="1"/>
        <n x="69" s="1"/>
        <n x="3" s="1"/>
        <n x="70" s="1"/>
        <n x="2" s="1"/>
        <n x="68"/>
        <n x="84"/>
        <n x="37"/>
      </t>
    </mdx>
    <mdx n="0" f="v">
      <t c="8">
        <n x="7" s="1"/>
        <n x="69" s="1"/>
        <n x="3" s="1"/>
        <n x="70" s="1"/>
        <n x="2" s="1"/>
        <n x="68"/>
        <n x="84"/>
        <n x="38"/>
      </t>
    </mdx>
    <mdx n="0" f="v">
      <t c="8">
        <n x="7" s="1"/>
        <n x="69" s="1"/>
        <n x="3" s="1"/>
        <n x="70" s="1"/>
        <n x="2" s="1"/>
        <n x="68"/>
        <n x="84"/>
        <n x="39"/>
      </t>
    </mdx>
    <mdx n="0" f="v">
      <t c="8">
        <n x="7" s="1"/>
        <n x="69" s="1"/>
        <n x="3" s="1"/>
        <n x="70" s="1"/>
        <n x="2" s="1"/>
        <n x="68"/>
        <n x="84"/>
        <n x="40"/>
      </t>
    </mdx>
    <mdx n="0" f="v">
      <t c="8">
        <n x="7" s="1"/>
        <n x="69" s="1"/>
        <n x="3" s="1"/>
        <n x="70" s="1"/>
        <n x="2" s="1"/>
        <n x="68"/>
        <n x="84"/>
        <n x="41"/>
      </t>
    </mdx>
    <mdx n="0" f="v">
      <t c="8">
        <n x="7" s="1"/>
        <n x="69" s="1"/>
        <n x="3" s="1"/>
        <n x="70" s="1"/>
        <n x="2" s="1"/>
        <n x="68"/>
        <n x="84"/>
        <n x="42"/>
      </t>
    </mdx>
    <mdx n="0" f="v">
      <t c="8">
        <n x="7" s="1"/>
        <n x="69" s="1"/>
        <n x="3" s="1"/>
        <n x="70" s="1"/>
        <n x="2" s="1"/>
        <n x="68"/>
        <n x="84"/>
        <n x="43"/>
      </t>
    </mdx>
    <mdx n="0" f="v">
      <t c="8">
        <n x="7" s="1"/>
        <n x="69" s="1"/>
        <n x="3" s="1"/>
        <n x="70" s="1"/>
        <n x="2" s="1"/>
        <n x="68"/>
        <n x="84"/>
        <n x="44"/>
      </t>
    </mdx>
    <mdx n="0" f="v">
      <t c="8">
        <n x="7" s="1"/>
        <n x="69" s="1"/>
        <n x="3" s="1"/>
        <n x="70" s="1"/>
        <n x="2" s="1"/>
        <n x="68"/>
        <n x="84"/>
        <n x="45"/>
      </t>
    </mdx>
    <mdx n="0" f="v">
      <t c="8">
        <n x="7" s="1"/>
        <n x="69" s="1"/>
        <n x="3" s="1"/>
        <n x="70" s="1"/>
        <n x="2" s="1"/>
        <n x="68"/>
        <n x="84"/>
        <n x="46"/>
      </t>
    </mdx>
    <mdx n="0" f="v">
      <t c="8">
        <n x="7" s="1"/>
        <n x="69" s="1"/>
        <n x="3" s="1"/>
        <n x="70" s="1"/>
        <n x="2" s="1"/>
        <n x="68"/>
        <n x="84"/>
        <n x="47"/>
      </t>
    </mdx>
    <mdx n="0" f="v">
      <t c="8">
        <n x="7" s="1"/>
        <n x="69" s="1"/>
        <n x="3" s="1"/>
        <n x="70" s="1"/>
        <n x="2" s="1"/>
        <n x="68"/>
        <n x="84"/>
        <n x="48"/>
      </t>
    </mdx>
    <mdx n="0" f="v">
      <t c="8">
        <n x="7" s="1"/>
        <n x="69" s="1"/>
        <n x="3" s="1"/>
        <n x="70" s="1"/>
        <n x="2" s="1"/>
        <n x="68"/>
        <n x="84"/>
        <n x="49"/>
      </t>
    </mdx>
    <mdx n="0" f="v">
      <t c="8">
        <n x="7" s="1"/>
        <n x="69" s="1"/>
        <n x="3" s="1"/>
        <n x="70" s="1"/>
        <n x="2" s="1"/>
        <n x="68"/>
        <n x="84"/>
        <n x="50"/>
      </t>
    </mdx>
    <mdx n="0" f="v">
      <t c="8">
        <n x="7" s="1"/>
        <n x="69" s="1"/>
        <n x="3" s="1"/>
        <n x="70" s="1"/>
        <n x="2" s="1"/>
        <n x="68"/>
        <n x="84"/>
        <n x="51"/>
      </t>
    </mdx>
    <mdx n="0" f="v">
      <t c="8">
        <n x="7" s="1"/>
        <n x="69" s="1"/>
        <n x="3" s="1"/>
        <n x="70" s="1"/>
        <n x="2" s="1"/>
        <n x="68"/>
        <n x="84"/>
        <n x="52"/>
      </t>
    </mdx>
    <mdx n="0" f="v">
      <t c="8">
        <n x="7" s="1"/>
        <n x="69" s="1"/>
        <n x="3" s="1"/>
        <n x="70" s="1"/>
        <n x="2" s="1"/>
        <n x="68"/>
        <n x="84"/>
        <n x="53"/>
      </t>
    </mdx>
    <mdx n="0" f="v">
      <t c="8">
        <n x="7" s="1"/>
        <n x="69" s="1"/>
        <n x="3" s="1"/>
        <n x="70" s="1"/>
        <n x="2" s="1"/>
        <n x="68"/>
        <n x="84"/>
        <n x="54"/>
      </t>
    </mdx>
    <mdx n="0" f="v">
      <t c="8">
        <n x="7" s="1"/>
        <n x="69" s="1"/>
        <n x="3" s="1"/>
        <n x="70" s="1"/>
        <n x="2" s="1"/>
        <n x="68"/>
        <n x="84"/>
        <n x="55"/>
      </t>
    </mdx>
    <mdx n="0" f="v">
      <t c="8">
        <n x="7" s="1"/>
        <n x="69" s="1"/>
        <n x="3" s="1"/>
        <n x="70" s="1"/>
        <n x="2" s="1"/>
        <n x="68"/>
        <n x="84"/>
        <n x="56"/>
      </t>
    </mdx>
    <mdx n="0" f="v">
      <t c="8">
        <n x="7" s="1"/>
        <n x="69" s="1"/>
        <n x="3" s="1"/>
        <n x="70" s="1"/>
        <n x="2" s="1"/>
        <n x="68"/>
        <n x="84"/>
        <n x="57"/>
      </t>
    </mdx>
    <mdx n="0" f="v">
      <t c="8">
        <n x="7" s="1"/>
        <n x="69" s="1"/>
        <n x="3" s="1"/>
        <n x="70" s="1"/>
        <n x="2" s="1"/>
        <n x="68"/>
        <n x="84"/>
        <n x="58"/>
      </t>
    </mdx>
    <mdx n="0" f="v">
      <t c="8">
        <n x="7" s="1"/>
        <n x="69" s="1"/>
        <n x="3" s="1"/>
        <n x="70" s="1"/>
        <n x="2" s="1"/>
        <n x="68"/>
        <n x="84"/>
        <n x="59"/>
      </t>
    </mdx>
    <mdx n="0" f="v">
      <t c="8">
        <n x="7" s="1"/>
        <n x="69" s="1"/>
        <n x="3" s="1"/>
        <n x="70" s="1"/>
        <n x="2" s="1"/>
        <n x="68"/>
        <n x="84"/>
        <n x="60"/>
      </t>
    </mdx>
    <mdx n="0" f="v">
      <t c="8">
        <n x="7" s="1"/>
        <n x="69" s="1"/>
        <n x="3" s="1"/>
        <n x="70" s="1"/>
        <n x="2" s="1"/>
        <n x="68"/>
        <n x="84"/>
        <n x="61"/>
      </t>
    </mdx>
    <mdx n="0" f="v">
      <t c="8">
        <n x="7" s="1"/>
        <n x="69" s="1"/>
        <n x="3" s="1"/>
        <n x="70" s="1"/>
        <n x="2" s="1"/>
        <n x="68"/>
        <n x="84"/>
        <n x="62"/>
      </t>
    </mdx>
    <mdx n="0" f="v">
      <t c="8">
        <n x="7" s="1"/>
        <n x="69" s="1"/>
        <n x="3" s="1"/>
        <n x="70" s="1"/>
        <n x="2" s="1"/>
        <n x="68"/>
        <n x="84"/>
        <n x="63"/>
      </t>
    </mdx>
    <mdx n="0" f="v">
      <t c="8">
        <n x="7" s="1"/>
        <n x="69" s="1"/>
        <n x="3" s="1"/>
        <n x="70" s="1"/>
        <n x="2" s="1"/>
        <n x="68"/>
        <n x="84"/>
        <n x="64"/>
      </t>
    </mdx>
    <mdx n="0" f="v">
      <t c="8">
        <n x="7" s="1"/>
        <n x="69" s="1"/>
        <n x="3" s="1"/>
        <n x="70" s="1"/>
        <n x="2" s="1"/>
        <n x="68"/>
        <n x="84"/>
        <n x="65"/>
      </t>
    </mdx>
    <mdx n="0" f="v">
      <t c="8">
        <n x="7" s="1"/>
        <n x="69" s="1"/>
        <n x="3" s="1"/>
        <n x="70" s="1"/>
        <n x="2" s="1"/>
        <n x="68"/>
        <n x="84"/>
        <n x="66"/>
      </t>
    </mdx>
    <mdx n="0" f="v">
      <t c="8">
        <n x="7" s="1"/>
        <n x="69" s="1"/>
        <n x="3" s="1"/>
        <n x="70" s="1"/>
        <n x="2" s="1"/>
        <n x="68"/>
        <n x="85"/>
        <n x="8"/>
      </t>
    </mdx>
    <mdx n="0" f="v">
      <t c="8">
        <n x="7" s="1"/>
        <n x="69" s="1"/>
        <n x="3" s="1"/>
        <n x="70" s="1"/>
        <n x="2" s="1"/>
        <n x="68"/>
        <n x="85"/>
        <n x="9"/>
      </t>
    </mdx>
    <mdx n="0" f="v">
      <t c="8">
        <n x="7" s="1"/>
        <n x="69" s="1"/>
        <n x="3" s="1"/>
        <n x="70" s="1"/>
        <n x="2" s="1"/>
        <n x="68"/>
        <n x="85"/>
        <n x="10"/>
      </t>
    </mdx>
    <mdx n="0" f="v">
      <t c="8">
        <n x="7" s="1"/>
        <n x="69" s="1"/>
        <n x="3" s="1"/>
        <n x="70" s="1"/>
        <n x="2" s="1"/>
        <n x="68"/>
        <n x="85"/>
        <n x="11"/>
      </t>
    </mdx>
    <mdx n="0" f="v">
      <t c="8">
        <n x="7" s="1"/>
        <n x="69" s="1"/>
        <n x="3" s="1"/>
        <n x="70" s="1"/>
        <n x="2" s="1"/>
        <n x="68"/>
        <n x="85"/>
        <n x="12"/>
      </t>
    </mdx>
    <mdx n="0" f="v">
      <t c="8">
        <n x="7" s="1"/>
        <n x="69" s="1"/>
        <n x="3" s="1"/>
        <n x="70" s="1"/>
        <n x="2" s="1"/>
        <n x="68"/>
        <n x="85"/>
        <n x="13"/>
      </t>
    </mdx>
    <mdx n="0" f="v">
      <t c="8">
        <n x="7" s="1"/>
        <n x="69" s="1"/>
        <n x="3" s="1"/>
        <n x="70" s="1"/>
        <n x="2" s="1"/>
        <n x="68"/>
        <n x="85"/>
        <n x="14"/>
      </t>
    </mdx>
    <mdx n="0" f="v">
      <t c="8">
        <n x="7" s="1"/>
        <n x="69" s="1"/>
        <n x="3" s="1"/>
        <n x="70" s="1"/>
        <n x="2" s="1"/>
        <n x="68"/>
        <n x="85"/>
        <n x="15"/>
      </t>
    </mdx>
    <mdx n="0" f="v">
      <t c="8">
        <n x="7" s="1"/>
        <n x="69" s="1"/>
        <n x="3" s="1"/>
        <n x="70" s="1"/>
        <n x="2" s="1"/>
        <n x="68"/>
        <n x="85"/>
        <n x="16"/>
      </t>
    </mdx>
    <mdx n="0" f="v">
      <t c="8">
        <n x="7" s="1"/>
        <n x="69" s="1"/>
        <n x="3" s="1"/>
        <n x="70" s="1"/>
        <n x="2" s="1"/>
        <n x="68"/>
        <n x="85"/>
        <n x="17"/>
      </t>
    </mdx>
    <mdx n="0" f="v">
      <t c="8">
        <n x="7" s="1"/>
        <n x="69" s="1"/>
        <n x="3" s="1"/>
        <n x="70" s="1"/>
        <n x="2" s="1"/>
        <n x="68"/>
        <n x="85"/>
        <n x="18"/>
      </t>
    </mdx>
    <mdx n="0" f="v">
      <t c="8">
        <n x="7" s="1"/>
        <n x="69" s="1"/>
        <n x="3" s="1"/>
        <n x="70" s="1"/>
        <n x="2" s="1"/>
        <n x="68"/>
        <n x="85"/>
        <n x="19"/>
      </t>
    </mdx>
    <mdx n="0" f="v">
      <t c="8">
        <n x="7" s="1"/>
        <n x="69" s="1"/>
        <n x="3" s="1"/>
        <n x="70" s="1"/>
        <n x="2" s="1"/>
        <n x="68"/>
        <n x="85"/>
        <n x="20"/>
      </t>
    </mdx>
    <mdx n="0" f="v">
      <t c="8">
        <n x="7" s="1"/>
        <n x="69" s="1"/>
        <n x="3" s="1"/>
        <n x="70" s="1"/>
        <n x="2" s="1"/>
        <n x="68"/>
        <n x="85"/>
        <n x="21"/>
      </t>
    </mdx>
    <mdx n="0" f="v">
      <t c="8">
        <n x="7" s="1"/>
        <n x="69" s="1"/>
        <n x="3" s="1"/>
        <n x="70" s="1"/>
        <n x="2" s="1"/>
        <n x="68"/>
        <n x="85"/>
        <n x="22"/>
      </t>
    </mdx>
    <mdx n="0" f="v">
      <t c="8">
        <n x="7" s="1"/>
        <n x="69" s="1"/>
        <n x="3" s="1"/>
        <n x="70" s="1"/>
        <n x="2" s="1"/>
        <n x="68"/>
        <n x="85"/>
        <n x="23"/>
      </t>
    </mdx>
    <mdx n="0" f="v">
      <t c="8">
        <n x="7" s="1"/>
        <n x="69" s="1"/>
        <n x="3" s="1"/>
        <n x="70" s="1"/>
        <n x="2" s="1"/>
        <n x="68"/>
        <n x="85"/>
        <n x="24"/>
      </t>
    </mdx>
    <mdx n="0" f="v">
      <t c="8">
        <n x="7" s="1"/>
        <n x="69" s="1"/>
        <n x="3" s="1"/>
        <n x="70" s="1"/>
        <n x="2" s="1"/>
        <n x="68"/>
        <n x="85"/>
        <n x="25"/>
      </t>
    </mdx>
    <mdx n="0" f="v">
      <t c="8">
        <n x="7" s="1"/>
        <n x="69" s="1"/>
        <n x="3" s="1"/>
        <n x="70" s="1"/>
        <n x="2" s="1"/>
        <n x="68"/>
        <n x="85"/>
        <n x="26"/>
      </t>
    </mdx>
    <mdx n="0" f="v">
      <t c="8">
        <n x="7" s="1"/>
        <n x="69" s="1"/>
        <n x="3" s="1"/>
        <n x="70" s="1"/>
        <n x="2" s="1"/>
        <n x="68"/>
        <n x="85"/>
        <n x="27"/>
      </t>
    </mdx>
    <mdx n="0" f="v">
      <t c="8">
        <n x="7" s="1"/>
        <n x="69" s="1"/>
        <n x="3" s="1"/>
        <n x="70" s="1"/>
        <n x="2" s="1"/>
        <n x="68"/>
        <n x="85"/>
        <n x="28"/>
      </t>
    </mdx>
    <mdx n="0" f="v">
      <t c="8">
        <n x="7" s="1"/>
        <n x="69" s="1"/>
        <n x="3" s="1"/>
        <n x="70" s="1"/>
        <n x="2" s="1"/>
        <n x="68"/>
        <n x="85"/>
        <n x="29"/>
      </t>
    </mdx>
    <mdx n="0" f="v">
      <t c="8">
        <n x="7" s="1"/>
        <n x="69" s="1"/>
        <n x="3" s="1"/>
        <n x="70" s="1"/>
        <n x="2" s="1"/>
        <n x="68"/>
        <n x="85"/>
        <n x="30"/>
      </t>
    </mdx>
    <mdx n="0" f="v">
      <t c="8">
        <n x="7" s="1"/>
        <n x="69" s="1"/>
        <n x="3" s="1"/>
        <n x="70" s="1"/>
        <n x="2" s="1"/>
        <n x="68"/>
        <n x="85"/>
        <n x="31"/>
      </t>
    </mdx>
    <mdx n="0" f="v">
      <t c="8">
        <n x="7" s="1"/>
        <n x="69" s="1"/>
        <n x="3" s="1"/>
        <n x="70" s="1"/>
        <n x="2" s="1"/>
        <n x="68"/>
        <n x="85"/>
        <n x="32"/>
      </t>
    </mdx>
    <mdx n="0" f="v">
      <t c="8">
        <n x="7" s="1"/>
        <n x="69" s="1"/>
        <n x="3" s="1"/>
        <n x="70" s="1"/>
        <n x="2" s="1"/>
        <n x="68"/>
        <n x="85"/>
        <n x="33"/>
      </t>
    </mdx>
    <mdx n="0" f="v">
      <t c="8">
        <n x="7" s="1"/>
        <n x="69" s="1"/>
        <n x="3" s="1"/>
        <n x="70" s="1"/>
        <n x="2" s="1"/>
        <n x="68"/>
        <n x="85"/>
        <n x="34"/>
      </t>
    </mdx>
    <mdx n="0" f="v">
      <t c="8">
        <n x="7" s="1"/>
        <n x="69" s="1"/>
        <n x="3" s="1"/>
        <n x="70" s="1"/>
        <n x="2" s="1"/>
        <n x="68"/>
        <n x="85"/>
        <n x="35"/>
      </t>
    </mdx>
    <mdx n="0" f="v">
      <t c="8">
        <n x="7" s="1"/>
        <n x="69" s="1"/>
        <n x="3" s="1"/>
        <n x="70" s="1"/>
        <n x="2" s="1"/>
        <n x="68"/>
        <n x="85"/>
        <n x="36"/>
      </t>
    </mdx>
    <mdx n="0" f="v">
      <t c="8">
        <n x="7" s="1"/>
        <n x="69" s="1"/>
        <n x="3" s="1"/>
        <n x="70" s="1"/>
        <n x="2" s="1"/>
        <n x="68"/>
        <n x="85"/>
        <n x="37"/>
      </t>
    </mdx>
    <mdx n="0" f="v">
      <t c="8">
        <n x="7" s="1"/>
        <n x="69" s="1"/>
        <n x="3" s="1"/>
        <n x="70" s="1"/>
        <n x="2" s="1"/>
        <n x="68"/>
        <n x="85"/>
        <n x="38"/>
      </t>
    </mdx>
    <mdx n="0" f="v">
      <t c="8">
        <n x="7" s="1"/>
        <n x="69" s="1"/>
        <n x="3" s="1"/>
        <n x="70" s="1"/>
        <n x="2" s="1"/>
        <n x="68"/>
        <n x="85"/>
        <n x="39"/>
      </t>
    </mdx>
    <mdx n="0" f="v">
      <t c="8">
        <n x="7" s="1"/>
        <n x="69" s="1"/>
        <n x="3" s="1"/>
        <n x="70" s="1"/>
        <n x="2" s="1"/>
        <n x="68"/>
        <n x="85"/>
        <n x="40"/>
      </t>
    </mdx>
    <mdx n="0" f="v">
      <t c="8">
        <n x="7" s="1"/>
        <n x="69" s="1"/>
        <n x="3" s="1"/>
        <n x="70" s="1"/>
        <n x="2" s="1"/>
        <n x="68"/>
        <n x="85"/>
        <n x="41"/>
      </t>
    </mdx>
    <mdx n="0" f="v">
      <t c="8">
        <n x="7" s="1"/>
        <n x="69" s="1"/>
        <n x="3" s="1"/>
        <n x="70" s="1"/>
        <n x="2" s="1"/>
        <n x="68"/>
        <n x="85"/>
        <n x="42"/>
      </t>
    </mdx>
    <mdx n="0" f="v">
      <t c="8">
        <n x="7" s="1"/>
        <n x="69" s="1"/>
        <n x="3" s="1"/>
        <n x="70" s="1"/>
        <n x="2" s="1"/>
        <n x="68"/>
        <n x="85"/>
        <n x="43"/>
      </t>
    </mdx>
    <mdx n="0" f="v">
      <t c="8">
        <n x="7" s="1"/>
        <n x="69" s="1"/>
        <n x="3" s="1"/>
        <n x="70" s="1"/>
        <n x="2" s="1"/>
        <n x="68"/>
        <n x="85"/>
        <n x="44"/>
      </t>
    </mdx>
    <mdx n="0" f="v">
      <t c="8">
        <n x="7" s="1"/>
        <n x="69" s="1"/>
        <n x="3" s="1"/>
        <n x="70" s="1"/>
        <n x="2" s="1"/>
        <n x="68"/>
        <n x="85"/>
        <n x="45"/>
      </t>
    </mdx>
    <mdx n="0" f="v">
      <t c="8">
        <n x="7" s="1"/>
        <n x="69" s="1"/>
        <n x="3" s="1"/>
        <n x="70" s="1"/>
        <n x="2" s="1"/>
        <n x="68"/>
        <n x="85"/>
        <n x="46"/>
      </t>
    </mdx>
    <mdx n="0" f="v">
      <t c="8">
        <n x="7" s="1"/>
        <n x="69" s="1"/>
        <n x="3" s="1"/>
        <n x="70" s="1"/>
        <n x="2" s="1"/>
        <n x="68"/>
        <n x="85"/>
        <n x="47"/>
      </t>
    </mdx>
    <mdx n="0" f="v">
      <t c="8">
        <n x="7" s="1"/>
        <n x="69" s="1"/>
        <n x="3" s="1"/>
        <n x="70" s="1"/>
        <n x="2" s="1"/>
        <n x="68"/>
        <n x="85"/>
        <n x="48"/>
      </t>
    </mdx>
    <mdx n="0" f="v">
      <t c="8">
        <n x="7" s="1"/>
        <n x="69" s="1"/>
        <n x="3" s="1"/>
        <n x="70" s="1"/>
        <n x="2" s="1"/>
        <n x="68"/>
        <n x="85"/>
        <n x="49"/>
      </t>
    </mdx>
    <mdx n="0" f="v">
      <t c="8">
        <n x="7" s="1"/>
        <n x="69" s="1"/>
        <n x="3" s="1"/>
        <n x="70" s="1"/>
        <n x="2" s="1"/>
        <n x="68"/>
        <n x="85"/>
        <n x="50"/>
      </t>
    </mdx>
    <mdx n="0" f="v">
      <t c="8">
        <n x="7" s="1"/>
        <n x="69" s="1"/>
        <n x="3" s="1"/>
        <n x="70" s="1"/>
        <n x="2" s="1"/>
        <n x="68"/>
        <n x="85"/>
        <n x="51"/>
      </t>
    </mdx>
    <mdx n="0" f="v">
      <t c="8">
        <n x="7" s="1"/>
        <n x="69" s="1"/>
        <n x="3" s="1"/>
        <n x="70" s="1"/>
        <n x="2" s="1"/>
        <n x="68"/>
        <n x="85"/>
        <n x="52"/>
      </t>
    </mdx>
    <mdx n="0" f="v">
      <t c="8">
        <n x="7" s="1"/>
        <n x="69" s="1"/>
        <n x="3" s="1"/>
        <n x="70" s="1"/>
        <n x="2" s="1"/>
        <n x="68"/>
        <n x="85"/>
        <n x="53"/>
      </t>
    </mdx>
    <mdx n="0" f="v">
      <t c="8">
        <n x="7" s="1"/>
        <n x="69" s="1"/>
        <n x="3" s="1"/>
        <n x="70" s="1"/>
        <n x="2" s="1"/>
        <n x="68"/>
        <n x="85"/>
        <n x="54"/>
      </t>
    </mdx>
    <mdx n="0" f="v">
      <t c="8">
        <n x="7" s="1"/>
        <n x="69" s="1"/>
        <n x="3" s="1"/>
        <n x="70" s="1"/>
        <n x="2" s="1"/>
        <n x="68"/>
        <n x="85"/>
        <n x="55"/>
      </t>
    </mdx>
    <mdx n="0" f="v">
      <t c="8">
        <n x="7" s="1"/>
        <n x="69" s="1"/>
        <n x="3" s="1"/>
        <n x="70" s="1"/>
        <n x="2" s="1"/>
        <n x="68"/>
        <n x="85"/>
        <n x="56"/>
      </t>
    </mdx>
    <mdx n="0" f="v">
      <t c="8">
        <n x="7" s="1"/>
        <n x="69" s="1"/>
        <n x="3" s="1"/>
        <n x="70" s="1"/>
        <n x="2" s="1"/>
        <n x="68"/>
        <n x="85"/>
        <n x="57"/>
      </t>
    </mdx>
    <mdx n="0" f="v">
      <t c="8">
        <n x="7" s="1"/>
        <n x="69" s="1"/>
        <n x="3" s="1"/>
        <n x="70" s="1"/>
        <n x="2" s="1"/>
        <n x="68"/>
        <n x="85"/>
        <n x="58"/>
      </t>
    </mdx>
    <mdx n="0" f="v">
      <t c="8">
        <n x="7" s="1"/>
        <n x="69" s="1"/>
        <n x="3" s="1"/>
        <n x="70" s="1"/>
        <n x="2" s="1"/>
        <n x="68"/>
        <n x="85"/>
        <n x="59"/>
      </t>
    </mdx>
    <mdx n="0" f="v">
      <t c="8">
        <n x="7" s="1"/>
        <n x="69" s="1"/>
        <n x="3" s="1"/>
        <n x="70" s="1"/>
        <n x="2" s="1"/>
        <n x="68"/>
        <n x="85"/>
        <n x="60"/>
      </t>
    </mdx>
    <mdx n="0" f="v">
      <t c="8">
        <n x="7" s="1"/>
        <n x="69" s="1"/>
        <n x="3" s="1"/>
        <n x="70" s="1"/>
        <n x="2" s="1"/>
        <n x="68"/>
        <n x="85"/>
        <n x="61"/>
      </t>
    </mdx>
    <mdx n="0" f="v">
      <t c="8">
        <n x="7" s="1"/>
        <n x="69" s="1"/>
        <n x="3" s="1"/>
        <n x="70" s="1"/>
        <n x="2" s="1"/>
        <n x="68"/>
        <n x="85"/>
        <n x="62"/>
      </t>
    </mdx>
    <mdx n="0" f="v">
      <t c="8">
        <n x="7" s="1"/>
        <n x="69" s="1"/>
        <n x="3" s="1"/>
        <n x="70" s="1"/>
        <n x="2" s="1"/>
        <n x="68"/>
        <n x="85"/>
        <n x="63"/>
      </t>
    </mdx>
    <mdx n="0" f="v">
      <t c="8">
        <n x="7" s="1"/>
        <n x="69" s="1"/>
        <n x="3" s="1"/>
        <n x="70" s="1"/>
        <n x="2" s="1"/>
        <n x="68"/>
        <n x="85"/>
        <n x="64"/>
      </t>
    </mdx>
    <mdx n="0" f="v">
      <t c="8">
        <n x="7" s="1"/>
        <n x="69" s="1"/>
        <n x="3" s="1"/>
        <n x="70" s="1"/>
        <n x="2" s="1"/>
        <n x="68"/>
        <n x="85"/>
        <n x="65"/>
      </t>
    </mdx>
    <mdx n="0" f="v">
      <t c="8">
        <n x="7" s="1"/>
        <n x="69" s="1"/>
        <n x="3" s="1"/>
        <n x="70" s="1"/>
        <n x="2" s="1"/>
        <n x="68"/>
        <n x="85"/>
        <n x="66"/>
      </t>
    </mdx>
    <mdx n="0" f="v">
      <t c="8">
        <n x="7" s="1"/>
        <n x="69" s="1"/>
        <n x="3" s="1"/>
        <n x="70" s="1"/>
        <n x="2" s="1"/>
        <n x="68"/>
        <n x="86"/>
        <n x="8"/>
      </t>
    </mdx>
    <mdx n="0" f="v">
      <t c="8">
        <n x="7" s="1"/>
        <n x="69" s="1"/>
        <n x="3" s="1"/>
        <n x="70" s="1"/>
        <n x="2" s="1"/>
        <n x="68"/>
        <n x="86"/>
        <n x="9"/>
      </t>
    </mdx>
    <mdx n="0" f="v">
      <t c="8">
        <n x="7" s="1"/>
        <n x="69" s="1"/>
        <n x="3" s="1"/>
        <n x="70" s="1"/>
        <n x="2" s="1"/>
        <n x="68"/>
        <n x="86"/>
        <n x="10"/>
      </t>
    </mdx>
    <mdx n="0" f="v">
      <t c="8">
        <n x="7" s="1"/>
        <n x="69" s="1"/>
        <n x="3" s="1"/>
        <n x="70" s="1"/>
        <n x="2" s="1"/>
        <n x="68"/>
        <n x="86"/>
        <n x="11"/>
      </t>
    </mdx>
    <mdx n="0" f="v">
      <t c="8">
        <n x="7" s="1"/>
        <n x="69" s="1"/>
        <n x="3" s="1"/>
        <n x="70" s="1"/>
        <n x="2" s="1"/>
        <n x="68"/>
        <n x="86"/>
        <n x="12"/>
      </t>
    </mdx>
    <mdx n="0" f="v">
      <t c="8">
        <n x="7" s="1"/>
        <n x="69" s="1"/>
        <n x="3" s="1"/>
        <n x="70" s="1"/>
        <n x="2" s="1"/>
        <n x="68"/>
        <n x="86"/>
        <n x="13"/>
      </t>
    </mdx>
    <mdx n="0" f="v">
      <t c="8">
        <n x="7" s="1"/>
        <n x="69" s="1"/>
        <n x="3" s="1"/>
        <n x="70" s="1"/>
        <n x="2" s="1"/>
        <n x="68"/>
        <n x="86"/>
        <n x="14"/>
      </t>
    </mdx>
    <mdx n="0" f="v">
      <t c="8">
        <n x="7" s="1"/>
        <n x="69" s="1"/>
        <n x="3" s="1"/>
        <n x="70" s="1"/>
        <n x="2" s="1"/>
        <n x="68"/>
        <n x="86"/>
        <n x="15"/>
      </t>
    </mdx>
    <mdx n="0" f="v">
      <t c="8">
        <n x="7" s="1"/>
        <n x="69" s="1"/>
        <n x="3" s="1"/>
        <n x="70" s="1"/>
        <n x="2" s="1"/>
        <n x="68"/>
        <n x="86"/>
        <n x="16"/>
      </t>
    </mdx>
    <mdx n="0" f="v">
      <t c="8">
        <n x="7" s="1"/>
        <n x="69" s="1"/>
        <n x="3" s="1"/>
        <n x="70" s="1"/>
        <n x="2" s="1"/>
        <n x="68"/>
        <n x="86"/>
        <n x="17"/>
      </t>
    </mdx>
    <mdx n="0" f="v">
      <t c="8">
        <n x="7" s="1"/>
        <n x="69" s="1"/>
        <n x="3" s="1"/>
        <n x="70" s="1"/>
        <n x="2" s="1"/>
        <n x="68"/>
        <n x="86"/>
        <n x="18"/>
      </t>
    </mdx>
    <mdx n="0" f="v">
      <t c="8">
        <n x="7" s="1"/>
        <n x="69" s="1"/>
        <n x="3" s="1"/>
        <n x="70" s="1"/>
        <n x="2" s="1"/>
        <n x="68"/>
        <n x="86"/>
        <n x="19"/>
      </t>
    </mdx>
    <mdx n="0" f="v">
      <t c="8">
        <n x="7" s="1"/>
        <n x="69" s="1"/>
        <n x="3" s="1"/>
        <n x="70" s="1"/>
        <n x="2" s="1"/>
        <n x="68"/>
        <n x="86"/>
        <n x="20"/>
      </t>
    </mdx>
    <mdx n="0" f="v">
      <t c="8">
        <n x="7" s="1"/>
        <n x="69" s="1"/>
        <n x="3" s="1"/>
        <n x="70" s="1"/>
        <n x="2" s="1"/>
        <n x="68"/>
        <n x="86"/>
        <n x="21"/>
      </t>
    </mdx>
    <mdx n="0" f="v">
      <t c="8">
        <n x="7" s="1"/>
        <n x="69" s="1"/>
        <n x="3" s="1"/>
        <n x="70" s="1"/>
        <n x="2" s="1"/>
        <n x="68"/>
        <n x="86"/>
        <n x="22"/>
      </t>
    </mdx>
    <mdx n="0" f="v">
      <t c="8">
        <n x="7" s="1"/>
        <n x="69" s="1"/>
        <n x="3" s="1"/>
        <n x="70" s="1"/>
        <n x="2" s="1"/>
        <n x="68"/>
        <n x="86"/>
        <n x="23"/>
      </t>
    </mdx>
    <mdx n="0" f="v">
      <t c="8">
        <n x="7" s="1"/>
        <n x="69" s="1"/>
        <n x="3" s="1"/>
        <n x="70" s="1"/>
        <n x="2" s="1"/>
        <n x="68"/>
        <n x="86"/>
        <n x="24"/>
      </t>
    </mdx>
    <mdx n="0" f="v">
      <t c="8">
        <n x="7" s="1"/>
        <n x="69" s="1"/>
        <n x="3" s="1"/>
        <n x="70" s="1"/>
        <n x="2" s="1"/>
        <n x="68"/>
        <n x="86"/>
        <n x="25"/>
      </t>
    </mdx>
    <mdx n="0" f="v">
      <t c="8">
        <n x="7" s="1"/>
        <n x="69" s="1"/>
        <n x="3" s="1"/>
        <n x="70" s="1"/>
        <n x="2" s="1"/>
        <n x="68"/>
        <n x="86"/>
        <n x="26"/>
      </t>
    </mdx>
    <mdx n="0" f="v">
      <t c="8">
        <n x="7" s="1"/>
        <n x="69" s="1"/>
        <n x="3" s="1"/>
        <n x="70" s="1"/>
        <n x="2" s="1"/>
        <n x="68"/>
        <n x="86"/>
        <n x="27"/>
      </t>
    </mdx>
    <mdx n="0" f="v">
      <t c="8">
        <n x="7" s="1"/>
        <n x="69" s="1"/>
        <n x="3" s="1"/>
        <n x="70" s="1"/>
        <n x="2" s="1"/>
        <n x="68"/>
        <n x="86"/>
        <n x="28"/>
      </t>
    </mdx>
    <mdx n="0" f="v">
      <t c="8">
        <n x="7" s="1"/>
        <n x="69" s="1"/>
        <n x="3" s="1"/>
        <n x="70" s="1"/>
        <n x="2" s="1"/>
        <n x="68"/>
        <n x="86"/>
        <n x="29"/>
      </t>
    </mdx>
    <mdx n="0" f="v">
      <t c="8">
        <n x="7" s="1"/>
        <n x="69" s="1"/>
        <n x="3" s="1"/>
        <n x="70" s="1"/>
        <n x="2" s="1"/>
        <n x="68"/>
        <n x="86"/>
        <n x="30"/>
      </t>
    </mdx>
    <mdx n="0" f="v">
      <t c="8">
        <n x="7" s="1"/>
        <n x="69" s="1"/>
        <n x="3" s="1"/>
        <n x="70" s="1"/>
        <n x="2" s="1"/>
        <n x="68"/>
        <n x="86"/>
        <n x="31"/>
      </t>
    </mdx>
    <mdx n="0" f="v">
      <t c="8">
        <n x="7" s="1"/>
        <n x="69" s="1"/>
        <n x="3" s="1"/>
        <n x="70" s="1"/>
        <n x="2" s="1"/>
        <n x="68"/>
        <n x="86"/>
        <n x="32"/>
      </t>
    </mdx>
    <mdx n="0" f="v">
      <t c="8">
        <n x="7" s="1"/>
        <n x="69" s="1"/>
        <n x="3" s="1"/>
        <n x="70" s="1"/>
        <n x="2" s="1"/>
        <n x="68"/>
        <n x="86"/>
        <n x="33"/>
      </t>
    </mdx>
    <mdx n="0" f="v">
      <t c="8">
        <n x="7" s="1"/>
        <n x="69" s="1"/>
        <n x="3" s="1"/>
        <n x="70" s="1"/>
        <n x="2" s="1"/>
        <n x="68"/>
        <n x="86"/>
        <n x="34"/>
      </t>
    </mdx>
    <mdx n="0" f="v">
      <t c="8">
        <n x="7" s="1"/>
        <n x="69" s="1"/>
        <n x="3" s="1"/>
        <n x="70" s="1"/>
        <n x="2" s="1"/>
        <n x="68"/>
        <n x="86"/>
        <n x="35"/>
      </t>
    </mdx>
    <mdx n="0" f="v">
      <t c="8">
        <n x="7" s="1"/>
        <n x="69" s="1"/>
        <n x="3" s="1"/>
        <n x="70" s="1"/>
        <n x="2" s="1"/>
        <n x="68"/>
        <n x="86"/>
        <n x="36"/>
      </t>
    </mdx>
    <mdx n="0" f="v">
      <t c="8">
        <n x="7" s="1"/>
        <n x="69" s="1"/>
        <n x="3" s="1"/>
        <n x="70" s="1"/>
        <n x="2" s="1"/>
        <n x="68"/>
        <n x="86"/>
        <n x="37"/>
      </t>
    </mdx>
    <mdx n="0" f="v">
      <t c="8">
        <n x="7" s="1"/>
        <n x="69" s="1"/>
        <n x="3" s="1"/>
        <n x="70" s="1"/>
        <n x="2" s="1"/>
        <n x="68"/>
        <n x="86"/>
        <n x="38"/>
      </t>
    </mdx>
    <mdx n="0" f="v">
      <t c="8">
        <n x="7" s="1"/>
        <n x="69" s="1"/>
        <n x="3" s="1"/>
        <n x="70" s="1"/>
        <n x="2" s="1"/>
        <n x="68"/>
        <n x="86"/>
        <n x="39"/>
      </t>
    </mdx>
    <mdx n="0" f="v">
      <t c="8">
        <n x="7" s="1"/>
        <n x="69" s="1"/>
        <n x="3" s="1"/>
        <n x="70" s="1"/>
        <n x="2" s="1"/>
        <n x="68"/>
        <n x="86"/>
        <n x="40"/>
      </t>
    </mdx>
    <mdx n="0" f="v">
      <t c="8">
        <n x="7" s="1"/>
        <n x="69" s="1"/>
        <n x="3" s="1"/>
        <n x="70" s="1"/>
        <n x="2" s="1"/>
        <n x="68"/>
        <n x="86"/>
        <n x="41"/>
      </t>
    </mdx>
    <mdx n="0" f="v">
      <t c="8">
        <n x="7" s="1"/>
        <n x="69" s="1"/>
        <n x="3" s="1"/>
        <n x="70" s="1"/>
        <n x="2" s="1"/>
        <n x="68"/>
        <n x="86"/>
        <n x="42"/>
      </t>
    </mdx>
    <mdx n="0" f="v">
      <t c="8">
        <n x="7" s="1"/>
        <n x="69" s="1"/>
        <n x="3" s="1"/>
        <n x="70" s="1"/>
        <n x="2" s="1"/>
        <n x="68"/>
        <n x="86"/>
        <n x="43"/>
      </t>
    </mdx>
    <mdx n="0" f="v">
      <t c="8">
        <n x="7" s="1"/>
        <n x="69" s="1"/>
        <n x="3" s="1"/>
        <n x="70" s="1"/>
        <n x="2" s="1"/>
        <n x="68"/>
        <n x="86"/>
        <n x="44"/>
      </t>
    </mdx>
    <mdx n="0" f="v">
      <t c="8">
        <n x="7" s="1"/>
        <n x="69" s="1"/>
        <n x="3" s="1"/>
        <n x="70" s="1"/>
        <n x="2" s="1"/>
        <n x="68"/>
        <n x="86"/>
        <n x="45"/>
      </t>
    </mdx>
    <mdx n="0" f="v">
      <t c="8">
        <n x="7" s="1"/>
        <n x="69" s="1"/>
        <n x="3" s="1"/>
        <n x="70" s="1"/>
        <n x="2" s="1"/>
        <n x="68"/>
        <n x="86"/>
        <n x="46"/>
      </t>
    </mdx>
    <mdx n="0" f="v">
      <t c="8">
        <n x="7" s="1"/>
        <n x="69" s="1"/>
        <n x="3" s="1"/>
        <n x="70" s="1"/>
        <n x="2" s="1"/>
        <n x="68"/>
        <n x="86"/>
        <n x="47"/>
      </t>
    </mdx>
    <mdx n="0" f="v">
      <t c="8">
        <n x="7" s="1"/>
        <n x="69" s="1"/>
        <n x="3" s="1"/>
        <n x="70" s="1"/>
        <n x="2" s="1"/>
        <n x="68"/>
        <n x="86"/>
        <n x="48"/>
      </t>
    </mdx>
    <mdx n="0" f="v">
      <t c="8">
        <n x="7" s="1"/>
        <n x="69" s="1"/>
        <n x="3" s="1"/>
        <n x="70" s="1"/>
        <n x="2" s="1"/>
        <n x="68"/>
        <n x="86"/>
        <n x="49"/>
      </t>
    </mdx>
    <mdx n="0" f="v">
      <t c="8">
        <n x="7" s="1"/>
        <n x="69" s="1"/>
        <n x="3" s="1"/>
        <n x="70" s="1"/>
        <n x="2" s="1"/>
        <n x="68"/>
        <n x="86"/>
        <n x="50"/>
      </t>
    </mdx>
    <mdx n="0" f="v">
      <t c="8">
        <n x="7" s="1"/>
        <n x="69" s="1"/>
        <n x="3" s="1"/>
        <n x="70" s="1"/>
        <n x="2" s="1"/>
        <n x="68"/>
        <n x="86"/>
        <n x="51"/>
      </t>
    </mdx>
    <mdx n="0" f="v">
      <t c="8">
        <n x="7" s="1"/>
        <n x="69" s="1"/>
        <n x="3" s="1"/>
        <n x="70" s="1"/>
        <n x="2" s="1"/>
        <n x="68"/>
        <n x="86"/>
        <n x="52"/>
      </t>
    </mdx>
    <mdx n="0" f="v">
      <t c="8">
        <n x="7" s="1"/>
        <n x="69" s="1"/>
        <n x="3" s="1"/>
        <n x="70" s="1"/>
        <n x="2" s="1"/>
        <n x="68"/>
        <n x="86"/>
        <n x="53"/>
      </t>
    </mdx>
    <mdx n="0" f="v">
      <t c="8">
        <n x="7" s="1"/>
        <n x="69" s="1"/>
        <n x="3" s="1"/>
        <n x="70" s="1"/>
        <n x="2" s="1"/>
        <n x="68"/>
        <n x="86"/>
        <n x="54"/>
      </t>
    </mdx>
    <mdx n="0" f="v">
      <t c="8">
        <n x="7" s="1"/>
        <n x="69" s="1"/>
        <n x="3" s="1"/>
        <n x="70" s="1"/>
        <n x="2" s="1"/>
        <n x="68"/>
        <n x="86"/>
        <n x="55"/>
      </t>
    </mdx>
    <mdx n="0" f="v">
      <t c="8">
        <n x="7" s="1"/>
        <n x="69" s="1"/>
        <n x="3" s="1"/>
        <n x="70" s="1"/>
        <n x="2" s="1"/>
        <n x="68"/>
        <n x="86"/>
        <n x="56"/>
      </t>
    </mdx>
    <mdx n="0" f="v">
      <t c="8">
        <n x="7" s="1"/>
        <n x="69" s="1"/>
        <n x="3" s="1"/>
        <n x="70" s="1"/>
        <n x="2" s="1"/>
        <n x="68"/>
        <n x="86"/>
        <n x="57"/>
      </t>
    </mdx>
    <mdx n="0" f="v">
      <t c="8">
        <n x="7" s="1"/>
        <n x="69" s="1"/>
        <n x="3" s="1"/>
        <n x="70" s="1"/>
        <n x="2" s="1"/>
        <n x="68"/>
        <n x="86"/>
        <n x="58"/>
      </t>
    </mdx>
    <mdx n="0" f="v">
      <t c="8">
        <n x="7" s="1"/>
        <n x="69" s="1"/>
        <n x="3" s="1"/>
        <n x="70" s="1"/>
        <n x="2" s="1"/>
        <n x="68"/>
        <n x="86"/>
        <n x="59"/>
      </t>
    </mdx>
    <mdx n="0" f="v">
      <t c="8">
        <n x="7" s="1"/>
        <n x="69" s="1"/>
        <n x="3" s="1"/>
        <n x="70" s="1"/>
        <n x="2" s="1"/>
        <n x="68"/>
        <n x="86"/>
        <n x="60"/>
      </t>
    </mdx>
    <mdx n="0" f="v">
      <t c="8">
        <n x="7" s="1"/>
        <n x="69" s="1"/>
        <n x="3" s="1"/>
        <n x="70" s="1"/>
        <n x="2" s="1"/>
        <n x="68"/>
        <n x="86"/>
        <n x="61"/>
      </t>
    </mdx>
    <mdx n="0" f="v">
      <t c="8">
        <n x="7" s="1"/>
        <n x="69" s="1"/>
        <n x="3" s="1"/>
        <n x="70" s="1"/>
        <n x="2" s="1"/>
        <n x="68"/>
        <n x="86"/>
        <n x="62"/>
      </t>
    </mdx>
    <mdx n="0" f="v">
      <t c="8">
        <n x="7" s="1"/>
        <n x="69" s="1"/>
        <n x="3" s="1"/>
        <n x="70" s="1"/>
        <n x="2" s="1"/>
        <n x="68"/>
        <n x="86"/>
        <n x="63"/>
      </t>
    </mdx>
    <mdx n="0" f="v">
      <t c="8">
        <n x="7" s="1"/>
        <n x="69" s="1"/>
        <n x="3" s="1"/>
        <n x="70" s="1"/>
        <n x="2" s="1"/>
        <n x="68"/>
        <n x="86"/>
        <n x="64"/>
      </t>
    </mdx>
    <mdx n="0" f="v">
      <t c="8">
        <n x="7" s="1"/>
        <n x="69" s="1"/>
        <n x="3" s="1"/>
        <n x="70" s="1"/>
        <n x="2" s="1"/>
        <n x="68"/>
        <n x="86"/>
        <n x="65"/>
      </t>
    </mdx>
    <mdx n="0" f="v">
      <t c="8">
        <n x="7" s="1"/>
        <n x="69" s="1"/>
        <n x="3" s="1"/>
        <n x="70" s="1"/>
        <n x="2" s="1"/>
        <n x="68"/>
        <n x="86"/>
        <n x="66"/>
      </t>
    </mdx>
    <mdx n="0" f="v">
      <t c="8">
        <n x="7" s="1"/>
        <n x="69" s="1"/>
        <n x="3" s="1"/>
        <n x="70" s="1"/>
        <n x="2" s="1"/>
        <n x="68"/>
        <n x="87"/>
        <n x="8"/>
      </t>
    </mdx>
    <mdx n="0" f="v">
      <t c="8">
        <n x="7" s="1"/>
        <n x="69" s="1"/>
        <n x="3" s="1"/>
        <n x="70" s="1"/>
        <n x="2" s="1"/>
        <n x="68"/>
        <n x="87"/>
        <n x="9"/>
      </t>
    </mdx>
    <mdx n="0" f="v">
      <t c="8">
        <n x="7" s="1"/>
        <n x="69" s="1"/>
        <n x="3" s="1"/>
        <n x="70" s="1"/>
        <n x="2" s="1"/>
        <n x="68"/>
        <n x="87"/>
        <n x="10"/>
      </t>
    </mdx>
    <mdx n="0" f="v">
      <t c="8">
        <n x="7" s="1"/>
        <n x="69" s="1"/>
        <n x="3" s="1"/>
        <n x="70" s="1"/>
        <n x="2" s="1"/>
        <n x="68"/>
        <n x="87"/>
        <n x="11"/>
      </t>
    </mdx>
    <mdx n="0" f="v">
      <t c="8">
        <n x="7" s="1"/>
        <n x="69" s="1"/>
        <n x="3" s="1"/>
        <n x="70" s="1"/>
        <n x="2" s="1"/>
        <n x="68"/>
        <n x="87"/>
        <n x="12"/>
      </t>
    </mdx>
    <mdx n="0" f="v">
      <t c="8">
        <n x="7" s="1"/>
        <n x="69" s="1"/>
        <n x="3" s="1"/>
        <n x="70" s="1"/>
        <n x="2" s="1"/>
        <n x="68"/>
        <n x="87"/>
        <n x="13"/>
      </t>
    </mdx>
    <mdx n="0" f="v">
      <t c="8">
        <n x="7" s="1"/>
        <n x="69" s="1"/>
        <n x="3" s="1"/>
        <n x="70" s="1"/>
        <n x="2" s="1"/>
        <n x="68"/>
        <n x="87"/>
        <n x="14"/>
      </t>
    </mdx>
    <mdx n="0" f="v">
      <t c="8">
        <n x="7" s="1"/>
        <n x="69" s="1"/>
        <n x="3" s="1"/>
        <n x="70" s="1"/>
        <n x="2" s="1"/>
        <n x="68"/>
        <n x="87"/>
        <n x="15"/>
      </t>
    </mdx>
    <mdx n="0" f="v">
      <t c="8">
        <n x="7" s="1"/>
        <n x="69" s="1"/>
        <n x="3" s="1"/>
        <n x="70" s="1"/>
        <n x="2" s="1"/>
        <n x="68"/>
        <n x="87"/>
        <n x="16"/>
      </t>
    </mdx>
    <mdx n="0" f="v">
      <t c="8">
        <n x="7" s="1"/>
        <n x="69" s="1"/>
        <n x="3" s="1"/>
        <n x="70" s="1"/>
        <n x="2" s="1"/>
        <n x="68"/>
        <n x="87"/>
        <n x="17"/>
      </t>
    </mdx>
    <mdx n="0" f="v">
      <t c="8">
        <n x="7" s="1"/>
        <n x="69" s="1"/>
        <n x="3" s="1"/>
        <n x="70" s="1"/>
        <n x="2" s="1"/>
        <n x="68"/>
        <n x="87"/>
        <n x="18"/>
      </t>
    </mdx>
    <mdx n="0" f="v">
      <t c="8">
        <n x="7" s="1"/>
        <n x="69" s="1"/>
        <n x="3" s="1"/>
        <n x="70" s="1"/>
        <n x="2" s="1"/>
        <n x="68"/>
        <n x="87"/>
        <n x="19"/>
      </t>
    </mdx>
    <mdx n="0" f="v">
      <t c="8">
        <n x="7" s="1"/>
        <n x="69" s="1"/>
        <n x="3" s="1"/>
        <n x="70" s="1"/>
        <n x="2" s="1"/>
        <n x="68"/>
        <n x="87"/>
        <n x="20"/>
      </t>
    </mdx>
    <mdx n="0" f="v">
      <t c="8">
        <n x="7" s="1"/>
        <n x="69" s="1"/>
        <n x="3" s="1"/>
        <n x="70" s="1"/>
        <n x="2" s="1"/>
        <n x="68"/>
        <n x="87"/>
        <n x="21"/>
      </t>
    </mdx>
    <mdx n="0" f="v">
      <t c="8">
        <n x="7" s="1"/>
        <n x="69" s="1"/>
        <n x="3" s="1"/>
        <n x="70" s="1"/>
        <n x="2" s="1"/>
        <n x="68"/>
        <n x="87"/>
        <n x="22"/>
      </t>
    </mdx>
    <mdx n="0" f="v">
      <t c="8">
        <n x="7" s="1"/>
        <n x="69" s="1"/>
        <n x="3" s="1"/>
        <n x="70" s="1"/>
        <n x="2" s="1"/>
        <n x="68"/>
        <n x="87"/>
        <n x="23"/>
      </t>
    </mdx>
    <mdx n="0" f="v">
      <t c="8">
        <n x="7" s="1"/>
        <n x="69" s="1"/>
        <n x="3" s="1"/>
        <n x="70" s="1"/>
        <n x="2" s="1"/>
        <n x="68"/>
        <n x="87"/>
        <n x="24"/>
      </t>
    </mdx>
    <mdx n="0" f="v">
      <t c="8">
        <n x="7" s="1"/>
        <n x="69" s="1"/>
        <n x="3" s="1"/>
        <n x="70" s="1"/>
        <n x="2" s="1"/>
        <n x="68"/>
        <n x="87"/>
        <n x="25"/>
      </t>
    </mdx>
    <mdx n="0" f="v">
      <t c="8">
        <n x="7" s="1"/>
        <n x="69" s="1"/>
        <n x="3" s="1"/>
        <n x="70" s="1"/>
        <n x="2" s="1"/>
        <n x="68"/>
        <n x="87"/>
        <n x="26"/>
      </t>
    </mdx>
    <mdx n="0" f="v">
      <t c="8">
        <n x="7" s="1"/>
        <n x="69" s="1"/>
        <n x="3" s="1"/>
        <n x="70" s="1"/>
        <n x="2" s="1"/>
        <n x="68"/>
        <n x="87"/>
        <n x="27"/>
      </t>
    </mdx>
    <mdx n="0" f="v">
      <t c="8">
        <n x="7" s="1"/>
        <n x="69" s="1"/>
        <n x="3" s="1"/>
        <n x="70" s="1"/>
        <n x="2" s="1"/>
        <n x="68"/>
        <n x="87"/>
        <n x="28"/>
      </t>
    </mdx>
    <mdx n="0" f="v">
      <t c="8">
        <n x="7" s="1"/>
        <n x="69" s="1"/>
        <n x="3" s="1"/>
        <n x="70" s="1"/>
        <n x="2" s="1"/>
        <n x="68"/>
        <n x="87"/>
        <n x="29"/>
      </t>
    </mdx>
    <mdx n="0" f="v">
      <t c="8">
        <n x="7" s="1"/>
        <n x="69" s="1"/>
        <n x="3" s="1"/>
        <n x="70" s="1"/>
        <n x="2" s="1"/>
        <n x="68"/>
        <n x="87"/>
        <n x="30"/>
      </t>
    </mdx>
    <mdx n="0" f="v">
      <t c="8">
        <n x="7" s="1"/>
        <n x="69" s="1"/>
        <n x="3" s="1"/>
        <n x="70" s="1"/>
        <n x="2" s="1"/>
        <n x="68"/>
        <n x="87"/>
        <n x="31"/>
      </t>
    </mdx>
    <mdx n="0" f="v">
      <t c="8">
        <n x="7" s="1"/>
        <n x="69" s="1"/>
        <n x="3" s="1"/>
        <n x="70" s="1"/>
        <n x="2" s="1"/>
        <n x="68"/>
        <n x="87"/>
        <n x="32"/>
      </t>
    </mdx>
    <mdx n="0" f="v">
      <t c="8">
        <n x="7" s="1"/>
        <n x="69" s="1"/>
        <n x="3" s="1"/>
        <n x="70" s="1"/>
        <n x="2" s="1"/>
        <n x="68"/>
        <n x="87"/>
        <n x="33"/>
      </t>
    </mdx>
    <mdx n="0" f="v">
      <t c="8">
        <n x="7" s="1"/>
        <n x="69" s="1"/>
        <n x="3" s="1"/>
        <n x="70" s="1"/>
        <n x="2" s="1"/>
        <n x="68"/>
        <n x="87"/>
        <n x="34"/>
      </t>
    </mdx>
    <mdx n="0" f="v">
      <t c="8">
        <n x="7" s="1"/>
        <n x="69" s="1"/>
        <n x="3" s="1"/>
        <n x="70" s="1"/>
        <n x="2" s="1"/>
        <n x="68"/>
        <n x="87"/>
        <n x="35"/>
      </t>
    </mdx>
    <mdx n="0" f="v">
      <t c="8">
        <n x="7" s="1"/>
        <n x="69" s="1"/>
        <n x="3" s="1"/>
        <n x="70" s="1"/>
        <n x="2" s="1"/>
        <n x="68"/>
        <n x="87"/>
        <n x="36"/>
      </t>
    </mdx>
    <mdx n="0" f="v">
      <t c="8">
        <n x="7" s="1"/>
        <n x="69" s="1"/>
        <n x="3" s="1"/>
        <n x="70" s="1"/>
        <n x="2" s="1"/>
        <n x="68"/>
        <n x="87"/>
        <n x="37"/>
      </t>
    </mdx>
    <mdx n="0" f="v">
      <t c="8">
        <n x="7" s="1"/>
        <n x="69" s="1"/>
        <n x="3" s="1"/>
        <n x="70" s="1"/>
        <n x="2" s="1"/>
        <n x="68"/>
        <n x="87"/>
        <n x="38"/>
      </t>
    </mdx>
    <mdx n="0" f="v">
      <t c="8">
        <n x="7" s="1"/>
        <n x="69" s="1"/>
        <n x="3" s="1"/>
        <n x="70" s="1"/>
        <n x="2" s="1"/>
        <n x="68"/>
        <n x="87"/>
        <n x="39"/>
      </t>
    </mdx>
    <mdx n="0" f="v">
      <t c="8">
        <n x="7" s="1"/>
        <n x="69" s="1"/>
        <n x="3" s="1"/>
        <n x="70" s="1"/>
        <n x="2" s="1"/>
        <n x="68"/>
        <n x="87"/>
        <n x="40"/>
      </t>
    </mdx>
    <mdx n="0" f="v">
      <t c="8">
        <n x="7" s="1"/>
        <n x="69" s="1"/>
        <n x="3" s="1"/>
        <n x="70" s="1"/>
        <n x="2" s="1"/>
        <n x="68"/>
        <n x="87"/>
        <n x="41"/>
      </t>
    </mdx>
    <mdx n="0" f="v">
      <t c="8">
        <n x="7" s="1"/>
        <n x="69" s="1"/>
        <n x="3" s="1"/>
        <n x="70" s="1"/>
        <n x="2" s="1"/>
        <n x="68"/>
        <n x="87"/>
        <n x="42"/>
      </t>
    </mdx>
    <mdx n="0" f="v">
      <t c="8">
        <n x="7" s="1"/>
        <n x="69" s="1"/>
        <n x="3" s="1"/>
        <n x="70" s="1"/>
        <n x="2" s="1"/>
        <n x="68"/>
        <n x="87"/>
        <n x="43"/>
      </t>
    </mdx>
    <mdx n="0" f="v">
      <t c="8">
        <n x="7" s="1"/>
        <n x="69" s="1"/>
        <n x="3" s="1"/>
        <n x="70" s="1"/>
        <n x="2" s="1"/>
        <n x="68"/>
        <n x="87"/>
        <n x="44"/>
      </t>
    </mdx>
    <mdx n="0" f="v">
      <t c="8">
        <n x="7" s="1"/>
        <n x="69" s="1"/>
        <n x="3" s="1"/>
        <n x="70" s="1"/>
        <n x="2" s="1"/>
        <n x="68"/>
        <n x="87"/>
        <n x="45"/>
      </t>
    </mdx>
    <mdx n="0" f="v">
      <t c="8">
        <n x="7" s="1"/>
        <n x="69" s="1"/>
        <n x="3" s="1"/>
        <n x="70" s="1"/>
        <n x="2" s="1"/>
        <n x="68"/>
        <n x="87"/>
        <n x="46"/>
      </t>
    </mdx>
    <mdx n="0" f="v">
      <t c="8">
        <n x="7" s="1"/>
        <n x="69" s="1"/>
        <n x="3" s="1"/>
        <n x="70" s="1"/>
        <n x="2" s="1"/>
        <n x="68"/>
        <n x="87"/>
        <n x="47"/>
      </t>
    </mdx>
    <mdx n="0" f="v">
      <t c="8">
        <n x="7" s="1"/>
        <n x="69" s="1"/>
        <n x="3" s="1"/>
        <n x="70" s="1"/>
        <n x="2" s="1"/>
        <n x="68"/>
        <n x="87"/>
        <n x="48"/>
      </t>
    </mdx>
    <mdx n="0" f="v">
      <t c="8">
        <n x="7" s="1"/>
        <n x="69" s="1"/>
        <n x="3" s="1"/>
        <n x="70" s="1"/>
        <n x="2" s="1"/>
        <n x="68"/>
        <n x="87"/>
        <n x="49"/>
      </t>
    </mdx>
    <mdx n="0" f="v">
      <t c="8">
        <n x="7" s="1"/>
        <n x="69" s="1"/>
        <n x="3" s="1"/>
        <n x="70" s="1"/>
        <n x="2" s="1"/>
        <n x="68"/>
        <n x="87"/>
        <n x="50"/>
      </t>
    </mdx>
    <mdx n="0" f="v">
      <t c="8">
        <n x="7" s="1"/>
        <n x="69" s="1"/>
        <n x="3" s="1"/>
        <n x="70" s="1"/>
        <n x="2" s="1"/>
        <n x="68"/>
        <n x="87"/>
        <n x="51"/>
      </t>
    </mdx>
    <mdx n="0" f="v">
      <t c="8">
        <n x="7" s="1"/>
        <n x="69" s="1"/>
        <n x="3" s="1"/>
        <n x="70" s="1"/>
        <n x="2" s="1"/>
        <n x="68"/>
        <n x="87"/>
        <n x="52"/>
      </t>
    </mdx>
    <mdx n="0" f="v">
      <t c="8">
        <n x="7" s="1"/>
        <n x="69" s="1"/>
        <n x="3" s="1"/>
        <n x="70" s="1"/>
        <n x="2" s="1"/>
        <n x="68"/>
        <n x="87"/>
        <n x="53"/>
      </t>
    </mdx>
    <mdx n="0" f="v">
      <t c="8">
        <n x="7" s="1"/>
        <n x="69" s="1"/>
        <n x="3" s="1"/>
        <n x="70" s="1"/>
        <n x="2" s="1"/>
        <n x="68"/>
        <n x="87"/>
        <n x="54"/>
      </t>
    </mdx>
    <mdx n="0" f="v">
      <t c="8">
        <n x="7" s="1"/>
        <n x="69" s="1"/>
        <n x="3" s="1"/>
        <n x="70" s="1"/>
        <n x="2" s="1"/>
        <n x="68"/>
        <n x="87"/>
        <n x="55"/>
      </t>
    </mdx>
    <mdx n="0" f="v">
      <t c="8">
        <n x="7" s="1"/>
        <n x="69" s="1"/>
        <n x="3" s="1"/>
        <n x="70" s="1"/>
        <n x="2" s="1"/>
        <n x="68"/>
        <n x="87"/>
        <n x="56"/>
      </t>
    </mdx>
    <mdx n="0" f="v">
      <t c="8">
        <n x="7" s="1"/>
        <n x="69" s="1"/>
        <n x="3" s="1"/>
        <n x="70" s="1"/>
        <n x="2" s="1"/>
        <n x="68"/>
        <n x="87"/>
        <n x="57"/>
      </t>
    </mdx>
    <mdx n="0" f="v">
      <t c="8">
        <n x="7" s="1"/>
        <n x="69" s="1"/>
        <n x="3" s="1"/>
        <n x="70" s="1"/>
        <n x="2" s="1"/>
        <n x="68"/>
        <n x="87"/>
        <n x="58"/>
      </t>
    </mdx>
    <mdx n="0" f="v">
      <t c="8">
        <n x="7" s="1"/>
        <n x="69" s="1"/>
        <n x="3" s="1"/>
        <n x="70" s="1"/>
        <n x="2" s="1"/>
        <n x="68"/>
        <n x="87"/>
        <n x="59"/>
      </t>
    </mdx>
    <mdx n="0" f="v">
      <t c="8">
        <n x="7" s="1"/>
        <n x="69" s="1"/>
        <n x="3" s="1"/>
        <n x="70" s="1"/>
        <n x="2" s="1"/>
        <n x="68"/>
        <n x="87"/>
        <n x="60"/>
      </t>
    </mdx>
    <mdx n="0" f="v">
      <t c="8">
        <n x="7" s="1"/>
        <n x="69" s="1"/>
        <n x="3" s="1"/>
        <n x="70" s="1"/>
        <n x="2" s="1"/>
        <n x="68"/>
        <n x="87"/>
        <n x="61"/>
      </t>
    </mdx>
    <mdx n="0" f="v">
      <t c="8">
        <n x="7" s="1"/>
        <n x="69" s="1"/>
        <n x="3" s="1"/>
        <n x="70" s="1"/>
        <n x="2" s="1"/>
        <n x="68"/>
        <n x="87"/>
        <n x="62"/>
      </t>
    </mdx>
    <mdx n="0" f="v">
      <t c="8">
        <n x="7" s="1"/>
        <n x="69" s="1"/>
        <n x="3" s="1"/>
        <n x="70" s="1"/>
        <n x="2" s="1"/>
        <n x="68"/>
        <n x="87"/>
        <n x="63"/>
      </t>
    </mdx>
    <mdx n="0" f="v">
      <t c="8">
        <n x="7" s="1"/>
        <n x="69" s="1"/>
        <n x="3" s="1"/>
        <n x="70" s="1"/>
        <n x="2" s="1"/>
        <n x="68"/>
        <n x="87"/>
        <n x="64"/>
      </t>
    </mdx>
    <mdx n="0" f="v">
      <t c="8">
        <n x="7" s="1"/>
        <n x="69" s="1"/>
        <n x="3" s="1"/>
        <n x="70" s="1"/>
        <n x="2" s="1"/>
        <n x="68"/>
        <n x="87"/>
        <n x="65"/>
      </t>
    </mdx>
    <mdx n="0" f="v">
      <t c="8">
        <n x="7" s="1"/>
        <n x="69" s="1"/>
        <n x="3" s="1"/>
        <n x="70" s="1"/>
        <n x="2" s="1"/>
        <n x="68"/>
        <n x="87"/>
        <n x="66"/>
      </t>
    </mdx>
    <mdx n="0" f="v">
      <t c="8">
        <n x="7" s="1"/>
        <n x="69" s="1"/>
        <n x="3" s="1"/>
        <n x="70" s="1"/>
        <n x="2" s="1"/>
        <n x="68"/>
        <n x="88"/>
        <n x="8"/>
      </t>
    </mdx>
    <mdx n="0" f="v">
      <t c="8">
        <n x="7" s="1"/>
        <n x="69" s="1"/>
        <n x="3" s="1"/>
        <n x="70" s="1"/>
        <n x="2" s="1"/>
        <n x="68"/>
        <n x="88"/>
        <n x="9"/>
      </t>
    </mdx>
    <mdx n="0" f="v">
      <t c="8">
        <n x="7" s="1"/>
        <n x="69" s="1"/>
        <n x="3" s="1"/>
        <n x="70" s="1"/>
        <n x="2" s="1"/>
        <n x="68"/>
        <n x="88"/>
        <n x="10"/>
      </t>
    </mdx>
    <mdx n="0" f="v">
      <t c="8">
        <n x="7" s="1"/>
        <n x="69" s="1"/>
        <n x="3" s="1"/>
        <n x="70" s="1"/>
        <n x="2" s="1"/>
        <n x="68"/>
        <n x="88"/>
        <n x="11"/>
      </t>
    </mdx>
    <mdx n="0" f="v">
      <t c="8">
        <n x="7" s="1"/>
        <n x="69" s="1"/>
        <n x="3" s="1"/>
        <n x="70" s="1"/>
        <n x="2" s="1"/>
        <n x="68"/>
        <n x="88"/>
        <n x="12"/>
      </t>
    </mdx>
    <mdx n="0" f="v">
      <t c="8">
        <n x="7" s="1"/>
        <n x="69" s="1"/>
        <n x="3" s="1"/>
        <n x="70" s="1"/>
        <n x="2" s="1"/>
        <n x="68"/>
        <n x="88"/>
        <n x="13"/>
      </t>
    </mdx>
    <mdx n="0" f="v">
      <t c="8">
        <n x="7" s="1"/>
        <n x="69" s="1"/>
        <n x="3" s="1"/>
        <n x="70" s="1"/>
        <n x="2" s="1"/>
        <n x="68"/>
        <n x="88"/>
        <n x="14"/>
      </t>
    </mdx>
    <mdx n="0" f="v">
      <t c="8">
        <n x="7" s="1"/>
        <n x="69" s="1"/>
        <n x="3" s="1"/>
        <n x="70" s="1"/>
        <n x="2" s="1"/>
        <n x="68"/>
        <n x="88"/>
        <n x="15"/>
      </t>
    </mdx>
    <mdx n="0" f="v">
      <t c="8">
        <n x="7" s="1"/>
        <n x="69" s="1"/>
        <n x="3" s="1"/>
        <n x="70" s="1"/>
        <n x="2" s="1"/>
        <n x="68"/>
        <n x="88"/>
        <n x="16"/>
      </t>
    </mdx>
    <mdx n="0" f="v">
      <t c="8">
        <n x="7" s="1"/>
        <n x="69" s="1"/>
        <n x="3" s="1"/>
        <n x="70" s="1"/>
        <n x="2" s="1"/>
        <n x="68"/>
        <n x="88"/>
        <n x="17"/>
      </t>
    </mdx>
    <mdx n="0" f="v">
      <t c="8">
        <n x="7" s="1"/>
        <n x="69" s="1"/>
        <n x="3" s="1"/>
        <n x="70" s="1"/>
        <n x="2" s="1"/>
        <n x="68"/>
        <n x="88"/>
        <n x="18"/>
      </t>
    </mdx>
    <mdx n="0" f="v">
      <t c="8">
        <n x="7" s="1"/>
        <n x="69" s="1"/>
        <n x="3" s="1"/>
        <n x="70" s="1"/>
        <n x="2" s="1"/>
        <n x="68"/>
        <n x="88"/>
        <n x="19"/>
      </t>
    </mdx>
    <mdx n="0" f="v">
      <t c="8">
        <n x="7" s="1"/>
        <n x="69" s="1"/>
        <n x="3" s="1"/>
        <n x="70" s="1"/>
        <n x="2" s="1"/>
        <n x="68"/>
        <n x="88"/>
        <n x="20"/>
      </t>
    </mdx>
    <mdx n="0" f="v">
      <t c="8">
        <n x="7" s="1"/>
        <n x="69" s="1"/>
        <n x="3" s="1"/>
        <n x="70" s="1"/>
        <n x="2" s="1"/>
        <n x="68"/>
        <n x="88"/>
        <n x="21"/>
      </t>
    </mdx>
    <mdx n="0" f="v">
      <t c="8">
        <n x="7" s="1"/>
        <n x="69" s="1"/>
        <n x="3" s="1"/>
        <n x="70" s="1"/>
        <n x="2" s="1"/>
        <n x="68"/>
        <n x="88"/>
        <n x="22"/>
      </t>
    </mdx>
    <mdx n="0" f="v">
      <t c="8">
        <n x="7" s="1"/>
        <n x="69" s="1"/>
        <n x="3" s="1"/>
        <n x="70" s="1"/>
        <n x="2" s="1"/>
        <n x="68"/>
        <n x="88"/>
        <n x="23"/>
      </t>
    </mdx>
    <mdx n="0" f="v">
      <t c="8">
        <n x="7" s="1"/>
        <n x="69" s="1"/>
        <n x="3" s="1"/>
        <n x="70" s="1"/>
        <n x="2" s="1"/>
        <n x="68"/>
        <n x="88"/>
        <n x="24"/>
      </t>
    </mdx>
    <mdx n="0" f="v">
      <t c="8">
        <n x="7" s="1"/>
        <n x="69" s="1"/>
        <n x="3" s="1"/>
        <n x="70" s="1"/>
        <n x="2" s="1"/>
        <n x="68"/>
        <n x="88"/>
        <n x="25"/>
      </t>
    </mdx>
    <mdx n="0" f="v">
      <t c="8">
        <n x="7" s="1"/>
        <n x="69" s="1"/>
        <n x="3" s="1"/>
        <n x="70" s="1"/>
        <n x="2" s="1"/>
        <n x="68"/>
        <n x="88"/>
        <n x="26"/>
      </t>
    </mdx>
    <mdx n="0" f="v">
      <t c="8">
        <n x="7" s="1"/>
        <n x="69" s="1"/>
        <n x="3" s="1"/>
        <n x="70" s="1"/>
        <n x="2" s="1"/>
        <n x="68"/>
        <n x="88"/>
        <n x="27"/>
      </t>
    </mdx>
    <mdx n="0" f="v">
      <t c="8">
        <n x="7" s="1"/>
        <n x="69" s="1"/>
        <n x="3" s="1"/>
        <n x="70" s="1"/>
        <n x="2" s="1"/>
        <n x="68"/>
        <n x="88"/>
        <n x="28"/>
      </t>
    </mdx>
    <mdx n="0" f="v">
      <t c="8">
        <n x="7" s="1"/>
        <n x="69" s="1"/>
        <n x="3" s="1"/>
        <n x="70" s="1"/>
        <n x="2" s="1"/>
        <n x="68"/>
        <n x="88"/>
        <n x="29"/>
      </t>
    </mdx>
    <mdx n="0" f="v">
      <t c="8">
        <n x="7" s="1"/>
        <n x="69" s="1"/>
        <n x="3" s="1"/>
        <n x="70" s="1"/>
        <n x="2" s="1"/>
        <n x="68"/>
        <n x="88"/>
        <n x="30"/>
      </t>
    </mdx>
    <mdx n="0" f="v">
      <t c="8">
        <n x="7" s="1"/>
        <n x="69" s="1"/>
        <n x="3" s="1"/>
        <n x="70" s="1"/>
        <n x="2" s="1"/>
        <n x="68"/>
        <n x="88"/>
        <n x="31"/>
      </t>
    </mdx>
    <mdx n="0" f="v">
      <t c="8">
        <n x="7" s="1"/>
        <n x="69" s="1"/>
        <n x="3" s="1"/>
        <n x="70" s="1"/>
        <n x="2" s="1"/>
        <n x="68"/>
        <n x="88"/>
        <n x="32"/>
      </t>
    </mdx>
    <mdx n="0" f="v">
      <t c="8">
        <n x="7" s="1"/>
        <n x="69" s="1"/>
        <n x="3" s="1"/>
        <n x="70" s="1"/>
        <n x="2" s="1"/>
        <n x="68"/>
        <n x="88"/>
        <n x="33"/>
      </t>
    </mdx>
    <mdx n="0" f="v">
      <t c="8">
        <n x="7" s="1"/>
        <n x="69" s="1"/>
        <n x="3" s="1"/>
        <n x="70" s="1"/>
        <n x="2" s="1"/>
        <n x="68"/>
        <n x="88"/>
        <n x="34"/>
      </t>
    </mdx>
    <mdx n="0" f="v">
      <t c="8">
        <n x="7" s="1"/>
        <n x="69" s="1"/>
        <n x="3" s="1"/>
        <n x="70" s="1"/>
        <n x="2" s="1"/>
        <n x="68"/>
        <n x="88"/>
        <n x="35"/>
      </t>
    </mdx>
    <mdx n="0" f="v">
      <t c="8">
        <n x="7" s="1"/>
        <n x="69" s="1"/>
        <n x="3" s="1"/>
        <n x="70" s="1"/>
        <n x="2" s="1"/>
        <n x="68"/>
        <n x="88"/>
        <n x="36"/>
      </t>
    </mdx>
    <mdx n="0" f="v">
      <t c="8">
        <n x="7" s="1"/>
        <n x="69" s="1"/>
        <n x="3" s="1"/>
        <n x="70" s="1"/>
        <n x="2" s="1"/>
        <n x="68"/>
        <n x="88"/>
        <n x="37"/>
      </t>
    </mdx>
    <mdx n="0" f="v">
      <t c="8">
        <n x="7" s="1"/>
        <n x="69" s="1"/>
        <n x="3" s="1"/>
        <n x="70" s="1"/>
        <n x="2" s="1"/>
        <n x="68"/>
        <n x="88"/>
        <n x="38"/>
      </t>
    </mdx>
    <mdx n="0" f="v">
      <t c="8">
        <n x="7" s="1"/>
        <n x="69" s="1"/>
        <n x="3" s="1"/>
        <n x="70" s="1"/>
        <n x="2" s="1"/>
        <n x="68"/>
        <n x="88"/>
        <n x="39"/>
      </t>
    </mdx>
    <mdx n="0" f="v">
      <t c="8">
        <n x="7" s="1"/>
        <n x="69" s="1"/>
        <n x="3" s="1"/>
        <n x="70" s="1"/>
        <n x="2" s="1"/>
        <n x="68"/>
        <n x="88"/>
        <n x="40"/>
      </t>
    </mdx>
    <mdx n="0" f="v">
      <t c="8">
        <n x="7" s="1"/>
        <n x="69" s="1"/>
        <n x="3" s="1"/>
        <n x="70" s="1"/>
        <n x="2" s="1"/>
        <n x="68"/>
        <n x="88"/>
        <n x="41"/>
      </t>
    </mdx>
    <mdx n="0" f="v">
      <t c="8">
        <n x="7" s="1"/>
        <n x="69" s="1"/>
        <n x="3" s="1"/>
        <n x="70" s="1"/>
        <n x="2" s="1"/>
        <n x="68"/>
        <n x="88"/>
        <n x="42"/>
      </t>
    </mdx>
    <mdx n="0" f="v">
      <t c="8">
        <n x="7" s="1"/>
        <n x="69" s="1"/>
        <n x="3" s="1"/>
        <n x="70" s="1"/>
        <n x="2" s="1"/>
        <n x="68"/>
        <n x="88"/>
        <n x="43"/>
      </t>
    </mdx>
    <mdx n="0" f="v">
      <t c="8">
        <n x="7" s="1"/>
        <n x="69" s="1"/>
        <n x="3" s="1"/>
        <n x="70" s="1"/>
        <n x="2" s="1"/>
        <n x="68"/>
        <n x="88"/>
        <n x="44"/>
      </t>
    </mdx>
    <mdx n="0" f="v">
      <t c="8">
        <n x="7" s="1"/>
        <n x="69" s="1"/>
        <n x="3" s="1"/>
        <n x="70" s="1"/>
        <n x="2" s="1"/>
        <n x="68"/>
        <n x="88"/>
        <n x="45"/>
      </t>
    </mdx>
    <mdx n="0" f="v">
      <t c="8">
        <n x="7" s="1"/>
        <n x="69" s="1"/>
        <n x="3" s="1"/>
        <n x="70" s="1"/>
        <n x="2" s="1"/>
        <n x="68"/>
        <n x="88"/>
        <n x="46"/>
      </t>
    </mdx>
    <mdx n="0" f="v">
      <t c="8">
        <n x="7" s="1"/>
        <n x="69" s="1"/>
        <n x="3" s="1"/>
        <n x="70" s="1"/>
        <n x="2" s="1"/>
        <n x="68"/>
        <n x="88"/>
        <n x="47"/>
      </t>
    </mdx>
    <mdx n="0" f="v">
      <t c="8">
        <n x="7" s="1"/>
        <n x="69" s="1"/>
        <n x="3" s="1"/>
        <n x="70" s="1"/>
        <n x="2" s="1"/>
        <n x="68"/>
        <n x="88"/>
        <n x="48"/>
      </t>
    </mdx>
    <mdx n="0" f="v">
      <t c="8">
        <n x="7" s="1"/>
        <n x="69" s="1"/>
        <n x="3" s="1"/>
        <n x="70" s="1"/>
        <n x="2" s="1"/>
        <n x="68"/>
        <n x="88"/>
        <n x="49"/>
      </t>
    </mdx>
    <mdx n="0" f="v">
      <t c="8">
        <n x="7" s="1"/>
        <n x="69" s="1"/>
        <n x="3" s="1"/>
        <n x="70" s="1"/>
        <n x="2" s="1"/>
        <n x="68"/>
        <n x="88"/>
        <n x="50"/>
      </t>
    </mdx>
    <mdx n="0" f="v">
      <t c="8">
        <n x="7" s="1"/>
        <n x="69" s="1"/>
        <n x="3" s="1"/>
        <n x="70" s="1"/>
        <n x="2" s="1"/>
        <n x="68"/>
        <n x="88"/>
        <n x="51"/>
      </t>
    </mdx>
    <mdx n="0" f="v">
      <t c="8">
        <n x="7" s="1"/>
        <n x="69" s="1"/>
        <n x="3" s="1"/>
        <n x="70" s="1"/>
        <n x="2" s="1"/>
        <n x="68"/>
        <n x="88"/>
        <n x="52"/>
      </t>
    </mdx>
    <mdx n="0" f="v">
      <t c="8">
        <n x="7" s="1"/>
        <n x="69" s="1"/>
        <n x="3" s="1"/>
        <n x="70" s="1"/>
        <n x="2" s="1"/>
        <n x="68"/>
        <n x="88"/>
        <n x="53"/>
      </t>
    </mdx>
    <mdx n="0" f="v">
      <t c="8">
        <n x="7" s="1"/>
        <n x="69" s="1"/>
        <n x="3" s="1"/>
        <n x="70" s="1"/>
        <n x="2" s="1"/>
        <n x="68"/>
        <n x="88"/>
        <n x="54"/>
      </t>
    </mdx>
    <mdx n="0" f="v">
      <t c="8">
        <n x="7" s="1"/>
        <n x="69" s="1"/>
        <n x="3" s="1"/>
        <n x="70" s="1"/>
        <n x="2" s="1"/>
        <n x="68"/>
        <n x="88"/>
        <n x="55"/>
      </t>
    </mdx>
    <mdx n="0" f="v">
      <t c="8">
        <n x="7" s="1"/>
        <n x="69" s="1"/>
        <n x="3" s="1"/>
        <n x="70" s="1"/>
        <n x="2" s="1"/>
        <n x="68"/>
        <n x="88"/>
        <n x="56"/>
      </t>
    </mdx>
    <mdx n="0" f="v">
      <t c="8">
        <n x="7" s="1"/>
        <n x="69" s="1"/>
        <n x="3" s="1"/>
        <n x="70" s="1"/>
        <n x="2" s="1"/>
        <n x="68"/>
        <n x="88"/>
        <n x="57"/>
      </t>
    </mdx>
    <mdx n="0" f="v">
      <t c="8">
        <n x="7" s="1"/>
        <n x="69" s="1"/>
        <n x="3" s="1"/>
        <n x="70" s="1"/>
        <n x="2" s="1"/>
        <n x="68"/>
        <n x="88"/>
        <n x="58"/>
      </t>
    </mdx>
    <mdx n="0" f="v">
      <t c="8">
        <n x="7" s="1"/>
        <n x="69" s="1"/>
        <n x="3" s="1"/>
        <n x="70" s="1"/>
        <n x="2" s="1"/>
        <n x="68"/>
        <n x="88"/>
        <n x="59"/>
      </t>
    </mdx>
    <mdx n="0" f="v">
      <t c="8">
        <n x="7" s="1"/>
        <n x="69" s="1"/>
        <n x="3" s="1"/>
        <n x="70" s="1"/>
        <n x="2" s="1"/>
        <n x="68"/>
        <n x="88"/>
        <n x="60"/>
      </t>
    </mdx>
    <mdx n="0" f="v">
      <t c="8">
        <n x="7" s="1"/>
        <n x="69" s="1"/>
        <n x="3" s="1"/>
        <n x="70" s="1"/>
        <n x="2" s="1"/>
        <n x="68"/>
        <n x="88"/>
        <n x="61"/>
      </t>
    </mdx>
    <mdx n="0" f="v">
      <t c="8">
        <n x="7" s="1"/>
        <n x="69" s="1"/>
        <n x="3" s="1"/>
        <n x="70" s="1"/>
        <n x="2" s="1"/>
        <n x="68"/>
        <n x="88"/>
        <n x="62"/>
      </t>
    </mdx>
    <mdx n="0" f="v">
      <t c="8">
        <n x="7" s="1"/>
        <n x="69" s="1"/>
        <n x="3" s="1"/>
        <n x="70" s="1"/>
        <n x="2" s="1"/>
        <n x="68"/>
        <n x="88"/>
        <n x="63"/>
      </t>
    </mdx>
    <mdx n="0" f="v">
      <t c="8">
        <n x="7" s="1"/>
        <n x="69" s="1"/>
        <n x="3" s="1"/>
        <n x="70" s="1"/>
        <n x="2" s="1"/>
        <n x="68"/>
        <n x="88"/>
        <n x="64"/>
      </t>
    </mdx>
    <mdx n="0" f="v">
      <t c="8">
        <n x="7" s="1"/>
        <n x="69" s="1"/>
        <n x="3" s="1"/>
        <n x="70" s="1"/>
        <n x="2" s="1"/>
        <n x="68"/>
        <n x="88"/>
        <n x="65"/>
      </t>
    </mdx>
    <mdx n="0" f="v">
      <t c="8">
        <n x="7" s="1"/>
        <n x="69" s="1"/>
        <n x="3" s="1"/>
        <n x="70" s="1"/>
        <n x="2" s="1"/>
        <n x="68"/>
        <n x="88"/>
        <n x="66"/>
      </t>
    </mdx>
    <mdx n="0" f="v">
      <t c="8">
        <n x="7" s="1"/>
        <n x="69" s="1"/>
        <n x="3" s="1"/>
        <n x="70" s="1"/>
        <n x="2" s="1"/>
        <n x="68"/>
        <n x="89"/>
        <n x="8"/>
      </t>
    </mdx>
    <mdx n="0" f="v">
      <t c="8">
        <n x="7" s="1"/>
        <n x="69" s="1"/>
        <n x="3" s="1"/>
        <n x="70" s="1"/>
        <n x="2" s="1"/>
        <n x="68"/>
        <n x="89"/>
        <n x="9"/>
      </t>
    </mdx>
    <mdx n="0" f="v">
      <t c="8">
        <n x="7" s="1"/>
        <n x="69" s="1"/>
        <n x="3" s="1"/>
        <n x="70" s="1"/>
        <n x="2" s="1"/>
        <n x="68"/>
        <n x="89"/>
        <n x="10"/>
      </t>
    </mdx>
    <mdx n="0" f="v">
      <t c="8">
        <n x="7" s="1"/>
        <n x="69" s="1"/>
        <n x="3" s="1"/>
        <n x="70" s="1"/>
        <n x="2" s="1"/>
        <n x="68"/>
        <n x="89"/>
        <n x="11"/>
      </t>
    </mdx>
    <mdx n="0" f="v">
      <t c="8">
        <n x="7" s="1"/>
        <n x="69" s="1"/>
        <n x="3" s="1"/>
        <n x="70" s="1"/>
        <n x="2" s="1"/>
        <n x="68"/>
        <n x="89"/>
        <n x="12"/>
      </t>
    </mdx>
    <mdx n="0" f="v">
      <t c="8">
        <n x="7" s="1"/>
        <n x="69" s="1"/>
        <n x="3" s="1"/>
        <n x="70" s="1"/>
        <n x="2" s="1"/>
        <n x="68"/>
        <n x="89"/>
        <n x="13"/>
      </t>
    </mdx>
    <mdx n="0" f="v">
      <t c="8">
        <n x="7" s="1"/>
        <n x="69" s="1"/>
        <n x="3" s="1"/>
        <n x="70" s="1"/>
        <n x="2" s="1"/>
        <n x="68"/>
        <n x="89"/>
        <n x="14"/>
      </t>
    </mdx>
    <mdx n="0" f="v">
      <t c="8">
        <n x="7" s="1"/>
        <n x="69" s="1"/>
        <n x="3" s="1"/>
        <n x="70" s="1"/>
        <n x="2" s="1"/>
        <n x="68"/>
        <n x="89"/>
        <n x="15"/>
      </t>
    </mdx>
    <mdx n="0" f="v">
      <t c="8">
        <n x="7" s="1"/>
        <n x="69" s="1"/>
        <n x="3" s="1"/>
        <n x="70" s="1"/>
        <n x="2" s="1"/>
        <n x="68"/>
        <n x="89"/>
        <n x="16"/>
      </t>
    </mdx>
    <mdx n="0" f="v">
      <t c="8">
        <n x="7" s="1"/>
        <n x="69" s="1"/>
        <n x="3" s="1"/>
        <n x="70" s="1"/>
        <n x="2" s="1"/>
        <n x="68"/>
        <n x="89"/>
        <n x="17"/>
      </t>
    </mdx>
    <mdx n="0" f="v">
      <t c="8">
        <n x="7" s="1"/>
        <n x="69" s="1"/>
        <n x="3" s="1"/>
        <n x="70" s="1"/>
        <n x="2" s="1"/>
        <n x="68"/>
        <n x="89"/>
        <n x="18"/>
      </t>
    </mdx>
    <mdx n="0" f="v">
      <t c="8">
        <n x="7" s="1"/>
        <n x="69" s="1"/>
        <n x="3" s="1"/>
        <n x="70" s="1"/>
        <n x="2" s="1"/>
        <n x="68"/>
        <n x="89"/>
        <n x="19"/>
      </t>
    </mdx>
    <mdx n="0" f="v">
      <t c="8">
        <n x="7" s="1"/>
        <n x="69" s="1"/>
        <n x="3" s="1"/>
        <n x="70" s="1"/>
        <n x="2" s="1"/>
        <n x="68"/>
        <n x="89"/>
        <n x="20"/>
      </t>
    </mdx>
    <mdx n="0" f="v">
      <t c="8">
        <n x="7" s="1"/>
        <n x="69" s="1"/>
        <n x="3" s="1"/>
        <n x="70" s="1"/>
        <n x="2" s="1"/>
        <n x="68"/>
        <n x="89"/>
        <n x="21"/>
      </t>
    </mdx>
    <mdx n="0" f="v">
      <t c="8">
        <n x="7" s="1"/>
        <n x="69" s="1"/>
        <n x="3" s="1"/>
        <n x="70" s="1"/>
        <n x="2" s="1"/>
        <n x="68"/>
        <n x="89"/>
        <n x="22"/>
      </t>
    </mdx>
    <mdx n="0" f="v">
      <t c="8">
        <n x="7" s="1"/>
        <n x="69" s="1"/>
        <n x="3" s="1"/>
        <n x="70" s="1"/>
        <n x="2" s="1"/>
        <n x="68"/>
        <n x="89"/>
        <n x="23"/>
      </t>
    </mdx>
    <mdx n="0" f="v">
      <t c="8">
        <n x="7" s="1"/>
        <n x="69" s="1"/>
        <n x="3" s="1"/>
        <n x="70" s="1"/>
        <n x="2" s="1"/>
        <n x="68"/>
        <n x="89"/>
        <n x="24"/>
      </t>
    </mdx>
    <mdx n="0" f="v">
      <t c="8">
        <n x="7" s="1"/>
        <n x="69" s="1"/>
        <n x="3" s="1"/>
        <n x="70" s="1"/>
        <n x="2" s="1"/>
        <n x="68"/>
        <n x="89"/>
        <n x="25"/>
      </t>
    </mdx>
    <mdx n="0" f="v">
      <t c="8">
        <n x="7" s="1"/>
        <n x="69" s="1"/>
        <n x="3" s="1"/>
        <n x="70" s="1"/>
        <n x="2" s="1"/>
        <n x="68"/>
        <n x="89"/>
        <n x="26"/>
      </t>
    </mdx>
    <mdx n="0" f="v">
      <t c="8">
        <n x="7" s="1"/>
        <n x="69" s="1"/>
        <n x="3" s="1"/>
        <n x="70" s="1"/>
        <n x="2" s="1"/>
        <n x="68"/>
        <n x="89"/>
        <n x="27"/>
      </t>
    </mdx>
    <mdx n="0" f="v">
      <t c="8">
        <n x="7" s="1"/>
        <n x="69" s="1"/>
        <n x="3" s="1"/>
        <n x="70" s="1"/>
        <n x="2" s="1"/>
        <n x="68"/>
        <n x="89"/>
        <n x="28"/>
      </t>
    </mdx>
    <mdx n="0" f="v">
      <t c="8">
        <n x="7" s="1"/>
        <n x="69" s="1"/>
        <n x="3" s="1"/>
        <n x="70" s="1"/>
        <n x="2" s="1"/>
        <n x="68"/>
        <n x="89"/>
        <n x="29"/>
      </t>
    </mdx>
    <mdx n="0" f="v">
      <t c="8">
        <n x="7" s="1"/>
        <n x="69" s="1"/>
        <n x="3" s="1"/>
        <n x="70" s="1"/>
        <n x="2" s="1"/>
        <n x="68"/>
        <n x="89"/>
        <n x="30"/>
      </t>
    </mdx>
    <mdx n="0" f="v">
      <t c="8">
        <n x="7" s="1"/>
        <n x="69" s="1"/>
        <n x="3" s="1"/>
        <n x="70" s="1"/>
        <n x="2" s="1"/>
        <n x="68"/>
        <n x="89"/>
        <n x="31"/>
      </t>
    </mdx>
    <mdx n="0" f="v">
      <t c="8">
        <n x="7" s="1"/>
        <n x="69" s="1"/>
        <n x="3" s="1"/>
        <n x="70" s="1"/>
        <n x="2" s="1"/>
        <n x="68"/>
        <n x="89"/>
        <n x="32"/>
      </t>
    </mdx>
    <mdx n="0" f="v">
      <t c="8">
        <n x="7" s="1"/>
        <n x="69" s="1"/>
        <n x="3" s="1"/>
        <n x="70" s="1"/>
        <n x="2" s="1"/>
        <n x="68"/>
        <n x="89"/>
        <n x="33"/>
      </t>
    </mdx>
    <mdx n="0" f="v">
      <t c="8">
        <n x="7" s="1"/>
        <n x="69" s="1"/>
        <n x="3" s="1"/>
        <n x="70" s="1"/>
        <n x="2" s="1"/>
        <n x="68"/>
        <n x="89"/>
        <n x="34"/>
      </t>
    </mdx>
    <mdx n="0" f="v">
      <t c="8">
        <n x="7" s="1"/>
        <n x="69" s="1"/>
        <n x="3" s="1"/>
        <n x="70" s="1"/>
        <n x="2" s="1"/>
        <n x="68"/>
        <n x="89"/>
        <n x="35"/>
      </t>
    </mdx>
    <mdx n="0" f="v">
      <t c="8">
        <n x="7" s="1"/>
        <n x="69" s="1"/>
        <n x="3" s="1"/>
        <n x="70" s="1"/>
        <n x="2" s="1"/>
        <n x="68"/>
        <n x="89"/>
        <n x="36"/>
      </t>
    </mdx>
    <mdx n="0" f="v">
      <t c="8">
        <n x="7" s="1"/>
        <n x="69" s="1"/>
        <n x="3" s="1"/>
        <n x="70" s="1"/>
        <n x="2" s="1"/>
        <n x="68"/>
        <n x="89"/>
        <n x="37"/>
      </t>
    </mdx>
    <mdx n="0" f="v">
      <t c="8">
        <n x="7" s="1"/>
        <n x="69" s="1"/>
        <n x="3" s="1"/>
        <n x="70" s="1"/>
        <n x="2" s="1"/>
        <n x="68"/>
        <n x="89"/>
        <n x="38"/>
      </t>
    </mdx>
    <mdx n="0" f="v">
      <t c="8">
        <n x="7" s="1"/>
        <n x="69" s="1"/>
        <n x="3" s="1"/>
        <n x="70" s="1"/>
        <n x="2" s="1"/>
        <n x="68"/>
        <n x="89"/>
        <n x="39"/>
      </t>
    </mdx>
    <mdx n="0" f="v">
      <t c="8">
        <n x="7" s="1"/>
        <n x="69" s="1"/>
        <n x="3" s="1"/>
        <n x="70" s="1"/>
        <n x="2" s="1"/>
        <n x="68"/>
        <n x="89"/>
        <n x="40"/>
      </t>
    </mdx>
    <mdx n="0" f="v">
      <t c="8">
        <n x="7" s="1"/>
        <n x="69" s="1"/>
        <n x="3" s="1"/>
        <n x="70" s="1"/>
        <n x="2" s="1"/>
        <n x="68"/>
        <n x="89"/>
        <n x="41"/>
      </t>
    </mdx>
    <mdx n="0" f="v">
      <t c="8">
        <n x="7" s="1"/>
        <n x="69" s="1"/>
        <n x="3" s="1"/>
        <n x="70" s="1"/>
        <n x="2" s="1"/>
        <n x="68"/>
        <n x="89"/>
        <n x="42"/>
      </t>
    </mdx>
    <mdx n="0" f="v">
      <t c="8">
        <n x="7" s="1"/>
        <n x="69" s="1"/>
        <n x="3" s="1"/>
        <n x="70" s="1"/>
        <n x="2" s="1"/>
        <n x="68"/>
        <n x="89"/>
        <n x="43"/>
      </t>
    </mdx>
    <mdx n="0" f="v">
      <t c="8">
        <n x="7" s="1"/>
        <n x="69" s="1"/>
        <n x="3" s="1"/>
        <n x="70" s="1"/>
        <n x="2" s="1"/>
        <n x="68"/>
        <n x="89"/>
        <n x="44"/>
      </t>
    </mdx>
    <mdx n="0" f="v">
      <t c="8">
        <n x="7" s="1"/>
        <n x="69" s="1"/>
        <n x="3" s="1"/>
        <n x="70" s="1"/>
        <n x="2" s="1"/>
        <n x="68"/>
        <n x="89"/>
        <n x="45"/>
      </t>
    </mdx>
    <mdx n="0" f="v">
      <t c="8">
        <n x="7" s="1"/>
        <n x="69" s="1"/>
        <n x="3" s="1"/>
        <n x="70" s="1"/>
        <n x="2" s="1"/>
        <n x="68"/>
        <n x="89"/>
        <n x="46"/>
      </t>
    </mdx>
    <mdx n="0" f="v">
      <t c="8">
        <n x="7" s="1"/>
        <n x="69" s="1"/>
        <n x="3" s="1"/>
        <n x="70" s="1"/>
        <n x="2" s="1"/>
        <n x="68"/>
        <n x="89"/>
        <n x="47"/>
      </t>
    </mdx>
    <mdx n="0" f="v">
      <t c="8">
        <n x="7" s="1"/>
        <n x="69" s="1"/>
        <n x="3" s="1"/>
        <n x="70" s="1"/>
        <n x="2" s="1"/>
        <n x="68"/>
        <n x="89"/>
        <n x="48"/>
      </t>
    </mdx>
    <mdx n="0" f="v">
      <t c="8">
        <n x="7" s="1"/>
        <n x="69" s="1"/>
        <n x="3" s="1"/>
        <n x="70" s="1"/>
        <n x="2" s="1"/>
        <n x="68"/>
        <n x="89"/>
        <n x="49"/>
      </t>
    </mdx>
    <mdx n="0" f="v">
      <t c="8">
        <n x="7" s="1"/>
        <n x="69" s="1"/>
        <n x="3" s="1"/>
        <n x="70" s="1"/>
        <n x="2" s="1"/>
        <n x="68"/>
        <n x="89"/>
        <n x="50"/>
      </t>
    </mdx>
    <mdx n="0" f="v">
      <t c="8">
        <n x="7" s="1"/>
        <n x="69" s="1"/>
        <n x="3" s="1"/>
        <n x="70" s="1"/>
        <n x="2" s="1"/>
        <n x="68"/>
        <n x="89"/>
        <n x="51"/>
      </t>
    </mdx>
    <mdx n="0" f="v">
      <t c="8">
        <n x="7" s="1"/>
        <n x="69" s="1"/>
        <n x="3" s="1"/>
        <n x="70" s="1"/>
        <n x="2" s="1"/>
        <n x="68"/>
        <n x="89"/>
        <n x="52"/>
      </t>
    </mdx>
    <mdx n="0" f="v">
      <t c="8">
        <n x="7" s="1"/>
        <n x="69" s="1"/>
        <n x="3" s="1"/>
        <n x="70" s="1"/>
        <n x="2" s="1"/>
        <n x="68"/>
        <n x="89"/>
        <n x="53"/>
      </t>
    </mdx>
    <mdx n="0" f="v">
      <t c="8">
        <n x="7" s="1"/>
        <n x="69" s="1"/>
        <n x="3" s="1"/>
        <n x="70" s="1"/>
        <n x="2" s="1"/>
        <n x="68"/>
        <n x="89"/>
        <n x="54"/>
      </t>
    </mdx>
    <mdx n="0" f="v">
      <t c="8">
        <n x="7" s="1"/>
        <n x="69" s="1"/>
        <n x="3" s="1"/>
        <n x="70" s="1"/>
        <n x="2" s="1"/>
        <n x="68"/>
        <n x="89"/>
        <n x="55"/>
      </t>
    </mdx>
    <mdx n="0" f="v">
      <t c="8">
        <n x="7" s="1"/>
        <n x="69" s="1"/>
        <n x="3" s="1"/>
        <n x="70" s="1"/>
        <n x="2" s="1"/>
        <n x="68"/>
        <n x="89"/>
        <n x="56"/>
      </t>
    </mdx>
    <mdx n="0" f="v">
      <t c="8">
        <n x="7" s="1"/>
        <n x="69" s="1"/>
        <n x="3" s="1"/>
        <n x="70" s="1"/>
        <n x="2" s="1"/>
        <n x="68"/>
        <n x="89"/>
        <n x="57"/>
      </t>
    </mdx>
    <mdx n="0" f="v">
      <t c="8">
        <n x="7" s="1"/>
        <n x="69" s="1"/>
        <n x="3" s="1"/>
        <n x="70" s="1"/>
        <n x="2" s="1"/>
        <n x="68"/>
        <n x="89"/>
        <n x="58"/>
      </t>
    </mdx>
    <mdx n="0" f="v">
      <t c="8">
        <n x="7" s="1"/>
        <n x="69" s="1"/>
        <n x="3" s="1"/>
        <n x="70" s="1"/>
        <n x="2" s="1"/>
        <n x="68"/>
        <n x="89"/>
        <n x="59"/>
      </t>
    </mdx>
    <mdx n="0" f="v">
      <t c="8">
        <n x="7" s="1"/>
        <n x="69" s="1"/>
        <n x="3" s="1"/>
        <n x="70" s="1"/>
        <n x="2" s="1"/>
        <n x="68"/>
        <n x="89"/>
        <n x="60"/>
      </t>
    </mdx>
    <mdx n="0" f="v">
      <t c="8">
        <n x="7" s="1"/>
        <n x="69" s="1"/>
        <n x="3" s="1"/>
        <n x="70" s="1"/>
        <n x="2" s="1"/>
        <n x="68"/>
        <n x="89"/>
        <n x="61"/>
      </t>
    </mdx>
    <mdx n="0" f="v">
      <t c="8">
        <n x="7" s="1"/>
        <n x="69" s="1"/>
        <n x="3" s="1"/>
        <n x="70" s="1"/>
        <n x="2" s="1"/>
        <n x="68"/>
        <n x="89"/>
        <n x="62"/>
      </t>
    </mdx>
    <mdx n="0" f="v">
      <t c="8">
        <n x="7" s="1"/>
        <n x="69" s="1"/>
        <n x="3" s="1"/>
        <n x="70" s="1"/>
        <n x="2" s="1"/>
        <n x="68"/>
        <n x="89"/>
        <n x="63"/>
      </t>
    </mdx>
    <mdx n="0" f="v">
      <t c="8">
        <n x="7" s="1"/>
        <n x="69" s="1"/>
        <n x="3" s="1"/>
        <n x="70" s="1"/>
        <n x="2" s="1"/>
        <n x="68"/>
        <n x="89"/>
        <n x="64"/>
      </t>
    </mdx>
    <mdx n="0" f="v">
      <t c="8">
        <n x="7" s="1"/>
        <n x="69" s="1"/>
        <n x="3" s="1"/>
        <n x="70" s="1"/>
        <n x="2" s="1"/>
        <n x="68"/>
        <n x="89"/>
        <n x="65"/>
      </t>
    </mdx>
    <mdx n="0" f="v">
      <t c="8">
        <n x="7" s="1"/>
        <n x="69" s="1"/>
        <n x="3" s="1"/>
        <n x="70" s="1"/>
        <n x="2" s="1"/>
        <n x="68"/>
        <n x="89"/>
        <n x="66"/>
      </t>
    </mdx>
    <mdx n="0" f="s">
      <ms ns="90" c="0"/>
    </mdx>
  </mdxMetadata>
  <futureMetadata name="XLDAPR" count="1">
    <bk>
      <extLst>
        <ext uri="{bdbb8cdc-fa1e-496e-a857-3c3f30c029c3}">
          <xda:dynamicArrayProperties fDynamic="1" fCollapsed="0"/>
        </ext>
      </extLst>
    </bk>
  </futureMetadata>
  <cellMetadata count="1">
    <bk>
      <rc t="2" v="0"/>
    </bk>
  </cellMetadata>
  <valueMetadata count="2268">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valueMetadata>
</metadata>
</file>

<file path=xl/sharedStrings.xml><?xml version="1.0" encoding="utf-8"?>
<sst xmlns="http://schemas.openxmlformats.org/spreadsheetml/2006/main" count="544" uniqueCount="208">
  <si>
    <t>Geopolitical Economy Research Group Data Project pluralist dataset</t>
  </si>
  <si>
    <t>http:/www.geopoliticaleconomy.org</t>
  </si>
  <si>
    <t>https://github.com/axfreeman/Economic-History</t>
  </si>
  <si>
    <t xml:space="preserve"> Use subject to Creative Commons Attribution-NonCommercial-ShareAlike 4.0 International (CC-BY-NC-SA 4.0) </t>
  </si>
  <si>
    <t xml:space="preserve"> For full license see: https://creativecommons.org/licenses/by-nc-sa/4.0/legalcode </t>
  </si>
  <si>
    <t xml:space="preserve"> Below is a human-readable summary from: https://creativecommons.org/licenses/by-nc-sa/4.0/ </t>
  </si>
  <si>
    <t xml:space="preserve"> Attribution-NonCommercial-ShareAlike 4.0 International (CC-BY-NC-SA 4.0) </t>
  </si>
  <si>
    <t xml:space="preserve"> This is a human-readable summary of (and not a substitute for) the license</t>
  </si>
  <si>
    <t>This license does not override or replace any of the rights of the original providers of the data hosted on this site</t>
  </si>
  <si>
    <t xml:space="preserve"> </t>
  </si>
  <si>
    <t xml:space="preserve">You are free to: </t>
  </si>
  <si>
    <t xml:space="preserve"> Share -- copy and redistribute the material in any medium or format </t>
  </si>
  <si>
    <t xml:space="preserve"> Adapt -- remix, transform, and build upon the material </t>
  </si>
  <si>
    <t xml:space="preserve"> The licensor cannot revoke these freedoms as long as you follow the license terms</t>
  </si>
  <si>
    <t>Under the following terms</t>
  </si>
  <si>
    <t xml:space="preserve"> Attribution --  You must give appropriate credit, provide a link to the   license, and indicate if changes were made. You may do so   in any reasonable manner, but not in any way that   suggests the licensor endorses you or your use. </t>
  </si>
  <si>
    <t xml:space="preserve"> NonCommercial --  You may not use the material for commercial purposes. </t>
  </si>
  <si>
    <t xml:space="preserve"> ShareAlike --  If you remix, transform, or build upon the  material, you must distribute your contributions under the same license as the original.</t>
  </si>
  <si>
    <t xml:space="preserve"> No additional restrictions --  You may not apply legal terms or technological measures that  legally restrict others from doing anything the license permits. </t>
  </si>
  <si>
    <t>Notices</t>
  </si>
  <si>
    <t xml:space="preserve"> You do not have to comply with the license for elements of the   material in the public domain or where your use is permitted by an   applicable exception or limitation. No warranties are given. The   license may not give you all of the permissions necessary for   your intended use. For example, other rights such as publicity,   privacy, or moral rights may limit how you use the material. </t>
  </si>
  <si>
    <t>To comply with the attribution requirement in the license, whenever it is used the dataset must be cited as follows: Freeman, A. 2019. Dataset to accompany 'Geopolitical Economy of Inequality'. Winnnipeg, MP: Geopolitical Economy Research Group. (https://github.com/axfreeman/Economic-History)</t>
  </si>
  <si>
    <t>Individual working papers drawing on this data, and individual datasets derived from a selection of data in the full set, should additionally be cited as specified in the relevant document or accompanying documentation</t>
  </si>
  <si>
    <t>Demographics</t>
  </si>
  <si>
    <t>All</t>
  </si>
  <si>
    <t>China Mainland</t>
  </si>
  <si>
    <t>North</t>
  </si>
  <si>
    <t>South</t>
  </si>
  <si>
    <t>Units</t>
  </si>
  <si>
    <t>Industrial Sector (Agriculture/Manufacturing/etc)</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</si>
  <si>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</si>
  <si>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</si>
  <si>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</si>
  <si>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</si>
  <si>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</si>
  <si>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</si>
  <si>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</si>
  <si>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</si>
  <si>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</si>
  <si>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</si>
  <si>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</si>
  <si>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</si>
  <si>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</si>
  <si>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</si>
  <si>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</si>
  <si>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</si>
  <si>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</si>
  <si>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</si>
  <si>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</si>
  <si>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</si>
  <si>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</si>
  <si>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</si>
  <si>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</si>
  <si>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</si>
  <si>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</si>
  <si>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</si>
  <si>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</si>
  <si>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</si>
  <si>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</si>
  <si>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</si>
  <si>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</si>
  <si>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</si>
  <si>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</si>
  <si>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</si>
  <si>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</si>
  <si>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</si>
  <si>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</si>
  <si>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</si>
  <si>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</si>
  <si>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</si>
  <si>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</si>
  <si>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</si>
  <si>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</si>
  <si>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</si>
  <si>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</si>
  <si>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</si>
  <si>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</si>
  <si>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2017</t>
  </si>
  <si>
    <t>2018</t>
  </si>
  <si>
    <t>2019</t>
  </si>
  <si>
    <t>Item</t>
  </si>
  <si>
    <t>Expenditure Approach</t>
  </si>
  <si>
    <t>Total</t>
  </si>
  <si>
    <t>WDI2020</t>
  </si>
  <si>
    <t>Original Source Data</t>
  </si>
  <si>
    <t>Australia</t>
  </si>
  <si>
    <t>Austria</t>
  </si>
  <si>
    <t>Belgium</t>
  </si>
  <si>
    <t>Finland</t>
  </si>
  <si>
    <t>France</t>
  </si>
  <si>
    <t>Greece</t>
  </si>
  <si>
    <t>Israel</t>
  </si>
  <si>
    <t>Italy</t>
  </si>
  <si>
    <t>Japan</t>
  </si>
  <si>
    <t>Luxemburg</t>
  </si>
  <si>
    <t>Netherlands</t>
  </si>
  <si>
    <t>Norway</t>
  </si>
  <si>
    <t>Portugal</t>
  </si>
  <si>
    <t>Singapore</t>
  </si>
  <si>
    <t>South Korea</t>
  </si>
  <si>
    <t>Spain</t>
  </si>
  <si>
    <t>Sweden</t>
  </si>
  <si>
    <t>United Kingdom</t>
  </si>
  <si>
    <t>United States</t>
  </si>
  <si>
    <t>Bahamas</t>
  </si>
  <si>
    <t>Bangladesh</t>
  </si>
  <si>
    <t>Belize</t>
  </si>
  <si>
    <t>Benin</t>
  </si>
  <si>
    <t>Bolivia</t>
  </si>
  <si>
    <t>Botswana</t>
  </si>
  <si>
    <t>Brazil</t>
  </si>
  <si>
    <t>Burkina Faso</t>
  </si>
  <si>
    <t>Burundi</t>
  </si>
  <si>
    <t>Cameroon</t>
  </si>
  <si>
    <t>Central African Republic</t>
  </si>
  <si>
    <t>Chad</t>
  </si>
  <si>
    <t>Chile</t>
  </si>
  <si>
    <t>Colombia</t>
  </si>
  <si>
    <t>Congo DR</t>
  </si>
  <si>
    <t>Congo R</t>
  </si>
  <si>
    <t>Costa Rica</t>
  </si>
  <si>
    <t>Cote d'Ivoire</t>
  </si>
  <si>
    <t>Dominican Republic</t>
  </si>
  <si>
    <t>Ecuador</t>
  </si>
  <si>
    <t>Fiji</t>
  </si>
  <si>
    <t>Gabon</t>
  </si>
  <si>
    <t>Ghana</t>
  </si>
  <si>
    <t>Guatemala</t>
  </si>
  <si>
    <t>Guyana</t>
  </si>
  <si>
    <t>Haiti</t>
  </si>
  <si>
    <t>Honduras</t>
  </si>
  <si>
    <t>India</t>
  </si>
  <si>
    <t>Kenya</t>
  </si>
  <si>
    <t>Lesotho</t>
  </si>
  <si>
    <t>Madagascar</t>
  </si>
  <si>
    <t>Malawi</t>
  </si>
  <si>
    <t>Malaysia</t>
  </si>
  <si>
    <t>Mexico</t>
  </si>
  <si>
    <t>Nepal</t>
  </si>
  <si>
    <t>Nicaragua</t>
  </si>
  <si>
    <t>Niger</t>
  </si>
  <si>
    <t>Nigeria</t>
  </si>
  <si>
    <t>Pakistan</t>
  </si>
  <si>
    <t>Panama</t>
  </si>
  <si>
    <t>Papua New Guinea</t>
  </si>
  <si>
    <t>Peru</t>
  </si>
  <si>
    <t>Philippines</t>
  </si>
  <si>
    <t>Puerto Rico</t>
  </si>
  <si>
    <t>Rwanda</t>
  </si>
  <si>
    <t>Senegal</t>
  </si>
  <si>
    <t>Seychelles</t>
  </si>
  <si>
    <t>Sierra Leone</t>
  </si>
  <si>
    <t>South Africa</t>
  </si>
  <si>
    <t>Sudan (Former)</t>
  </si>
  <si>
    <t>Suriname</t>
  </si>
  <si>
    <t>Thailand</t>
  </si>
  <si>
    <t>Togo</t>
  </si>
  <si>
    <t>Trinidad and Tobago</t>
  </si>
  <si>
    <t>Turkey</t>
  </si>
  <si>
    <t>Uruguay</t>
  </si>
  <si>
    <t>Zambia</t>
  </si>
  <si>
    <t>Zimbabwe</t>
  </si>
  <si>
    <t>GDP and other output measures</t>
  </si>
  <si>
    <t>USD</t>
  </si>
  <si>
    <t>Whole economy</t>
  </si>
  <si>
    <t>WDI Availability</t>
  </si>
  <si>
    <t>Year</t>
  </si>
  <si>
    <t>Major_Blocs</t>
  </si>
  <si>
    <t>Country</t>
  </si>
  <si>
    <t>Interbloc</t>
  </si>
  <si>
    <t>Global</t>
  </si>
  <si>
    <t>World Population</t>
  </si>
  <si>
    <t>South intrabloc Theil</t>
  </si>
  <si>
    <t>Count</t>
  </si>
  <si>
    <t>China</t>
  </si>
  <si>
    <t>Relative Count</t>
  </si>
  <si>
    <t>GDP/Cap</t>
  </si>
  <si>
    <t>Relative GDP/Cap weights</t>
  </si>
  <si>
    <t>Theil Weights</t>
  </si>
  <si>
    <t>Theil Contributions</t>
  </si>
  <si>
    <t>(Total)</t>
  </si>
  <si>
    <t>(Check)</t>
  </si>
  <si>
    <t>Discrepancy</t>
  </si>
  <si>
    <t>Global T comparison</t>
  </si>
  <si>
    <t>Sum of components</t>
  </si>
  <si>
    <t>Direct Calculation</t>
  </si>
  <si>
    <t xml:space="preserve">North </t>
  </si>
  <si>
    <t>GDP</t>
  </si>
  <si>
    <t>Population</t>
  </si>
  <si>
    <t>World</t>
  </si>
  <si>
    <t>Theil Elements</t>
  </si>
  <si>
    <t>North intrabloc Theil</t>
  </si>
  <si>
    <t>(China)</t>
  </si>
  <si>
    <t>Global Theil</t>
  </si>
  <si>
    <t>From 1960</t>
  </si>
  <si>
    <t>1960</t>
  </si>
  <si>
    <t>1961</t>
  </si>
  <si>
    <t>1962</t>
  </si>
  <si>
    <t>1963</t>
  </si>
  <si>
    <t>1964</t>
  </si>
  <si>
    <t>1965</t>
  </si>
  <si>
    <t>1966</t>
  </si>
  <si>
    <t>1967</t>
  </si>
  <si>
    <t>1968</t>
  </si>
  <si>
    <t>1969</t>
  </si>
  <si>
    <t>Decomposition</t>
  </si>
  <si>
    <t>Theil T decomposition with WDI data from 2016</t>
  </si>
  <si>
    <t>Percentage Contributions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</si>
</sst>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 #,##0.00_-;_-* &quot;-&quot;??_-;_-@_-"/>
    <numFmt numFmtId="164" formatCode="_-* #,##0_-;\-* #,##0_-;_-* &quot;-&quot;??_-;_-@_-"/>
    <numFmt numFmtId="165" formatCode="_-* #,##0.0000_-;\-* #,##0.0000_-;_-* &quot;-&quot;??_-;_-@_-"/>
  </numFmts>
  <fonts count="4" x14ac:knownFonts="1">
    <font>
      <sz val="11"/>
      <color theme="1"/>
      <name val="Calibri"/>
      <family val="2"/>
      <scheme val="minor"/>
    </font>
    <font>
      <b/>
      <sz val="11"/>
      <color theme="1"/>
      <name val="Calibri"/>
      <family val="2"/>
      <scheme val="minor"/>
    </font>
    <font>
      <b/>
      <sz val="14"/>
      <color theme="1"/>
      <name val="Calibri"/>
      <family val="2"/>
      <scheme val="minor"/>
    </font>
    <font>
      <sz val="11"/>
      <color theme="1"/>
      <name val="Calibri"/>
      <family val="2"/>
      <scheme val="minor"/>
    </font>
  </fonts>
  <fills count="5">
    <fill>
      <patternFill patternType="none"/>
    </fill>
    <fill>
      <patternFill patternType="gray125"/>
    </fill>
    <fill>
      <patternFill patternType="solid">
        <fgColor theme="4"/>
        <bgColor indexed="64"/>
      </patternFill>
    </fill>
    <fill>
      <patternFill patternType="solid">
        <fgColor theme="9" tint="0.39997558519241921"/>
        <bgColor indexed="64"/>
      </patternFill>
    </fill>
    <fill>
      <patternFill patternType="solid">
        <fgColor theme="4" tint="0.59999389629810485"/>
        <bgColor indexed="64"/>
      </patternFill>
    </fill>
  </fills>
  <borders count="1">
    <border>
      <left/>
      <right/>
      <top/>
      <bottom/>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17">
    <xf numFmtId="0" fontId="0" fillId="0" borderId="0" xfId="0"/>
    <xf numFmtId="0" fontId="2" fillId="2" borderId="0" xfId="0" applyFont="1" applyFill="1" applyAlignment="1">
      <alignment horizontal="center"/>
    </xf>
    <xf numFmtId="0" fontId="2" fillId="3" borderId="0" xfId="0" applyFont="1" applyFill="1" applyAlignment="1">
      <alignment horizontal="center"/>
    </xf>
    <xf numFmtId="0" fontId="2" fillId="3" borderId="0" xfId="0" applyFont="1" applyFill="1" applyAlignment="1">
      <alignment horizontal="center" wrapText="1"/>
    </xf>
    <xf numFmtId="0" fontId="0" fillId="4" borderId="0" xfId="0" applyFill="1" applyAlignment="1">
      <alignment horizontal="center"/>
    </xf>
    <xf numFmtId="0" fontId="1" fillId="4" borderId="0" xfId="0" applyFont="1" applyFill="1" applyAlignment="1">
      <alignment horizontal="center"/>
    </xf>
    <xf numFmtId="0" fontId="0" fillId="4" borderId="0" xfId="0" applyFill="1"/>
    <xf numFmtId="0" fontId="0" fillId="4" borderId="0" xfId="0" applyFill="1" applyAlignment="1">
      <alignment horizontal="center" wrapText="1"/>
    </xf>
    <xf numFmtId="0" fontId="1" fillId="4" borderId="0" xfId="0" applyFont="1" applyFill="1" applyAlignment="1">
      <alignment horizontal="center" wrapText="1"/>
    </xf>
    <xf numFmtId="0" fontId="0" fillId="0" borderId="0" xfId="0" pivotButton="1"/>
    <xf numFmtId="0" fontId="0" fillId="0" borderId="0" xfId="0" applyNumberFormat="1"/>
    <xf numFmtId="164" fontId="0" fillId="0" borderId="0" xfId="1" applyNumberFormat="1" applyFont="1"/>
    <xf numFmtId="0" fontId="1" fillId="0" borderId="0" xfId="0" applyFont="1"/>
    <xf numFmtId="165" fontId="0" fillId="0" borderId="0" xfId="1" applyNumberFormat="1" applyFont="1"/>
    <xf numFmtId="165" fontId="0" fillId="0" borderId="0" xfId="0" applyNumberFormat="1"/>
    <xf numFmtId="164" fontId="0" fillId="0" borderId="0" xfId="0" applyNumberFormat="1"/>
    <xf numFmtId="9" fontId="0" fillId="0" borderId="0" xfId="2" applyFont="1"/>
  </cellXfs>
  <cellStyles count="3">
    <cellStyle name="Comma" xfId="1" builtinId="3"/>
    <cellStyle name="Normal" xfId="0" builtinId="0"/>
    <cellStyle name="Percent" xfId="2" builtinId="5"/>
  </cellStyles>
  <dxfs count="0"/>
  <tableStyles count="1" defaultTableStyle="TableStyleMedium2" defaultPivotStyle="PivotStyleLight16">
    <tableStyle name="Invisible" pivot="0" table="0" count="0" xr9:uid="{01A2265D-D03D-4CF1-BFA3-93BC85F5817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pivotCacheDefinition" Target="pivotCache/pivotCacheDefinition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chartsheet" Target="chartsheets/sheet2.xml"/><Relationship Id="rId11" Type="http://schemas.openxmlformats.org/officeDocument/2006/relationships/pivotCacheDefinition" Target="pivotCache/pivotCacheDefinition1.xml"/><Relationship Id="rId5" Type="http://schemas.openxmlformats.org/officeDocument/2006/relationships/worksheet" Target="worksheets/sheet4.xml"/><Relationship Id="rId15" Type="http://schemas.openxmlformats.org/officeDocument/2006/relationships/styles" Target="styles.xml"/><Relationship Id="rId10" Type="http://schemas.openxmlformats.org/officeDocument/2006/relationships/externalLink" Target="externalLinks/externalLink4.xml"/><Relationship Id="rId19" Type="http://schemas.microsoft.com/office/2006/relationships/vbaProject" Target="vbaProject.bin"/><Relationship Id="rId4" Type="http://schemas.openxmlformats.org/officeDocument/2006/relationships/chartsheet" Target="chartsheets/sheet1.xml"/><Relationship Id="rId9" Type="http://schemas.openxmlformats.org/officeDocument/2006/relationships/externalLink" Target="externalLinks/externalLink3.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Contributions to global inequality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Theil!$B$60</c:f>
              <c:strCache>
                <c:ptCount val="1"/>
                <c:pt idx="0">
                  <c:v>South</c:v>
                </c:pt>
              </c:strCache>
            </c:strRef>
          </c:tx>
          <c:spPr>
            <a:ln w="28575" cap="rnd">
              <a:solidFill>
                <a:schemeClr val="accent1"/>
              </a:solidFill>
              <a:round/>
            </a:ln>
            <a:effectLst/>
          </c:spPr>
          <c:marker>
            <c:symbol val="none"/>
          </c:marker>
          <c:cat>
            <c:strRef>
              <c:f>Theil!$C$59:$BJ$59</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Theil!$C$60:$BJ$60</c:f>
              <c:numCache>
                <c:formatCode>0%</c:formatCode>
                <c:ptCount val="60"/>
                <c:pt idx="0">
                  <c:v>4.5684473319591946E-2</c:v>
                </c:pt>
                <c:pt idx="1">
                  <c:v>3.7138140677929858E-2</c:v>
                </c:pt>
                <c:pt idx="2">
                  <c:v>3.7705462153817815E-2</c:v>
                </c:pt>
                <c:pt idx="3">
                  <c:v>3.9774277232963985E-2</c:v>
                </c:pt>
                <c:pt idx="4">
                  <c:v>3.7392543919726746E-2</c:v>
                </c:pt>
                <c:pt idx="5">
                  <c:v>3.6366004486926548E-2</c:v>
                </c:pt>
                <c:pt idx="6">
                  <c:v>4.577500620192456E-2</c:v>
                </c:pt>
                <c:pt idx="7">
                  <c:v>4.5716158893016334E-2</c:v>
                </c:pt>
                <c:pt idx="8">
                  <c:v>4.5308806697795613E-2</c:v>
                </c:pt>
                <c:pt idx="9">
                  <c:v>4.654974736150503E-2</c:v>
                </c:pt>
                <c:pt idx="10">
                  <c:v>4.5724920248826101E-2</c:v>
                </c:pt>
                <c:pt idx="11">
                  <c:v>4.7559326679281685E-2</c:v>
                </c:pt>
                <c:pt idx="12">
                  <c:v>4.9767905374021836E-2</c:v>
                </c:pt>
                <c:pt idx="13">
                  <c:v>5.9114151287215241E-2</c:v>
                </c:pt>
                <c:pt idx="14">
                  <c:v>6.8577830326128728E-2</c:v>
                </c:pt>
                <c:pt idx="15">
                  <c:v>7.04816008326664E-2</c:v>
                </c:pt>
                <c:pt idx="16">
                  <c:v>7.4267954950855669E-2</c:v>
                </c:pt>
                <c:pt idx="17">
                  <c:v>6.9662295767679003E-2</c:v>
                </c:pt>
                <c:pt idx="18">
                  <c:v>6.4784376592741305E-2</c:v>
                </c:pt>
                <c:pt idx="19">
                  <c:v>7.2601342198456001E-2</c:v>
                </c:pt>
                <c:pt idx="20">
                  <c:v>7.8564073839095847E-2</c:v>
                </c:pt>
                <c:pt idx="21">
                  <c:v>9.7405924388369425E-2</c:v>
                </c:pt>
                <c:pt idx="22">
                  <c:v>7.8986059855552349E-2</c:v>
                </c:pt>
                <c:pt idx="23">
                  <c:v>5.5878750859849918E-2</c:v>
                </c:pt>
                <c:pt idx="24">
                  <c:v>5.4267020645280405E-2</c:v>
                </c:pt>
                <c:pt idx="25">
                  <c:v>4.8585013364496415E-2</c:v>
                </c:pt>
                <c:pt idx="26">
                  <c:v>3.7389412129035321E-2</c:v>
                </c:pt>
                <c:pt idx="27">
                  <c:v>3.6886401500392865E-2</c:v>
                </c:pt>
                <c:pt idx="28">
                  <c:v>3.6960249489765083E-2</c:v>
                </c:pt>
                <c:pt idx="29">
                  <c:v>4.6724937152667449E-2</c:v>
                </c:pt>
                <c:pt idx="30">
                  <c:v>5.0279599270460572E-2</c:v>
                </c:pt>
                <c:pt idx="31">
                  <c:v>6.3642057285970624E-2</c:v>
                </c:pt>
                <c:pt idx="32">
                  <c:v>5.3239124771591768E-2</c:v>
                </c:pt>
                <c:pt idx="33">
                  <c:v>6.628240249055839E-2</c:v>
                </c:pt>
                <c:pt idx="34">
                  <c:v>6.731509702683168E-2</c:v>
                </c:pt>
                <c:pt idx="35">
                  <c:v>6.4708516560755838E-2</c:v>
                </c:pt>
                <c:pt idx="36">
                  <c:v>7.2015597132677828E-2</c:v>
                </c:pt>
                <c:pt idx="37">
                  <c:v>7.8669954236093811E-2</c:v>
                </c:pt>
                <c:pt idx="38">
                  <c:v>7.879202227685686E-2</c:v>
                </c:pt>
                <c:pt idx="39">
                  <c:v>6.3900060111713897E-2</c:v>
                </c:pt>
                <c:pt idx="40">
                  <c:v>6.9413286895538731E-2</c:v>
                </c:pt>
                <c:pt idx="41">
                  <c:v>6.71906172466641E-2</c:v>
                </c:pt>
                <c:pt idx="42">
                  <c:v>6.4765815722962111E-2</c:v>
                </c:pt>
                <c:pt idx="43">
                  <c:v>5.993189811039526E-2</c:v>
                </c:pt>
                <c:pt idx="44">
                  <c:v>6.3391760906689285E-2</c:v>
                </c:pt>
                <c:pt idx="45">
                  <c:v>7.3660832296291556E-2</c:v>
                </c:pt>
                <c:pt idx="46">
                  <c:v>8.1058334605366086E-2</c:v>
                </c:pt>
                <c:pt idx="47">
                  <c:v>8.7429278293745735E-2</c:v>
                </c:pt>
                <c:pt idx="48">
                  <c:v>9.8891767233732109E-2</c:v>
                </c:pt>
                <c:pt idx="49">
                  <c:v>9.0146408691334737E-2</c:v>
                </c:pt>
                <c:pt idx="50">
                  <c:v>0.1132961037800331</c:v>
                </c:pt>
                <c:pt idx="51">
                  <c:v>0.12515125355180762</c:v>
                </c:pt>
                <c:pt idx="52">
                  <c:v>0.12250096731275974</c:v>
                </c:pt>
                <c:pt idx="53">
                  <c:v>0.12653864220696426</c:v>
                </c:pt>
                <c:pt idx="54">
                  <c:v>0.11960147174342355</c:v>
                </c:pt>
                <c:pt idx="55">
                  <c:v>9.3614972160138088E-2</c:v>
                </c:pt>
                <c:pt idx="56">
                  <c:v>8.6812074121853863E-2</c:v>
                </c:pt>
                <c:pt idx="57">
                  <c:v>9.0415951628043542E-2</c:v>
                </c:pt>
                <c:pt idx="58">
                  <c:v>8.2247253902139994E-2</c:v>
                </c:pt>
                <c:pt idx="59">
                  <c:v>7.8586244124398658E-2</c:v>
                </c:pt>
              </c:numCache>
            </c:numRef>
          </c:val>
          <c:smooth val="0"/>
          <c:extLst>
            <c:ext xmlns:c16="http://schemas.microsoft.com/office/drawing/2014/chart" uri="{C3380CC4-5D6E-409C-BE32-E72D297353CC}">
              <c16:uniqueId val="{00000000-55F8-4248-8447-B95CBCA7D11E}"/>
            </c:ext>
          </c:extLst>
        </c:ser>
        <c:ser>
          <c:idx val="1"/>
          <c:order val="1"/>
          <c:tx>
            <c:strRef>
              <c:f>Theil!$B$61</c:f>
              <c:strCache>
                <c:ptCount val="1"/>
                <c:pt idx="0">
                  <c:v>North</c:v>
                </c:pt>
              </c:strCache>
            </c:strRef>
          </c:tx>
          <c:spPr>
            <a:ln w="28575" cap="rnd">
              <a:solidFill>
                <a:schemeClr val="accent2"/>
              </a:solidFill>
              <a:round/>
            </a:ln>
            <a:effectLst/>
          </c:spPr>
          <c:marker>
            <c:symbol val="none"/>
          </c:marker>
          <c:cat>
            <c:strRef>
              <c:f>Theil!$C$59:$BJ$59</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Theil!$C$61:$BJ$61</c:f>
              <c:numCache>
                <c:formatCode>0%</c:formatCode>
                <c:ptCount val="60"/>
                <c:pt idx="0">
                  <c:v>0.27995459129525119</c:v>
                </c:pt>
                <c:pt idx="1">
                  <c:v>0.26250924926834612</c:v>
                </c:pt>
                <c:pt idx="2">
                  <c:v>0.25215117952841209</c:v>
                </c:pt>
                <c:pt idx="3">
                  <c:v>0.237557432432243</c:v>
                </c:pt>
                <c:pt idx="4">
                  <c:v>0.23080727195790829</c:v>
                </c:pt>
                <c:pt idx="5">
                  <c:v>0.22984717755101508</c:v>
                </c:pt>
                <c:pt idx="6">
                  <c:v>0.219997926671859</c:v>
                </c:pt>
                <c:pt idx="7">
                  <c:v>0.20662714898246312</c:v>
                </c:pt>
                <c:pt idx="8">
                  <c:v>0.20428364102586319</c:v>
                </c:pt>
                <c:pt idx="9">
                  <c:v>0.19514490564485631</c:v>
                </c:pt>
                <c:pt idx="10">
                  <c:v>0.17491747565070329</c:v>
                </c:pt>
                <c:pt idx="11">
                  <c:v>0.16651302335250198</c:v>
                </c:pt>
                <c:pt idx="12">
                  <c:v>0.14404197127740878</c:v>
                </c:pt>
                <c:pt idx="13">
                  <c:v>0.12164040992926815</c:v>
                </c:pt>
                <c:pt idx="14">
                  <c:v>0.11330037420653308</c:v>
                </c:pt>
                <c:pt idx="15">
                  <c:v>0.11037357215215528</c:v>
                </c:pt>
                <c:pt idx="16">
                  <c:v>0.11463788361048415</c:v>
                </c:pt>
                <c:pt idx="17">
                  <c:v>0.10691830456659344</c:v>
                </c:pt>
                <c:pt idx="18">
                  <c:v>9.0970001861227265E-2</c:v>
                </c:pt>
                <c:pt idx="19">
                  <c:v>7.8217096358626018E-2</c:v>
                </c:pt>
                <c:pt idx="20">
                  <c:v>7.7981895917900251E-2</c:v>
                </c:pt>
                <c:pt idx="21">
                  <c:v>8.8903463268765248E-2</c:v>
                </c:pt>
                <c:pt idx="22">
                  <c:v>9.6924596250605469E-2</c:v>
                </c:pt>
                <c:pt idx="23">
                  <c:v>0.10922438554284769</c:v>
                </c:pt>
                <c:pt idx="24">
                  <c:v>0.12634052603959561</c:v>
                </c:pt>
                <c:pt idx="25">
                  <c:v>0.13249597331023966</c:v>
                </c:pt>
                <c:pt idx="26">
                  <c:v>9.7449185288802032E-2</c:v>
                </c:pt>
                <c:pt idx="27">
                  <c:v>8.173713779149952E-2</c:v>
                </c:pt>
                <c:pt idx="28">
                  <c:v>7.5213935884327704E-2</c:v>
                </c:pt>
                <c:pt idx="29">
                  <c:v>6.8064996816628864E-2</c:v>
                </c:pt>
                <c:pt idx="30">
                  <c:v>5.2295442347193404E-2</c:v>
                </c:pt>
                <c:pt idx="31">
                  <c:v>5.1002264467445976E-2</c:v>
                </c:pt>
                <c:pt idx="32">
                  <c:v>5.107128189316229E-2</c:v>
                </c:pt>
                <c:pt idx="33">
                  <c:v>7.182877424026185E-2</c:v>
                </c:pt>
                <c:pt idx="34">
                  <c:v>7.5325714105122052E-2</c:v>
                </c:pt>
                <c:pt idx="35">
                  <c:v>7.03867945990026E-2</c:v>
                </c:pt>
                <c:pt idx="36">
                  <c:v>5.0810450200920496E-2</c:v>
                </c:pt>
                <c:pt idx="37">
                  <c:v>5.2099490136201E-2</c:v>
                </c:pt>
                <c:pt idx="38">
                  <c:v>6.177385548655747E-2</c:v>
                </c:pt>
                <c:pt idx="39">
                  <c:v>6.3326292390151029E-2</c:v>
                </c:pt>
                <c:pt idx="40">
                  <c:v>7.5434512580982938E-2</c:v>
                </c:pt>
                <c:pt idx="41">
                  <c:v>7.3712677297988555E-2</c:v>
                </c:pt>
                <c:pt idx="42">
                  <c:v>6.3536409588395806E-2</c:v>
                </c:pt>
                <c:pt idx="43">
                  <c:v>4.695684943156922E-2</c:v>
                </c:pt>
                <c:pt idx="44">
                  <c:v>3.9810477519459771E-2</c:v>
                </c:pt>
                <c:pt idx="45">
                  <c:v>3.8395218932952273E-2</c:v>
                </c:pt>
                <c:pt idx="46">
                  <c:v>3.8959327560349914E-2</c:v>
                </c:pt>
                <c:pt idx="47">
                  <c:v>3.7522778236020543E-2</c:v>
                </c:pt>
                <c:pt idx="48">
                  <c:v>3.7729756543364378E-2</c:v>
                </c:pt>
                <c:pt idx="49">
                  <c:v>3.9292572612010301E-2</c:v>
                </c:pt>
                <c:pt idx="50">
                  <c:v>4.0153374828078223E-2</c:v>
                </c:pt>
                <c:pt idx="51">
                  <c:v>4.3287522410785116E-2</c:v>
                </c:pt>
                <c:pt idx="52">
                  <c:v>5.568234254281193E-2</c:v>
                </c:pt>
                <c:pt idx="53">
                  <c:v>5.7613165790185397E-2</c:v>
                </c:pt>
                <c:pt idx="54">
                  <c:v>5.8402944116270256E-2</c:v>
                </c:pt>
                <c:pt idx="55">
                  <c:v>7.9528133123141206E-2</c:v>
                </c:pt>
                <c:pt idx="56">
                  <c:v>7.3498535988214903E-2</c:v>
                </c:pt>
                <c:pt idx="57">
                  <c:v>7.4734075518428728E-2</c:v>
                </c:pt>
                <c:pt idx="58">
                  <c:v>7.356308368680467E-2</c:v>
                </c:pt>
                <c:pt idx="59">
                  <c:v>8.3733496925706821E-2</c:v>
                </c:pt>
              </c:numCache>
            </c:numRef>
          </c:val>
          <c:smooth val="0"/>
          <c:extLst>
            <c:ext xmlns:c16="http://schemas.microsoft.com/office/drawing/2014/chart" uri="{C3380CC4-5D6E-409C-BE32-E72D297353CC}">
              <c16:uniqueId val="{00000001-55F8-4248-8447-B95CBCA7D11E}"/>
            </c:ext>
          </c:extLst>
        </c:ser>
        <c:ser>
          <c:idx val="2"/>
          <c:order val="2"/>
          <c:tx>
            <c:strRef>
              <c:f>Theil!$B$62</c:f>
              <c:strCache>
                <c:ptCount val="1"/>
                <c:pt idx="0">
                  <c:v> Interbloc </c:v>
                </c:pt>
              </c:strCache>
            </c:strRef>
          </c:tx>
          <c:spPr>
            <a:ln w="28575" cap="rnd">
              <a:solidFill>
                <a:schemeClr val="accent3"/>
              </a:solidFill>
              <a:round/>
            </a:ln>
            <a:effectLst/>
          </c:spPr>
          <c:marker>
            <c:symbol val="none"/>
          </c:marker>
          <c:cat>
            <c:strRef>
              <c:f>Theil!$C$59:$BJ$59</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Theil!$C$62:$BJ$62</c:f>
              <c:numCache>
                <c:formatCode>0%</c:formatCode>
                <c:ptCount val="60"/>
                <c:pt idx="0">
                  <c:v>0.67436093538515673</c:v>
                </c:pt>
                <c:pt idx="1">
                  <c:v>0.70035261005372418</c:v>
                </c:pt>
                <c:pt idx="2">
                  <c:v>0.71014335831777009</c:v>
                </c:pt>
                <c:pt idx="3">
                  <c:v>0.72266829033479307</c:v>
                </c:pt>
                <c:pt idx="4">
                  <c:v>0.73180018412236503</c:v>
                </c:pt>
                <c:pt idx="5">
                  <c:v>0.73378681796205836</c:v>
                </c:pt>
                <c:pt idx="6">
                  <c:v>0.73422706712621644</c:v>
                </c:pt>
                <c:pt idx="7">
                  <c:v>0.74765669212452046</c:v>
                </c:pt>
                <c:pt idx="8">
                  <c:v>0.75040755227634115</c:v>
                </c:pt>
                <c:pt idx="9">
                  <c:v>0.75830534699363861</c:v>
                </c:pt>
                <c:pt idx="10">
                  <c:v>0.77935760410047061</c:v>
                </c:pt>
                <c:pt idx="11">
                  <c:v>0.78592764996821629</c:v>
                </c:pt>
                <c:pt idx="12">
                  <c:v>0.80619012334856954</c:v>
                </c:pt>
                <c:pt idx="13">
                  <c:v>0.81924543878351663</c:v>
                </c:pt>
                <c:pt idx="14">
                  <c:v>0.81812179546733821</c:v>
                </c:pt>
                <c:pt idx="15">
                  <c:v>0.81914482701517843</c:v>
                </c:pt>
                <c:pt idx="16">
                  <c:v>0.8110941614386602</c:v>
                </c:pt>
                <c:pt idx="17">
                  <c:v>0.82341939966572752</c:v>
                </c:pt>
                <c:pt idx="18">
                  <c:v>0.84424562154603144</c:v>
                </c:pt>
                <c:pt idx="19">
                  <c:v>0.8491815614429179</c:v>
                </c:pt>
                <c:pt idx="20">
                  <c:v>0.84345403024300392</c:v>
                </c:pt>
                <c:pt idx="21">
                  <c:v>0.81369061234286544</c:v>
                </c:pt>
                <c:pt idx="22">
                  <c:v>0.82408934389384214</c:v>
                </c:pt>
                <c:pt idx="23">
                  <c:v>0.83489686359730242</c:v>
                </c:pt>
                <c:pt idx="24">
                  <c:v>0.819392453315124</c:v>
                </c:pt>
                <c:pt idx="25">
                  <c:v>0.81891901332526396</c:v>
                </c:pt>
                <c:pt idx="26">
                  <c:v>0.86516140258216268</c:v>
                </c:pt>
                <c:pt idx="27">
                  <c:v>0.8813764607081076</c:v>
                </c:pt>
                <c:pt idx="28">
                  <c:v>0.88782581462590726</c:v>
                </c:pt>
                <c:pt idx="29">
                  <c:v>0.88521006603070373</c:v>
                </c:pt>
                <c:pt idx="30">
                  <c:v>0.89742495838234604</c:v>
                </c:pt>
                <c:pt idx="31">
                  <c:v>0.88535567824658346</c:v>
                </c:pt>
                <c:pt idx="32">
                  <c:v>0.895689593335246</c:v>
                </c:pt>
                <c:pt idx="33">
                  <c:v>0.86188882326917982</c:v>
                </c:pt>
                <c:pt idx="34">
                  <c:v>0.8573591888680463</c:v>
                </c:pt>
                <c:pt idx="35">
                  <c:v>0.86490468884024152</c:v>
                </c:pt>
                <c:pt idx="36">
                  <c:v>0.87717395266640164</c:v>
                </c:pt>
                <c:pt idx="37">
                  <c:v>0.86923055562770513</c:v>
                </c:pt>
                <c:pt idx="38">
                  <c:v>0.85943412223658566</c:v>
                </c:pt>
                <c:pt idx="39">
                  <c:v>0.87277364749813502</c:v>
                </c:pt>
                <c:pt idx="40">
                  <c:v>0.8551522005234784</c:v>
                </c:pt>
                <c:pt idx="41">
                  <c:v>0.85909670545534733</c:v>
                </c:pt>
                <c:pt idx="42">
                  <c:v>0.87169777468864207</c:v>
                </c:pt>
                <c:pt idx="43">
                  <c:v>0.89311125245803547</c:v>
                </c:pt>
                <c:pt idx="44">
                  <c:v>0.89679776157385083</c:v>
                </c:pt>
                <c:pt idx="45">
                  <c:v>0.88794394877075622</c:v>
                </c:pt>
                <c:pt idx="46">
                  <c:v>0.87998233783428403</c:v>
                </c:pt>
                <c:pt idx="47">
                  <c:v>0.87504794347023362</c:v>
                </c:pt>
                <c:pt idx="48">
                  <c:v>0.86337847622290353</c:v>
                </c:pt>
                <c:pt idx="49">
                  <c:v>0.87056101869665492</c:v>
                </c:pt>
                <c:pt idx="50">
                  <c:v>0.84655052139188869</c:v>
                </c:pt>
                <c:pt idx="51">
                  <c:v>0.83156122403740729</c:v>
                </c:pt>
                <c:pt idx="52">
                  <c:v>0.82181669014442837</c:v>
                </c:pt>
                <c:pt idx="53">
                  <c:v>0.8158481920028503</c:v>
                </c:pt>
                <c:pt idx="54">
                  <c:v>0.82199558414030627</c:v>
                </c:pt>
                <c:pt idx="55">
                  <c:v>0.82685689471672075</c:v>
                </c:pt>
                <c:pt idx="56">
                  <c:v>0.83968938988993114</c:v>
                </c:pt>
                <c:pt idx="57">
                  <c:v>0.8348499728535278</c:v>
                </c:pt>
                <c:pt idx="58">
                  <c:v>0.84418966241105531</c:v>
                </c:pt>
                <c:pt idx="59">
                  <c:v>0.83768025894989451</c:v>
                </c:pt>
              </c:numCache>
            </c:numRef>
          </c:val>
          <c:smooth val="0"/>
          <c:extLst>
            <c:ext xmlns:c16="http://schemas.microsoft.com/office/drawing/2014/chart" uri="{C3380CC4-5D6E-409C-BE32-E72D297353CC}">
              <c16:uniqueId val="{00000002-55F8-4248-8447-B95CBCA7D11E}"/>
            </c:ext>
          </c:extLst>
        </c:ser>
        <c:dLbls>
          <c:showLegendKey val="0"/>
          <c:showVal val="0"/>
          <c:showCatName val="0"/>
          <c:showSerName val="0"/>
          <c:showPercent val="0"/>
          <c:showBubbleSize val="0"/>
        </c:dLbls>
        <c:smooth val="0"/>
        <c:axId val="121057024"/>
        <c:axId val="121060768"/>
      </c:lineChart>
      <c:catAx>
        <c:axId val="12105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60768"/>
        <c:crosses val="autoZero"/>
        <c:auto val="1"/>
        <c:lblAlgn val="ctr"/>
        <c:lblOffset val="100"/>
        <c:noMultiLvlLbl val="0"/>
      </c:catAx>
      <c:valAx>
        <c:axId val="1210607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57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Theil Decomposition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Theil!$B$46</c:f>
              <c:strCache>
                <c:ptCount val="1"/>
                <c:pt idx="0">
                  <c:v>South</c:v>
                </c:pt>
              </c:strCache>
            </c:strRef>
          </c:tx>
          <c:spPr>
            <a:solidFill>
              <a:schemeClr val="accent1"/>
            </a:solidFill>
            <a:ln>
              <a:noFill/>
            </a:ln>
            <a:effectLst/>
          </c:spPr>
          <c:cat>
            <c:strRef>
              <c:f>Theil!$C$45:$BJ$45</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Theil!$C$46:$BJ$46</c:f>
              <c:numCache>
                <c:formatCode>_-* #,##0.0000_-;\-* #,##0.0000_-;_-* "-"??_-;_-@_-</c:formatCode>
                <c:ptCount val="60"/>
                <c:pt idx="0">
                  <c:v>4.6589956210749253E-2</c:v>
                </c:pt>
                <c:pt idx="1">
                  <c:v>3.8420648469855129E-2</c:v>
                </c:pt>
                <c:pt idx="2">
                  <c:v>3.939548189479869E-2</c:v>
                </c:pt>
                <c:pt idx="3">
                  <c:v>4.0617624491992778E-2</c:v>
                </c:pt>
                <c:pt idx="4">
                  <c:v>3.7736345041299552E-2</c:v>
                </c:pt>
                <c:pt idx="5">
                  <c:v>3.6691209490320592E-2</c:v>
                </c:pt>
                <c:pt idx="6">
                  <c:v>4.791408214515451E-2</c:v>
                </c:pt>
                <c:pt idx="7">
                  <c:v>4.8451603521748272E-2</c:v>
                </c:pt>
                <c:pt idx="8">
                  <c:v>4.9385339062357501E-2</c:v>
                </c:pt>
                <c:pt idx="9">
                  <c:v>5.0362961417357965E-2</c:v>
                </c:pt>
                <c:pt idx="10">
                  <c:v>4.8400100108932857E-2</c:v>
                </c:pt>
                <c:pt idx="11">
                  <c:v>5.0981672502517783E-2</c:v>
                </c:pt>
                <c:pt idx="12">
                  <c:v>5.3354581399791809E-2</c:v>
                </c:pt>
                <c:pt idx="13">
                  <c:v>6.1931235591803496E-2</c:v>
                </c:pt>
                <c:pt idx="14">
                  <c:v>7.008020756080717E-2</c:v>
                </c:pt>
                <c:pt idx="15">
                  <c:v>7.2682130664822209E-2</c:v>
                </c:pt>
                <c:pt idx="16">
                  <c:v>7.9089339243133244E-2</c:v>
                </c:pt>
                <c:pt idx="17">
                  <c:v>7.4046406005595047E-2</c:v>
                </c:pt>
                <c:pt idx="18">
                  <c:v>7.1210726889995163E-2</c:v>
                </c:pt>
                <c:pt idx="19">
                  <c:v>7.8586612097487588E-2</c:v>
                </c:pt>
                <c:pt idx="20">
                  <c:v>8.4684058529052406E-2</c:v>
                </c:pt>
                <c:pt idx="21">
                  <c:v>0.10446735459955474</c:v>
                </c:pt>
                <c:pt idx="22">
                  <c:v>8.594495175201862E-2</c:v>
                </c:pt>
                <c:pt idx="23">
                  <c:v>6.3473713279115301E-2</c:v>
                </c:pt>
                <c:pt idx="24">
                  <c:v>6.4090192145488806E-2</c:v>
                </c:pt>
                <c:pt idx="25">
                  <c:v>5.7964239307105807E-2</c:v>
                </c:pt>
                <c:pt idx="26">
                  <c:v>4.5780330226482861E-2</c:v>
                </c:pt>
                <c:pt idx="27">
                  <c:v>4.5941505041061495E-2</c:v>
                </c:pt>
                <c:pt idx="28">
                  <c:v>4.651071579983565E-2</c:v>
                </c:pt>
                <c:pt idx="29">
                  <c:v>5.8196087110167952E-2</c:v>
                </c:pt>
                <c:pt idx="30">
                  <c:v>6.2243762312450039E-2</c:v>
                </c:pt>
                <c:pt idx="31">
                  <c:v>7.9567087708915851E-2</c:v>
                </c:pt>
                <c:pt idx="32">
                  <c:v>6.769464664553862E-2</c:v>
                </c:pt>
                <c:pt idx="33">
                  <c:v>8.5910631846021795E-2</c:v>
                </c:pt>
                <c:pt idx="34">
                  <c:v>8.6519351769375211E-2</c:v>
                </c:pt>
                <c:pt idx="35">
                  <c:v>8.171227114370283E-2</c:v>
                </c:pt>
                <c:pt idx="36">
                  <c:v>8.6956858136715776E-2</c:v>
                </c:pt>
                <c:pt idx="37">
                  <c:v>9.3455068844699993E-2</c:v>
                </c:pt>
                <c:pt idx="38">
                  <c:v>9.4623972112372862E-2</c:v>
                </c:pt>
                <c:pt idx="39">
                  <c:v>7.8476476075903467E-2</c:v>
                </c:pt>
                <c:pt idx="40">
                  <c:v>8.5313799374068092E-2</c:v>
                </c:pt>
                <c:pt idx="41">
                  <c:v>8.210191129648084E-2</c:v>
                </c:pt>
                <c:pt idx="42">
                  <c:v>7.7992069702648215E-2</c:v>
                </c:pt>
                <c:pt idx="43">
                  <c:v>7.0784097916010882E-2</c:v>
                </c:pt>
                <c:pt idx="44">
                  <c:v>7.3071500044871576E-2</c:v>
                </c:pt>
                <c:pt idx="45">
                  <c:v>8.1646551828651312E-2</c:v>
                </c:pt>
                <c:pt idx="46">
                  <c:v>8.6074780791056696E-2</c:v>
                </c:pt>
                <c:pt idx="47">
                  <c:v>8.7598244624223484E-2</c:v>
                </c:pt>
                <c:pt idx="48">
                  <c:v>9.449949018610028E-2</c:v>
                </c:pt>
                <c:pt idx="49">
                  <c:v>8.2623433068887808E-2</c:v>
                </c:pt>
                <c:pt idx="50">
                  <c:v>9.6562396248449228E-2</c:v>
                </c:pt>
                <c:pt idx="51">
                  <c:v>0.10216245394514341</c:v>
                </c:pt>
                <c:pt idx="52">
                  <c:v>9.8134993682036875E-2</c:v>
                </c:pt>
                <c:pt idx="53">
                  <c:v>9.7900631132851898E-2</c:v>
                </c:pt>
                <c:pt idx="54">
                  <c:v>9.031639638348192E-2</c:v>
                </c:pt>
                <c:pt idx="55">
                  <c:v>7.0948540480623948E-2</c:v>
                </c:pt>
                <c:pt idx="56">
                  <c:v>6.5970181540805695E-2</c:v>
                </c:pt>
                <c:pt idx="57">
                  <c:v>6.6685898408731667E-2</c:v>
                </c:pt>
                <c:pt idx="58">
                  <c:v>6.0627052911412051E-2</c:v>
                </c:pt>
                <c:pt idx="59">
                  <c:v>5.8331196259431485E-2</c:v>
                </c:pt>
              </c:numCache>
            </c:numRef>
          </c:val>
          <c:extLst>
            <c:ext xmlns:c16="http://schemas.microsoft.com/office/drawing/2014/chart" uri="{C3380CC4-5D6E-409C-BE32-E72D297353CC}">
              <c16:uniqueId val="{00000000-124A-4982-AED5-F926DB0D301A}"/>
            </c:ext>
          </c:extLst>
        </c:ser>
        <c:ser>
          <c:idx val="1"/>
          <c:order val="1"/>
          <c:tx>
            <c:strRef>
              <c:f>Theil!$B$47</c:f>
              <c:strCache>
                <c:ptCount val="1"/>
                <c:pt idx="0">
                  <c:v>North</c:v>
                </c:pt>
              </c:strCache>
            </c:strRef>
          </c:tx>
          <c:spPr>
            <a:solidFill>
              <a:schemeClr val="accent2"/>
            </a:solidFill>
            <a:ln>
              <a:noFill/>
            </a:ln>
            <a:effectLst/>
          </c:spPr>
          <c:cat>
            <c:strRef>
              <c:f>Theil!$C$45:$BJ$45</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Theil!$C$47:$BJ$47</c:f>
              <c:numCache>
                <c:formatCode>_-* #,##0.0000_-;\-* #,##0.0000_-;_-* "-"??_-;_-@_-</c:formatCode>
                <c:ptCount val="60"/>
                <c:pt idx="0">
                  <c:v>0.28550339320318685</c:v>
                </c:pt>
                <c:pt idx="1">
                  <c:v>0.27157459695386393</c:v>
                </c:pt>
                <c:pt idx="2">
                  <c:v>0.26345300283921536</c:v>
                </c:pt>
                <c:pt idx="3">
                  <c:v>0.24259444186248877</c:v>
                </c:pt>
                <c:pt idx="4">
                  <c:v>0.23292940088116737</c:v>
                </c:pt>
                <c:pt idx="5">
                  <c:v>0.23190259862930429</c:v>
                </c:pt>
                <c:pt idx="6">
                  <c:v>0.2302784773817452</c:v>
                </c:pt>
                <c:pt idx="7">
                  <c:v>0.21899076697926328</c:v>
                </c:pt>
                <c:pt idx="8">
                  <c:v>0.22266348668692737</c:v>
                </c:pt>
                <c:pt idx="9">
                  <c:v>0.21113058417827901</c:v>
                </c:pt>
                <c:pt idx="10">
                  <c:v>0.18515118859093502</c:v>
                </c:pt>
                <c:pt idx="11">
                  <c:v>0.1784952188496704</c:v>
                </c:pt>
                <c:pt idx="12">
                  <c:v>0.15442279565011793</c:v>
                </c:pt>
                <c:pt idx="13">
                  <c:v>0.12743718248124986</c:v>
                </c:pt>
                <c:pt idx="14">
                  <c:v>0.1157825160602334</c:v>
                </c:pt>
                <c:pt idx="15">
                  <c:v>0.11381958267593796</c:v>
                </c:pt>
                <c:pt idx="16">
                  <c:v>0.12208003401984001</c:v>
                </c:pt>
                <c:pt idx="17">
                  <c:v>0.11364707553954935</c:v>
                </c:pt>
                <c:pt idx="18">
                  <c:v>9.9993861150282817E-2</c:v>
                </c:pt>
                <c:pt idx="19">
                  <c:v>8.4665330210078049E-2</c:v>
                </c:pt>
                <c:pt idx="20">
                  <c:v>8.4056530108698055E-2</c:v>
                </c:pt>
                <c:pt idx="21">
                  <c:v>9.5348508632761828E-2</c:v>
                </c:pt>
                <c:pt idx="22">
                  <c:v>0.10546392317297745</c:v>
                </c:pt>
                <c:pt idx="23">
                  <c:v>0.12407001273923755</c:v>
                </c:pt>
                <c:pt idx="24">
                  <c:v>0.14921011865691997</c:v>
                </c:pt>
                <c:pt idx="25">
                  <c:v>0.15807401855722922</c:v>
                </c:pt>
                <c:pt idx="26">
                  <c:v>0.11931869555548898</c:v>
                </c:pt>
                <c:pt idx="27">
                  <c:v>0.10180247937305889</c:v>
                </c:pt>
                <c:pt idx="28">
                  <c:v>9.464909042542452E-2</c:v>
                </c:pt>
                <c:pt idx="29">
                  <c:v>8.4775212665378699E-2</c:v>
                </c:pt>
                <c:pt idx="30">
                  <c:v>6.473928055738308E-2</c:v>
                </c:pt>
                <c:pt idx="31">
                  <c:v>6.3764463678473382E-2</c:v>
                </c:pt>
                <c:pt idx="32">
                  <c:v>6.4938189655159295E-2</c:v>
                </c:pt>
                <c:pt idx="33">
                  <c:v>9.3099452461536197E-2</c:v>
                </c:pt>
                <c:pt idx="34">
                  <c:v>9.681530954850627E-2</c:v>
                </c:pt>
                <c:pt idx="35">
                  <c:v>8.8882656424516829E-2</c:v>
                </c:pt>
                <c:pt idx="36">
                  <c:v>6.1352224877675117E-2</c:v>
                </c:pt>
                <c:pt idx="37">
                  <c:v>6.1890991099859453E-2</c:v>
                </c:pt>
                <c:pt idx="38">
                  <c:v>7.4186287011326887E-2</c:v>
                </c:pt>
                <c:pt idx="39">
                  <c:v>7.7771824643719595E-2</c:v>
                </c:pt>
                <c:pt idx="40">
                  <c:v>9.2714308168400789E-2</c:v>
                </c:pt>
                <c:pt idx="41">
                  <c:v>9.007138110858838E-2</c:v>
                </c:pt>
                <c:pt idx="42">
                  <c:v>7.6511598440615392E-2</c:v>
                </c:pt>
                <c:pt idx="43">
                  <c:v>5.5459585509357645E-2</c:v>
                </c:pt>
                <c:pt idx="44">
                  <c:v>4.5889422666954123E-2</c:v>
                </c:pt>
                <c:pt idx="45">
                  <c:v>4.2557722127985309E-2</c:v>
                </c:pt>
                <c:pt idx="46">
                  <c:v>4.1370398193477015E-2</c:v>
                </c:pt>
                <c:pt idx="47">
                  <c:v>3.7595294974939159E-2</c:v>
                </c:pt>
                <c:pt idx="48">
                  <c:v>3.6053989709443048E-2</c:v>
                </c:pt>
                <c:pt idx="49">
                  <c:v>3.6013495051466358E-2</c:v>
                </c:pt>
                <c:pt idx="50">
                  <c:v>3.4222766374996196E-2</c:v>
                </c:pt>
                <c:pt idx="51">
                  <c:v>3.5336118410196488E-2</c:v>
                </c:pt>
                <c:pt idx="52">
                  <c:v>4.4606883141490833E-2</c:v>
                </c:pt>
                <c:pt idx="53">
                  <c:v>4.4574251738812763E-2</c:v>
                </c:pt>
                <c:pt idx="54">
                  <c:v>4.4102663402697188E-2</c:v>
                </c:pt>
                <c:pt idx="55">
                  <c:v>6.0272463282729151E-2</c:v>
                </c:pt>
                <c:pt idx="56">
                  <c:v>5.5852965283608794E-2</c:v>
                </c:pt>
                <c:pt idx="57">
                  <c:v>5.5119797756424484E-2</c:v>
                </c:pt>
                <c:pt idx="58">
                  <c:v>5.4225676304196904E-2</c:v>
                </c:pt>
                <c:pt idx="59">
                  <c:v>6.2151781104722463E-2</c:v>
                </c:pt>
              </c:numCache>
            </c:numRef>
          </c:val>
          <c:extLst>
            <c:ext xmlns:c16="http://schemas.microsoft.com/office/drawing/2014/chart" uri="{C3380CC4-5D6E-409C-BE32-E72D297353CC}">
              <c16:uniqueId val="{00000001-124A-4982-AED5-F926DB0D301A}"/>
            </c:ext>
          </c:extLst>
        </c:ser>
        <c:ser>
          <c:idx val="2"/>
          <c:order val="2"/>
          <c:tx>
            <c:strRef>
              <c:f>Theil!$B$48</c:f>
              <c:strCache>
                <c:ptCount val="1"/>
                <c:pt idx="0">
                  <c:v>China</c:v>
                </c:pt>
              </c:strCache>
            </c:strRef>
          </c:tx>
          <c:spPr>
            <a:solidFill>
              <a:schemeClr val="accent3"/>
            </a:solidFill>
            <a:ln>
              <a:noFill/>
            </a:ln>
            <a:effectLst/>
          </c:spPr>
          <c:cat>
            <c:strRef>
              <c:f>Theil!$C$45:$BJ$45</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Theil!$C$48:$BJ$48</c:f>
              <c:numCache>
                <c:formatCode>_-* #,##0.0000_-;\-* #,##0.0000_-;_-* "-"??_-;_-@_-</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2-124A-4982-AED5-F926DB0D301A}"/>
            </c:ext>
          </c:extLst>
        </c:ser>
        <c:ser>
          <c:idx val="3"/>
          <c:order val="3"/>
          <c:tx>
            <c:strRef>
              <c:f>Theil!$B$49</c:f>
              <c:strCache>
                <c:ptCount val="1"/>
                <c:pt idx="0">
                  <c:v> Interbloc </c:v>
                </c:pt>
              </c:strCache>
            </c:strRef>
          </c:tx>
          <c:spPr>
            <a:solidFill>
              <a:schemeClr val="accent4"/>
            </a:solidFill>
            <a:ln>
              <a:noFill/>
            </a:ln>
            <a:effectLst/>
          </c:spPr>
          <c:cat>
            <c:strRef>
              <c:f>Theil!$C$45:$BJ$45</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Theil!$C$49:$BJ$49</c:f>
              <c:numCache>
                <c:formatCode>_-* #,##0.0000_-;\-* #,##0.0000_-;_-* "-"??_-;_-@_-</c:formatCode>
                <c:ptCount val="60"/>
                <c:pt idx="0">
                  <c:v>0.68772701460389718</c:v>
                </c:pt>
                <c:pt idx="1">
                  <c:v>0.72453819562944144</c:v>
                </c:pt>
                <c:pt idx="2">
                  <c:v>0.74197313113921171</c:v>
                </c:pt>
                <c:pt idx="3">
                  <c:v>0.73799126699810658</c:v>
                </c:pt>
                <c:pt idx="4">
                  <c:v>0.73852863042996497</c:v>
                </c:pt>
                <c:pt idx="5">
                  <c:v>0.74034874710419563</c:v>
                </c:pt>
                <c:pt idx="6">
                  <c:v>0.76853765682291297</c:v>
                </c:pt>
                <c:pt idx="7">
                  <c:v>0.79239302895005226</c:v>
                </c:pt>
                <c:pt idx="8">
                  <c:v>0.81792335982937925</c:v>
                </c:pt>
                <c:pt idx="9">
                  <c:v>0.82042342005918256</c:v>
                </c:pt>
                <c:pt idx="10">
                  <c:v>0.82495466047508859</c:v>
                </c:pt>
                <c:pt idx="11">
                  <c:v>0.84248261821603665</c:v>
                </c:pt>
                <c:pt idx="12">
                  <c:v>0.86429067562007811</c:v>
                </c:pt>
                <c:pt idx="13">
                  <c:v>0.85828657219993598</c:v>
                </c:pt>
                <c:pt idx="14">
                  <c:v>0.83604489911262914</c:v>
                </c:pt>
                <c:pt idx="15">
                  <c:v>0.84471962394668587</c:v>
                </c:pt>
                <c:pt idx="16">
                  <c:v>0.86374939682390972</c:v>
                </c:pt>
                <c:pt idx="17">
                  <c:v>0.87524027895762269</c:v>
                </c:pt>
                <c:pt idx="18">
                  <c:v>0.92799140079592379</c:v>
                </c:pt>
                <c:pt idx="19">
                  <c:v>0.91918826771872875</c:v>
                </c:pt>
                <c:pt idx="20">
                  <c:v>0.90915741729420607</c:v>
                </c:pt>
                <c:pt idx="21">
                  <c:v>0.87267901072453358</c:v>
                </c:pt>
                <c:pt idx="22">
                  <c:v>0.89669391067024062</c:v>
                </c:pt>
                <c:pt idx="23">
                  <c:v>0.94837488888258492</c:v>
                </c:pt>
                <c:pt idx="24">
                  <c:v>0.96771518227981046</c:v>
                </c:pt>
                <c:pt idx="25">
                  <c:v>0.97700945979798592</c:v>
                </c:pt>
                <c:pt idx="26">
                  <c:v>1.0593206058637326</c:v>
                </c:pt>
                <c:pt idx="27">
                  <c:v>1.0977422428225534</c:v>
                </c:pt>
                <c:pt idx="28">
                  <c:v>1.1172385120197303</c:v>
                </c:pt>
                <c:pt idx="29">
                  <c:v>1.102532507324719</c:v>
                </c:pt>
                <c:pt idx="30">
                  <c:v>1.1109695903170915</c:v>
                </c:pt>
                <c:pt idx="31">
                  <c:v>1.1068965383707301</c:v>
                </c:pt>
                <c:pt idx="32">
                  <c:v>1.1388878157754661</c:v>
                </c:pt>
                <c:pt idx="33">
                  <c:v>1.1171202401516278</c:v>
                </c:pt>
                <c:pt idx="34">
                  <c:v>1.1019543093700572</c:v>
                </c:pt>
                <c:pt idx="35">
                  <c:v>1.092179672850597</c:v>
                </c:pt>
                <c:pt idx="36">
                  <c:v>1.0591634868028243</c:v>
                </c:pt>
                <c:pt idx="37">
                  <c:v>1.0325924580344272</c:v>
                </c:pt>
                <c:pt idx="38">
                  <c:v>1.0321231523819245</c:v>
                </c:pt>
                <c:pt idx="39">
                  <c:v>1.0718644105783977</c:v>
                </c:pt>
                <c:pt idx="40">
                  <c:v>1.0510420487585621</c:v>
                </c:pt>
                <c:pt idx="41">
                  <c:v>1.0497519504465591</c:v>
                </c:pt>
                <c:pt idx="42">
                  <c:v>1.0497129209947753</c:v>
                </c:pt>
                <c:pt idx="43">
                  <c:v>1.0548318397563892</c:v>
                </c:pt>
                <c:pt idx="44">
                  <c:v>1.0337361943856243</c:v>
                </c:pt>
                <c:pt idx="45">
                  <c:v>0.98420774479762063</c:v>
                </c:pt>
                <c:pt idx="46">
                  <c:v>0.93444168570511565</c:v>
                </c:pt>
                <c:pt idx="47">
                  <c:v>0.87673906620263808</c:v>
                </c:pt>
                <c:pt idx="48">
                  <c:v>0.82503152813398639</c:v>
                </c:pt>
                <c:pt idx="49">
                  <c:v>0.7979102118971042</c:v>
                </c:pt>
                <c:pt idx="50">
                  <c:v>0.72151595830413084</c:v>
                </c:pt>
                <c:pt idx="51">
                  <c:v>0.67881329864683304</c:v>
                </c:pt>
                <c:pt idx="52">
                  <c:v>0.65835378662120581</c:v>
                </c:pt>
                <c:pt idx="53">
                  <c:v>0.63120681171082849</c:v>
                </c:pt>
                <c:pt idx="54">
                  <c:v>0.6207254636627817</c:v>
                </c:pt>
                <c:pt idx="55">
                  <c:v>0.62665499452524476</c:v>
                </c:pt>
                <c:pt idx="56">
                  <c:v>0.63809627922462298</c:v>
                </c:pt>
                <c:pt idx="57">
                  <c:v>0.61574002677393946</c:v>
                </c:pt>
                <c:pt idx="58">
                  <c:v>0.62227890783026441</c:v>
                </c:pt>
                <c:pt idx="59">
                  <c:v>0.62177410476711192</c:v>
                </c:pt>
              </c:numCache>
            </c:numRef>
          </c:val>
          <c:extLst>
            <c:ext xmlns:c16="http://schemas.microsoft.com/office/drawing/2014/chart" uri="{C3380CC4-5D6E-409C-BE32-E72D297353CC}">
              <c16:uniqueId val="{00000003-124A-4982-AED5-F926DB0D301A}"/>
            </c:ext>
          </c:extLst>
        </c:ser>
        <c:dLbls>
          <c:showLegendKey val="0"/>
          <c:showVal val="0"/>
          <c:showCatName val="0"/>
          <c:showSerName val="0"/>
          <c:showPercent val="0"/>
          <c:showBubbleSize val="0"/>
        </c:dLbls>
        <c:axId val="1106749744"/>
        <c:axId val="1106741008"/>
      </c:areaChart>
      <c:catAx>
        <c:axId val="11067497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741008"/>
        <c:crosses val="autoZero"/>
        <c:auto val="1"/>
        <c:lblAlgn val="ctr"/>
        <c:lblOffset val="100"/>
        <c:noMultiLvlLbl val="0"/>
      </c:catAx>
      <c:valAx>
        <c:axId val="1106741008"/>
        <c:scaling>
          <c:orientation val="minMax"/>
        </c:scaling>
        <c:delete val="0"/>
        <c:axPos val="l"/>
        <c:majorGridlines>
          <c:spPr>
            <a:ln w="9525" cap="flat" cmpd="sng" algn="ctr">
              <a:solidFill>
                <a:schemeClr val="tx1">
                  <a:lumMod val="15000"/>
                  <a:lumOff val="85000"/>
                </a:schemeClr>
              </a:solidFill>
              <a:round/>
            </a:ln>
            <a:effectLst/>
          </c:spPr>
        </c:majorGridlines>
        <c:numFmt formatCode="_-* #,##0.0000_-;\-* #,##0.00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7497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2720B27-1D83-44D1-8CDC-B22D65EF6C1F}">
  <sheetPr/>
  <sheetViews>
    <sheetView zoomScale="120"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F478FBF-AA8D-4765-9E05-9977799FEE45}">
  <sheetPr/>
  <sheetViews>
    <sheetView zoomScale="120"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8659813" cy="6286500"/>
    <xdr:graphicFrame macro="">
      <xdr:nvGraphicFramePr>
        <xdr:cNvPr id="2" name="Chart 1">
          <a:extLst>
            <a:ext uri="{FF2B5EF4-FFF2-40B4-BE49-F238E27FC236}">
              <a16:creationId xmlns:a16="http://schemas.microsoft.com/office/drawing/2014/main" id="{223D304B-DEB5-41ED-88B6-DC95685E601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59813" cy="6286500"/>
    <xdr:graphicFrame macro="">
      <xdr:nvGraphicFramePr>
        <xdr:cNvPr id="2" name="Chart 1">
          <a:extLst>
            <a:ext uri="{FF2B5EF4-FFF2-40B4-BE49-F238E27FC236}">
              <a16:creationId xmlns:a16="http://schemas.microsoft.com/office/drawing/2014/main" id="{9CC4A104-4975-4491-B992-540F5D12249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free/source/repos/MACROHISTORY/REPORTS/International%20Inequality%20Dispersion%2015.03.201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free/Documents/Github/MacroEconomic%20History/DATA/VALIDATIONS/Theil/Theil%20Comparison%206%20December%20202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free/source/repos/MACROHISTORY/REPORTS/Working%20Paper%202%20(inequality)%20Complete%20with%20Offline%20Dataset,%20Charts,%20Tables,%20Indexed%20and%20Annotated%2017.04.201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free/AppData/Roaming/Microsoft/AddIns/Test%20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Geography"/>
      <sheetName val="Src UN Pop"/>
      <sheetName val="Src UN GDP"/>
      <sheetName val="Src MADDISON PPP"/>
      <sheetName val="Src PENN GDP"/>
      <sheetName val="SRC Quintiles"/>
      <sheetName val="Calc USD"/>
      <sheetName val="Dispersion PENN GDP-Cap"/>
      <sheetName val="Dispersion UN GD-Cap"/>
      <sheetName val="Table x top quartile"/>
      <sheetName val="Dispersion UN Ratios"/>
      <sheetName val="Dispersion Charts Calc"/>
      <sheetName val="Dispersion Weighted"/>
      <sheetName val="Table 1"/>
      <sheetName val="Dispersion PPP UN Geography"/>
      <sheetName val="Price Levels"/>
      <sheetName val="NORTH ADVANTAGE"/>
      <sheetName val="Price Levels Regressions"/>
      <sheetName val="CH REGRESS"/>
      <sheetName val="CH 1970"/>
      <sheetName val="CH1980"/>
      <sheetName val="CH 1990"/>
      <sheetName val="CH2000"/>
      <sheetName val="CH2010"/>
      <sheetName val="CH2016"/>
      <sheetName val="CHART SOUTH UNWEIGHTED IQ RANGE"/>
      <sheetName val="CHART PPP MAXMIN"/>
      <sheetName val="CHART SOUTH INTERQUARTILE"/>
      <sheetName val="CHART SOUTH MAXMIN QUARTILES"/>
      <sheetName val="CHART SOUTH QUART + MIN"/>
      <sheetName val="CHART NORTH QUART+MAXMIN"/>
      <sheetName val="CHART NORTH MAX-MIN"/>
      <sheetName val="CHART ALL MAX-MIN"/>
      <sheetName val="CHART NORTH INTERQUARTILE"/>
      <sheetName val="CHART MAXMIN SOUTH"/>
      <sheetName val="CH Q1-Q4 UN"/>
      <sheetName val="CH dispersion measures"/>
    </sheetNames>
    <sheetDataSet>
      <sheetData sheetId="0"/>
      <sheetData sheetId="1"/>
      <sheetData sheetId="2"/>
      <sheetData sheetId="3"/>
      <sheetData sheetId="4"/>
      <sheetData sheetId="5"/>
      <sheetData sheetId="6"/>
      <sheetData sheetId="7"/>
      <sheetData sheetId="8"/>
      <sheetData sheetId="9"/>
      <sheetData sheetId="10"/>
      <sheetData sheetId="11">
        <row r="5">
          <cell r="AZ5" t="str">
            <v>China Mainland</v>
          </cell>
          <cell r="BA5">
            <v>11.931175348929909</v>
          </cell>
          <cell r="BB5">
            <v>2.1063052556712782</v>
          </cell>
          <cell r="BC5">
            <v>3.1714588888523361</v>
          </cell>
          <cell r="BD5">
            <v>1.7860879108751808</v>
          </cell>
        </row>
        <row r="6">
          <cell r="AZ6" t="str">
            <v>Australia</v>
          </cell>
          <cell r="BA6">
            <v>1.4071041526480221</v>
          </cell>
          <cell r="BB6">
            <v>0.84910818011412748</v>
          </cell>
          <cell r="BC6">
            <v>1.8262946337456429</v>
          </cell>
          <cell r="BD6">
            <v>0.90738663231617955</v>
          </cell>
        </row>
        <row r="7">
          <cell r="AZ7" t="str">
            <v>Austria</v>
          </cell>
          <cell r="BA7">
            <v>1.0341907152930558</v>
          </cell>
          <cell r="BB7">
            <v>0.85486484835687704</v>
          </cell>
          <cell r="BC7">
            <v>1.2727478552487208</v>
          </cell>
          <cell r="BD7">
            <v>0.95051899716112331</v>
          </cell>
        </row>
        <row r="8">
          <cell r="AZ8" t="str">
            <v>Belgium</v>
          </cell>
          <cell r="BA8">
            <v>0.97615699653916144</v>
          </cell>
          <cell r="BB8">
            <v>0.84615387313684032</v>
          </cell>
          <cell r="BC8">
            <v>1.2742700119579475</v>
          </cell>
          <cell r="BD8">
            <v>0.90533406515467862</v>
          </cell>
        </row>
        <row r="9">
          <cell r="AZ9" t="str">
            <v>Canada</v>
          </cell>
          <cell r="BA9">
            <v>0.97514739682138962</v>
          </cell>
          <cell r="BB9">
            <v>0.84697933767597644</v>
          </cell>
          <cell r="BC9">
            <v>1.3011260516331467</v>
          </cell>
          <cell r="BD9">
            <v>0.88486715999393672</v>
          </cell>
        </row>
        <row r="10">
          <cell r="AZ10" t="str">
            <v>Cyprus</v>
          </cell>
          <cell r="BA10">
            <v>1.0736421642137974</v>
          </cell>
          <cell r="BB10">
            <v>1.0036262973878332</v>
          </cell>
          <cell r="BC10">
            <v>1.4218840920265954</v>
          </cell>
          <cell r="BD10">
            <v>0.7523559000723461</v>
          </cell>
        </row>
        <row r="11">
          <cell r="AZ11" t="str">
            <v>Denmark</v>
          </cell>
          <cell r="BA11">
            <v>0.99687595789198979</v>
          </cell>
          <cell r="BB11">
            <v>0.86083164123641254</v>
          </cell>
          <cell r="BC11">
            <v>1.2585191668876685</v>
          </cell>
          <cell r="BD11">
            <v>0.92015939801917324</v>
          </cell>
        </row>
        <row r="12">
          <cell r="AZ12" t="str">
            <v>Finland</v>
          </cell>
          <cell r="BA12">
            <v>0.74597039661547693</v>
          </cell>
          <cell r="BB12">
            <v>0.64307600555905042</v>
          </cell>
          <cell r="BC12">
            <v>1.2686024710964217</v>
          </cell>
          <cell r="BD12">
            <v>0.91439477251324486</v>
          </cell>
        </row>
        <row r="13">
          <cell r="AZ13" t="str">
            <v>France</v>
          </cell>
          <cell r="BA13">
            <v>0.82714580769224755</v>
          </cell>
          <cell r="BB13">
            <v>0.77008741949753223</v>
          </cell>
          <cell r="BC13">
            <v>1.2238480683663349</v>
          </cell>
          <cell r="BD13">
            <v>0.87763621862548469</v>
          </cell>
        </row>
        <row r="14">
          <cell r="AZ14" t="str">
            <v>Germany</v>
          </cell>
          <cell r="BA14">
            <v>0.93770970893429617</v>
          </cell>
          <cell r="BB14">
            <v>0.80954530542247727</v>
          </cell>
          <cell r="BC14">
            <v>1.1777271302045056</v>
          </cell>
          <cell r="BD14">
            <v>0.98351859284252729</v>
          </cell>
        </row>
        <row r="15">
          <cell r="AZ15" t="str">
            <v>Iceland</v>
          </cell>
          <cell r="BA15">
            <v>1.3549753797271757</v>
          </cell>
          <cell r="BB15">
            <v>0.96693313413076631</v>
          </cell>
          <cell r="BC15">
            <v>0.88695883392198882</v>
          </cell>
          <cell r="BD15">
            <v>1.5799069076552963</v>
          </cell>
        </row>
        <row r="16">
          <cell r="AZ16" t="str">
            <v>Ireland</v>
          </cell>
          <cell r="BA16">
            <v>2.3256654772908836</v>
          </cell>
          <cell r="BB16">
            <v>1.4116151636225509</v>
          </cell>
          <cell r="BC16">
            <v>1.2328311306831357</v>
          </cell>
          <cell r="BD16">
            <v>1.3363719114959356</v>
          </cell>
        </row>
        <row r="17">
          <cell r="AZ17" t="str">
            <v>Israel</v>
          </cell>
          <cell r="BA17">
            <v>1.5063517650578806</v>
          </cell>
          <cell r="BB17">
            <v>1.2655883578894078</v>
          </cell>
          <cell r="BC17">
            <v>0.95700768212956899</v>
          </cell>
          <cell r="BD17">
            <v>1.2437082225214233</v>
          </cell>
        </row>
        <row r="18">
          <cell r="AZ18" t="str">
            <v>Italy</v>
          </cell>
          <cell r="BA18">
            <v>0.73546065535271588</v>
          </cell>
          <cell r="BB18">
            <v>0.72492428173930989</v>
          </cell>
          <cell r="BC18">
            <v>1.194736080985384</v>
          </cell>
          <cell r="BD18">
            <v>0.84917034249774448</v>
          </cell>
        </row>
        <row r="19">
          <cell r="AZ19" t="str">
            <v>Japan</v>
          </cell>
          <cell r="BA19">
            <v>0.70646054279830339</v>
          </cell>
          <cell r="BB19">
            <v>1.1478810293510939</v>
          </cell>
          <cell r="BC19">
            <v>0.77089402465012646</v>
          </cell>
          <cell r="BD19">
            <v>0.79835555738857999</v>
          </cell>
        </row>
        <row r="20">
          <cell r="AZ20">
            <v>0</v>
          </cell>
          <cell r="BA20" t="e">
            <v>#DIV/0!</v>
          </cell>
          <cell r="BB20" t="e">
            <v>#DIV/0!</v>
          </cell>
          <cell r="BC20" t="e">
            <v>#DIV/0!</v>
          </cell>
          <cell r="BD20" t="e">
            <v>#DIV/0!</v>
          </cell>
        </row>
        <row r="21">
          <cell r="AZ21" t="str">
            <v>Netherlands</v>
          </cell>
          <cell r="BA21">
            <v>1.066495495118837</v>
          </cell>
          <cell r="BB21">
            <v>0.92507850295720861</v>
          </cell>
          <cell r="BC21">
            <v>1.295720271996363</v>
          </cell>
          <cell r="BD21">
            <v>0.88975243027593975</v>
          </cell>
        </row>
        <row r="22">
          <cell r="AZ22" t="str">
            <v>New Zealand</v>
          </cell>
          <cell r="BA22">
            <v>1.4900226465140474</v>
          </cell>
          <cell r="BB22">
            <v>0.79398100481562461</v>
          </cell>
          <cell r="BC22">
            <v>1.5894272312548783</v>
          </cell>
          <cell r="BD22">
            <v>1.1807069164699107</v>
          </cell>
        </row>
        <row r="23">
          <cell r="AZ23" t="str">
            <v>Norway</v>
          </cell>
          <cell r="BA23">
            <v>1.2380928245738634</v>
          </cell>
          <cell r="BB23">
            <v>1.0123002486733685</v>
          </cell>
          <cell r="BC23">
            <v>1.5401084615528597</v>
          </cell>
          <cell r="BD23">
            <v>0.79413174334844538</v>
          </cell>
        </row>
        <row r="24">
          <cell r="AZ24" t="str">
            <v>Portugal</v>
          </cell>
          <cell r="BA24">
            <v>1.1081779342281051</v>
          </cell>
          <cell r="BB24">
            <v>1.0842050793119991</v>
          </cell>
          <cell r="BC24">
            <v>1.3070344656025428</v>
          </cell>
          <cell r="BD24">
            <v>0.78200768501943252</v>
          </cell>
        </row>
        <row r="25">
          <cell r="AZ25" t="str">
            <v>Spain</v>
          </cell>
          <cell r="BA25">
            <v>0.96302019355923918</v>
          </cell>
          <cell r="BB25">
            <v>0.80425719486342861</v>
          </cell>
          <cell r="BC25">
            <v>1.4006278932548377</v>
          </cell>
          <cell r="BD25">
            <v>0.85490462806878675</v>
          </cell>
        </row>
        <row r="26">
          <cell r="AZ26" t="str">
            <v>Sweden</v>
          </cell>
          <cell r="BA26">
            <v>0.83418313830473867</v>
          </cell>
          <cell r="BB26">
            <v>0.73154863291569294</v>
          </cell>
          <cell r="BC26">
            <v>1.1858687908218599</v>
          </cell>
          <cell r="BD26">
            <v>0.96157145908189834</v>
          </cell>
        </row>
        <row r="27">
          <cell r="AZ27" t="str">
            <v>Switzerland</v>
          </cell>
          <cell r="BA27">
            <v>0.96361317055608331</v>
          </cell>
          <cell r="BB27">
            <v>0.73888228087799401</v>
          </cell>
          <cell r="BC27">
            <v>1.3098053215677046</v>
          </cell>
          <cell r="BD27">
            <v>0.99568215774264679</v>
          </cell>
        </row>
        <row r="28">
          <cell r="AZ28" t="str">
            <v>United Kingdom</v>
          </cell>
          <cell r="BA28">
            <v>0.96821421138739505</v>
          </cell>
          <cell r="BB28">
            <v>1.1050230600059556</v>
          </cell>
          <cell r="BC28">
            <v>0.92172816511075295</v>
          </cell>
          <cell r="BD28">
            <v>0.95059878180595614</v>
          </cell>
        </row>
        <row r="29">
          <cell r="AZ29" t="str">
            <v>United States</v>
          </cell>
          <cell r="BA29">
            <v>1.1826465741585974</v>
          </cell>
          <cell r="BB29">
            <v>1.1647045208640456</v>
          </cell>
          <cell r="BC29">
            <v>0.88695953479521117</v>
          </cell>
          <cell r="BD29">
            <v>1.1448152609066593</v>
          </cell>
        </row>
        <row r="30">
          <cell r="AZ30" t="str">
            <v>Greece</v>
          </cell>
          <cell r="BA30">
            <v>0.88264897655726127</v>
          </cell>
          <cell r="BB30">
            <v>0.93336425358999398</v>
          </cell>
          <cell r="BC30">
            <v>1.4699157495877413</v>
          </cell>
          <cell r="BD30">
            <v>0.64334571796603357</v>
          </cell>
        </row>
        <row r="31">
          <cell r="AZ31">
            <v>0</v>
          </cell>
          <cell r="BA31" t="e">
            <v>#DIV/0!</v>
          </cell>
          <cell r="BB31" t="e">
            <v>#DIV/0!</v>
          </cell>
          <cell r="BC31" t="e">
            <v>#DIV/0!</v>
          </cell>
          <cell r="BD31" t="e">
            <v>#DIV/0!</v>
          </cell>
        </row>
        <row r="32">
          <cell r="AZ32" t="str">
            <v>Malta</v>
          </cell>
          <cell r="BA32">
            <v>1.8751643620702008</v>
          </cell>
          <cell r="BB32">
            <v>1.0636715544916735</v>
          </cell>
          <cell r="BC32">
            <v>1.3703309277608018</v>
          </cell>
          <cell r="BD32">
            <v>1.2864897658729839</v>
          </cell>
        </row>
        <row r="33">
          <cell r="AZ33" t="str">
            <v>Singapore</v>
          </cell>
          <cell r="BA33">
            <v>2.0356167628075061</v>
          </cell>
          <cell r="BB33">
            <v>1.4272200348586506</v>
          </cell>
          <cell r="BC33">
            <v>1.2662198918384344</v>
          </cell>
          <cell r="BD33">
            <v>1.1264085883856438</v>
          </cell>
        </row>
        <row r="34">
          <cell r="AZ34" t="str">
            <v>South Korea</v>
          </cell>
          <cell r="BA34">
            <v>2.1473899679374227</v>
          </cell>
          <cell r="BB34">
            <v>1.3731092748696769</v>
          </cell>
          <cell r="BC34">
            <v>1.2363906910859026</v>
          </cell>
          <cell r="BD34">
            <v>1.2648822338377816</v>
          </cell>
        </row>
        <row r="36">
          <cell r="AZ36" t="str">
            <v>Argentina</v>
          </cell>
          <cell r="BA36">
            <v>1.4282040429694804</v>
          </cell>
          <cell r="BB36">
            <v>1.3380143781585838</v>
          </cell>
          <cell r="BC36">
            <v>0.82883257732348314</v>
          </cell>
          <cell r="BD36">
            <v>1.2878422389855149</v>
          </cell>
        </row>
        <row r="37">
          <cell r="AZ37" t="str">
            <v>Bolivia</v>
          </cell>
          <cell r="BA37">
            <v>2.2158147493707441</v>
          </cell>
          <cell r="BB37">
            <v>1.067419413320521</v>
          </cell>
          <cell r="BC37">
            <v>1.3115252966576911</v>
          </cell>
          <cell r="BD37">
            <v>1.5827841044817832</v>
          </cell>
        </row>
        <row r="38">
          <cell r="AZ38" t="str">
            <v>Brazil</v>
          </cell>
          <cell r="BA38">
            <v>1.6758914688419786</v>
          </cell>
          <cell r="BB38">
            <v>1.0271833870865323</v>
          </cell>
          <cell r="BC38">
            <v>2.0126130801164428</v>
          </cell>
          <cell r="BD38">
            <v>0.81065788722788823</v>
          </cell>
        </row>
        <row r="39">
          <cell r="AZ39" t="str">
            <v>Colombia</v>
          </cell>
          <cell r="BA39">
            <v>1.7582764448896349</v>
          </cell>
          <cell r="BB39">
            <v>1.119960081232757</v>
          </cell>
          <cell r="BC39">
            <v>1.6855558605596894</v>
          </cell>
          <cell r="BD39">
            <v>0.93141121886995126</v>
          </cell>
        </row>
        <row r="40">
          <cell r="AZ40" t="str">
            <v>Congo DR</v>
          </cell>
          <cell r="BA40">
            <v>0.5004415151511008</v>
          </cell>
          <cell r="BB40">
            <v>0.31117660386844914</v>
          </cell>
          <cell r="BC40">
            <v>1.2578036104995731</v>
          </cell>
          <cell r="BD40">
            <v>1.2785966334689198</v>
          </cell>
        </row>
        <row r="41">
          <cell r="AZ41" t="str">
            <v>Costa Rica</v>
          </cell>
          <cell r="BA41">
            <v>2.3208538193839612</v>
          </cell>
          <cell r="BB41">
            <v>1.2220967135838947</v>
          </cell>
          <cell r="BC41">
            <v>1.4352285401733922</v>
          </cell>
          <cell r="BD41">
            <v>1.3231867667477011</v>
          </cell>
        </row>
        <row r="42">
          <cell r="AZ42" t="str">
            <v>Ecuador</v>
          </cell>
          <cell r="BA42">
            <v>1.9456016081757121</v>
          </cell>
          <cell r="BB42">
            <v>0.73229375796236096</v>
          </cell>
          <cell r="BC42">
            <v>2.1403190929044325</v>
          </cell>
          <cell r="BD42">
            <v>1.2413380239599168</v>
          </cell>
        </row>
        <row r="43">
          <cell r="AZ43" t="str">
            <v>Egypt</v>
          </cell>
          <cell r="BA43">
            <v>1.4759319563910198</v>
          </cell>
          <cell r="BB43">
            <v>1.6420484054667239</v>
          </cell>
          <cell r="BC43">
            <v>1.2449764823659799</v>
          </cell>
          <cell r="BD43">
            <v>0.72197013505373997</v>
          </cell>
        </row>
        <row r="44">
          <cell r="AZ44" t="str">
            <v>El Salvador</v>
          </cell>
          <cell r="BA44">
            <v>1.9676307872923455</v>
          </cell>
          <cell r="BB44">
            <v>1.64871223632556</v>
          </cell>
          <cell r="BC44">
            <v>0.99324767741581532</v>
          </cell>
          <cell r="BD44">
            <v>1.2015481799750736</v>
          </cell>
        </row>
        <row r="45">
          <cell r="AZ45" t="str">
            <v>Ethiopia (Former)</v>
          </cell>
          <cell r="BA45">
            <v>1.5173381918318383</v>
          </cell>
          <cell r="BB45">
            <v>0.41712198034477033</v>
          </cell>
          <cell r="BC45">
            <v>1.6471265380043132</v>
          </cell>
          <cell r="BD45">
            <v>2.2084742967587401</v>
          </cell>
        </row>
        <row r="46">
          <cell r="AZ46" t="str">
            <v>Guatemala</v>
          </cell>
          <cell r="BA46">
            <v>2.8109407728196256</v>
          </cell>
          <cell r="BB46">
            <v>1.5087125884405745</v>
          </cell>
          <cell r="BC46">
            <v>1.276178308588944</v>
          </cell>
          <cell r="BD46">
            <v>1.4599360154865579</v>
          </cell>
        </row>
        <row r="47">
          <cell r="AZ47" t="str">
            <v>Honduras</v>
          </cell>
          <cell r="BA47">
            <v>1.5643224968871101</v>
          </cell>
          <cell r="BB47">
            <v>1.1294411850828063</v>
          </cell>
          <cell r="BC47">
            <v>1.1696255895369805</v>
          </cell>
          <cell r="BD47">
            <v>1.1841747853625524</v>
          </cell>
        </row>
        <row r="48">
          <cell r="AZ48" t="str">
            <v>India</v>
          </cell>
          <cell r="BA48">
            <v>2.4219187740108135</v>
          </cell>
          <cell r="BB48">
            <v>0.89109463551199364</v>
          </cell>
          <cell r="BC48">
            <v>2.0703227916077593</v>
          </cell>
          <cell r="BD48">
            <v>1.3127973197816434</v>
          </cell>
        </row>
        <row r="49">
          <cell r="AZ49" t="str">
            <v>Kenya</v>
          </cell>
          <cell r="BA49">
            <v>1.2904080378021159</v>
          </cell>
          <cell r="BB49">
            <v>0.63957860865005112</v>
          </cell>
          <cell r="BC49">
            <v>1.4020904809675019</v>
          </cell>
          <cell r="BD49">
            <v>1.4389877235108806</v>
          </cell>
        </row>
        <row r="50">
          <cell r="AZ50" t="str">
            <v>Mauritius</v>
          </cell>
          <cell r="BA50">
            <v>1.8915167550252874</v>
          </cell>
          <cell r="BB50">
            <v>1.1936163297881262</v>
          </cell>
          <cell r="BC50">
            <v>1.3006208610687804</v>
          </cell>
          <cell r="BD50">
            <v>1.2184135646707628</v>
          </cell>
        </row>
        <row r="51">
          <cell r="AZ51" t="str">
            <v>Mexico</v>
          </cell>
          <cell r="BA51">
            <v>1.1844090901732269</v>
          </cell>
          <cell r="BB51">
            <v>1.4903392021478554</v>
          </cell>
          <cell r="BC51">
            <v>0.86534788863247702</v>
          </cell>
          <cell r="BD51">
            <v>0.91838729730110547</v>
          </cell>
        </row>
        <row r="52">
          <cell r="AZ52" t="str">
            <v>Morocco</v>
          </cell>
          <cell r="BA52">
            <v>1.1707208131407525</v>
          </cell>
          <cell r="BB52">
            <v>0.83265177448118444</v>
          </cell>
          <cell r="BC52">
            <v>1.4219515182410636</v>
          </cell>
          <cell r="BD52">
            <v>0.98879244195417071</v>
          </cell>
        </row>
        <row r="53">
          <cell r="AZ53" t="str">
            <v>Nigeria</v>
          </cell>
          <cell r="BA53">
            <v>1.2735489745368485</v>
          </cell>
          <cell r="BB53">
            <v>0.63968186436152941</v>
          </cell>
          <cell r="BC53">
            <v>2.5444040875418392</v>
          </cell>
          <cell r="BD53">
            <v>0.78246609403597411</v>
          </cell>
        </row>
        <row r="54">
          <cell r="AZ54" t="str">
            <v>Pakistan</v>
          </cell>
          <cell r="BA54">
            <v>1.4785261879687266</v>
          </cell>
          <cell r="BB54">
            <v>0.8702996597919449</v>
          </cell>
          <cell r="BC54">
            <v>1.232623894414598</v>
          </cell>
          <cell r="BD54">
            <v>1.3782551540481276</v>
          </cell>
        </row>
        <row r="55">
          <cell r="AZ55" t="str">
            <v>Panama</v>
          </cell>
          <cell r="BA55">
            <v>2.7997344043811832</v>
          </cell>
          <cell r="BB55">
            <v>1.1735222053829222</v>
          </cell>
          <cell r="BC55">
            <v>1.3824635551196569</v>
          </cell>
          <cell r="BD55">
            <v>1.7257259562045686</v>
          </cell>
        </row>
        <row r="56">
          <cell r="AZ56" t="str">
            <v>Peru</v>
          </cell>
          <cell r="BA56">
            <v>2.2798900933986443</v>
          </cell>
          <cell r="BB56">
            <v>1.1262940849785459</v>
          </cell>
          <cell r="BC56">
            <v>1.6822112932786688</v>
          </cell>
          <cell r="BD56">
            <v>1.2033211884238886</v>
          </cell>
        </row>
        <row r="57">
          <cell r="AZ57" t="str">
            <v>Philippines</v>
          </cell>
          <cell r="BA57">
            <v>1.7504713457153176</v>
          </cell>
          <cell r="BB57">
            <v>0.98649363316479566</v>
          </cell>
          <cell r="BC57">
            <v>1.3692175141723375</v>
          </cell>
          <cell r="BD57">
            <v>1.2959500823118042</v>
          </cell>
        </row>
        <row r="58">
          <cell r="AZ58" t="str">
            <v>South Africa</v>
          </cell>
          <cell r="BA58">
            <v>0.91927385163082675</v>
          </cell>
          <cell r="BB58">
            <v>0.72907826740580572</v>
          </cell>
          <cell r="BC58">
            <v>1.6058246063340564</v>
          </cell>
          <cell r="BD58">
            <v>0.78518617766333121</v>
          </cell>
        </row>
        <row r="59">
          <cell r="AZ59" t="str">
            <v>Sri Lanka</v>
          </cell>
          <cell r="BA59">
            <v>3.5840046865079818</v>
          </cell>
          <cell r="BB59">
            <v>1.4148042763290418</v>
          </cell>
          <cell r="BC59">
            <v>1.8379357398424938</v>
          </cell>
          <cell r="BD59">
            <v>1.3782940523437179</v>
          </cell>
        </row>
        <row r="60">
          <cell r="AZ60" t="str">
            <v>Thailand</v>
          </cell>
          <cell r="BA60">
            <v>1.9567708092747906</v>
          </cell>
          <cell r="BB60">
            <v>0.96335894686158774</v>
          </cell>
          <cell r="BC60">
            <v>1.6900129289093009</v>
          </cell>
          <cell r="BD60">
            <v>1.2018819110509935</v>
          </cell>
        </row>
        <row r="61">
          <cell r="AZ61" t="str">
            <v>Trinidad and Tobago</v>
          </cell>
          <cell r="BA61">
            <v>1.8108954029987916</v>
          </cell>
          <cell r="BB61">
            <v>1.1668398876338151</v>
          </cell>
          <cell r="BC61">
            <v>1.7266953184365579</v>
          </cell>
          <cell r="BD61">
            <v>0.89880687974723084</v>
          </cell>
        </row>
        <row r="62">
          <cell r="AZ62" t="str">
            <v>Turkey</v>
          </cell>
          <cell r="BA62">
            <v>1.2688059837465269</v>
          </cell>
          <cell r="BB62">
            <v>0.8462480600555109</v>
          </cell>
          <cell r="BC62">
            <v>1.6482714654176061</v>
          </cell>
          <cell r="BD62">
            <v>0.90963841283452795</v>
          </cell>
        </row>
        <row r="63">
          <cell r="AZ63" t="str">
            <v>Uganda</v>
          </cell>
          <cell r="BA63">
            <v>1.2078113103579702</v>
          </cell>
          <cell r="BB63">
            <v>0.85705600687071459</v>
          </cell>
          <cell r="BC63">
            <v>1.371998738054617</v>
          </cell>
          <cell r="BD63">
            <v>1.0271554554972395</v>
          </cell>
        </row>
        <row r="64">
          <cell r="AZ64" t="str">
            <v>Uruguay</v>
          </cell>
          <cell r="BA64">
            <v>2.6737523485793462</v>
          </cell>
          <cell r="BB64">
            <v>1.7407053073190784</v>
          </cell>
          <cell r="BC64">
            <v>1.1580967827863098</v>
          </cell>
          <cell r="BD64">
            <v>1.3263284042882328</v>
          </cell>
        </row>
        <row r="65">
          <cell r="AZ65" t="str">
            <v>Venezuela</v>
          </cell>
          <cell r="BA65">
            <v>1.561335065017238</v>
          </cell>
          <cell r="BB65">
            <v>1.5182690684423741</v>
          </cell>
          <cell r="BC65">
            <v>1.8937970610908152</v>
          </cell>
          <cell r="BD65">
            <v>0.54301763112074619</v>
          </cell>
        </row>
        <row r="66">
          <cell r="AZ66" t="str">
            <v>Afghanistan</v>
          </cell>
          <cell r="BA66">
            <v>0.96768729996480363</v>
          </cell>
          <cell r="BB66">
            <v>0.44738579846248316</v>
          </cell>
          <cell r="BC66">
            <v>2.1170321482554271</v>
          </cell>
          <cell r="BD66">
            <v>1.021704707257987</v>
          </cell>
        </row>
        <row r="67">
          <cell r="AZ67" t="str">
            <v>Algeria</v>
          </cell>
          <cell r="BA67">
            <v>0.7893833570392782</v>
          </cell>
          <cell r="BB67">
            <v>0.55359517105731071</v>
          </cell>
          <cell r="BC67">
            <v>1.6950813621073018</v>
          </cell>
          <cell r="BD67">
            <v>0.84121135015331239</v>
          </cell>
        </row>
        <row r="68">
          <cell r="AZ68" t="str">
            <v>Angola</v>
          </cell>
          <cell r="BA68">
            <v>1.7597234242898032</v>
          </cell>
          <cell r="BB68">
            <v>0.49780842484250459</v>
          </cell>
          <cell r="BC68">
            <v>3.2194724974783204</v>
          </cell>
          <cell r="BD68">
            <v>1.0979876452499444</v>
          </cell>
        </row>
        <row r="69">
          <cell r="AZ69" t="str">
            <v>Antigua</v>
          </cell>
          <cell r="BA69">
            <v>0.99707290467235121</v>
          </cell>
          <cell r="BB69">
            <v>1.0849657293531947</v>
          </cell>
          <cell r="BC69">
            <v>0.81714947557209172</v>
          </cell>
          <cell r="BD69">
            <v>1.1246292838978704</v>
          </cell>
        </row>
        <row r="70">
          <cell r="AZ70" t="str">
            <v>Aruba</v>
          </cell>
          <cell r="BA70">
            <v>0.96831494183455835</v>
          </cell>
          <cell r="BB70">
            <v>1.2608827695115479</v>
          </cell>
          <cell r="BC70">
            <v>0.76011378944531371</v>
          </cell>
          <cell r="BD70">
            <v>1.0103301474410715</v>
          </cell>
        </row>
        <row r="71">
          <cell r="AZ71" t="str">
            <v>Bahamas</v>
          </cell>
          <cell r="BA71">
            <v>0.75159132485484015</v>
          </cell>
          <cell r="BB71">
            <v>1.1073348957418343</v>
          </cell>
          <cell r="BC71">
            <v>0.68793683144926376</v>
          </cell>
          <cell r="BD71">
            <v>0.98662975923240759</v>
          </cell>
        </row>
        <row r="72">
          <cell r="AZ72" t="str">
            <v>Bahrain</v>
          </cell>
          <cell r="BA72">
            <v>1.0806772439241989</v>
          </cell>
          <cell r="BB72">
            <v>1.0366907594656676</v>
          </cell>
          <cell r="BC72">
            <v>1.0130183900958198</v>
          </cell>
          <cell r="BD72">
            <v>1.0290333487544154</v>
          </cell>
        </row>
        <row r="73">
          <cell r="AZ73" t="str">
            <v>Bangladesh</v>
          </cell>
          <cell r="BA73">
            <v>2.6157907965284379</v>
          </cell>
          <cell r="BB73">
            <v>0.98145050666915334</v>
          </cell>
          <cell r="BC73">
            <v>1.4580846579100164</v>
          </cell>
          <cell r="BD73">
            <v>1.8278976039036807</v>
          </cell>
        </row>
        <row r="74">
          <cell r="AZ74" t="str">
            <v>Barbados</v>
          </cell>
          <cell r="BA74">
            <v>0.98050910589277396</v>
          </cell>
          <cell r="BB74">
            <v>1.1139528192335892</v>
          </cell>
          <cell r="BC74">
            <v>0.89973764222530961</v>
          </cell>
          <cell r="BD74">
            <v>0.97829299527685498</v>
          </cell>
        </row>
        <row r="75">
          <cell r="AZ75" t="str">
            <v>Belize</v>
          </cell>
          <cell r="BA75">
            <v>1.0881236705431838</v>
          </cell>
          <cell r="BB75">
            <v>1.1711960029305435</v>
          </cell>
          <cell r="BC75">
            <v>0.86074784585414421</v>
          </cell>
          <cell r="BD75">
            <v>1.0793759367015325</v>
          </cell>
        </row>
        <row r="76">
          <cell r="AZ76" t="str">
            <v>Benin</v>
          </cell>
          <cell r="BA76">
            <v>0.9560110000989458</v>
          </cell>
          <cell r="BB76">
            <v>0.7034498899072108</v>
          </cell>
          <cell r="BC76">
            <v>1.3498344090974088</v>
          </cell>
          <cell r="BD76">
            <v>1.0068139601515462</v>
          </cell>
        </row>
        <row r="77">
          <cell r="AZ77" t="str">
            <v>Bhutan</v>
          </cell>
          <cell r="BA77">
            <v>2.890152609153636</v>
          </cell>
          <cell r="BB77">
            <v>1.1317609926356302</v>
          </cell>
          <cell r="BC77">
            <v>1.8966400135324279</v>
          </cell>
          <cell r="BD77">
            <v>1.3464218331008138</v>
          </cell>
        </row>
        <row r="78">
          <cell r="AZ78" t="str">
            <v>Botswana</v>
          </cell>
          <cell r="BA78">
            <v>1.3066864164097753</v>
          </cell>
          <cell r="BB78">
            <v>0.93322393618438992</v>
          </cell>
          <cell r="BC78">
            <v>1.2631878218799726</v>
          </cell>
          <cell r="BD78">
            <v>1.108453749811525</v>
          </cell>
        </row>
        <row r="79">
          <cell r="AZ79" t="str">
            <v>Brunei</v>
          </cell>
          <cell r="BA79">
            <v>0.87106536990390071</v>
          </cell>
          <cell r="BB79">
            <v>0.9962652735470845</v>
          </cell>
          <cell r="BC79">
            <v>1.1781785807035239</v>
          </cell>
          <cell r="BD79">
            <v>0.74210376120167165</v>
          </cell>
        </row>
        <row r="80">
          <cell r="AZ80" t="str">
            <v>Burkina Faso</v>
          </cell>
          <cell r="BA80">
            <v>0.83648055828145051</v>
          </cell>
          <cell r="BB80">
            <v>0.47995830502721715</v>
          </cell>
          <cell r="BC80">
            <v>1.691375233684919</v>
          </cell>
          <cell r="BD80">
            <v>1.0304154774233505</v>
          </cell>
        </row>
        <row r="81">
          <cell r="AZ81" t="str">
            <v>Burundi</v>
          </cell>
          <cell r="BA81">
            <v>0.63396512743524269</v>
          </cell>
          <cell r="BB81">
            <v>0.3931796807944033</v>
          </cell>
          <cell r="BC81">
            <v>1.394759059256786</v>
          </cell>
          <cell r="BD81">
            <v>1.1560459926391635</v>
          </cell>
        </row>
        <row r="82">
          <cell r="AZ82" t="str">
            <v>Cabo Verde</v>
          </cell>
          <cell r="BA82">
            <v>1.4662757360755039</v>
          </cell>
          <cell r="BB82">
            <v>1.035136343294387</v>
          </cell>
          <cell r="BC82">
            <v>1.5668031100283069</v>
          </cell>
          <cell r="BD82">
            <v>0.90407334745702261</v>
          </cell>
        </row>
        <row r="83">
          <cell r="AZ83" t="str">
            <v>Cambodia</v>
          </cell>
          <cell r="BA83">
            <v>3.3871892653893254</v>
          </cell>
          <cell r="BB83">
            <v>1.2001356501644558</v>
          </cell>
          <cell r="BC83">
            <v>1.7359080332593779</v>
          </cell>
          <cell r="BD83">
            <v>1.6258572601934074</v>
          </cell>
        </row>
        <row r="84">
          <cell r="AZ84" t="str">
            <v>Cameroon</v>
          </cell>
          <cell r="BA84">
            <v>0.61485317527816352</v>
          </cell>
          <cell r="BB84">
            <v>0.45254016265500302</v>
          </cell>
          <cell r="BC84">
            <v>1.3267718230231176</v>
          </cell>
          <cell r="BD84">
            <v>1.024042666646656</v>
          </cell>
        </row>
        <row r="85">
          <cell r="AZ85" t="str">
            <v>Central African Republic</v>
          </cell>
          <cell r="BA85">
            <v>0.38701372938140355</v>
          </cell>
          <cell r="BB85">
            <v>0.37397955428052071</v>
          </cell>
          <cell r="BC85">
            <v>1.1960493269068579</v>
          </cell>
          <cell r="BD85">
            <v>0.86522572070987225</v>
          </cell>
        </row>
        <row r="86">
          <cell r="AZ86" t="str">
            <v>Chad</v>
          </cell>
          <cell r="BA86">
            <v>1.0813648416979098</v>
          </cell>
          <cell r="BB86">
            <v>0.46176577403065644</v>
          </cell>
          <cell r="BC86">
            <v>3.2568726593466062</v>
          </cell>
          <cell r="BD86">
            <v>0.71903449696405275</v>
          </cell>
        </row>
        <row r="87">
          <cell r="AZ87" t="str">
            <v>Chile</v>
          </cell>
          <cell r="BA87">
            <v>2.7002324858015134</v>
          </cell>
          <cell r="BB87">
            <v>1.4652727925844093</v>
          </cell>
          <cell r="BC87">
            <v>1.6732750743095188</v>
          </cell>
          <cell r="BD87">
            <v>1.1013245757950396</v>
          </cell>
        </row>
        <row r="88">
          <cell r="AZ88" t="str">
            <v>Comoros</v>
          </cell>
          <cell r="BA88">
            <v>0.49607670204620385</v>
          </cell>
          <cell r="BB88">
            <v>0.47179434239753421</v>
          </cell>
          <cell r="BC88">
            <v>1.1269650768842132</v>
          </cell>
          <cell r="BD88">
            <v>0.9330085946997736</v>
          </cell>
        </row>
        <row r="89">
          <cell r="AZ89" t="str">
            <v>Congo R</v>
          </cell>
          <cell r="BA89">
            <v>0.78987627695721541</v>
          </cell>
          <cell r="BB89">
            <v>0.62233743237895189</v>
          </cell>
          <cell r="BC89">
            <v>1.9961358497750163</v>
          </cell>
          <cell r="BD89">
            <v>0.63583298250024256</v>
          </cell>
        </row>
        <row r="90">
          <cell r="AZ90" t="str">
            <v>Cote d'Ivoire</v>
          </cell>
          <cell r="BA90">
            <v>0.74968955053273678</v>
          </cell>
          <cell r="BB90">
            <v>0.49691378210865172</v>
          </cell>
          <cell r="BC90">
            <v>1.2702375095483585</v>
          </cell>
          <cell r="BD90">
            <v>1.1877238630717042</v>
          </cell>
        </row>
        <row r="91">
          <cell r="AZ91" t="str">
            <v>Djibouti</v>
          </cell>
          <cell r="BA91">
            <v>1.1828521746656497</v>
          </cell>
          <cell r="BB91">
            <v>0.73528369928170767</v>
          </cell>
          <cell r="BC91">
            <v>1.0787076688627144</v>
          </cell>
          <cell r="BD91">
            <v>1.4913231801710094</v>
          </cell>
        </row>
        <row r="92">
          <cell r="AZ92" t="str">
            <v>Dominican Republic</v>
          </cell>
          <cell r="BA92">
            <v>2.4661417511920285</v>
          </cell>
          <cell r="BB92">
            <v>1.5885882283595223</v>
          </cell>
          <cell r="BC92">
            <v>1.2794899111889713</v>
          </cell>
          <cell r="BD92">
            <v>1.2133045602079209</v>
          </cell>
        </row>
        <row r="93">
          <cell r="AZ93" t="str">
            <v>Equatorial Guinea</v>
          </cell>
          <cell r="BA93">
            <v>11.46567069261339</v>
          </cell>
          <cell r="BB93">
            <v>4.654299119628746</v>
          </cell>
          <cell r="BC93">
            <v>4.6450065390219866</v>
          </cell>
          <cell r="BD93">
            <v>0.53034544559546493</v>
          </cell>
        </row>
        <row r="94">
          <cell r="AZ94" t="str">
            <v>Fiji</v>
          </cell>
          <cell r="BA94">
            <v>1.3567389995097119</v>
          </cell>
          <cell r="BB94">
            <v>0.8621127684098745</v>
          </cell>
          <cell r="BC94">
            <v>1.1563204564387104</v>
          </cell>
          <cell r="BD94">
            <v>1.3609871441296015</v>
          </cell>
        </row>
        <row r="95">
          <cell r="AZ95" t="str">
            <v>French Polynesia</v>
          </cell>
          <cell r="BA95">
            <v>0.50875753820178449</v>
          </cell>
          <cell r="BB95">
            <v>0.66254209765530481</v>
          </cell>
          <cell r="BC95">
            <v>0.95580311542955354</v>
          </cell>
          <cell r="BD95">
            <v>0.80339465313368874</v>
          </cell>
        </row>
        <row r="96">
          <cell r="AZ96" t="str">
            <v>Gabon</v>
          </cell>
          <cell r="BA96">
            <v>0.52891571439209017</v>
          </cell>
          <cell r="BB96">
            <v>0.54710288210135383</v>
          </cell>
          <cell r="BC96">
            <v>1.2655918393352155</v>
          </cell>
          <cell r="BD96">
            <v>0.7638776475129766</v>
          </cell>
        </row>
        <row r="97">
          <cell r="AZ97" t="str">
            <v>Gambia</v>
          </cell>
          <cell r="BA97">
            <v>0.28125631965913794</v>
          </cell>
          <cell r="BB97">
            <v>0.61966726540565664</v>
          </cell>
          <cell r="BC97">
            <v>0.59036118453095732</v>
          </cell>
          <cell r="BD97">
            <v>0.76882224280227107</v>
          </cell>
        </row>
        <row r="98">
          <cell r="AZ98" t="str">
            <v>Ghana</v>
          </cell>
          <cell r="BA98">
            <v>1.0493581064151205</v>
          </cell>
          <cell r="BB98">
            <v>0.46496867822350885</v>
          </cell>
          <cell r="BC98">
            <v>2.0752353886114157</v>
          </cell>
          <cell r="BD98">
            <v>1.0875084964613462</v>
          </cell>
        </row>
        <row r="99">
          <cell r="AZ99" t="str">
            <v>Grenada</v>
          </cell>
          <cell r="BA99">
            <v>1.9758325428515118</v>
          </cell>
          <cell r="BB99">
            <v>1.5705230146992566</v>
          </cell>
          <cell r="BC99">
            <v>0.9594608006171268</v>
          </cell>
          <cell r="BD99">
            <v>1.3112291428424176</v>
          </cell>
        </row>
        <row r="100">
          <cell r="AZ100" t="str">
            <v>Guinea</v>
          </cell>
          <cell r="BA100">
            <v>0.5748602945367508</v>
          </cell>
          <cell r="BB100">
            <v>0.56416401557128482</v>
          </cell>
          <cell r="BC100">
            <v>0.87324466721904959</v>
          </cell>
          <cell r="BD100">
            <v>1.166866009381234</v>
          </cell>
        </row>
        <row r="101">
          <cell r="AZ101" t="str">
            <v>Guinea-Bissau</v>
          </cell>
          <cell r="BA101">
            <v>0.55596379599148649</v>
          </cell>
          <cell r="BB101">
            <v>0.36418425127478427</v>
          </cell>
          <cell r="BC101">
            <v>1.2469967346838275</v>
          </cell>
          <cell r="BD101">
            <v>1.2242215889893655</v>
          </cell>
        </row>
        <row r="102">
          <cell r="AZ102" t="str">
            <v>Guyana</v>
          </cell>
          <cell r="BA102">
            <v>2.4852022349711818</v>
          </cell>
          <cell r="BB102">
            <v>1.3355461450011317</v>
          </cell>
          <cell r="BC102">
            <v>1.3371804729180043</v>
          </cell>
          <cell r="BD102">
            <v>1.39159484573975</v>
          </cell>
        </row>
        <row r="103">
          <cell r="AZ103" t="str">
            <v>Haiti</v>
          </cell>
          <cell r="BA103">
            <v>0.82410391947227513</v>
          </cell>
          <cell r="BB103">
            <v>0.7396471893616906</v>
          </cell>
          <cell r="BC103">
            <v>1.0432458685198787</v>
          </cell>
          <cell r="BD103">
            <v>1.067998628293507</v>
          </cell>
        </row>
        <row r="104">
          <cell r="AZ104" t="str">
            <v>Indonesia (Former)</v>
          </cell>
          <cell r="BA104">
            <v>2.4273264479301497</v>
          </cell>
          <cell r="BB104">
            <v>0.84861520828305592</v>
          </cell>
          <cell r="BC104">
            <v>2.5001620692378723</v>
          </cell>
          <cell r="BD104">
            <v>1.1440610898606791</v>
          </cell>
        </row>
        <row r="105">
          <cell r="AZ105" t="str">
            <v>Iran</v>
          </cell>
          <cell r="BA105">
            <v>1.5360354399208624</v>
          </cell>
          <cell r="BB105">
            <v>0.74364775160106389</v>
          </cell>
          <cell r="BC105">
            <v>2.5918260644045561</v>
          </cell>
          <cell r="BD105">
            <v>0.79694456617220955</v>
          </cell>
        </row>
        <row r="106">
          <cell r="AZ106" t="str">
            <v>Iraq</v>
          </cell>
          <cell r="BA106">
            <v>2.2550111011164549</v>
          </cell>
          <cell r="BB106">
            <v>0.55196267081800987</v>
          </cell>
          <cell r="BC106">
            <v>3.5356677274006079</v>
          </cell>
          <cell r="BD106">
            <v>1.1554935679926197</v>
          </cell>
        </row>
        <row r="107">
          <cell r="AZ107" t="str">
            <v>Jamaica</v>
          </cell>
          <cell r="BA107">
            <v>1.0928125184428823</v>
          </cell>
          <cell r="BB107">
            <v>1.1717611297980177</v>
          </cell>
          <cell r="BC107">
            <v>0.92290764975024908</v>
          </cell>
          <cell r="BD107">
            <v>1.0105279457649314</v>
          </cell>
        </row>
        <row r="108">
          <cell r="AZ108" t="str">
            <v>Jordan</v>
          </cell>
          <cell r="BA108">
            <v>1.6986844897443549</v>
          </cell>
          <cell r="BB108">
            <v>1.1050172616916998</v>
          </cell>
          <cell r="BC108">
            <v>1.4692655419329224</v>
          </cell>
          <cell r="BD108">
            <v>1.0462690191507213</v>
          </cell>
        </row>
        <row r="109">
          <cell r="AZ109" t="str">
            <v>Kiribati</v>
          </cell>
          <cell r="BA109">
            <v>1.4212082723167712</v>
          </cell>
          <cell r="BB109">
            <v>1.2057435150321094</v>
          </cell>
          <cell r="BC109">
            <v>1.1456340715841586</v>
          </cell>
          <cell r="BD109">
            <v>1.0288613920559246</v>
          </cell>
        </row>
        <row r="110">
          <cell r="AZ110" t="str">
            <v>Kuwait</v>
          </cell>
          <cell r="BA110">
            <v>1.5455768275079984</v>
          </cell>
          <cell r="BB110">
            <v>1.573344214893815</v>
          </cell>
          <cell r="BC110">
            <v>1.3902720179145813</v>
          </cell>
          <cell r="BD110">
            <v>0.70658931938148917</v>
          </cell>
        </row>
        <row r="111">
          <cell r="AZ111" t="str">
            <v>Laos</v>
          </cell>
          <cell r="BA111">
            <v>5.3652217965819151</v>
          </cell>
          <cell r="BB111">
            <v>1.2042984249428617</v>
          </cell>
          <cell r="BC111">
            <v>2.3031846963980258</v>
          </cell>
          <cell r="BD111">
            <v>1.9343042931375463</v>
          </cell>
        </row>
        <row r="112">
          <cell r="AZ112" t="str">
            <v>Lebanon</v>
          </cell>
          <cell r="BA112">
            <v>3.7546396251925089</v>
          </cell>
          <cell r="BB112">
            <v>3.5544043606867786</v>
          </cell>
          <cell r="BC112">
            <v>1.14550330577322</v>
          </cell>
          <cell r="BD112">
            <v>0.92215745027533613</v>
          </cell>
        </row>
        <row r="113">
          <cell r="AZ113" t="str">
            <v>Lesotho</v>
          </cell>
          <cell r="BA113">
            <v>1.3940169918138572</v>
          </cell>
          <cell r="BB113">
            <v>0.90325134582819522</v>
          </cell>
          <cell r="BC113">
            <v>1.6569256383278275</v>
          </cell>
          <cell r="BD113">
            <v>0.93144331927849244</v>
          </cell>
        </row>
        <row r="114">
          <cell r="AZ114" t="str">
            <v>Liberia</v>
          </cell>
          <cell r="BA114">
            <v>0.9531056891738815</v>
          </cell>
          <cell r="BB114">
            <v>0.5928747859899608</v>
          </cell>
          <cell r="BC114">
            <v>0.97567371537584158</v>
          </cell>
          <cell r="BD114">
            <v>1.6476822975714596</v>
          </cell>
        </row>
        <row r="115">
          <cell r="AZ115" t="str">
            <v>Libya</v>
          </cell>
          <cell r="BA115">
            <v>0.25901884131933006</v>
          </cell>
          <cell r="BB115">
            <v>0.77143727199787848</v>
          </cell>
          <cell r="BC115">
            <v>1.2176580782544804</v>
          </cell>
          <cell r="BD115">
            <v>0.27574356363202362</v>
          </cell>
        </row>
        <row r="116">
          <cell r="AZ116" t="str">
            <v>Madagascar</v>
          </cell>
          <cell r="BA116">
            <v>0.75723954020408346</v>
          </cell>
          <cell r="BB116">
            <v>0.69049753490960852</v>
          </cell>
          <cell r="BC116">
            <v>1.1138097082972058</v>
          </cell>
          <cell r="BD116">
            <v>0.98460072590190539</v>
          </cell>
        </row>
        <row r="117">
          <cell r="AZ117" t="str">
            <v>Malawi</v>
          </cell>
          <cell r="BA117">
            <v>0.47031846434299651</v>
          </cell>
          <cell r="BB117">
            <v>0.62116283297977271</v>
          </cell>
          <cell r="BC117">
            <v>1.0900882770395983</v>
          </cell>
          <cell r="BD117">
            <v>0.69458419669437266</v>
          </cell>
        </row>
        <row r="118">
          <cell r="AZ118" t="str">
            <v>Maldives</v>
          </cell>
          <cell r="BA118">
            <v>4.1137203451446993</v>
          </cell>
          <cell r="BB118">
            <v>1.8915628397230368</v>
          </cell>
          <cell r="BC118">
            <v>1.4975143572057059</v>
          </cell>
          <cell r="BD118">
            <v>1.4522553871733155</v>
          </cell>
        </row>
        <row r="119">
          <cell r="AZ119" t="str">
            <v>Mali</v>
          </cell>
          <cell r="BA119">
            <v>1.179376517705051</v>
          </cell>
          <cell r="BB119">
            <v>0.62811694883278513</v>
          </cell>
          <cell r="BC119">
            <v>1.7531841916189597</v>
          </cell>
          <cell r="BD119">
            <v>1.070987539515269</v>
          </cell>
        </row>
        <row r="120">
          <cell r="AZ120" t="str">
            <v>Mauritania</v>
          </cell>
          <cell r="BA120">
            <v>0.65457874250965509</v>
          </cell>
          <cell r="BB120">
            <v>0.44960156333049239</v>
          </cell>
          <cell r="BC120">
            <v>1.6778209107854103</v>
          </cell>
          <cell r="BD120">
            <v>0.86773773137166832</v>
          </cell>
        </row>
        <row r="121">
          <cell r="AZ121" t="str">
            <v>Micronesia Federated States</v>
          </cell>
          <cell r="BA121">
            <v>0.90013845010059923</v>
          </cell>
          <cell r="BB121">
            <v>0.99652661919126073</v>
          </cell>
          <cell r="BC121">
            <v>0.8789119015409671</v>
          </cell>
          <cell r="BD121">
            <v>1.0277206049808376</v>
          </cell>
        </row>
        <row r="122">
          <cell r="AZ122" t="str">
            <v>Mongolia</v>
          </cell>
          <cell r="BA122">
            <v>2.1322251262692218</v>
          </cell>
          <cell r="BB122">
            <v>0.52598062302321913</v>
          </cell>
          <cell r="BC122">
            <v>3.2132231285396164</v>
          </cell>
          <cell r="BD122">
            <v>1.2616021699670514</v>
          </cell>
        </row>
        <row r="123">
          <cell r="AZ123" t="str">
            <v>Mozambique</v>
          </cell>
          <cell r="BA123">
            <v>0.74316122596376122</v>
          </cell>
          <cell r="BB123">
            <v>0.78521961748939562</v>
          </cell>
          <cell r="BC123">
            <v>1.0065471955290233</v>
          </cell>
          <cell r="BD123">
            <v>0.94028121130513354</v>
          </cell>
        </row>
        <row r="124">
          <cell r="AZ124" t="str">
            <v>Myanmar</v>
          </cell>
          <cell r="BA124">
            <v>4.5639012821729379</v>
          </cell>
          <cell r="BB124">
            <v>0.92998930871902041</v>
          </cell>
          <cell r="BC124">
            <v>3.490088210302237</v>
          </cell>
          <cell r="BD124">
            <v>1.406118371276579</v>
          </cell>
        </row>
        <row r="125">
          <cell r="AZ125" t="str">
            <v>Namibia</v>
          </cell>
          <cell r="BA125">
            <v>1.2315349978891519</v>
          </cell>
          <cell r="BB125">
            <v>0.77147413999965242</v>
          </cell>
          <cell r="BC125">
            <v>1.7144070482510898</v>
          </cell>
          <cell r="BD125">
            <v>0.9311324062505919</v>
          </cell>
        </row>
        <row r="126">
          <cell r="AZ126" t="str">
            <v>Nepal</v>
          </cell>
          <cell r="BA126">
            <v>1.9508084248024231</v>
          </cell>
          <cell r="BB126">
            <v>0.90093786914215479</v>
          </cell>
          <cell r="BC126">
            <v>1.6639311566624686</v>
          </cell>
          <cell r="BD126">
            <v>1.3013209650967508</v>
          </cell>
        </row>
        <row r="127">
          <cell r="AZ127" t="str">
            <v>New Caledonia</v>
          </cell>
          <cell r="BA127">
            <v>1.1154043950539632</v>
          </cell>
          <cell r="BB127">
            <v>0.80955894464077738</v>
          </cell>
          <cell r="BC127">
            <v>1.5501142211765209</v>
          </cell>
          <cell r="BD127">
            <v>0.88883300981762792</v>
          </cell>
        </row>
        <row r="128">
          <cell r="AZ128" t="str">
            <v>Nicaragua</v>
          </cell>
          <cell r="BA128">
            <v>1.2003347664981834</v>
          </cell>
          <cell r="BB128">
            <v>0.88883709437876846</v>
          </cell>
          <cell r="BC128">
            <v>1.0044589659690921</v>
          </cell>
          <cell r="BD128">
            <v>1.3444603985885011</v>
          </cell>
        </row>
        <row r="129">
          <cell r="AZ129" t="str">
            <v>Niger</v>
          </cell>
          <cell r="BA129">
            <v>0.53292248072180537</v>
          </cell>
          <cell r="BB129">
            <v>0.34775291777215689</v>
          </cell>
          <cell r="BC129">
            <v>1.5256405818263867</v>
          </cell>
          <cell r="BD129">
            <v>1.0044793798882925</v>
          </cell>
        </row>
        <row r="130">
          <cell r="AZ130" t="str">
            <v>Oman</v>
          </cell>
          <cell r="BA130">
            <v>1.0993597141634739</v>
          </cell>
          <cell r="BB130">
            <v>1.0150362593853948</v>
          </cell>
          <cell r="BC130">
            <v>1.4537286768266329</v>
          </cell>
          <cell r="BD130">
            <v>0.74503196153747564</v>
          </cell>
        </row>
        <row r="131">
          <cell r="AZ131" t="str">
            <v>Papua New Guinea</v>
          </cell>
          <cell r="BA131">
            <v>1.0791782011750857</v>
          </cell>
          <cell r="BB131">
            <v>0.62038986979472144</v>
          </cell>
          <cell r="BC131">
            <v>1.4162216613038672</v>
          </cell>
          <cell r="BD131">
            <v>1.2282795857195099</v>
          </cell>
        </row>
        <row r="132">
          <cell r="AZ132" t="str">
            <v>Paraguay</v>
          </cell>
          <cell r="BA132">
            <v>1.813745016995655</v>
          </cell>
          <cell r="BB132">
            <v>0.91198505510802852</v>
          </cell>
          <cell r="BC132">
            <v>1.6083493105677293</v>
          </cell>
          <cell r="BD132">
            <v>1.2365398972606891</v>
          </cell>
        </row>
        <row r="133">
          <cell r="AZ133" t="str">
            <v>Qatar</v>
          </cell>
          <cell r="BA133">
            <v>1.9266086418949293</v>
          </cell>
          <cell r="BB133">
            <v>1.4607175790758224</v>
          </cell>
          <cell r="BC133">
            <v>1.5614484652611362</v>
          </cell>
          <cell r="BD133">
            <v>0.84469435726355069</v>
          </cell>
        </row>
        <row r="134">
          <cell r="AZ134" t="str">
            <v>Rwanda</v>
          </cell>
          <cell r="BA134">
            <v>1.0290428524632502</v>
          </cell>
          <cell r="BB134">
            <v>0.48334103344684215</v>
          </cell>
          <cell r="BC134">
            <v>1.7374083899584118</v>
          </cell>
          <cell r="BD134">
            <v>1.225400010625006</v>
          </cell>
        </row>
        <row r="135">
          <cell r="AZ135" t="str">
            <v>Sao Tome</v>
          </cell>
          <cell r="BA135">
            <v>0.89258740155362026</v>
          </cell>
          <cell r="BB135">
            <v>0.39496824186420842</v>
          </cell>
          <cell r="BC135">
            <v>1.4405112559538436</v>
          </cell>
          <cell r="BD135">
            <v>1.5688156741352179</v>
          </cell>
        </row>
        <row r="136">
          <cell r="AZ136" t="str">
            <v>Saudi Arabia</v>
          </cell>
          <cell r="BA136">
            <v>1.3432718952717924</v>
          </cell>
          <cell r="BB136">
            <v>0.96091762485037124</v>
          </cell>
          <cell r="BC136">
            <v>1.4025612992821346</v>
          </cell>
          <cell r="BD136">
            <v>0.99668040004200786</v>
          </cell>
        </row>
        <row r="137">
          <cell r="AZ137" t="str">
            <v>Senegal</v>
          </cell>
          <cell r="BA137">
            <v>0.58079928591039631</v>
          </cell>
          <cell r="BB137">
            <v>0.43386486100069244</v>
          </cell>
          <cell r="BC137">
            <v>1.4090447816159979</v>
          </cell>
          <cell r="BD137">
            <v>0.95005073896614722</v>
          </cell>
        </row>
        <row r="138">
          <cell r="AZ138" t="str">
            <v>Seychelles</v>
          </cell>
          <cell r="BA138">
            <v>1.1526239162998537</v>
          </cell>
          <cell r="BB138">
            <v>1.0982799628921447</v>
          </cell>
          <cell r="BC138">
            <v>0.76864948298294999</v>
          </cell>
          <cell r="BD138">
            <v>1.3653570179232264</v>
          </cell>
        </row>
        <row r="139">
          <cell r="AZ139" t="str">
            <v>Sierra Leone</v>
          </cell>
          <cell r="BA139">
            <v>1.1229073391757376</v>
          </cell>
          <cell r="BB139">
            <v>0.69591466598975815</v>
          </cell>
          <cell r="BC139">
            <v>1.4111372714034081</v>
          </cell>
          <cell r="BD139">
            <v>1.1434539221792919</v>
          </cell>
        </row>
        <row r="140">
          <cell r="AZ140" t="str">
            <v>Solomon Islands</v>
          </cell>
          <cell r="BA140">
            <v>1.3753451434738424</v>
          </cell>
          <cell r="BB140">
            <v>0.92418771604126515</v>
          </cell>
          <cell r="BC140">
            <v>1.1089437786610181</v>
          </cell>
          <cell r="BD140">
            <v>1.3419674368112138</v>
          </cell>
        </row>
        <row r="141">
          <cell r="AZ141" t="str">
            <v>Somalia</v>
          </cell>
          <cell r="BA141">
            <v>0.35917215718429751</v>
          </cell>
          <cell r="BB141">
            <v>1.2752155143662212</v>
          </cell>
          <cell r="BC141">
            <v>0.26541232463450914</v>
          </cell>
          <cell r="BD141">
            <v>1.0612018281882987</v>
          </cell>
        </row>
        <row r="142">
          <cell r="AZ142" t="str">
            <v>St. Lucia</v>
          </cell>
          <cell r="BA142">
            <v>1.3245076091977832</v>
          </cell>
          <cell r="BB142">
            <v>1.114636608617833</v>
          </cell>
          <cell r="BC142">
            <v>1.0711828769314495</v>
          </cell>
          <cell r="BD142">
            <v>1.1093217628441856</v>
          </cell>
        </row>
        <row r="143">
          <cell r="AZ143" t="str">
            <v>St. Vincent</v>
          </cell>
          <cell r="BA143">
            <v>1.5090385929851402</v>
          </cell>
          <cell r="BB143">
            <v>1.2683659079700451</v>
          </cell>
          <cell r="BC143">
            <v>1.1311563704611138</v>
          </cell>
          <cell r="BD143">
            <v>1.0517999379300229</v>
          </cell>
        </row>
        <row r="144">
          <cell r="AZ144" t="str">
            <v>Sudan (Former)</v>
          </cell>
          <cell r="BA144">
            <v>2.2478598464610053</v>
          </cell>
          <cell r="BB144">
            <v>0.59511051520439162</v>
          </cell>
          <cell r="BC144">
            <v>2.7091719615937286</v>
          </cell>
          <cell r="BD144">
            <v>1.3942319582291804</v>
          </cell>
        </row>
        <row r="145">
          <cell r="AZ145" t="str">
            <v>Suriname</v>
          </cell>
          <cell r="BA145">
            <v>1.6954186107605176</v>
          </cell>
          <cell r="BB145">
            <v>0.99704434128691477</v>
          </cell>
          <cell r="BC145">
            <v>2.26060729218886</v>
          </cell>
          <cell r="BD145">
            <v>0.75220696242561236</v>
          </cell>
        </row>
        <row r="146">
          <cell r="AZ146" t="str">
            <v>Swaziland</v>
          </cell>
          <cell r="BA146">
            <v>1.0273846541157865</v>
          </cell>
          <cell r="BB146">
            <v>0.84616504607924081</v>
          </cell>
          <cell r="BC146">
            <v>1.5023315308310556</v>
          </cell>
          <cell r="BD146">
            <v>0.80818765232896006</v>
          </cell>
        </row>
        <row r="147">
          <cell r="AZ147" t="str">
            <v>Syria</v>
          </cell>
          <cell r="BA147">
            <v>0.43801882111207341</v>
          </cell>
          <cell r="BB147">
            <v>1.005407770506711</v>
          </cell>
          <cell r="BC147">
            <v>1.6002903856942612</v>
          </cell>
          <cell r="BD147">
            <v>0.27223987612569411</v>
          </cell>
        </row>
        <row r="148">
          <cell r="AZ148" t="str">
            <v>Tanzania</v>
          </cell>
          <cell r="BA148">
            <v>1.5641556900241533</v>
          </cell>
          <cell r="BB148">
            <v>1.0631751328939043</v>
          </cell>
          <cell r="BC148">
            <v>1.1810764655330594</v>
          </cell>
          <cell r="BD148">
            <v>1.2456532143100483</v>
          </cell>
        </row>
        <row r="149">
          <cell r="AZ149" t="str">
            <v>Togo</v>
          </cell>
          <cell r="BA149">
            <v>0.52335958881709921</v>
          </cell>
          <cell r="BB149">
            <v>0.41480207045428352</v>
          </cell>
          <cell r="BC149">
            <v>1.1729843681783414</v>
          </cell>
          <cell r="BD149">
            <v>1.0756402515348917</v>
          </cell>
        </row>
        <row r="150">
          <cell r="AZ150" t="str">
            <v>Tonga</v>
          </cell>
          <cell r="BA150">
            <v>1.0719579849280039</v>
          </cell>
          <cell r="BB150">
            <v>0.8526041642792711</v>
          </cell>
          <cell r="BC150">
            <v>1.2401916567168252</v>
          </cell>
          <cell r="BD150">
            <v>1.0137748404008209</v>
          </cell>
        </row>
        <row r="151">
          <cell r="AZ151" t="str">
            <v>Tunisia</v>
          </cell>
          <cell r="BA151">
            <v>0.98117751282171362</v>
          </cell>
          <cell r="BB151">
            <v>1.0145831788158908</v>
          </cell>
          <cell r="BC151">
            <v>1.2466165309132302</v>
          </cell>
          <cell r="BD151">
            <v>0.77575940041470204</v>
          </cell>
        </row>
        <row r="152">
          <cell r="AZ152" t="str">
            <v>United Arab Emirates</v>
          </cell>
          <cell r="BA152">
            <v>0.68256293500451359</v>
          </cell>
          <cell r="BB152">
            <v>0.91568565786562461</v>
          </cell>
          <cell r="BC152">
            <v>0.69569850337607075</v>
          </cell>
          <cell r="BD152">
            <v>1.0714581685260156</v>
          </cell>
        </row>
        <row r="153">
          <cell r="AZ153" t="str">
            <v>Vanuatu</v>
          </cell>
          <cell r="BA153">
            <v>1.2395197036530206</v>
          </cell>
          <cell r="BB153">
            <v>0.92136430344256315</v>
          </cell>
          <cell r="BC153">
            <v>1.3808221362409103</v>
          </cell>
          <cell r="BD153">
            <v>0.97428117628984967</v>
          </cell>
        </row>
        <row r="154">
          <cell r="AZ154" t="str">
            <v>Virgin Islands</v>
          </cell>
          <cell r="BA154">
            <v>3.9595407152296773</v>
          </cell>
          <cell r="BB154">
            <v>5.0026908227991385</v>
          </cell>
          <cell r="BC154">
            <v>0.76972305340660174</v>
          </cell>
          <cell r="BD154">
            <v>1.0282687934001011</v>
          </cell>
        </row>
        <row r="155">
          <cell r="AZ155" t="str">
            <v>West Bank and Gaza</v>
          </cell>
          <cell r="BA155">
            <v>1.4795210219162584</v>
          </cell>
          <cell r="BB155">
            <v>1.0930609698509699</v>
          </cell>
          <cell r="BC155">
            <v>1.091630949006984</v>
          </cell>
          <cell r="BD155">
            <v>1.239940693170688</v>
          </cell>
        </row>
        <row r="156">
          <cell r="AZ156" t="str">
            <v>Western Samoa</v>
          </cell>
          <cell r="BA156">
            <v>2.9312740514916324</v>
          </cell>
          <cell r="BB156">
            <v>1.4471842048325723</v>
          </cell>
          <cell r="BC156">
            <v>1.8381540312614295</v>
          </cell>
          <cell r="BD156">
            <v>1.1019216315749205</v>
          </cell>
        </row>
        <row r="157">
          <cell r="AZ157" t="str">
            <v>Yemen</v>
          </cell>
          <cell r="BA157">
            <v>0.66107122004144259</v>
          </cell>
          <cell r="BB157">
            <v>0.6615473922497539</v>
          </cell>
          <cell r="BC157">
            <v>1.4359027446335406</v>
          </cell>
          <cell r="BD157">
            <v>0.6959247193120025</v>
          </cell>
        </row>
        <row r="158">
          <cell r="AZ158" t="str">
            <v>Zambia</v>
          </cell>
          <cell r="BA158">
            <v>1.4845250636034302</v>
          </cell>
          <cell r="BB158">
            <v>0.54426596210326217</v>
          </cell>
          <cell r="BC158">
            <v>2.8528956922726008</v>
          </cell>
          <cell r="BD158">
            <v>0.95607170686764598</v>
          </cell>
        </row>
        <row r="159">
          <cell r="AZ159" t="str">
            <v>Zimbabwe</v>
          </cell>
          <cell r="BA159">
            <v>0.43866465480021855</v>
          </cell>
          <cell r="BB159">
            <v>0.40322296551687348</v>
          </cell>
          <cell r="BC159">
            <v>0.77711671737775156</v>
          </cell>
          <cell r="BD159">
            <v>1.3999132747607606</v>
          </cell>
        </row>
      </sheetData>
      <sheetData sheetId="12"/>
      <sheetData sheetId="13"/>
      <sheetData sheetId="14"/>
      <sheetData sheetId="15"/>
      <sheetData sheetId="16"/>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Explanation"/>
      <sheetName val="GDP"/>
      <sheetName val="POP"/>
      <sheetName val="Interbloc Theil"/>
      <sheetName val="Global Theil"/>
      <sheetName val="Decomposition"/>
      <sheetName val="Chart Decomposition"/>
      <sheetName val="Chart Discrepancy"/>
    </sheetNames>
    <sheetDataSet>
      <sheetData sheetId="0"/>
      <sheetData sheetId="1"/>
      <sheetData sheetId="2">
        <row r="11">
          <cell r="B11" t="str" vm="7">
            <v>Australia</v>
          </cell>
          <cell r="C11" vm="8">
            <v>19652816896</v>
          </cell>
          <cell r="D11" vm="9">
            <v>19892486144</v>
          </cell>
          <cell r="E11" vm="10">
            <v>21507446784</v>
          </cell>
          <cell r="F11" vm="11">
            <v>23764140032</v>
          </cell>
          <cell r="G11" vm="12">
            <v>25936834560</v>
          </cell>
          <cell r="H11" vm="13">
            <v>27268450304</v>
          </cell>
          <cell r="I11" vm="14">
            <v>30397581312</v>
          </cell>
          <cell r="J11" vm="15">
            <v>32665473024</v>
          </cell>
          <cell r="K11" vm="16">
            <v>36628963328</v>
          </cell>
          <cell r="L11" vm="17">
            <v>41271140352</v>
          </cell>
          <cell r="M11" vm="18">
            <v>45149511680</v>
          </cell>
          <cell r="N11" vm="19">
            <v>51967291392</v>
          </cell>
          <cell r="O11" vm="20">
            <v>63737348096</v>
          </cell>
          <cell r="P11" vm="21">
            <v>88831246336</v>
          </cell>
          <cell r="Q11" vm="22">
            <v>97170554880</v>
          </cell>
          <cell r="R11" vm="23">
            <v>104921219072</v>
          </cell>
          <cell r="S11" vm="24">
            <v>110201880576</v>
          </cell>
          <cell r="T11" vm="25">
            <v>118338600960</v>
          </cell>
          <cell r="U11" vm="26">
            <v>134712033280</v>
          </cell>
          <cell r="V11" vm="27">
            <v>149774925824</v>
          </cell>
          <cell r="W11" vm="28">
            <v>176642277376</v>
          </cell>
          <cell r="X11" vm="29">
            <v>193770274816</v>
          </cell>
          <cell r="Y11" vm="30">
            <v>177030414336</v>
          </cell>
          <cell r="Z11" vm="31">
            <v>193242169344</v>
          </cell>
          <cell r="AA11" vm="32">
            <v>180234715136</v>
          </cell>
          <cell r="AB11" vm="33">
            <v>182036938752</v>
          </cell>
          <cell r="AC11" vm="34">
            <v>189060349952</v>
          </cell>
          <cell r="AD11" vm="35">
            <v>235659198464</v>
          </cell>
          <cell r="AE11" vm="36">
            <v>299267981312</v>
          </cell>
          <cell r="AF11" vm="37">
            <v>310777217024</v>
          </cell>
          <cell r="AG11" vm="38">
            <v>325310414848</v>
          </cell>
          <cell r="AH11" vm="39">
            <v>324878860288</v>
          </cell>
          <cell r="AI11" vm="40">
            <v>311544414208</v>
          </cell>
          <cell r="AJ11" vm="41">
            <v>322211676160</v>
          </cell>
          <cell r="AK11" vm="42">
            <v>367216361472</v>
          </cell>
          <cell r="AL11" vm="43">
            <v>400302735360</v>
          </cell>
          <cell r="AM11" vm="44">
            <v>434568003584</v>
          </cell>
          <cell r="AN11" vm="45">
            <v>398899150848</v>
          </cell>
          <cell r="AO11" vm="46">
            <v>388608229376</v>
          </cell>
          <cell r="AP11" vm="47">
            <v>415222628352</v>
          </cell>
          <cell r="AQ11" vm="48">
            <v>378376093696</v>
          </cell>
          <cell r="AR11" vm="49">
            <v>394648911872</v>
          </cell>
          <cell r="AS11" vm="50">
            <v>466488066048</v>
          </cell>
          <cell r="AT11" vm="51">
            <v>612490412032</v>
          </cell>
          <cell r="AU11" vm="52">
            <v>693407776768</v>
          </cell>
          <cell r="AV11" vm="53">
            <v>746054221824</v>
          </cell>
          <cell r="AW11" vm="54">
            <v>853099610112</v>
          </cell>
          <cell r="AX11" vm="55">
            <v>1053995499520</v>
          </cell>
          <cell r="AY11" vm="56">
            <v>927805210624</v>
          </cell>
          <cell r="AZ11" vm="57">
            <v>1146138525696</v>
          </cell>
          <cell r="BA11" vm="58">
            <v>1396649885696</v>
          </cell>
          <cell r="BB11" vm="59">
            <v>1546151788544</v>
          </cell>
          <cell r="BC11" vm="60">
            <v>1576184446976</v>
          </cell>
          <cell r="BD11" vm="61">
            <v>1467483684864</v>
          </cell>
          <cell r="BE11" vm="62">
            <v>1351694024704</v>
          </cell>
          <cell r="BF11" vm="63">
            <v>1208847040512</v>
          </cell>
          <cell r="BG11" vm="64">
            <v>1330135695360</v>
          </cell>
          <cell r="BH11" vm="65">
            <v>1433904349184</v>
          </cell>
          <cell r="BI11" vm="66">
            <v>1392680632320</v>
          </cell>
        </row>
        <row r="12">
          <cell r="B12" t="str" vm="67">
            <v>Austria</v>
          </cell>
          <cell r="C12" vm="68">
            <v>7311749632</v>
          </cell>
          <cell r="D12" vm="69">
            <v>7756110336</v>
          </cell>
          <cell r="E12" vm="70">
            <v>8374175232</v>
          </cell>
          <cell r="F12" vm="71">
            <v>9169983488</v>
          </cell>
          <cell r="G12" vm="72">
            <v>9994071040</v>
          </cell>
          <cell r="H12" vm="73">
            <v>10887682048</v>
          </cell>
          <cell r="I12" vm="74">
            <v>11579431936</v>
          </cell>
          <cell r="J12" vm="75">
            <v>12440625152</v>
          </cell>
          <cell r="K12" vm="76">
            <v>13582798848</v>
          </cell>
          <cell r="L12" vm="77">
            <v>15373005824</v>
          </cell>
          <cell r="M12" vm="78">
            <v>17858486272</v>
          </cell>
          <cell r="N12" vm="79">
            <v>22059612160</v>
          </cell>
          <cell r="O12" vm="80">
            <v>29515468800</v>
          </cell>
          <cell r="P12" vm="81">
            <v>35189301248</v>
          </cell>
          <cell r="Q12" vm="82">
            <v>40059207680</v>
          </cell>
          <cell r="R12" vm="83">
            <v>42959974400</v>
          </cell>
          <cell r="S12" vm="84">
            <v>51545759744</v>
          </cell>
          <cell r="T12" vm="85">
            <v>62052257792</v>
          </cell>
          <cell r="U12" vm="86">
            <v>73937297408</v>
          </cell>
          <cell r="V12" vm="87">
            <v>82058911744</v>
          </cell>
          <cell r="W12" vm="88">
            <v>71034224640</v>
          </cell>
          <cell r="X12" vm="89">
            <v>71275290624</v>
          </cell>
          <cell r="Y12" vm="90">
            <v>72121016320</v>
          </cell>
          <cell r="Z12" vm="91">
            <v>67985346560</v>
          </cell>
          <cell r="AA12" vm="92">
            <v>69386772480</v>
          </cell>
          <cell r="AB12" vm="93">
            <v>99036168192</v>
          </cell>
          <cell r="AC12" vm="94">
            <v>124168445952</v>
          </cell>
          <cell r="AD12" vm="95">
            <v>133339398144</v>
          </cell>
          <cell r="AE12" vm="96">
            <v>133105803264</v>
          </cell>
          <cell r="AF12" vm="97">
            <v>166463389696</v>
          </cell>
          <cell r="AG12" vm="98">
            <v>173794181120</v>
          </cell>
          <cell r="AH12" vm="99">
            <v>195078127616</v>
          </cell>
          <cell r="AI12" vm="100">
            <v>190379720704</v>
          </cell>
          <cell r="AJ12" vm="101">
            <v>203535237120</v>
          </cell>
          <cell r="AK12" vm="102">
            <v>241038278656</v>
          </cell>
          <cell r="AL12" vm="103">
            <v>237250953216</v>
          </cell>
          <cell r="AM12" vm="104">
            <v>212790345728</v>
          </cell>
          <cell r="AN12" vm="105">
            <v>218259898368</v>
          </cell>
          <cell r="AO12" vm="106">
            <v>217185779712</v>
          </cell>
          <cell r="AP12" vm="107">
            <v>196799774720</v>
          </cell>
          <cell r="AQ12" vm="108">
            <v>197337874432</v>
          </cell>
          <cell r="AR12" vm="109">
            <v>213377777664</v>
          </cell>
          <cell r="AS12" vm="110">
            <v>261695782912</v>
          </cell>
          <cell r="AT12" vm="111">
            <v>300904218624</v>
          </cell>
          <cell r="AU12" vm="112">
            <v>315974418432</v>
          </cell>
          <cell r="AV12" vm="113">
            <v>335998550016</v>
          </cell>
          <cell r="AW12" vm="114">
            <v>388691460096</v>
          </cell>
          <cell r="AX12" vm="115">
            <v>430294302720</v>
          </cell>
          <cell r="AY12" vm="116">
            <v>400172285952</v>
          </cell>
          <cell r="AZ12" vm="117">
            <v>391892762624</v>
          </cell>
          <cell r="BA12" vm="118">
            <v>431120318464</v>
          </cell>
          <cell r="BB12" vm="119">
            <v>409425248256</v>
          </cell>
          <cell r="BC12" vm="120">
            <v>430068727808</v>
          </cell>
          <cell r="BD12" vm="121">
            <v>441996115968</v>
          </cell>
          <cell r="BE12" vm="122">
            <v>381817552896</v>
          </cell>
          <cell r="BF12" vm="123">
            <v>395227693056</v>
          </cell>
          <cell r="BG12" vm="124">
            <v>418316156928</v>
          </cell>
          <cell r="BH12" vm="125">
            <v>455508262912</v>
          </cell>
          <cell r="BI12" vm="126">
            <v>446314741760</v>
          </cell>
        </row>
        <row r="13">
          <cell r="B13" t="str" vm="127">
            <v>Belgium</v>
          </cell>
          <cell r="C13" vm="128">
            <v>12400145408</v>
          </cell>
          <cell r="D13" vm="129">
            <v>13264015360</v>
          </cell>
          <cell r="E13" vm="130">
            <v>14260017152</v>
          </cell>
          <cell r="F13" vm="131">
            <v>15960107008</v>
          </cell>
          <cell r="G13" vm="132">
            <v>17371457536</v>
          </cell>
          <cell r="H13" vm="133">
            <v>18651883520</v>
          </cell>
          <cell r="I13" vm="134">
            <v>19992041472</v>
          </cell>
          <cell r="J13" vm="135">
            <v>21376352256</v>
          </cell>
          <cell r="K13" vm="136">
            <v>23710736384</v>
          </cell>
          <cell r="L13" vm="137">
            <v>26706196480</v>
          </cell>
          <cell r="M13" vm="138">
            <v>29821661184</v>
          </cell>
          <cell r="N13" vm="139">
            <v>37209419776</v>
          </cell>
          <cell r="O13" vm="140">
            <v>47743803392</v>
          </cell>
          <cell r="P13" vm="141">
            <v>56033079296</v>
          </cell>
          <cell r="Q13" vm="142">
            <v>65678188544</v>
          </cell>
          <cell r="R13" vm="143">
            <v>71113883648</v>
          </cell>
          <cell r="S13" vm="144">
            <v>82839904256</v>
          </cell>
          <cell r="T13" vm="145">
            <v>101246525440</v>
          </cell>
          <cell r="U13" vm="146">
            <v>116315455488</v>
          </cell>
          <cell r="V13" vm="147">
            <v>126829314048</v>
          </cell>
          <cell r="W13" vm="148">
            <v>104730017792</v>
          </cell>
          <cell r="X13" vm="149">
            <v>92095930368</v>
          </cell>
          <cell r="Y13" vm="150">
            <v>87184236544</v>
          </cell>
          <cell r="Z13" vm="151">
            <v>83349528576</v>
          </cell>
          <cell r="AA13" vm="152">
            <v>86268264448</v>
          </cell>
          <cell r="AB13" vm="153">
            <v>120018788352</v>
          </cell>
          <cell r="AC13" vm="154">
            <v>149394407424</v>
          </cell>
          <cell r="AD13" vm="155">
            <v>162299101184</v>
          </cell>
          <cell r="AE13" vm="156">
            <v>164221059072</v>
          </cell>
          <cell r="AF13" vm="157">
            <v>205331742720</v>
          </cell>
          <cell r="AG13" vm="158">
            <v>210511003648</v>
          </cell>
          <cell r="AH13" vm="159">
            <v>234781655040</v>
          </cell>
          <cell r="AI13" vm="160">
            <v>224721797120</v>
          </cell>
          <cell r="AJ13" vm="161">
            <v>244884127744</v>
          </cell>
          <cell r="AK13" vm="162">
            <v>288025575424</v>
          </cell>
          <cell r="AL13" vm="163">
            <v>279201447936</v>
          </cell>
          <cell r="AM13" vm="164">
            <v>252708044800</v>
          </cell>
          <cell r="AN13" vm="165">
            <v>258528346112</v>
          </cell>
          <cell r="AO13" vm="166">
            <v>258158526464</v>
          </cell>
          <cell r="AP13" vm="167">
            <v>236204539904</v>
          </cell>
          <cell r="AQ13" vm="168">
            <v>236541296640</v>
          </cell>
          <cell r="AR13" vm="169">
            <v>257157824512</v>
          </cell>
          <cell r="AS13" vm="170">
            <v>317381705728</v>
          </cell>
          <cell r="AT13" vm="171">
            <v>368537010176</v>
          </cell>
          <cell r="AU13" vm="172">
            <v>385570963456</v>
          </cell>
          <cell r="AV13" vm="173">
            <v>407918084096</v>
          </cell>
          <cell r="AW13" vm="174">
            <v>470324248576</v>
          </cell>
          <cell r="AX13" vm="175">
            <v>515223519232</v>
          </cell>
          <cell r="AY13" vm="176">
            <v>481345929216</v>
          </cell>
          <cell r="AZ13" vm="177">
            <v>480951631872</v>
          </cell>
          <cell r="BA13" vm="178">
            <v>522645504000</v>
          </cell>
          <cell r="BB13" vm="179">
            <v>496181248000</v>
          </cell>
          <cell r="BC13" vm="180">
            <v>521642704896</v>
          </cell>
          <cell r="BD13" vm="181">
            <v>534678077440</v>
          </cell>
          <cell r="BE13" vm="182">
            <v>462149681152</v>
          </cell>
          <cell r="BF13" vm="183">
            <v>475900870656</v>
          </cell>
          <cell r="BG13" vm="184">
            <v>503788765184</v>
          </cell>
          <cell r="BH13" vm="185">
            <v>542685921280</v>
          </cell>
          <cell r="BI13" vm="186">
            <v>529606705152</v>
          </cell>
        </row>
        <row r="14">
          <cell r="B14" t="str" vm="187">
            <v>Finland</v>
          </cell>
          <cell r="C14" vm="188">
            <v>5921659392</v>
          </cell>
          <cell r="D14" vm="189">
            <v>6340580864</v>
          </cell>
          <cell r="E14" vm="190">
            <v>6885920256</v>
          </cell>
          <cell r="F14" vm="191">
            <v>7766654976</v>
          </cell>
          <cell r="G14" vm="192">
            <v>8589340160</v>
          </cell>
          <cell r="H14" vm="193">
            <v>9208524800</v>
          </cell>
          <cell r="I14" vm="194">
            <v>9368953856</v>
          </cell>
          <cell r="J14" vm="195">
            <v>8823033856</v>
          </cell>
          <cell r="K14" vm="196">
            <v>10070766592</v>
          </cell>
          <cell r="L14" vm="197">
            <v>11357516800</v>
          </cell>
          <cell r="M14" vm="198">
            <v>12527405056</v>
          </cell>
          <cell r="N14" vm="199">
            <v>14743185408</v>
          </cell>
          <cell r="O14" vm="200">
            <v>19472363520</v>
          </cell>
          <cell r="P14" vm="201">
            <v>24848822272</v>
          </cell>
          <cell r="Q14" vm="202">
            <v>29472624640</v>
          </cell>
          <cell r="R14" vm="203">
            <v>31849515008</v>
          </cell>
          <cell r="S14" vm="204">
            <v>33499799552</v>
          </cell>
          <cell r="T14" vm="205">
            <v>36256161792</v>
          </cell>
          <cell r="U14" vm="206">
            <v>44465254400</v>
          </cell>
          <cell r="V14" vm="207">
            <v>53645201408</v>
          </cell>
          <cell r="W14" vm="208">
            <v>52448333824</v>
          </cell>
          <cell r="X14" vm="209">
            <v>52797583360</v>
          </cell>
          <cell r="Y14" vm="210">
            <v>50973528064</v>
          </cell>
          <cell r="Z14" vm="211">
            <v>52888801280</v>
          </cell>
          <cell r="AA14" vm="212">
            <v>55875862528</v>
          </cell>
          <cell r="AB14" vm="213">
            <v>73531547648</v>
          </cell>
          <cell r="AC14" vm="214">
            <v>91594752000</v>
          </cell>
          <cell r="AD14" vm="215">
            <v>109058990080</v>
          </cell>
          <cell r="AE14" vm="216">
            <v>119012057088</v>
          </cell>
          <cell r="AF14" vm="217">
            <v>141438353408</v>
          </cell>
          <cell r="AG14" vm="218">
            <v>127773859840</v>
          </cell>
          <cell r="AH14" vm="219">
            <v>112532520960</v>
          </cell>
          <cell r="AI14" vm="220">
            <v>89214115840</v>
          </cell>
          <cell r="AJ14" vm="221">
            <v>103299940352</v>
          </cell>
          <cell r="AK14" vm="222">
            <v>134189817856</v>
          </cell>
          <cell r="AL14" vm="223">
            <v>132129177600</v>
          </cell>
          <cell r="AM14" vm="224">
            <v>126912151552</v>
          </cell>
          <cell r="AN14" vm="225">
            <v>134038716416</v>
          </cell>
          <cell r="AO14" vm="226">
            <v>135218413568</v>
          </cell>
          <cell r="AP14" vm="227">
            <v>125706649600</v>
          </cell>
          <cell r="AQ14" vm="228">
            <v>129421025280</v>
          </cell>
          <cell r="AR14" vm="229">
            <v>139738382336</v>
          </cell>
          <cell r="AS14" vm="230">
            <v>171274272768</v>
          </cell>
          <cell r="AT14" vm="231">
            <v>197116952576</v>
          </cell>
          <cell r="AU14" vm="232">
            <v>204809109504</v>
          </cell>
          <cell r="AV14" vm="233">
            <v>216907546624</v>
          </cell>
          <cell r="AW14" vm="234">
            <v>256052559872</v>
          </cell>
          <cell r="AX14" vm="235">
            <v>284553969664</v>
          </cell>
          <cell r="AY14" vm="236">
            <v>252496527360</v>
          </cell>
          <cell r="AZ14" vm="237">
            <v>249181192192</v>
          </cell>
          <cell r="BA14" vm="238">
            <v>275243696128</v>
          </cell>
          <cell r="BB14" vm="239">
            <v>258304835584</v>
          </cell>
          <cell r="BC14" vm="240">
            <v>271285272576</v>
          </cell>
          <cell r="BD14" vm="241">
            <v>274497224704</v>
          </cell>
          <cell r="BE14" vm="242">
            <v>234440081408</v>
          </cell>
          <cell r="BF14" vm="243">
            <v>240607903744</v>
          </cell>
          <cell r="BG14" vm="244">
            <v>255122538496</v>
          </cell>
          <cell r="BH14" vm="245">
            <v>275893682176</v>
          </cell>
          <cell r="BI14" vm="246">
            <v>268761202688</v>
          </cell>
        </row>
        <row r="15">
          <cell r="B15" t="str" vm="247">
            <v>France</v>
          </cell>
          <cell r="C15" vm="248">
            <v>67461644288</v>
          </cell>
          <cell r="D15" vm="249">
            <v>75607531520</v>
          </cell>
          <cell r="E15" vm="250">
            <v>84759191552</v>
          </cell>
          <cell r="F15" vm="251">
            <v>94007853056</v>
          </cell>
          <cell r="G15" vm="252">
            <v>101537251328</v>
          </cell>
          <cell r="H15" vm="253">
            <v>110045855744</v>
          </cell>
          <cell r="I15" vm="254">
            <v>118972981248</v>
          </cell>
          <cell r="J15" vm="255">
            <v>129785438208</v>
          </cell>
          <cell r="K15" vm="256">
            <v>141903069184</v>
          </cell>
          <cell r="L15" vm="257">
            <v>148456357888</v>
          </cell>
          <cell r="M15" vm="258">
            <v>165966610432</v>
          </cell>
          <cell r="N15" vm="259">
            <v>203494146048</v>
          </cell>
          <cell r="O15" vm="260">
            <v>264429879296</v>
          </cell>
          <cell r="P15" vm="261">
            <v>285552377856</v>
          </cell>
          <cell r="Q15" vm="262">
            <v>360832172032</v>
          </cell>
          <cell r="R15" vm="263">
            <v>372319027200</v>
          </cell>
          <cell r="S15" vm="264">
            <v>410279477248</v>
          </cell>
          <cell r="T15" vm="265">
            <v>506707836928</v>
          </cell>
          <cell r="U15" vm="266">
            <v>613953110016</v>
          </cell>
          <cell r="V15" vm="267">
            <v>701288415232</v>
          </cell>
          <cell r="W15" vm="268">
            <v>615552188416</v>
          </cell>
          <cell r="X15" vm="269">
            <v>584877735936</v>
          </cell>
          <cell r="Y15" vm="270">
            <v>559869198336</v>
          </cell>
          <cell r="Z15" vm="271">
            <v>530683789312</v>
          </cell>
          <cell r="AA15" vm="272">
            <v>553138388992</v>
          </cell>
          <cell r="AB15" vm="273">
            <v>771470786560</v>
          </cell>
          <cell r="AC15" vm="274">
            <v>934173278208</v>
          </cell>
          <cell r="AD15" vm="275">
            <v>1018847035392</v>
          </cell>
          <cell r="AE15" vm="276">
            <v>1025211826176</v>
          </cell>
          <cell r="AF15" vm="277">
            <v>1269179613184</v>
          </cell>
          <cell r="AG15" vm="278">
            <v>1269276868608</v>
          </cell>
          <cell r="AH15" vm="279">
            <v>1401465864192</v>
          </cell>
          <cell r="AI15" vm="280">
            <v>1322815586304</v>
          </cell>
          <cell r="AJ15" vm="281">
            <v>1393982701568</v>
          </cell>
          <cell r="AK15" vm="282">
            <v>1601094811648</v>
          </cell>
          <cell r="AL15" vm="283">
            <v>1605675122688</v>
          </cell>
          <cell r="AM15" vm="284">
            <v>1452884885504</v>
          </cell>
          <cell r="AN15" vm="285">
            <v>1503108792320</v>
          </cell>
          <cell r="AO15" vm="286">
            <v>1492647542784</v>
          </cell>
          <cell r="AP15" vm="287">
            <v>1362248990720</v>
          </cell>
          <cell r="AQ15" vm="288">
            <v>1376465321984</v>
          </cell>
          <cell r="AR15" vm="289">
            <v>1494286598144</v>
          </cell>
          <cell r="AS15" vm="290">
            <v>1840480780288</v>
          </cell>
          <cell r="AT15" vm="291">
            <v>2115742466048</v>
          </cell>
          <cell r="AU15" vm="292">
            <v>2196126040064</v>
          </cell>
          <cell r="AV15" vm="293">
            <v>2318593687552</v>
          </cell>
          <cell r="AW15" vm="294">
            <v>2657213218816</v>
          </cell>
          <cell r="AX15" vm="295">
            <v>2918382829568</v>
          </cell>
          <cell r="AY15" vm="296">
            <v>2690222391296</v>
          </cell>
          <cell r="AZ15" vm="297">
            <v>2642609438720</v>
          </cell>
          <cell r="BA15" vm="298">
            <v>2861408190464</v>
          </cell>
          <cell r="BB15" vm="299">
            <v>2683825291264</v>
          </cell>
          <cell r="BC15" vm="300">
            <v>2811077853184</v>
          </cell>
          <cell r="BD15" vm="301">
            <v>2852165779456</v>
          </cell>
          <cell r="BE15" vm="302">
            <v>2438207897600</v>
          </cell>
          <cell r="BF15" vm="303">
            <v>2471285489664</v>
          </cell>
          <cell r="BG15" vm="304">
            <v>2595151151104</v>
          </cell>
          <cell r="BH15" vm="305">
            <v>2787863953408</v>
          </cell>
          <cell r="BI15" vm="306">
            <v>2715518238720</v>
          </cell>
        </row>
        <row r="16">
          <cell r="B16" t="str" vm="307">
            <v>Greece</v>
          </cell>
          <cell r="C16" vm="308">
            <v>4961400320</v>
          </cell>
          <cell r="D16" vm="309">
            <v>5213047808</v>
          </cell>
          <cell r="E16" vm="310">
            <v>5895278080</v>
          </cell>
          <cell r="F16" vm="311">
            <v>6669673472</v>
          </cell>
          <cell r="G16" vm="312">
            <v>7689154048</v>
          </cell>
          <cell r="H16" vm="313">
            <v>8591517696</v>
          </cell>
          <cell r="I16" vm="314">
            <v>9275600896</v>
          </cell>
          <cell r="J16" vm="315">
            <v>10090676224</v>
          </cell>
          <cell r="K16" vm="316">
            <v>11615656960</v>
          </cell>
          <cell r="L16" vm="317">
            <v>13139862528</v>
          </cell>
          <cell r="M16" vm="318">
            <v>14591755264</v>
          </cell>
          <cell r="N16" vm="319">
            <v>16885507072</v>
          </cell>
          <cell r="O16" vm="320">
            <v>22347845632</v>
          </cell>
          <cell r="P16" vm="321">
            <v>25351305216</v>
          </cell>
          <cell r="Q16" vm="322">
            <v>28525873152</v>
          </cell>
          <cell r="R16" vm="323">
            <v>31152840704</v>
          </cell>
          <cell r="S16" vm="324">
            <v>36176232448</v>
          </cell>
          <cell r="T16" vm="325">
            <v>44270202880</v>
          </cell>
          <cell r="U16" vm="326">
            <v>54481874944</v>
          </cell>
          <cell r="V16" vm="327">
            <v>56829665280</v>
          </cell>
          <cell r="W16" vm="328">
            <v>52346507264</v>
          </cell>
          <cell r="X16" vm="329">
            <v>54617993216</v>
          </cell>
          <cell r="Y16" vm="330">
            <v>49428873216</v>
          </cell>
          <cell r="Z16" vm="331">
            <v>48020025344</v>
          </cell>
          <cell r="AA16" vm="332">
            <v>47820849152</v>
          </cell>
          <cell r="AB16" vm="333">
            <v>56379592704</v>
          </cell>
          <cell r="AC16" vm="334">
            <v>65652752384</v>
          </cell>
          <cell r="AD16" vm="335">
            <v>76261277696</v>
          </cell>
          <cell r="AE16" vm="336">
            <v>79169044480</v>
          </cell>
          <cell r="AF16" vm="337">
            <v>97891090432</v>
          </cell>
          <cell r="AG16" vm="338">
            <v>105143230464</v>
          </cell>
          <cell r="AH16" vm="339">
            <v>116224671744</v>
          </cell>
          <cell r="AI16" vm="340">
            <v>108809060352</v>
          </cell>
          <cell r="AJ16" vm="341">
            <v>116601798656</v>
          </cell>
          <cell r="AK16" vm="342">
            <v>136878366720</v>
          </cell>
          <cell r="AL16" vm="343">
            <v>145861607424</v>
          </cell>
          <cell r="AM16" vm="344">
            <v>143157592064</v>
          </cell>
          <cell r="AN16" vm="345">
            <v>144428171264</v>
          </cell>
          <cell r="AO16" vm="346">
            <v>142540734464</v>
          </cell>
          <cell r="AP16" vm="347">
            <v>130133843968</v>
          </cell>
          <cell r="AQ16" vm="348">
            <v>136191352832</v>
          </cell>
          <cell r="AR16" vm="349">
            <v>153830948864</v>
          </cell>
          <cell r="AS16" vm="350">
            <v>201924263936</v>
          </cell>
          <cell r="AT16" vm="351">
            <v>240521265152</v>
          </cell>
          <cell r="AU16" vm="352">
            <v>247782998016</v>
          </cell>
          <cell r="AV16" vm="353">
            <v>273317740544</v>
          </cell>
          <cell r="AW16" vm="354">
            <v>318497947648</v>
          </cell>
          <cell r="AX16" vm="355">
            <v>354460794880</v>
          </cell>
          <cell r="AY16" vm="356">
            <v>330000236544</v>
          </cell>
          <cell r="AZ16" vm="357">
            <v>299361566720</v>
          </cell>
          <cell r="BA16" vm="358">
            <v>287797837824</v>
          </cell>
          <cell r="BB16" vm="359">
            <v>245670674432</v>
          </cell>
          <cell r="BC16" vm="360">
            <v>239862005760</v>
          </cell>
          <cell r="BD16" vm="361">
            <v>237029572608</v>
          </cell>
          <cell r="BE16" vm="362">
            <v>196591353856</v>
          </cell>
          <cell r="BF16" vm="363">
            <v>195222437888</v>
          </cell>
          <cell r="BG16" vm="364">
            <v>203588419584</v>
          </cell>
          <cell r="BH16" vm="365">
            <v>218138361856</v>
          </cell>
          <cell r="BI16" vm="366">
            <v>209852760064</v>
          </cell>
        </row>
        <row r="17">
          <cell r="B17" t="str" vm="367">
            <v>Israel</v>
          </cell>
          <cell r="C17" vm="368">
            <v>3138500096</v>
          </cell>
          <cell r="D17" vm="369">
            <v>2510000128</v>
          </cell>
          <cell r="E17" vm="370">
            <v>2992333312</v>
          </cell>
          <cell r="F17" vm="371">
            <v>3405333248</v>
          </cell>
          <cell r="G17" vm="372">
            <v>3663333376</v>
          </cell>
          <cell r="H17" vm="373">
            <v>3980000000</v>
          </cell>
          <cell r="I17" vm="374">
            <v>4030000128</v>
          </cell>
          <cell r="J17" vm="375">
            <v>4618999808</v>
          </cell>
          <cell r="K17" vm="376">
            <v>5329333248</v>
          </cell>
          <cell r="L17" vm="377">
            <v>7048666624</v>
          </cell>
          <cell r="M17" vm="378">
            <v>6711750144</v>
          </cell>
          <cell r="N17" vm="379">
            <v>8775249920</v>
          </cell>
          <cell r="O17" vm="380">
            <v>11326249984</v>
          </cell>
          <cell r="P17" vm="381">
            <v>16341000192</v>
          </cell>
          <cell r="Q17" vm="382">
            <v>15360166912</v>
          </cell>
          <cell r="R17" vm="383">
            <v>15183125504</v>
          </cell>
          <cell r="S17" vm="384">
            <v>17372798976</v>
          </cell>
          <cell r="T17" vm="385">
            <v>16843176960</v>
          </cell>
          <cell r="U17" vm="386">
            <v>21514080256</v>
          </cell>
          <cell r="V17" vm="387">
            <v>24164509696</v>
          </cell>
          <cell r="W17" vm="388">
            <v>25579227136</v>
          </cell>
          <cell r="X17" vm="389">
            <v>27837509632</v>
          </cell>
          <cell r="Y17" vm="390">
            <v>31092230144</v>
          </cell>
          <cell r="Z17" vm="391">
            <v>29160458240</v>
          </cell>
          <cell r="AA17" vm="392">
            <v>27504906240</v>
          </cell>
          <cell r="AB17" vm="393">
            <v>34097559552</v>
          </cell>
          <cell r="AC17" vm="394">
            <v>40963276800</v>
          </cell>
          <cell r="AD17" vm="395">
            <v>50099380224</v>
          </cell>
          <cell r="AE17" vm="396">
            <v>49901961216</v>
          </cell>
          <cell r="AF17" vm="397">
            <v>59011272704</v>
          </cell>
          <cell r="AG17" vm="398">
            <v>67558014976</v>
          </cell>
          <cell r="AH17" vm="399">
            <v>75607007232</v>
          </cell>
          <cell r="AI17" vm="400">
            <v>75985903616</v>
          </cell>
          <cell r="AJ17" vm="401">
            <v>86342656000</v>
          </cell>
          <cell r="AK17" vm="402">
            <v>100384808960</v>
          </cell>
          <cell r="AL17" vm="403">
            <v>109995843584</v>
          </cell>
          <cell r="AM17" vm="404">
            <v>114692620288</v>
          </cell>
          <cell r="AN17" vm="405">
            <v>115932848128</v>
          </cell>
          <cell r="AO17" vm="406">
            <v>117111537664</v>
          </cell>
          <cell r="AP17" vm="407">
            <v>132343046144</v>
          </cell>
          <cell r="AQ17" vm="408">
            <v>130756337664</v>
          </cell>
          <cell r="AR17" vm="409">
            <v>121123831808</v>
          </cell>
          <cell r="AS17" vm="410">
            <v>126965981184</v>
          </cell>
          <cell r="AT17" vm="411">
            <v>135477428224</v>
          </cell>
          <cell r="AU17" vm="412">
            <v>142528905216</v>
          </cell>
          <cell r="AV17" vm="413">
            <v>154034323456</v>
          </cell>
          <cell r="AW17" vm="414">
            <v>178959187968</v>
          </cell>
          <cell r="AX17" vm="415">
            <v>216105172992</v>
          </cell>
          <cell r="AY17" vm="416">
            <v>207468167168</v>
          </cell>
          <cell r="AZ17" vm="417">
            <v>233995681792</v>
          </cell>
          <cell r="BA17" vm="418">
            <v>261468635136</v>
          </cell>
          <cell r="BB17" vm="419">
            <v>257180139520</v>
          </cell>
          <cell r="BC17" vm="420">
            <v>292636164096</v>
          </cell>
          <cell r="BD17" vm="421">
            <v>309558444032</v>
          </cell>
          <cell r="BE17" vm="422">
            <v>299813109760</v>
          </cell>
          <cell r="BF17" vm="423">
            <v>318950604800</v>
          </cell>
          <cell r="BG17" vm="424">
            <v>353253392384</v>
          </cell>
          <cell r="BH17" vm="425">
            <v>370587992064</v>
          </cell>
          <cell r="BI17" vm="426">
            <v>395098652672</v>
          </cell>
        </row>
        <row r="18">
          <cell r="B18" t="str" vm="427">
            <v>Italy</v>
          </cell>
          <cell r="C18" vm="428">
            <v>44842762240</v>
          </cell>
          <cell r="D18" vm="429">
            <v>50383892480</v>
          </cell>
          <cell r="E18" vm="430">
            <v>57710743552</v>
          </cell>
          <cell r="F18" vm="431">
            <v>63175417856</v>
          </cell>
          <cell r="G18" vm="432">
            <v>67978153984</v>
          </cell>
          <cell r="H18" vm="433">
            <v>73654870016</v>
          </cell>
          <cell r="I18" vm="434">
            <v>81133117440</v>
          </cell>
          <cell r="J18" vm="435">
            <v>87942234112</v>
          </cell>
          <cell r="K18" vm="436">
            <v>97085079552</v>
          </cell>
          <cell r="L18" vm="437">
            <v>113395318784</v>
          </cell>
          <cell r="M18" vm="438">
            <v>124672368640</v>
          </cell>
          <cell r="N18" vm="439">
            <v>145260036096</v>
          </cell>
          <cell r="O18" vm="440">
            <v>175492055040</v>
          </cell>
          <cell r="P18" vm="441">
            <v>199564492800</v>
          </cell>
          <cell r="Q18" vm="442">
            <v>227695853568</v>
          </cell>
          <cell r="R18" vm="443">
            <v>224717275136</v>
          </cell>
          <cell r="S18" vm="444">
            <v>257596309504</v>
          </cell>
          <cell r="T18" vm="445">
            <v>315058323456</v>
          </cell>
          <cell r="U18" vm="446">
            <v>393677176832</v>
          </cell>
          <cell r="V18" vm="447">
            <v>477256777728</v>
          </cell>
          <cell r="W18" vm="448">
            <v>430702854144</v>
          </cell>
          <cell r="X18" vm="449">
            <v>427272634368</v>
          </cell>
          <cell r="Y18" vm="450">
            <v>443042365440</v>
          </cell>
          <cell r="Z18" vm="451">
            <v>437887696896</v>
          </cell>
          <cell r="AA18" vm="452">
            <v>452217503744</v>
          </cell>
          <cell r="AB18" vm="453">
            <v>640386334720</v>
          </cell>
          <cell r="AC18" vm="454">
            <v>805713149952</v>
          </cell>
          <cell r="AD18" vm="455">
            <v>891608956928</v>
          </cell>
          <cell r="AE18" vm="456">
            <v>928661307392</v>
          </cell>
          <cell r="AF18" vm="457">
            <v>1181222699008</v>
          </cell>
          <cell r="AG18" vm="458">
            <v>1246220124160</v>
          </cell>
          <cell r="AH18" vm="459">
            <v>1320161640448</v>
          </cell>
          <cell r="AI18" vm="460">
            <v>1064958099456</v>
          </cell>
          <cell r="AJ18" vm="461">
            <v>1099216715776</v>
          </cell>
          <cell r="AK18" vm="462">
            <v>1174662021120</v>
          </cell>
          <cell r="AL18" vm="463">
            <v>1312426557440</v>
          </cell>
          <cell r="AM18" vm="464">
            <v>1241879543808</v>
          </cell>
          <cell r="AN18" vm="465">
            <v>1270052552704</v>
          </cell>
          <cell r="AO18" vm="466">
            <v>1252023730176</v>
          </cell>
          <cell r="AP18" vm="467">
            <v>1143829823488</v>
          </cell>
          <cell r="AQ18" vm="468">
            <v>1167012790272</v>
          </cell>
          <cell r="AR18" vm="469">
            <v>1270712369152</v>
          </cell>
          <cell r="AS18" vm="470">
            <v>1574145884160</v>
          </cell>
          <cell r="AT18" vm="471">
            <v>1803226972160</v>
          </cell>
          <cell r="AU18" vm="472">
            <v>1857524334592</v>
          </cell>
          <cell r="AV18" vm="473">
            <v>1947919712256</v>
          </cell>
          <cell r="AW18" vm="474">
            <v>2210292563968</v>
          </cell>
          <cell r="AX18" vm="475">
            <v>2398856675328</v>
          </cell>
          <cell r="AY18" vm="476">
            <v>2191241904128</v>
          </cell>
          <cell r="AZ18" vm="477">
            <v>2134017835008</v>
          </cell>
          <cell r="BA18" vm="478">
            <v>2291991052288</v>
          </cell>
          <cell r="BB18" vm="479">
            <v>2087077019648</v>
          </cell>
          <cell r="BC18" vm="480">
            <v>2141315268608</v>
          </cell>
          <cell r="BD18" vm="481">
            <v>2159133982720</v>
          </cell>
          <cell r="BE18" vm="482">
            <v>1835899289600</v>
          </cell>
          <cell r="BF18" vm="483">
            <v>1875797475328</v>
          </cell>
          <cell r="BG18" vm="484">
            <v>1961796173824</v>
          </cell>
          <cell r="BH18" vm="485">
            <v>2085764333568</v>
          </cell>
          <cell r="BI18" vm="486">
            <v>2001244389376</v>
          </cell>
        </row>
        <row r="19">
          <cell r="B19" t="str" vm="487">
            <v>Japan</v>
          </cell>
          <cell r="C19" vm="488">
            <v>53508616192</v>
          </cell>
          <cell r="D19" vm="489">
            <v>60723019776</v>
          </cell>
          <cell r="E19" vm="490">
            <v>69498134528</v>
          </cell>
          <cell r="F19" vm="491">
            <v>81749008384</v>
          </cell>
          <cell r="G19" vm="492">
            <v>90950279168</v>
          </cell>
          <cell r="H19" vm="493">
            <v>105628073984</v>
          </cell>
          <cell r="I19" vm="494">
            <v>123781881856</v>
          </cell>
          <cell r="J19" vm="495">
            <v>146601066496</v>
          </cell>
          <cell r="K19" vm="496">
            <v>172204195840</v>
          </cell>
          <cell r="L19" vm="497">
            <v>212609187840</v>
          </cell>
          <cell r="M19" vm="498">
            <v>240151805952</v>
          </cell>
          <cell r="N19" vm="499">
            <v>318031298560</v>
          </cell>
          <cell r="O19" vm="500">
            <v>432082681856</v>
          </cell>
          <cell r="P19" vm="501">
            <v>479626002432</v>
          </cell>
          <cell r="Q19" vm="502">
            <v>521541910528</v>
          </cell>
          <cell r="R19" vm="503">
            <v>586161848320</v>
          </cell>
          <cell r="S19" vm="504">
            <v>721411768320</v>
          </cell>
          <cell r="T19" vm="505">
            <v>1013612150784</v>
          </cell>
          <cell r="U19" vm="506">
            <v>1055012093952</v>
          </cell>
          <cell r="V19" vm="507">
            <v>1105386012672</v>
          </cell>
          <cell r="W19" vm="508">
            <v>1218988998656</v>
          </cell>
          <cell r="X19" vm="509">
            <v>1134517944320</v>
          </cell>
          <cell r="Y19" vm="510">
            <v>1243323564032</v>
          </cell>
          <cell r="Z19" vm="511">
            <v>1318381682688</v>
          </cell>
          <cell r="AA19" vm="512">
            <v>1398892789760</v>
          </cell>
          <cell r="AB19" vm="513">
            <v>2078953308160</v>
          </cell>
          <cell r="AC19" vm="514">
            <v>2532808589312</v>
          </cell>
          <cell r="AD19" vm="515">
            <v>3071683067904</v>
          </cell>
          <cell r="AE19" vm="516">
            <v>3054914240512</v>
          </cell>
          <cell r="AF19" vm="517">
            <v>3132817670144</v>
          </cell>
          <cell r="AG19" vm="518">
            <v>3584419954688</v>
          </cell>
          <cell r="AH19" vm="519">
            <v>3908809523200</v>
          </cell>
          <cell r="AI19" vm="520">
            <v>4454143754240</v>
          </cell>
          <cell r="AJ19" vm="521">
            <v>4907039457280</v>
          </cell>
          <cell r="AK19" vm="522">
            <v>5449116549120</v>
          </cell>
          <cell r="AL19" vm="523">
            <v>4833712537600</v>
          </cell>
          <cell r="AM19" vm="524">
            <v>4414733025280</v>
          </cell>
          <cell r="AN19" vm="525">
            <v>4032509771776</v>
          </cell>
          <cell r="AO19" vm="526">
            <v>4562078924800</v>
          </cell>
          <cell r="AP19" vm="527">
            <v>4887519690752</v>
          </cell>
          <cell r="AQ19" vm="528">
            <v>4303544385536</v>
          </cell>
          <cell r="AR19" vm="529">
            <v>4115116326912</v>
          </cell>
          <cell r="AS19" vm="530">
            <v>4445658152960</v>
          </cell>
          <cell r="AT19" vm="531">
            <v>4815149072384</v>
          </cell>
          <cell r="AU19" vm="532">
            <v>4755410649088</v>
          </cell>
          <cell r="AV19" vm="533">
            <v>4530377326592</v>
          </cell>
          <cell r="AW19" vm="534">
            <v>4515264724992</v>
          </cell>
          <cell r="AX19" vm="535">
            <v>5037908557824</v>
          </cell>
          <cell r="AY19" vm="536">
            <v>5231382888448</v>
          </cell>
          <cell r="AZ19" vm="537">
            <v>5700097933312</v>
          </cell>
          <cell r="BA19" vm="538">
            <v>6157459521536</v>
          </cell>
          <cell r="BB19" vm="539">
            <v>6203213086720</v>
          </cell>
          <cell r="BC19" vm="540">
            <v>5155717120000</v>
          </cell>
          <cell r="BD19" vm="541">
            <v>4850413731840</v>
          </cell>
          <cell r="BE19" vm="542">
            <v>4389475713024</v>
          </cell>
          <cell r="BF19" vm="543">
            <v>4922537934848</v>
          </cell>
          <cell r="BG19" vm="544">
            <v>4866864316416</v>
          </cell>
          <cell r="BH19" vm="545">
            <v>4954806812672</v>
          </cell>
          <cell r="BI19" vm="546">
            <v>5081769443328</v>
          </cell>
        </row>
        <row r="20">
          <cell r="B20" t="str" vm="547">
            <v>Luxemburg</v>
          </cell>
          <cell r="C20" vm="548">
            <v>704145664</v>
          </cell>
          <cell r="D20" vm="549">
            <v>741509504</v>
          </cell>
          <cell r="E20" vm="550">
            <v>791140608</v>
          </cell>
          <cell r="F20" vm="551">
            <v>903158784</v>
          </cell>
          <cell r="G20" vm="552">
            <v>921600768</v>
          </cell>
          <cell r="H20" vm="553">
            <v>968440128</v>
          </cell>
          <cell r="I20" vm="554">
            <v>974721792</v>
          </cell>
          <cell r="J20" vm="555">
            <v>1066447104</v>
          </cell>
          <cell r="K20" vm="556">
            <v>1234878976</v>
          </cell>
          <cell r="L20" vm="557">
            <v>1509155072</v>
          </cell>
          <cell r="M20" vm="558">
            <v>1572310784</v>
          </cell>
          <cell r="N20" vm="559">
            <v>1968733056</v>
          </cell>
          <cell r="O20" vm="560">
            <v>2701874688</v>
          </cell>
          <cell r="P20" vm="561">
            <v>3295860992</v>
          </cell>
          <cell r="Q20" vm="562">
            <v>3233431552</v>
          </cell>
          <cell r="R20" vm="563">
            <v>3544268032</v>
          </cell>
          <cell r="S20" vm="564">
            <v>3922895872</v>
          </cell>
          <cell r="T20" vm="565">
            <v>4884869120</v>
          </cell>
          <cell r="U20" vm="566">
            <v>5711457792</v>
          </cell>
          <cell r="V20" vm="567">
            <v>6232005632</v>
          </cell>
          <cell r="W20" vm="568">
            <v>5231808512</v>
          </cell>
          <cell r="X20" vm="569">
            <v>4764549632</v>
          </cell>
          <cell r="Y20" vm="570">
            <v>4683697664</v>
          </cell>
          <cell r="Z20" vm="571">
            <v>4594891776</v>
          </cell>
          <cell r="AA20" vm="572">
            <v>4738559488</v>
          </cell>
          <cell r="AB20" vm="573">
            <v>6921264128</v>
          </cell>
          <cell r="AC20" vm="574">
            <v>8614215680</v>
          </cell>
          <cell r="AD20" vm="575">
            <v>9750161408</v>
          </cell>
          <cell r="AE20" vm="576">
            <v>10391504896</v>
          </cell>
          <cell r="AF20" vm="577">
            <v>13229247488</v>
          </cell>
          <cell r="AG20" vm="578">
            <v>14321879040</v>
          </cell>
          <cell r="AH20" vm="579">
            <v>16065740800</v>
          </cell>
          <cell r="AI20" vm="580">
            <v>16486899712</v>
          </cell>
          <cell r="AJ20" vm="581">
            <v>18325790720</v>
          </cell>
          <cell r="AK20" vm="582">
            <v>21588170752</v>
          </cell>
          <cell r="AL20" vm="583">
            <v>21776609280</v>
          </cell>
          <cell r="AM20" vm="584">
            <v>19731912704</v>
          </cell>
          <cell r="AN20" vm="585">
            <v>20209121280</v>
          </cell>
          <cell r="AO20" vm="586">
            <v>22235928576</v>
          </cell>
          <cell r="AP20" vm="587">
            <v>21263515648</v>
          </cell>
          <cell r="AQ20" vm="588">
            <v>21272418304</v>
          </cell>
          <cell r="AR20" vm="589">
            <v>23616329728</v>
          </cell>
          <cell r="AS20" vm="590">
            <v>29557325824</v>
          </cell>
          <cell r="AT20" vm="591">
            <v>34685280256</v>
          </cell>
          <cell r="AU20" vm="592">
            <v>37347393536</v>
          </cell>
          <cell r="AV20" vm="593">
            <v>42414309376</v>
          </cell>
          <cell r="AW20" vm="594">
            <v>50888134656</v>
          </cell>
          <cell r="AX20" vm="595">
            <v>55849684992</v>
          </cell>
          <cell r="AY20" vm="596">
            <v>51370545152</v>
          </cell>
          <cell r="AZ20" vm="597">
            <v>53212475392</v>
          </cell>
          <cell r="BA20" vm="598">
            <v>60004630528</v>
          </cell>
          <cell r="BB20" vm="599">
            <v>56677961728</v>
          </cell>
          <cell r="BC20" vm="600">
            <v>61739352064</v>
          </cell>
          <cell r="BD20" vm="601">
            <v>66103853056</v>
          </cell>
          <cell r="BE20" vm="602">
            <v>57744457728</v>
          </cell>
          <cell r="BF20" vm="603">
            <v>60691484672</v>
          </cell>
          <cell r="BG20" vm="604">
            <v>64181944320</v>
          </cell>
          <cell r="BH20" vm="605">
            <v>70919954432</v>
          </cell>
          <cell r="BI20" vm="606">
            <v>71104921600</v>
          </cell>
        </row>
        <row r="21">
          <cell r="B21" t="str" vm="607">
            <v>Netherlands</v>
          </cell>
          <cell r="C21" vm="608">
            <v>13493833728</v>
          </cell>
          <cell r="D21" vm="609">
            <v>14647057408</v>
          </cell>
          <cell r="E21" vm="610">
            <v>15891240960</v>
          </cell>
          <cell r="F21" vm="611">
            <v>18699380736</v>
          </cell>
          <cell r="G21" vm="612">
            <v>21000587264</v>
          </cell>
          <cell r="H21" vm="613">
            <v>22867204096</v>
          </cell>
          <cell r="I21" vm="614">
            <v>25087561728</v>
          </cell>
          <cell r="J21" vm="615">
            <v>27817605120</v>
          </cell>
          <cell r="K21" vm="616">
            <v>34035947520</v>
          </cell>
          <cell r="L21" vm="617">
            <v>38164717568</v>
          </cell>
          <cell r="M21" vm="618">
            <v>44579123200</v>
          </cell>
          <cell r="N21" vm="619">
            <v>54706556928</v>
          </cell>
          <cell r="O21" vm="620">
            <v>71840907264</v>
          </cell>
          <cell r="P21" vm="621">
            <v>87243415552</v>
          </cell>
          <cell r="Q21" vm="622">
            <v>100249526272</v>
          </cell>
          <cell r="R21" vm="623">
            <v>109168721920</v>
          </cell>
          <cell r="S21" vm="624">
            <v>127016992768</v>
          </cell>
          <cell r="T21" vm="625">
            <v>155859697664</v>
          </cell>
          <cell r="U21" vm="626">
            <v>179669401600</v>
          </cell>
          <cell r="V21" vm="627">
            <v>195152084992</v>
          </cell>
          <cell r="W21" vm="628">
            <v>164134223872</v>
          </cell>
          <cell r="X21" vm="629">
            <v>158479532032</v>
          </cell>
          <cell r="Y21" vm="630">
            <v>153445466112</v>
          </cell>
          <cell r="Z21" vm="631">
            <v>143912665088</v>
          </cell>
          <cell r="AA21" vm="632">
            <v>143845818368</v>
          </cell>
          <cell r="AB21" vm="633">
            <v>200862089216</v>
          </cell>
          <cell r="AC21" vm="634">
            <v>245046312960</v>
          </cell>
          <cell r="AD21" vm="635">
            <v>261910511616</v>
          </cell>
          <cell r="AE21" vm="636">
            <v>258336702464</v>
          </cell>
          <cell r="AF21" vm="637">
            <v>318330503168</v>
          </cell>
          <cell r="AG21" vm="638">
            <v>327500333056</v>
          </cell>
          <cell r="AH21" vm="639">
            <v>362962878464</v>
          </cell>
          <cell r="AI21" vm="640">
            <v>353550172160</v>
          </cell>
          <cell r="AJ21" vm="641">
            <v>379130249216</v>
          </cell>
          <cell r="AK21" vm="642">
            <v>452301684736</v>
          </cell>
          <cell r="AL21" vm="643">
            <v>450490204160</v>
          </cell>
          <cell r="AM21" vm="644">
            <v>416812728320</v>
          </cell>
          <cell r="AN21" vm="645">
            <v>438008217600</v>
          </cell>
          <cell r="AO21" vm="646">
            <v>446898569216</v>
          </cell>
          <cell r="AP21" vm="647">
            <v>416442777600</v>
          </cell>
          <cell r="AQ21" vm="648">
            <v>431213412352</v>
          </cell>
          <cell r="AR21" vm="649">
            <v>471613964288</v>
          </cell>
          <cell r="AS21" vm="650">
            <v>578792325120</v>
          </cell>
          <cell r="AT21" vm="651">
            <v>657171611648</v>
          </cell>
          <cell r="AU21" vm="652">
            <v>685092634624</v>
          </cell>
          <cell r="AV21" vm="653">
            <v>733340893184</v>
          </cell>
          <cell r="AW21" vm="654">
            <v>847481536512</v>
          </cell>
          <cell r="AX21" vm="655">
            <v>947997638656</v>
          </cell>
          <cell r="AY21" vm="656">
            <v>868077273088</v>
          </cell>
          <cell r="AZ21" vm="657">
            <v>846554923008</v>
          </cell>
          <cell r="BA21" vm="658">
            <v>904085962752</v>
          </cell>
          <cell r="BB21" vm="659">
            <v>838971293696</v>
          </cell>
          <cell r="BC21" vm="660">
            <v>876923518976</v>
          </cell>
          <cell r="BD21" vm="661">
            <v>890981318656</v>
          </cell>
          <cell r="BE21" vm="662">
            <v>765264920576</v>
          </cell>
          <cell r="BF21" vm="663">
            <v>783528165376</v>
          </cell>
          <cell r="BG21" vm="664">
            <v>833869643776</v>
          </cell>
          <cell r="BH21" vm="665">
            <v>914104844288</v>
          </cell>
          <cell r="BI21" vm="666">
            <v>909070368768</v>
          </cell>
        </row>
        <row r="22">
          <cell r="B22" t="str" vm="667">
            <v>Norway</v>
          </cell>
          <cell r="C22" vm="668">
            <v>5632460800</v>
          </cell>
          <cell r="D22" vm="669">
            <v>6066976768</v>
          </cell>
          <cell r="E22" vm="670">
            <v>6510239744</v>
          </cell>
          <cell r="F22" vm="671">
            <v>7159202816</v>
          </cell>
          <cell r="G22" vm="672">
            <v>8058680832</v>
          </cell>
          <cell r="H22" vm="673">
            <v>8696460288</v>
          </cell>
          <cell r="I22" vm="674">
            <v>9514497024</v>
          </cell>
          <cell r="J22" vm="675">
            <v>10159934464</v>
          </cell>
          <cell r="K22" vm="676">
            <v>11063064576</v>
          </cell>
          <cell r="L22" vm="677">
            <v>12814123008</v>
          </cell>
          <cell r="M22" vm="678">
            <v>14583114752</v>
          </cell>
          <cell r="N22" vm="679">
            <v>17358610432</v>
          </cell>
          <cell r="O22" vm="680">
            <v>22534254592</v>
          </cell>
          <cell r="P22" vm="681">
            <v>27145693184</v>
          </cell>
          <cell r="Q22" vm="682">
            <v>32877805568</v>
          </cell>
          <cell r="R22" vm="683">
            <v>35942268928</v>
          </cell>
          <cell r="S22" vm="684">
            <v>41508028416</v>
          </cell>
          <cell r="T22" vm="685">
            <v>46523092992</v>
          </cell>
          <cell r="U22" vm="686">
            <v>53132242944</v>
          </cell>
          <cell r="V22" vm="687">
            <v>64439382016</v>
          </cell>
          <cell r="W22" vm="688">
            <v>63596654592</v>
          </cell>
          <cell r="X22" vm="689">
            <v>62647193600</v>
          </cell>
          <cell r="Y22" vm="690">
            <v>61627240448</v>
          </cell>
          <cell r="Z22" vm="691">
            <v>62057955328</v>
          </cell>
          <cell r="AA22" vm="692">
            <v>65416880128</v>
          </cell>
          <cell r="AB22" vm="693">
            <v>78693253120</v>
          </cell>
          <cell r="AC22" vm="694">
            <v>94230052864</v>
          </cell>
          <cell r="AD22" vm="695">
            <v>101900263424</v>
          </cell>
          <cell r="AE22" vm="696">
            <v>102633791488</v>
          </cell>
          <cell r="AF22" vm="697">
            <v>119791681536</v>
          </cell>
          <cell r="AG22" vm="698">
            <v>121872465920</v>
          </cell>
          <cell r="AH22" vm="699">
            <v>130838036480</v>
          </cell>
          <cell r="AI22" vm="700">
            <v>120579072000</v>
          </cell>
          <cell r="AJ22" vm="701">
            <v>127131459584</v>
          </cell>
          <cell r="AK22" vm="702">
            <v>152029609984</v>
          </cell>
          <cell r="AL22" vm="703">
            <v>163520102400</v>
          </cell>
          <cell r="AM22" vm="704">
            <v>161356627968</v>
          </cell>
          <cell r="AN22" vm="705">
            <v>154163363840</v>
          </cell>
          <cell r="AO22" vm="706">
            <v>162284470272</v>
          </cell>
          <cell r="AP22" vm="707">
            <v>171247124480</v>
          </cell>
          <cell r="AQ22" vm="708">
            <v>173972226048</v>
          </cell>
          <cell r="AR22" vm="709">
            <v>195524182016</v>
          </cell>
          <cell r="AS22" vm="710">
            <v>228858511360</v>
          </cell>
          <cell r="AT22" vm="711">
            <v>264511635456</v>
          </cell>
          <cell r="AU22" vm="712">
            <v>308884275200</v>
          </cell>
          <cell r="AV22" vm="713">
            <v>345581355008</v>
          </cell>
          <cell r="AW22" vm="714">
            <v>400937091072</v>
          </cell>
          <cell r="AX22" vm="715">
            <v>462249984000</v>
          </cell>
          <cell r="AY22" vm="716">
            <v>386190376960</v>
          </cell>
          <cell r="AZ22" vm="717">
            <v>428757024768</v>
          </cell>
          <cell r="BA22" vm="718">
            <v>498283446272</v>
          </cell>
          <cell r="BB22" vm="719">
            <v>509506322432</v>
          </cell>
          <cell r="BC22" vm="720">
            <v>522761535488</v>
          </cell>
          <cell r="BD22" vm="721">
            <v>498410061824</v>
          </cell>
          <cell r="BE22" vm="722">
            <v>385801551872</v>
          </cell>
          <cell r="BF22" vm="723">
            <v>368819929088</v>
          </cell>
          <cell r="BG22" vm="724">
            <v>398393966592</v>
          </cell>
          <cell r="BH22" vm="725">
            <v>434166628352</v>
          </cell>
          <cell r="BI22" vm="726">
            <v>403336364032</v>
          </cell>
        </row>
        <row r="23">
          <cell r="B23" t="str" vm="727">
            <v>Portugal</v>
          </cell>
          <cell r="C23" vm="728">
            <v>3417516544</v>
          </cell>
          <cell r="D23" vm="729">
            <v>3668222464</v>
          </cell>
          <cell r="E23" vm="730">
            <v>3905734400</v>
          </cell>
          <cell r="F23" vm="731">
            <v>4235608064</v>
          </cell>
          <cell r="G23" vm="732">
            <v>4687463936</v>
          </cell>
          <cell r="H23" vm="733">
            <v>5135387648</v>
          </cell>
          <cell r="I23" vm="734">
            <v>5740241408</v>
          </cell>
          <cell r="J23" vm="735">
            <v>6354262528</v>
          </cell>
          <cell r="K23" vm="736">
            <v>6969026048</v>
          </cell>
          <cell r="L23" vm="737">
            <v>8108234752</v>
          </cell>
          <cell r="M23" vm="738">
            <v>9201606656</v>
          </cell>
          <cell r="N23" vm="739">
            <v>11239116800</v>
          </cell>
          <cell r="O23" vm="740">
            <v>15090566144</v>
          </cell>
          <cell r="P23" vm="741">
            <v>17512388608</v>
          </cell>
          <cell r="Q23" vm="742">
            <v>19347609600</v>
          </cell>
          <cell r="R23" vm="743">
            <v>20332834816</v>
          </cell>
          <cell r="S23" vm="744">
            <v>21439524864</v>
          </cell>
          <cell r="T23" vm="745">
            <v>23487612928</v>
          </cell>
          <cell r="U23" vm="746">
            <v>26622818304</v>
          </cell>
          <cell r="V23" vm="747">
            <v>32896522240</v>
          </cell>
          <cell r="W23" vm="748">
            <v>31977275392</v>
          </cell>
          <cell r="X23" vm="749">
            <v>30527754240</v>
          </cell>
          <cell r="Y23" vm="750">
            <v>27239651328</v>
          </cell>
          <cell r="Z23" vm="751">
            <v>25217970176</v>
          </cell>
          <cell r="AA23" vm="752">
            <v>27115806720</v>
          </cell>
          <cell r="AB23" vm="753">
            <v>38745903104</v>
          </cell>
          <cell r="AC23" vm="754">
            <v>48182923264</v>
          </cell>
          <cell r="AD23" vm="755">
            <v>56347250688</v>
          </cell>
          <cell r="AE23" vm="756">
            <v>60594094080</v>
          </cell>
          <cell r="AF23" vm="757">
            <v>78713856000</v>
          </cell>
          <cell r="AG23" vm="758">
            <v>89233596416</v>
          </cell>
          <cell r="AH23" vm="759">
            <v>107592097792</v>
          </cell>
          <cell r="AI23" vm="760">
            <v>95009751040</v>
          </cell>
          <cell r="AJ23" vm="761">
            <v>99688644608</v>
          </cell>
          <cell r="AK23" vm="762">
            <v>118122004480</v>
          </cell>
          <cell r="AL23" vm="763">
            <v>122630086656</v>
          </cell>
          <cell r="AM23" vm="764">
            <v>117016535040</v>
          </cell>
          <cell r="AN23" vm="765">
            <v>123946328064</v>
          </cell>
          <cell r="AO23" vm="766">
            <v>127427346432</v>
          </cell>
          <cell r="AP23" vm="767">
            <v>118310707200</v>
          </cell>
          <cell r="AQ23" vm="768">
            <v>121498886144</v>
          </cell>
          <cell r="AR23" vm="769">
            <v>134156091392</v>
          </cell>
          <cell r="AS23" vm="770">
            <v>164862148608</v>
          </cell>
          <cell r="AT23" vm="771">
            <v>189034496000</v>
          </cell>
          <cell r="AU23" vm="772">
            <v>197180325888</v>
          </cell>
          <cell r="AV23" vm="773">
            <v>208581689344</v>
          </cell>
          <cell r="AW23" vm="774">
            <v>240190799872</v>
          </cell>
          <cell r="AX23" vm="775">
            <v>262344785920</v>
          </cell>
          <cell r="AY23" vm="776">
            <v>243701628928</v>
          </cell>
          <cell r="AZ23" vm="777">
            <v>237880901632</v>
          </cell>
          <cell r="BA23" vm="778">
            <v>244797227008</v>
          </cell>
          <cell r="BB23" vm="779">
            <v>216236605440</v>
          </cell>
          <cell r="BC23" vm="780">
            <v>226369503232</v>
          </cell>
          <cell r="BD23" vm="781">
            <v>229596168192</v>
          </cell>
          <cell r="BE23" vm="782">
            <v>199313899520</v>
          </cell>
          <cell r="BF23" vm="783">
            <v>206286028800</v>
          </cell>
          <cell r="BG23" vm="784">
            <v>221357867008</v>
          </cell>
          <cell r="BH23" vm="785">
            <v>241274634240</v>
          </cell>
          <cell r="BI23" vm="786">
            <v>237686079488</v>
          </cell>
        </row>
        <row r="24">
          <cell r="B24" t="str" vm="787">
            <v>Singapore</v>
          </cell>
          <cell r="C24" vm="788">
            <v>764634752</v>
          </cell>
          <cell r="D24" vm="789">
            <v>826244608</v>
          </cell>
          <cell r="E24" vm="790">
            <v>917614016</v>
          </cell>
          <cell r="F24" vm="791">
            <v>894159168</v>
          </cell>
          <cell r="G24" vm="792">
            <v>974650432</v>
          </cell>
          <cell r="H24" vm="793">
            <v>1096432768</v>
          </cell>
          <cell r="I24" vm="794">
            <v>1238043904</v>
          </cell>
          <cell r="J24" vm="795">
            <v>1425715456</v>
          </cell>
          <cell r="K24" vm="796">
            <v>1659904640</v>
          </cell>
          <cell r="L24" vm="797">
            <v>1920586752</v>
          </cell>
          <cell r="M24" vm="798">
            <v>2263785472</v>
          </cell>
          <cell r="N24" vm="799">
            <v>2721441024</v>
          </cell>
          <cell r="O24" vm="800">
            <v>3696213248</v>
          </cell>
          <cell r="P24" vm="801">
            <v>5221534720</v>
          </cell>
          <cell r="Q24" vm="802">
            <v>5633673728</v>
          </cell>
          <cell r="R24" vm="803">
            <v>6327077888</v>
          </cell>
          <cell r="S24" vm="804">
            <v>6618585088</v>
          </cell>
          <cell r="T24" vm="805">
            <v>7517176320</v>
          </cell>
          <cell r="U24" vm="806">
            <v>9296921600</v>
          </cell>
          <cell r="V24" vm="807">
            <v>11896256512</v>
          </cell>
          <cell r="W24" vm="808">
            <v>14175228928</v>
          </cell>
          <cell r="X24" vm="809">
            <v>16084252672</v>
          </cell>
          <cell r="Y24" vm="810">
            <v>17784113152</v>
          </cell>
          <cell r="Z24" vm="811">
            <v>19749361664</v>
          </cell>
          <cell r="AA24" vm="812">
            <v>19156533248</v>
          </cell>
          <cell r="AB24" vm="813">
            <v>18586746880</v>
          </cell>
          <cell r="AC24" vm="814">
            <v>20919216128</v>
          </cell>
          <cell r="AD24" vm="815">
            <v>25371461632</v>
          </cell>
          <cell r="AE24" vm="816">
            <v>30465363968</v>
          </cell>
          <cell r="AF24" vm="817">
            <v>36144336896</v>
          </cell>
          <cell r="AG24" vm="818">
            <v>45466165248</v>
          </cell>
          <cell r="AH24" vm="819">
            <v>52130263040</v>
          </cell>
          <cell r="AI24" vm="820">
            <v>60603478016</v>
          </cell>
          <cell r="AJ24" vm="821">
            <v>73690849280</v>
          </cell>
          <cell r="AK24" vm="822">
            <v>87810990080</v>
          </cell>
          <cell r="AL24" vm="823">
            <v>96295886848</v>
          </cell>
          <cell r="AM24" vm="824">
            <v>100124188672</v>
          </cell>
          <cell r="AN24" vm="825">
            <v>85728313344</v>
          </cell>
          <cell r="AO24" vm="826">
            <v>86284664832</v>
          </cell>
          <cell r="AP24" vm="827">
            <v>96074481664</v>
          </cell>
          <cell r="AQ24" vm="828">
            <v>89794945024</v>
          </cell>
          <cell r="AR24" vm="829">
            <v>92537749504</v>
          </cell>
          <cell r="AS24" vm="830">
            <v>97645445120</v>
          </cell>
          <cell r="AT24" vm="831">
            <v>115035496448</v>
          </cell>
          <cell r="AU24" vm="832">
            <v>127807619072</v>
          </cell>
          <cell r="AV24" vm="833">
            <v>148630372352</v>
          </cell>
          <cell r="AW24" vm="834">
            <v>180941946880</v>
          </cell>
          <cell r="AX24" vm="835">
            <v>193611988992</v>
          </cell>
          <cell r="AY24" vm="836">
            <v>194152284160</v>
          </cell>
          <cell r="AZ24" vm="837">
            <v>239809380352</v>
          </cell>
          <cell r="BA24" vm="838">
            <v>279351164928</v>
          </cell>
          <cell r="BB24" vm="839">
            <v>295087210496</v>
          </cell>
          <cell r="BC24" vm="840">
            <v>307576373248</v>
          </cell>
          <cell r="BD24" vm="841">
            <v>314851164160</v>
          </cell>
          <cell r="BE24" vm="842">
            <v>308004159488</v>
          </cell>
          <cell r="BF24" vm="843">
            <v>318652350464</v>
          </cell>
          <cell r="BG24" vm="844">
            <v>341863333888</v>
          </cell>
          <cell r="BH24" vm="845">
            <v>373217067008</v>
          </cell>
          <cell r="BI24" vm="846">
            <v>372062519296</v>
          </cell>
        </row>
        <row r="25">
          <cell r="B25" t="str" vm="847">
            <v>South Korea</v>
          </cell>
          <cell r="C25" vm="848">
            <v>2417558272</v>
          </cell>
          <cell r="D25" vm="849">
            <v>2814318592</v>
          </cell>
          <cell r="E25" vm="850">
            <v>3988784640</v>
          </cell>
          <cell r="F25" vm="851">
            <v>3458939392</v>
          </cell>
          <cell r="G25" vm="852">
            <v>3120833280</v>
          </cell>
          <cell r="H25" vm="853">
            <v>3928908288</v>
          </cell>
          <cell r="I25" vm="854">
            <v>4855907328</v>
          </cell>
          <cell r="J25" vm="855">
            <v>6119284224</v>
          </cell>
          <cell r="K25" vm="856">
            <v>7678581248</v>
          </cell>
          <cell r="L25" vm="857">
            <v>9005023232</v>
          </cell>
          <cell r="M25" vm="858">
            <v>9903500288</v>
          </cell>
          <cell r="N25" vm="859">
            <v>10862327808</v>
          </cell>
          <cell r="O25" vm="860">
            <v>13876531200</v>
          </cell>
          <cell r="P25" vm="861">
            <v>19544094720</v>
          </cell>
          <cell r="Q25" vm="862">
            <v>21784297472</v>
          </cell>
          <cell r="R25" vm="863">
            <v>29902479360</v>
          </cell>
          <cell r="S25" vm="864">
            <v>38446489600</v>
          </cell>
          <cell r="T25" vm="865">
            <v>51972108288</v>
          </cell>
          <cell r="U25" vm="866">
            <v>66946899968</v>
          </cell>
          <cell r="V25" vm="867">
            <v>65398644736</v>
          </cell>
          <cell r="W25" vm="868">
            <v>72933351424</v>
          </cell>
          <cell r="X25" vm="869">
            <v>78358863872</v>
          </cell>
          <cell r="Y25" vm="870">
            <v>87760363520</v>
          </cell>
          <cell r="Z25" vm="871">
            <v>97510236160</v>
          </cell>
          <cell r="AA25" vm="872">
            <v>101296177152</v>
          </cell>
          <cell r="AB25" vm="873">
            <v>116836802560</v>
          </cell>
          <cell r="AC25" vm="874">
            <v>147948257280</v>
          </cell>
          <cell r="AD25" vm="875">
            <v>199590821888</v>
          </cell>
          <cell r="AE25" vm="876">
            <v>246927294464</v>
          </cell>
          <cell r="AF25" vm="877">
            <v>283367538688</v>
          </cell>
          <cell r="AG25" vm="878">
            <v>330648518656</v>
          </cell>
          <cell r="AH25" vm="879">
            <v>355525263360</v>
          </cell>
          <cell r="AI25" vm="880">
            <v>392666087424</v>
          </cell>
          <cell r="AJ25" vm="881">
            <v>463617392640</v>
          </cell>
          <cell r="AK25" vm="882">
            <v>566583427072</v>
          </cell>
          <cell r="AL25" vm="883">
            <v>610169585664</v>
          </cell>
          <cell r="AM25" vm="884">
            <v>569754517504</v>
          </cell>
          <cell r="AN25" vm="885">
            <v>383330942976</v>
          </cell>
          <cell r="AO25" vm="886">
            <v>497512644608</v>
          </cell>
          <cell r="AP25" vm="887">
            <v>576178094080</v>
          </cell>
          <cell r="AQ25" vm="888">
            <v>547658235904</v>
          </cell>
          <cell r="AR25" vm="889">
            <v>627246104576</v>
          </cell>
          <cell r="AS25" vm="890">
            <v>702717362176</v>
          </cell>
          <cell r="AT25" vm="891">
            <v>793174999040</v>
          </cell>
          <cell r="AU25" vm="892">
            <v>934901055488</v>
          </cell>
          <cell r="AV25" vm="893">
            <v>1053216931840</v>
          </cell>
          <cell r="AW25" vm="894">
            <v>1172614021120</v>
          </cell>
          <cell r="AX25" vm="895">
            <v>1047339008000</v>
          </cell>
          <cell r="AY25" vm="896">
            <v>943941877760</v>
          </cell>
          <cell r="AZ25" vm="897">
            <v>1144066932736</v>
          </cell>
          <cell r="BA25" vm="898">
            <v>1253223038976</v>
          </cell>
          <cell r="BB25" vm="899">
            <v>1278427660288</v>
          </cell>
          <cell r="BC25" vm="900">
            <v>1370795147264</v>
          </cell>
          <cell r="BD25" vm="901">
            <v>1484318179328</v>
          </cell>
          <cell r="BE25" vm="902">
            <v>1465773195264</v>
          </cell>
          <cell r="BF25" vm="903">
            <v>1500111568896</v>
          </cell>
          <cell r="BG25" vm="904">
            <v>1623901470720</v>
          </cell>
          <cell r="BH25" vm="905">
            <v>1720578867200</v>
          </cell>
          <cell r="BI25" vm="906">
            <v>1642383278080</v>
          </cell>
        </row>
        <row r="26">
          <cell r="B26" t="str" vm="907">
            <v>Spain</v>
          </cell>
          <cell r="C26" vm="908">
            <v>13834300416</v>
          </cell>
          <cell r="D26" vm="909">
            <v>16138545152</v>
          </cell>
          <cell r="E26" vm="910">
            <v>19074914304</v>
          </cell>
          <cell r="F26" vm="911">
            <v>21343844352</v>
          </cell>
          <cell r="G26" vm="912">
            <v>24756959232</v>
          </cell>
          <cell r="H26" vm="913">
            <v>28721061888</v>
          </cell>
          <cell r="I26" vm="914">
            <v>31647119360</v>
          </cell>
          <cell r="J26" vm="915">
            <v>31475548160</v>
          </cell>
          <cell r="K26" vm="916">
            <v>36038713344</v>
          </cell>
          <cell r="L26" vm="917">
            <v>40992997376</v>
          </cell>
          <cell r="M26" vm="918">
            <v>46619418624</v>
          </cell>
          <cell r="N26" vm="919">
            <v>59132416000</v>
          </cell>
          <cell r="O26" vm="920">
            <v>78639529984</v>
          </cell>
          <cell r="P26" vm="921">
            <v>97274003456</v>
          </cell>
          <cell r="Q26" vm="922">
            <v>114777047040</v>
          </cell>
          <cell r="R26" vm="923">
            <v>118507184128</v>
          </cell>
          <cell r="S26" vm="924">
            <v>132449280000</v>
          </cell>
          <cell r="T26" vm="925">
            <v>160599687168</v>
          </cell>
          <cell r="U26" vm="926">
            <v>214601957376</v>
          </cell>
          <cell r="V26" vm="927">
            <v>232766816256</v>
          </cell>
          <cell r="W26" vm="928">
            <v>202807885824</v>
          </cell>
          <cell r="X26" vm="929">
            <v>195996762112</v>
          </cell>
          <cell r="Y26" vm="930">
            <v>170951180288</v>
          </cell>
          <cell r="Z26" vm="931">
            <v>172102909952</v>
          </cell>
          <cell r="AA26" vm="932">
            <v>180793458688</v>
          </cell>
          <cell r="AB26" vm="933">
            <v>251321073664</v>
          </cell>
          <cell r="AC26" vm="934">
            <v>318747934720</v>
          </cell>
          <cell r="AD26" vm="935">
            <v>376160419840</v>
          </cell>
          <cell r="AE26" vm="936">
            <v>414757060608</v>
          </cell>
          <cell r="AF26" vm="937">
            <v>536558600192</v>
          </cell>
          <cell r="AG26" vm="938">
            <v>577166180352</v>
          </cell>
          <cell r="AH26" vm="939">
            <v>630915989504</v>
          </cell>
          <cell r="AI26" vm="940">
            <v>525075644416</v>
          </cell>
          <cell r="AJ26" vm="941">
            <v>530562646016</v>
          </cell>
          <cell r="AK26" vm="942">
            <v>614608994304</v>
          </cell>
          <cell r="AL26" vm="943">
            <v>642588999680</v>
          </cell>
          <cell r="AM26" vm="944">
            <v>590077296640</v>
          </cell>
          <cell r="AN26" vm="945">
            <v>619214864384</v>
          </cell>
          <cell r="AO26" vm="946">
            <v>634693156864</v>
          </cell>
          <cell r="AP26" vm="947">
            <v>596877639680</v>
          </cell>
          <cell r="AQ26" vm="948">
            <v>627286802432</v>
          </cell>
          <cell r="AR26" vm="949">
            <v>705394311168</v>
          </cell>
          <cell r="AS26" vm="950">
            <v>905492103168</v>
          </cell>
          <cell r="AT26" vm="951">
            <v>1067093393408</v>
          </cell>
          <cell r="AU26" vm="952">
            <v>1153285619712</v>
          </cell>
          <cell r="AV26" vm="953">
            <v>1259343839232</v>
          </cell>
          <cell r="AW26" vm="954">
            <v>1472131104768</v>
          </cell>
          <cell r="AX26" vm="955">
            <v>1625224904704</v>
          </cell>
          <cell r="AY26" vm="956">
            <v>1485583548416</v>
          </cell>
          <cell r="AZ26" vm="957">
            <v>1420722044928</v>
          </cell>
          <cell r="BA26" vm="958">
            <v>1478772785152</v>
          </cell>
          <cell r="BB26" vm="959">
            <v>1324820070400</v>
          </cell>
          <cell r="BC26" vm="960">
            <v>1354757439488</v>
          </cell>
          <cell r="BD26" vm="961">
            <v>1369398837248</v>
          </cell>
          <cell r="BE26" vm="962">
            <v>1195119214592</v>
          </cell>
          <cell r="BF26" vm="963">
            <v>1232076013568</v>
          </cell>
          <cell r="BG26" vm="964">
            <v>1312551731200</v>
          </cell>
          <cell r="BH26" vm="965">
            <v>1419735203840</v>
          </cell>
          <cell r="BI26" vm="966">
            <v>1394116263936</v>
          </cell>
        </row>
        <row r="27">
          <cell r="B27" t="str" vm="967">
            <v>Sweden</v>
          </cell>
          <cell r="C27" vm="968">
            <v>17212686336</v>
          </cell>
          <cell r="D27" vm="969">
            <v>18667251712</v>
          </cell>
          <cell r="E27" vm="970">
            <v>20204869632</v>
          </cell>
          <cell r="F27" vm="971">
            <v>22532417536</v>
          </cell>
          <cell r="G27" vm="972">
            <v>24795500544</v>
          </cell>
          <cell r="H27" vm="973">
            <v>26971486208</v>
          </cell>
          <cell r="I27" vm="974">
            <v>29275996160</v>
          </cell>
          <cell r="J27" vm="975">
            <v>31066820608</v>
          </cell>
          <cell r="K27" vm="976">
            <v>33738102784</v>
          </cell>
          <cell r="L27" vm="977">
            <v>38092451840</v>
          </cell>
          <cell r="M27" vm="978">
            <v>41566412800</v>
          </cell>
          <cell r="N27" vm="979">
            <v>48954146816</v>
          </cell>
          <cell r="O27" vm="980">
            <v>59404967936</v>
          </cell>
          <cell r="P27" vm="981">
            <v>66013339648</v>
          </cell>
          <cell r="Q27" vm="982">
            <v>82885394432</v>
          </cell>
          <cell r="R27" vm="983">
            <v>89362071552</v>
          </cell>
          <cell r="S27" vm="984">
            <v>94468743168</v>
          </cell>
          <cell r="T27" vm="985">
            <v>104442347520</v>
          </cell>
          <cell r="U27" vm="986">
            <v>123386413056</v>
          </cell>
          <cell r="V27" vm="987">
            <v>142092075008</v>
          </cell>
          <cell r="W27" vm="988">
            <v>129686937600</v>
          </cell>
          <cell r="X27" vm="989">
            <v>114380554240</v>
          </cell>
          <cell r="Y27" vm="990">
            <v>105014353920</v>
          </cell>
          <cell r="Z27" vm="991">
            <v>109201358848</v>
          </cell>
          <cell r="AA27" vm="992">
            <v>114123538432</v>
          </cell>
          <cell r="AB27" vm="993">
            <v>150498050048</v>
          </cell>
          <cell r="AC27" vm="994">
            <v>183009640448</v>
          </cell>
          <cell r="AD27" vm="995">
            <v>206986674176</v>
          </cell>
          <cell r="AE27" vm="996">
            <v>217948323840</v>
          </cell>
          <cell r="AF27" vm="997">
            <v>261846188032</v>
          </cell>
          <cell r="AG27" vm="998">
            <v>274229035008</v>
          </cell>
          <cell r="AH27" vm="999">
            <v>284321120256</v>
          </cell>
          <cell r="AI27" vm="1000">
            <v>212953333760</v>
          </cell>
          <cell r="AJ27" vm="1001">
            <v>229033574400</v>
          </cell>
          <cell r="AK27" vm="1002">
            <v>267305877504</v>
          </cell>
          <cell r="AL27" vm="1003">
            <v>291743825920</v>
          </cell>
          <cell r="AM27" vm="1004">
            <v>268146147328</v>
          </cell>
          <cell r="AN27" vm="1005">
            <v>270809071616</v>
          </cell>
          <cell r="AO27" vm="1006">
            <v>274072174592</v>
          </cell>
          <cell r="AP27" vm="1007">
            <v>262835453952</v>
          </cell>
          <cell r="AQ27" vm="1008">
            <v>242395856896</v>
          </cell>
          <cell r="AR27" vm="1009">
            <v>266849058816</v>
          </cell>
          <cell r="AS27" vm="1010">
            <v>334337212416</v>
          </cell>
          <cell r="AT27" vm="1011">
            <v>385118044160</v>
          </cell>
          <cell r="AU27" vm="1012">
            <v>392218083328</v>
          </cell>
          <cell r="AV27" vm="1013">
            <v>423093436416</v>
          </cell>
          <cell r="AW27" vm="1014">
            <v>491252580352</v>
          </cell>
          <cell r="AX27" vm="1015">
            <v>517706153984</v>
          </cell>
          <cell r="AY27" vm="1016">
            <v>436536999936</v>
          </cell>
          <cell r="AZ27" vm="1017">
            <v>495812542464</v>
          </cell>
          <cell r="BA27" vm="1018">
            <v>574094114816</v>
          </cell>
          <cell r="BB27" vm="1019">
            <v>552483749888</v>
          </cell>
          <cell r="BC27" vm="1020">
            <v>586841849856</v>
          </cell>
          <cell r="BD27" vm="1021">
            <v>581964005376</v>
          </cell>
          <cell r="BE27" vm="1022">
            <v>505103777792</v>
          </cell>
          <cell r="BF27" vm="1023">
            <v>515654680576</v>
          </cell>
          <cell r="BG27" vm="1024">
            <v>541018750976</v>
          </cell>
          <cell r="BH27" vm="1025">
            <v>555455348736</v>
          </cell>
          <cell r="BI27" vm="1026">
            <v>530832916480</v>
          </cell>
        </row>
        <row r="28">
          <cell r="B28" t="str" vm="1027">
            <v>United Kingdom</v>
          </cell>
          <cell r="C28" vm="1028">
            <v>77741965312</v>
          </cell>
          <cell r="D28" vm="1029">
            <v>81247567872</v>
          </cell>
          <cell r="E28" vm="1030">
            <v>86561964032</v>
          </cell>
          <cell r="F28" vm="1031">
            <v>94407557120</v>
          </cell>
          <cell r="G28" vm="1032">
            <v>101824757760</v>
          </cell>
          <cell r="H28" vm="1033">
            <v>108572753920</v>
          </cell>
          <cell r="I28" vm="1034">
            <v>113116889088</v>
          </cell>
          <cell r="J28" vm="1035">
            <v>107759910912</v>
          </cell>
          <cell r="K28" vm="1036">
            <v>116464705536</v>
          </cell>
          <cell r="L28" vm="1037">
            <v>130671943680</v>
          </cell>
          <cell r="M28" vm="1038">
            <v>148113899520</v>
          </cell>
          <cell r="N28" vm="1039">
            <v>169965027328</v>
          </cell>
          <cell r="O28" vm="1040">
            <v>192537968640</v>
          </cell>
          <cell r="P28" vm="1041">
            <v>206131363840</v>
          </cell>
          <cell r="Q28" vm="1042">
            <v>241756635136</v>
          </cell>
          <cell r="R28" vm="1043">
            <v>232614559744</v>
          </cell>
          <cell r="S28" vm="1044">
            <v>263066451968</v>
          </cell>
          <cell r="T28" vm="1045">
            <v>335883042816</v>
          </cell>
          <cell r="U28" vm="1046">
            <v>438994075648</v>
          </cell>
          <cell r="V28" vm="1047">
            <v>564947714048</v>
          </cell>
          <cell r="W28" vm="1048">
            <v>540765683712</v>
          </cell>
          <cell r="X28" vm="1049">
            <v>515048931328</v>
          </cell>
          <cell r="Y28" vm="1050">
            <v>489618014208</v>
          </cell>
          <cell r="Z28" vm="1051">
            <v>461487112192</v>
          </cell>
          <cell r="AA28" vm="1052">
            <v>489285156864</v>
          </cell>
          <cell r="AB28" vm="1053">
            <v>601452642304</v>
          </cell>
          <cell r="AC28" vm="1054">
            <v>745162604544</v>
          </cell>
          <cell r="AD28" vm="1055">
            <v>910122745856</v>
          </cell>
          <cell r="AE28" vm="1056">
            <v>926884823040</v>
          </cell>
          <cell r="AF28" vm="1057">
            <v>1093169381376</v>
          </cell>
          <cell r="AG28" vm="1058">
            <v>1142797238272</v>
          </cell>
          <cell r="AH28" vm="1059">
            <v>1179659534336</v>
          </cell>
          <cell r="AI28" vm="1060">
            <v>1061388746752</v>
          </cell>
          <cell r="AJ28" vm="1061">
            <v>1140489715712</v>
          </cell>
          <cell r="AK28" vm="1062">
            <v>1341584310272</v>
          </cell>
          <cell r="AL28" vm="1063">
            <v>1415358840832</v>
          </cell>
          <cell r="AM28" vm="1064">
            <v>1559078240256</v>
          </cell>
          <cell r="AN28" vm="1065">
            <v>1650172231680</v>
          </cell>
          <cell r="AO28" vm="1066">
            <v>1682399297536</v>
          </cell>
          <cell r="AP28" vm="1067">
            <v>1657816612864</v>
          </cell>
          <cell r="AQ28" vm="1068">
            <v>1640246149120</v>
          </cell>
          <cell r="AR28" vm="1069">
            <v>1784473976832</v>
          </cell>
          <cell r="AS28" vm="1070">
            <v>2053018746880</v>
          </cell>
          <cell r="AT28" vm="1071">
            <v>2416931504128</v>
          </cell>
          <cell r="AU28" vm="1072">
            <v>2538680090624</v>
          </cell>
          <cell r="AV28" vm="1073">
            <v>2713749815296</v>
          </cell>
          <cell r="AW28" vm="1074">
            <v>3100882239488</v>
          </cell>
          <cell r="AX28" vm="1075">
            <v>2922667311104</v>
          </cell>
          <cell r="AY28" vm="1076">
            <v>2410909794304</v>
          </cell>
          <cell r="AZ28" vm="1077">
            <v>2475244388352</v>
          </cell>
          <cell r="BA28" vm="1078">
            <v>2659310108672</v>
          </cell>
          <cell r="BB28" vm="1079">
            <v>2704887775232</v>
          </cell>
          <cell r="BC28" vm="1080">
            <v>2786022916096</v>
          </cell>
          <cell r="BD28" vm="1081">
            <v>3063803281408</v>
          </cell>
          <cell r="BE28" vm="1082">
            <v>2928590979072</v>
          </cell>
          <cell r="BF28" vm="1083">
            <v>2694283264000</v>
          </cell>
          <cell r="BG28" vm="1084">
            <v>2666229137408</v>
          </cell>
          <cell r="BH28" vm="1085">
            <v>2860667633664</v>
          </cell>
          <cell r="BI28" vm="1086">
            <v>2827113201664</v>
          </cell>
        </row>
        <row r="29">
          <cell r="B29" t="str" vm="1087">
            <v>United States</v>
          </cell>
          <cell r="C29" vm="1088">
            <v>563300007936</v>
          </cell>
          <cell r="D29" vm="1089">
            <v>605099982848</v>
          </cell>
          <cell r="E29" vm="1090">
            <v>638600019968</v>
          </cell>
          <cell r="F29" vm="1091">
            <v>685800030208</v>
          </cell>
          <cell r="G29" vm="1092">
            <v>743699972096</v>
          </cell>
          <cell r="H29" vm="1093">
            <v>814999994368</v>
          </cell>
          <cell r="I29" vm="1094">
            <v>861700030464</v>
          </cell>
          <cell r="J29" vm="1095">
            <v>942500020224</v>
          </cell>
          <cell r="K29" vm="1096">
            <v>1019900002304</v>
          </cell>
          <cell r="L29" vm="1097">
            <v>1073302994944</v>
          </cell>
          <cell r="M29" vm="1098">
            <v>1164849971200</v>
          </cell>
          <cell r="N29" vm="1099">
            <v>1279110021120</v>
          </cell>
          <cell r="O29" vm="1100">
            <v>1425376018432</v>
          </cell>
          <cell r="P29" vm="1101">
            <v>1545242935296</v>
          </cell>
          <cell r="Q29" vm="1102">
            <v>1684903952384</v>
          </cell>
          <cell r="R29" vm="1103">
            <v>1873411964928</v>
          </cell>
          <cell r="S29" vm="1104">
            <v>2081826013184</v>
          </cell>
          <cell r="T29" vm="1105">
            <v>2351598927872</v>
          </cell>
          <cell r="U29" vm="1106">
            <v>2627334045696</v>
          </cell>
          <cell r="V29" vm="1107">
            <v>2857306947584</v>
          </cell>
          <cell r="W29" vm="1108">
            <v>3207041908736</v>
          </cell>
          <cell r="X29" vm="1109">
            <v>3343789064192</v>
          </cell>
          <cell r="Y29" vm="1110">
            <v>3634038046720</v>
          </cell>
          <cell r="Z29" vm="1111">
            <v>4037612929024</v>
          </cell>
          <cell r="AA29" vm="1112">
            <v>4338978914304</v>
          </cell>
          <cell r="AB29" vm="1113">
            <v>4579631038464</v>
          </cell>
          <cell r="AC29" vm="1114">
            <v>4855215161344</v>
          </cell>
          <cell r="AD29" vm="1115">
            <v>5236438073344</v>
          </cell>
          <cell r="AE29" vm="1116">
            <v>5641580052480</v>
          </cell>
          <cell r="AF29" vm="1117">
            <v>5963144232960</v>
          </cell>
          <cell r="AG29" vm="1118">
            <v>6158129037312</v>
          </cell>
          <cell r="AH29" vm="1119">
            <v>6520327110656</v>
          </cell>
          <cell r="AI29" vm="1120">
            <v>6858558930944</v>
          </cell>
          <cell r="AJ29" vm="1121">
            <v>7287236198400</v>
          </cell>
          <cell r="AK29" vm="1122">
            <v>7639749099520</v>
          </cell>
          <cell r="AL29" vm="1123">
            <v>8073121890304</v>
          </cell>
          <cell r="AM29" vm="1124">
            <v>8577554579456</v>
          </cell>
          <cell r="AN29" vm="1125">
            <v>9062818250752</v>
          </cell>
          <cell r="AO29" vm="1126">
            <v>9630664097792</v>
          </cell>
          <cell r="AP29" vm="1127">
            <v>10252345933824</v>
          </cell>
          <cell r="AQ29" vm="1128">
            <v>10581821095936</v>
          </cell>
          <cell r="AR29" vm="1129">
            <v>10936419090432</v>
          </cell>
          <cell r="AS29" vm="1130">
            <v>11458243985408</v>
          </cell>
          <cell r="AT29" vm="1131">
            <v>12213729361920</v>
          </cell>
          <cell r="AU29" vm="1132">
            <v>13036640272384</v>
          </cell>
          <cell r="AV29" vm="1133">
            <v>13814611312640</v>
          </cell>
          <cell r="AW29" vm="1134">
            <v>14451858210816</v>
          </cell>
          <cell r="AX29" vm="1135">
            <v>14712844582912</v>
          </cell>
          <cell r="AY29" vm="1136">
            <v>14448932683776</v>
          </cell>
          <cell r="AZ29" vm="1137">
            <v>14992053108736</v>
          </cell>
          <cell r="BA29" vm="1138">
            <v>15542580674560</v>
          </cell>
          <cell r="BB29" vm="1139">
            <v>16197007441920</v>
          </cell>
          <cell r="BC29" vm="1140">
            <v>16784849633280</v>
          </cell>
          <cell r="BD29" vm="1141">
            <v>17521746903040</v>
          </cell>
          <cell r="BE29" vm="1142">
            <v>18219297406976</v>
          </cell>
          <cell r="BF29" vm="1143">
            <v>18707187236864</v>
          </cell>
          <cell r="BG29" vm="1144">
            <v>19485394206720</v>
          </cell>
          <cell r="BH29" vm="1145">
            <v>20529048190976</v>
          </cell>
          <cell r="BI29" vm="1146">
            <v>21374418550784</v>
          </cell>
        </row>
      </sheetData>
      <sheetData sheetId="3">
        <row r="11">
          <cell r="B11" t="str" vm="7">
            <v>Australia</v>
          </cell>
          <cell r="C11" vm="1147">
            <v>10483000</v>
          </cell>
          <cell r="D11" vm="1148">
            <v>10742000</v>
          </cell>
          <cell r="E11" vm="1149">
            <v>10950000</v>
          </cell>
          <cell r="F11" vm="1150">
            <v>11167000</v>
          </cell>
          <cell r="G11" vm="1151">
            <v>11388000</v>
          </cell>
          <cell r="H11" vm="1152">
            <v>11651000</v>
          </cell>
          <cell r="I11" vm="1153">
            <v>11799000</v>
          </cell>
          <cell r="J11" vm="1154">
            <v>12009000</v>
          </cell>
          <cell r="K11" vm="1155">
            <v>12263000</v>
          </cell>
          <cell r="L11" vm="1156">
            <v>12507000</v>
          </cell>
          <cell r="M11" vm="1157">
            <v>12937000</v>
          </cell>
          <cell r="N11" vm="1158">
            <v>13177000</v>
          </cell>
          <cell r="O11" vm="1159">
            <v>13380000</v>
          </cell>
          <cell r="P11" vm="1160">
            <v>13723000</v>
          </cell>
          <cell r="Q11" vm="1161">
            <v>13893000</v>
          </cell>
          <cell r="R11" vm="1162">
            <v>14033000</v>
          </cell>
          <cell r="S11" vm="1163">
            <v>14192000</v>
          </cell>
          <cell r="T11" vm="1164">
            <v>14358000</v>
          </cell>
          <cell r="U11" vm="1165">
            <v>14514000</v>
          </cell>
          <cell r="V11" vm="1166">
            <v>14692000</v>
          </cell>
          <cell r="W11" vm="1167">
            <v>14927000</v>
          </cell>
          <cell r="X11" vm="1168">
            <v>15178000</v>
          </cell>
          <cell r="Y11" vm="1169">
            <v>15369000</v>
          </cell>
          <cell r="Z11" vm="1170">
            <v>15544000</v>
          </cell>
          <cell r="AA11" vm="1171">
            <v>15758000</v>
          </cell>
          <cell r="AB11" vm="1172">
            <v>16018400</v>
          </cell>
          <cell r="AC11" vm="1173">
            <v>16263900</v>
          </cell>
          <cell r="AD11" vm="1174">
            <v>16532200</v>
          </cell>
          <cell r="AE11" vm="1175">
            <v>16814400</v>
          </cell>
          <cell r="AF11" vm="1176">
            <v>17065100</v>
          </cell>
          <cell r="AG11" vm="1177">
            <v>17284000</v>
          </cell>
          <cell r="AH11" vm="1178">
            <v>17495000</v>
          </cell>
          <cell r="AI11" vm="1179">
            <v>17667000</v>
          </cell>
          <cell r="AJ11" vm="1180">
            <v>17855000</v>
          </cell>
          <cell r="AK11" vm="1181">
            <v>18072000</v>
          </cell>
          <cell r="AL11" vm="1182">
            <v>18311000</v>
          </cell>
          <cell r="AM11" vm="1183">
            <v>18517000</v>
          </cell>
          <cell r="AN11" vm="1184">
            <v>18711000</v>
          </cell>
          <cell r="AO11" vm="1185">
            <v>18926000</v>
          </cell>
          <cell r="AP11" vm="1186">
            <v>19153000</v>
          </cell>
          <cell r="AQ11" vm="1187">
            <v>19413000</v>
          </cell>
          <cell r="AR11" vm="1188">
            <v>19651400</v>
          </cell>
          <cell r="AS11" vm="1189">
            <v>19895400</v>
          </cell>
          <cell r="AT11" vm="1190">
            <v>20127400</v>
          </cell>
          <cell r="AU11" vm="1191">
            <v>20394800</v>
          </cell>
          <cell r="AV11" vm="1192">
            <v>20697900</v>
          </cell>
          <cell r="AW11" vm="1193">
            <v>20827600</v>
          </cell>
          <cell r="AX11" vm="1194">
            <v>21249200</v>
          </cell>
          <cell r="AY11" vm="1195">
            <v>21691700</v>
          </cell>
          <cell r="AZ11" vm="1196">
            <v>22031750</v>
          </cell>
          <cell r="BA11" vm="1197">
            <v>22340024</v>
          </cell>
          <cell r="BB11" vm="1198">
            <v>22733464</v>
          </cell>
          <cell r="BC11" vm="1199">
            <v>23128128</v>
          </cell>
          <cell r="BD11" vm="1200">
            <v>23475686</v>
          </cell>
          <cell r="BE11" vm="1201">
            <v>23815996</v>
          </cell>
          <cell r="BF11" vm="1202">
            <v>24190908</v>
          </cell>
          <cell r="BG11" vm="1203">
            <v>24601860</v>
          </cell>
          <cell r="BH11" vm="1204">
            <v>24982688</v>
          </cell>
          <cell r="BI11" vm="1205">
            <v>25364308</v>
          </cell>
        </row>
        <row r="12">
          <cell r="B12" t="str" vm="67">
            <v>Austria</v>
          </cell>
          <cell r="C12" vm="1206">
            <v>7086299</v>
          </cell>
          <cell r="D12" vm="1207">
            <v>7129864</v>
          </cell>
          <cell r="E12" vm="1208">
            <v>7175811</v>
          </cell>
          <cell r="F12" vm="1209">
            <v>7223801</v>
          </cell>
          <cell r="G12" vm="1210">
            <v>7270889</v>
          </cell>
          <cell r="H12" vm="1211">
            <v>7322066</v>
          </cell>
          <cell r="I12" vm="1212">
            <v>7376998</v>
          </cell>
          <cell r="J12" vm="1213">
            <v>7415403</v>
          </cell>
          <cell r="K12" vm="1214">
            <v>7441055</v>
          </cell>
          <cell r="L12" vm="1215">
            <v>7467086</v>
          </cell>
          <cell r="M12" vm="1216">
            <v>7500482</v>
          </cell>
          <cell r="N12" vm="1217">
            <v>7544201</v>
          </cell>
          <cell r="O12" vm="1218">
            <v>7586115</v>
          </cell>
          <cell r="P12" vm="1219">
            <v>7599038</v>
          </cell>
          <cell r="Q12" vm="1220">
            <v>7578903</v>
          </cell>
          <cell r="R12" vm="1221">
            <v>7565525</v>
          </cell>
          <cell r="S12" vm="1222">
            <v>7568430</v>
          </cell>
          <cell r="T12" vm="1223">
            <v>7562305</v>
          </cell>
          <cell r="U12" vm="1224">
            <v>7549425</v>
          </cell>
          <cell r="V12" vm="1225">
            <v>7549433</v>
          </cell>
          <cell r="W12" vm="1226">
            <v>7568710</v>
          </cell>
          <cell r="X12" vm="1227">
            <v>7574140</v>
          </cell>
          <cell r="Y12" vm="1228">
            <v>7561910</v>
          </cell>
          <cell r="Z12" vm="1229">
            <v>7561434</v>
          </cell>
          <cell r="AA12" vm="1230">
            <v>7564985</v>
          </cell>
          <cell r="AB12" vm="1231">
            <v>7569794</v>
          </cell>
          <cell r="AC12" vm="1232">
            <v>7574586</v>
          </cell>
          <cell r="AD12" vm="1233">
            <v>7585317</v>
          </cell>
          <cell r="AE12" vm="1234">
            <v>7619567</v>
          </cell>
          <cell r="AF12" vm="1235">
            <v>7677850</v>
          </cell>
          <cell r="AG12" vm="1236">
            <v>7754891</v>
          </cell>
          <cell r="AH12" vm="1237">
            <v>7840709</v>
          </cell>
          <cell r="AI12" vm="1238">
            <v>7905633</v>
          </cell>
          <cell r="AJ12" vm="1239">
            <v>7936118</v>
          </cell>
          <cell r="AK12" vm="1240">
            <v>7948278</v>
          </cell>
          <cell r="AL12" vm="1241">
            <v>7959017</v>
          </cell>
          <cell r="AM12" vm="1242">
            <v>7968041</v>
          </cell>
          <cell r="AN12" vm="1243">
            <v>7976789</v>
          </cell>
          <cell r="AO12" vm="1244">
            <v>7992324</v>
          </cell>
          <cell r="AP12" vm="1245">
            <v>8011566</v>
          </cell>
          <cell r="AQ12" vm="1246">
            <v>8042293</v>
          </cell>
          <cell r="AR12" vm="1247">
            <v>8081957</v>
          </cell>
          <cell r="AS12" vm="1248">
            <v>8121423</v>
          </cell>
          <cell r="AT12" vm="1249">
            <v>8171966</v>
          </cell>
          <cell r="AU12" vm="1250">
            <v>8227829</v>
          </cell>
          <cell r="AV12" vm="1251">
            <v>8268641</v>
          </cell>
          <cell r="AW12" vm="1252">
            <v>8295487</v>
          </cell>
          <cell r="AX12" vm="1253">
            <v>8321496</v>
          </cell>
          <cell r="AY12" vm="1254">
            <v>8343323</v>
          </cell>
          <cell r="AZ12" vm="1255">
            <v>8363404</v>
          </cell>
          <cell r="BA12" vm="1256">
            <v>8391643</v>
          </cell>
          <cell r="BB12" vm="1257">
            <v>8429991</v>
          </cell>
          <cell r="BC12" vm="1258">
            <v>8479823</v>
          </cell>
          <cell r="BD12" vm="1259">
            <v>8546356</v>
          </cell>
          <cell r="BE12" vm="1260">
            <v>8642699</v>
          </cell>
          <cell r="BF12" vm="1261">
            <v>8736668</v>
          </cell>
          <cell r="BG12" vm="1262">
            <v>8797566</v>
          </cell>
          <cell r="BH12" vm="1263">
            <v>8840521</v>
          </cell>
          <cell r="BI12" vm="1264">
            <v>8877067</v>
          </cell>
        </row>
        <row r="13">
          <cell r="B13" t="str" vm="127">
            <v>Belgium</v>
          </cell>
          <cell r="C13" vm="1265">
            <v>9183948</v>
          </cell>
          <cell r="D13" vm="1266">
            <v>9220578</v>
          </cell>
          <cell r="E13" vm="1267">
            <v>9289770</v>
          </cell>
          <cell r="F13" vm="1268">
            <v>9378113</v>
          </cell>
          <cell r="G13" vm="1269">
            <v>9463667</v>
          </cell>
          <cell r="H13" vm="1270">
            <v>9527807</v>
          </cell>
          <cell r="I13" vm="1271">
            <v>9580991</v>
          </cell>
          <cell r="J13" vm="1272">
            <v>9618756</v>
          </cell>
          <cell r="K13" vm="1273">
            <v>9646032</v>
          </cell>
          <cell r="L13" vm="1274">
            <v>9655549</v>
          </cell>
          <cell r="M13" vm="1275">
            <v>9673162</v>
          </cell>
          <cell r="N13" vm="1276">
            <v>9711115</v>
          </cell>
          <cell r="O13" vm="1277">
            <v>9741720</v>
          </cell>
          <cell r="P13" vm="1278">
            <v>9772419</v>
          </cell>
          <cell r="Q13" vm="1279">
            <v>9800700</v>
          </cell>
          <cell r="R13" vm="1280">
            <v>9818227</v>
          </cell>
          <cell r="S13" vm="1281">
            <v>9830358</v>
          </cell>
          <cell r="T13" vm="1282">
            <v>9839534</v>
          </cell>
          <cell r="U13" vm="1283">
            <v>9848382</v>
          </cell>
          <cell r="V13" vm="1284">
            <v>9859242</v>
          </cell>
          <cell r="W13" vm="1285">
            <v>9858982</v>
          </cell>
          <cell r="X13" vm="1286">
            <v>9856303</v>
          </cell>
          <cell r="Y13" vm="1287">
            <v>9855520</v>
          </cell>
          <cell r="Z13" vm="1288">
            <v>9855372</v>
          </cell>
          <cell r="AA13" vm="1289">
            <v>9858308</v>
          </cell>
          <cell r="AB13" vm="1290">
            <v>9861823</v>
          </cell>
          <cell r="AC13" vm="1291">
            <v>9870234</v>
          </cell>
          <cell r="AD13" vm="1292">
            <v>9901664</v>
          </cell>
          <cell r="AE13" vm="1293">
            <v>9937697</v>
          </cell>
          <cell r="AF13" vm="1294">
            <v>9967379</v>
          </cell>
          <cell r="AG13" vm="1295">
            <v>10004486</v>
          </cell>
          <cell r="AH13" vm="1296">
            <v>10045158</v>
          </cell>
          <cell r="AI13" vm="1297">
            <v>10084475</v>
          </cell>
          <cell r="AJ13" vm="1298">
            <v>10115603</v>
          </cell>
          <cell r="AK13" vm="1299">
            <v>10136811</v>
          </cell>
          <cell r="AL13" vm="1300">
            <v>10156637</v>
          </cell>
          <cell r="AM13" vm="1301">
            <v>10181245</v>
          </cell>
          <cell r="AN13" vm="1302">
            <v>10203008</v>
          </cell>
          <cell r="AO13" vm="1303">
            <v>10226419</v>
          </cell>
          <cell r="AP13" vm="1304">
            <v>10251250</v>
          </cell>
          <cell r="AQ13" vm="1305">
            <v>10286570</v>
          </cell>
          <cell r="AR13" vm="1306">
            <v>10332785</v>
          </cell>
          <cell r="AS13" vm="1307">
            <v>10376133</v>
          </cell>
          <cell r="AT13" vm="1308">
            <v>10421137</v>
          </cell>
          <cell r="AU13" vm="1309">
            <v>10478617</v>
          </cell>
          <cell r="AV13" vm="1310">
            <v>10547958</v>
          </cell>
          <cell r="AW13" vm="1311">
            <v>10625700</v>
          </cell>
          <cell r="AX13" vm="1312">
            <v>10709973</v>
          </cell>
          <cell r="AY13" vm="1313">
            <v>10796493</v>
          </cell>
          <cell r="AZ13" vm="1314">
            <v>10895586</v>
          </cell>
          <cell r="BA13" vm="1315">
            <v>11038264</v>
          </cell>
          <cell r="BB13" vm="1316">
            <v>11106932</v>
          </cell>
          <cell r="BC13" vm="1317">
            <v>11159407</v>
          </cell>
          <cell r="BD13" vm="1318">
            <v>11209057</v>
          </cell>
          <cell r="BE13" vm="1319">
            <v>11274196</v>
          </cell>
          <cell r="BF13" vm="1320">
            <v>11331422</v>
          </cell>
          <cell r="BG13" vm="1321">
            <v>11375158</v>
          </cell>
          <cell r="BH13" vm="1322">
            <v>11427054</v>
          </cell>
          <cell r="BI13" vm="1323">
            <v>11484055</v>
          </cell>
        </row>
        <row r="14">
          <cell r="B14" t="str" vm="187">
            <v>Finland</v>
          </cell>
          <cell r="C14" vm="1324">
            <v>4461005</v>
          </cell>
          <cell r="D14" vm="1325">
            <v>4491443</v>
          </cell>
          <cell r="E14" vm="1326">
            <v>4523309</v>
          </cell>
          <cell r="F14" vm="1327">
            <v>4548543</v>
          </cell>
          <cell r="G14" vm="1328">
            <v>4563732</v>
          </cell>
          <cell r="H14" vm="1329">
            <v>4580869</v>
          </cell>
          <cell r="I14" vm="1330">
            <v>4605744</v>
          </cell>
          <cell r="J14" vm="1331">
            <v>4626469</v>
          </cell>
          <cell r="K14" vm="1332">
            <v>4623785</v>
          </cell>
          <cell r="L14" vm="1333">
            <v>4606307</v>
          </cell>
          <cell r="M14" vm="1334">
            <v>4612124</v>
          </cell>
          <cell r="N14" vm="1335">
            <v>4639657</v>
          </cell>
          <cell r="O14" vm="1336">
            <v>4666081</v>
          </cell>
          <cell r="P14" vm="1337">
            <v>4690574</v>
          </cell>
          <cell r="Q14" vm="1338">
            <v>4711440</v>
          </cell>
          <cell r="R14" vm="1339">
            <v>4725664</v>
          </cell>
          <cell r="S14" vm="1340">
            <v>4738902</v>
          </cell>
          <cell r="T14" vm="1341">
            <v>4752528</v>
          </cell>
          <cell r="U14" vm="1342">
            <v>4764690</v>
          </cell>
          <cell r="V14" vm="1343">
            <v>4779535</v>
          </cell>
          <cell r="W14" vm="1344">
            <v>4799964</v>
          </cell>
          <cell r="X14" vm="1345">
            <v>4826933</v>
          </cell>
          <cell r="Y14" vm="1346">
            <v>4855787</v>
          </cell>
          <cell r="Z14" vm="1347">
            <v>4881803</v>
          </cell>
          <cell r="AA14" vm="1348">
            <v>4902206</v>
          </cell>
          <cell r="AB14" vm="1349">
            <v>4918154</v>
          </cell>
          <cell r="AC14" vm="1350">
            <v>4932123</v>
          </cell>
          <cell r="AD14" vm="1351">
            <v>4946481</v>
          </cell>
          <cell r="AE14" vm="1352">
            <v>4964371</v>
          </cell>
          <cell r="AF14" vm="1353">
            <v>4986431</v>
          </cell>
          <cell r="AG14" vm="1354">
            <v>5013740</v>
          </cell>
          <cell r="AH14" vm="1355">
            <v>5041992</v>
          </cell>
          <cell r="AI14" vm="1356">
            <v>5066447</v>
          </cell>
          <cell r="AJ14" vm="1357">
            <v>5088333</v>
          </cell>
          <cell r="AK14" vm="1358">
            <v>5107790</v>
          </cell>
          <cell r="AL14" vm="1359">
            <v>5124573</v>
          </cell>
          <cell r="AM14" vm="1360">
            <v>5139835</v>
          </cell>
          <cell r="AN14" vm="1361">
            <v>5153498</v>
          </cell>
          <cell r="AO14" vm="1362">
            <v>5165474</v>
          </cell>
          <cell r="AP14" vm="1363">
            <v>5176209</v>
          </cell>
          <cell r="AQ14" vm="1364">
            <v>5188008</v>
          </cell>
          <cell r="AR14" vm="1365">
            <v>5200598</v>
          </cell>
          <cell r="AS14" vm="1366">
            <v>5213014</v>
          </cell>
          <cell r="AT14" vm="1367">
            <v>5228172</v>
          </cell>
          <cell r="AU14" vm="1368">
            <v>5246096</v>
          </cell>
          <cell r="AV14" vm="1369">
            <v>5266268</v>
          </cell>
          <cell r="AW14" vm="1370">
            <v>5288720</v>
          </cell>
          <cell r="AX14" vm="1371">
            <v>5313399</v>
          </cell>
          <cell r="AY14" vm="1372">
            <v>5338871</v>
          </cell>
          <cell r="AZ14" vm="1373">
            <v>5363352</v>
          </cell>
          <cell r="BA14" vm="1374">
            <v>5388272</v>
          </cell>
          <cell r="BB14" vm="1375">
            <v>5413971</v>
          </cell>
          <cell r="BC14" vm="1376">
            <v>5438972</v>
          </cell>
          <cell r="BD14" vm="1377">
            <v>5461512</v>
          </cell>
          <cell r="BE14" vm="1378">
            <v>5479531</v>
          </cell>
          <cell r="BF14" vm="1379">
            <v>5495303</v>
          </cell>
          <cell r="BG14" vm="1380">
            <v>5508214</v>
          </cell>
          <cell r="BH14" vm="1381">
            <v>5515525</v>
          </cell>
          <cell r="BI14" vm="1382">
            <v>5520314</v>
          </cell>
        </row>
        <row r="15">
          <cell r="B15" t="str" vm="247">
            <v>France</v>
          </cell>
          <cell r="C15" vm="1383">
            <v>47240544</v>
          </cell>
          <cell r="D15" vm="1384">
            <v>47904876</v>
          </cell>
          <cell r="E15" vm="1385">
            <v>48582612</v>
          </cell>
          <cell r="F15" vm="1386">
            <v>49230596</v>
          </cell>
          <cell r="G15" vm="1387">
            <v>49818028</v>
          </cell>
          <cell r="H15" vm="1388">
            <v>50330264</v>
          </cell>
          <cell r="I15" vm="1389">
            <v>50775792</v>
          </cell>
          <cell r="J15" vm="1390">
            <v>51175508</v>
          </cell>
          <cell r="K15" vm="1391">
            <v>51561836</v>
          </cell>
          <cell r="L15" vm="1392">
            <v>51957736</v>
          </cell>
          <cell r="M15" vm="1393">
            <v>52371344</v>
          </cell>
          <cell r="N15" vm="1394">
            <v>52793136</v>
          </cell>
          <cell r="O15" vm="1395">
            <v>53207736</v>
          </cell>
          <cell r="P15" vm="1396">
            <v>53592232</v>
          </cell>
          <cell r="Q15" vm="1397">
            <v>53931392</v>
          </cell>
          <cell r="R15" vm="1398">
            <v>54220024</v>
          </cell>
          <cell r="S15" vm="1399">
            <v>54467704</v>
          </cell>
          <cell r="T15" vm="1400">
            <v>54691852</v>
          </cell>
          <cell r="U15" vm="1401">
            <v>54917120</v>
          </cell>
          <cell r="V15" vm="1402">
            <v>55161528</v>
          </cell>
          <cell r="W15" vm="1403">
            <v>55430296</v>
          </cell>
          <cell r="X15" vm="1404">
            <v>55718932</v>
          </cell>
          <cell r="Y15" vm="1405">
            <v>56023768</v>
          </cell>
          <cell r="Z15" vm="1406">
            <v>56337664</v>
          </cell>
          <cell r="AA15" vm="1407">
            <v>56654696</v>
          </cell>
          <cell r="AB15" vm="1408">
            <v>56976124</v>
          </cell>
          <cell r="AC15" vm="1409">
            <v>57302664</v>
          </cell>
          <cell r="AD15" vm="1410">
            <v>57627104</v>
          </cell>
          <cell r="AE15" vm="1411">
            <v>57940212</v>
          </cell>
          <cell r="AF15" vm="1412">
            <v>58235696</v>
          </cell>
          <cell r="AG15" vm="1413">
            <v>58559312</v>
          </cell>
          <cell r="AH15" vm="1414">
            <v>58851216</v>
          </cell>
          <cell r="AI15" vm="1415">
            <v>59106768</v>
          </cell>
          <cell r="AJ15" vm="1416">
            <v>59327192</v>
          </cell>
          <cell r="AK15" vm="1417">
            <v>59541900</v>
          </cell>
          <cell r="AL15" vm="1418">
            <v>59753100</v>
          </cell>
          <cell r="AM15" vm="1419">
            <v>59964852</v>
          </cell>
          <cell r="AN15" vm="1420">
            <v>60186288</v>
          </cell>
          <cell r="AO15" vm="1421">
            <v>60496720</v>
          </cell>
          <cell r="AP15" vm="1422">
            <v>60912500</v>
          </cell>
          <cell r="AQ15" vm="1423">
            <v>61357432</v>
          </cell>
          <cell r="AR15" vm="1424">
            <v>61805268</v>
          </cell>
          <cell r="AS15" vm="1425">
            <v>62244888</v>
          </cell>
          <cell r="AT15" vm="1426">
            <v>62704896</v>
          </cell>
          <cell r="AU15" vm="1427">
            <v>63179352</v>
          </cell>
          <cell r="AV15" vm="1428">
            <v>63621380</v>
          </cell>
          <cell r="AW15" vm="1429">
            <v>64016224</v>
          </cell>
          <cell r="AX15" vm="1430">
            <v>64374984</v>
          </cell>
          <cell r="AY15" vm="1431">
            <v>64707040</v>
          </cell>
          <cell r="AZ15" vm="1432">
            <v>65027508</v>
          </cell>
          <cell r="BA15" vm="1433">
            <v>65342780</v>
          </cell>
          <cell r="BB15" vm="1434">
            <v>65659808</v>
          </cell>
          <cell r="BC15" vm="1435">
            <v>65998688</v>
          </cell>
          <cell r="BD15" vm="1436">
            <v>66312068</v>
          </cell>
          <cell r="BE15" vm="1437">
            <v>66548272</v>
          </cell>
          <cell r="BF15" vm="1438">
            <v>66724104</v>
          </cell>
          <cell r="BG15" vm="1439">
            <v>66864380</v>
          </cell>
          <cell r="BH15" vm="1440">
            <v>66965912</v>
          </cell>
          <cell r="BI15" vm="1441">
            <v>67059888</v>
          </cell>
        </row>
        <row r="16">
          <cell r="B16" t="str" vm="307">
            <v>Greece</v>
          </cell>
          <cell r="C16" vm="1442">
            <v>8398050</v>
          </cell>
          <cell r="D16" vm="1443">
            <v>8448233</v>
          </cell>
          <cell r="E16" vm="1444">
            <v>8479625</v>
          </cell>
          <cell r="F16" vm="1445">
            <v>8510429</v>
          </cell>
          <cell r="G16" vm="1446">
            <v>8550333</v>
          </cell>
          <cell r="H16" vm="1447">
            <v>8613651</v>
          </cell>
          <cell r="I16" vm="1448">
            <v>8684088</v>
          </cell>
          <cell r="J16" vm="1449">
            <v>8740765</v>
          </cell>
          <cell r="K16" vm="1450">
            <v>8772764</v>
          </cell>
          <cell r="L16" vm="1451">
            <v>8792806</v>
          </cell>
          <cell r="M16" vm="1452">
            <v>8831036</v>
          </cell>
          <cell r="N16" vm="1453">
            <v>8888628</v>
          </cell>
          <cell r="O16" vm="1454">
            <v>8929086</v>
          </cell>
          <cell r="P16" vm="1455">
            <v>8962022</v>
          </cell>
          <cell r="Q16" vm="1456">
            <v>9046541</v>
          </cell>
          <cell r="R16" vm="1457">
            <v>9188150</v>
          </cell>
          <cell r="S16" vm="1458">
            <v>9308479</v>
          </cell>
          <cell r="T16" vm="1459">
            <v>9429959</v>
          </cell>
          <cell r="U16" vm="1460">
            <v>9548258</v>
          </cell>
          <cell r="V16" vm="1461">
            <v>9642505</v>
          </cell>
          <cell r="W16" vm="1462">
            <v>9729350</v>
          </cell>
          <cell r="X16" vm="1463">
            <v>9789513</v>
          </cell>
          <cell r="Y16" vm="1464">
            <v>9846627</v>
          </cell>
          <cell r="Z16" vm="1465">
            <v>9895801</v>
          </cell>
          <cell r="AA16" vm="1466">
            <v>9934300</v>
          </cell>
          <cell r="AB16" vm="1467">
            <v>9967213</v>
          </cell>
          <cell r="AC16" vm="1468">
            <v>10000595</v>
          </cell>
          <cell r="AD16" vm="1469">
            <v>10036983</v>
          </cell>
          <cell r="AE16" vm="1470">
            <v>10089498</v>
          </cell>
          <cell r="AF16" vm="1471">
            <v>10196792</v>
          </cell>
          <cell r="AG16" vm="1472">
            <v>10319927</v>
          </cell>
          <cell r="AH16" vm="1473">
            <v>10399061</v>
          </cell>
          <cell r="AI16" vm="1474">
            <v>10460415</v>
          </cell>
          <cell r="AJ16" vm="1475">
            <v>10512922</v>
          </cell>
          <cell r="AK16" vm="1476">
            <v>10562153</v>
          </cell>
          <cell r="AL16" vm="1477">
            <v>10608800</v>
          </cell>
          <cell r="AM16" vm="1478">
            <v>10661259</v>
          </cell>
          <cell r="AN16" vm="1479">
            <v>10720509</v>
          </cell>
          <cell r="AO16" vm="1480">
            <v>10761698</v>
          </cell>
          <cell r="AP16" vm="1481">
            <v>10805808</v>
          </cell>
          <cell r="AQ16" vm="1482">
            <v>10862132</v>
          </cell>
          <cell r="AR16" vm="1483">
            <v>10902022</v>
          </cell>
          <cell r="AS16" vm="1484">
            <v>10928070</v>
          </cell>
          <cell r="AT16" vm="1485">
            <v>10955141</v>
          </cell>
          <cell r="AU16" vm="1486">
            <v>10987314</v>
          </cell>
          <cell r="AV16" vm="1487">
            <v>11020362</v>
          </cell>
          <cell r="AW16" vm="1488">
            <v>11048473</v>
          </cell>
          <cell r="AX16" vm="1489">
            <v>11077841</v>
          </cell>
          <cell r="AY16" vm="1490">
            <v>11107017</v>
          </cell>
          <cell r="AZ16" vm="1491">
            <v>11121341</v>
          </cell>
          <cell r="BA16" vm="1492">
            <v>11104899</v>
          </cell>
          <cell r="BB16" vm="1493">
            <v>11045011</v>
          </cell>
          <cell r="BC16" vm="1494">
            <v>10965211</v>
          </cell>
          <cell r="BD16" vm="1495">
            <v>10892413</v>
          </cell>
          <cell r="BE16" vm="1496">
            <v>10820883</v>
          </cell>
          <cell r="BF16" vm="1497">
            <v>10775971</v>
          </cell>
          <cell r="BG16" vm="1498">
            <v>10754679</v>
          </cell>
          <cell r="BH16" vm="1499">
            <v>10732882</v>
          </cell>
          <cell r="BI16" vm="1500">
            <v>10716322</v>
          </cell>
        </row>
        <row r="17">
          <cell r="B17" t="str" vm="367">
            <v>Israel</v>
          </cell>
          <cell r="C17" vm="1501">
            <v>2185000</v>
          </cell>
          <cell r="D17" vm="1502">
            <v>2293000</v>
          </cell>
          <cell r="E17" vm="1503">
            <v>2379000</v>
          </cell>
          <cell r="F17" vm="1504">
            <v>2475000</v>
          </cell>
          <cell r="G17" vm="1505">
            <v>2563000</v>
          </cell>
          <cell r="H17" vm="1506">
            <v>2629000</v>
          </cell>
          <cell r="I17" vm="1507">
            <v>2745000</v>
          </cell>
          <cell r="J17" vm="1508">
            <v>2803000</v>
          </cell>
          <cell r="K17" vm="1509">
            <v>2877000</v>
          </cell>
          <cell r="L17" vm="1510">
            <v>2974000</v>
          </cell>
          <cell r="M17" vm="1511">
            <v>3069000</v>
          </cell>
          <cell r="N17" vm="1512">
            <v>3148000</v>
          </cell>
          <cell r="O17" vm="1513">
            <v>3278000</v>
          </cell>
          <cell r="P17" vm="1514">
            <v>3377000</v>
          </cell>
          <cell r="Q17" vm="1515">
            <v>3455000</v>
          </cell>
          <cell r="R17" vm="1516">
            <v>3533000</v>
          </cell>
          <cell r="S17" vm="1517">
            <v>3613000</v>
          </cell>
          <cell r="T17" vm="1518">
            <v>3690000</v>
          </cell>
          <cell r="U17" vm="1519">
            <v>3786000</v>
          </cell>
          <cell r="V17" vm="1520">
            <v>3878000</v>
          </cell>
          <cell r="W17" vm="1521">
            <v>3956000</v>
          </cell>
          <cell r="X17" vm="1522">
            <v>4031000</v>
          </cell>
          <cell r="Y17" vm="1523">
            <v>4105000</v>
          </cell>
          <cell r="Z17" vm="1524">
            <v>4159000</v>
          </cell>
          <cell r="AA17" vm="1525">
            <v>4233000</v>
          </cell>
          <cell r="AB17" vm="1526">
            <v>4299000</v>
          </cell>
          <cell r="AC17" vm="1527">
            <v>4369000</v>
          </cell>
          <cell r="AD17" vm="1528">
            <v>4442000</v>
          </cell>
          <cell r="AE17" vm="1529">
            <v>4518000</v>
          </cell>
          <cell r="AF17" vm="1530">
            <v>4660000</v>
          </cell>
          <cell r="AG17" vm="1531">
            <v>4949000</v>
          </cell>
          <cell r="AH17" vm="1532">
            <v>5123000</v>
          </cell>
          <cell r="AI17" vm="1533">
            <v>5261000</v>
          </cell>
          <cell r="AJ17" vm="1534">
            <v>5399000</v>
          </cell>
          <cell r="AK17" vm="1535">
            <v>5545000</v>
          </cell>
          <cell r="AL17" vm="1536">
            <v>5692000</v>
          </cell>
          <cell r="AM17" vm="1537">
            <v>5836000</v>
          </cell>
          <cell r="AN17" vm="1538">
            <v>5971000</v>
          </cell>
          <cell r="AO17" vm="1539">
            <v>6125000</v>
          </cell>
          <cell r="AP17" vm="1540">
            <v>6289000</v>
          </cell>
          <cell r="AQ17" vm="1541">
            <v>6439000</v>
          </cell>
          <cell r="AR17" vm="1542">
            <v>6570000</v>
          </cell>
          <cell r="AS17" vm="1543">
            <v>6689700</v>
          </cell>
          <cell r="AT17" vm="1544">
            <v>6809000</v>
          </cell>
          <cell r="AU17" vm="1545">
            <v>6930100</v>
          </cell>
          <cell r="AV17" vm="1546">
            <v>7053700</v>
          </cell>
          <cell r="AW17" vm="1547">
            <v>7180100</v>
          </cell>
          <cell r="AX17" vm="1548">
            <v>7308800</v>
          </cell>
          <cell r="AY17" vm="1549">
            <v>7485600</v>
          </cell>
          <cell r="AZ17" vm="1550">
            <v>7623600</v>
          </cell>
          <cell r="BA17" vm="1551">
            <v>7765800</v>
          </cell>
          <cell r="BB17" vm="1552">
            <v>7910500</v>
          </cell>
          <cell r="BC17" vm="1553">
            <v>8059500</v>
          </cell>
          <cell r="BD17" vm="1554">
            <v>8215700</v>
          </cell>
          <cell r="BE17" vm="1555">
            <v>8380100</v>
          </cell>
          <cell r="BF17" vm="1556">
            <v>8546000</v>
          </cell>
          <cell r="BG17" vm="1557">
            <v>8713300</v>
          </cell>
          <cell r="BH17" vm="1558">
            <v>8882800</v>
          </cell>
          <cell r="BI17" vm="1559">
            <v>9053300</v>
          </cell>
        </row>
        <row r="18">
          <cell r="B18" t="str" vm="427">
            <v>Italy</v>
          </cell>
          <cell r="C18" vm="1560">
            <v>50536352</v>
          </cell>
          <cell r="D18" vm="1561">
            <v>50879448</v>
          </cell>
          <cell r="E18" vm="1562">
            <v>51252000</v>
          </cell>
          <cell r="F18" vm="1563">
            <v>51675352</v>
          </cell>
          <cell r="G18" vm="1564">
            <v>52112352</v>
          </cell>
          <cell r="H18" vm="1565">
            <v>52519000</v>
          </cell>
          <cell r="I18" vm="1566">
            <v>52900500</v>
          </cell>
          <cell r="J18" vm="1567">
            <v>53235752</v>
          </cell>
          <cell r="K18" vm="1568">
            <v>53537952</v>
          </cell>
          <cell r="L18" vm="1569">
            <v>53821848</v>
          </cell>
          <cell r="M18" vm="1570">
            <v>54073488</v>
          </cell>
          <cell r="N18" vm="1571">
            <v>54381344</v>
          </cell>
          <cell r="O18" vm="1572">
            <v>54751408</v>
          </cell>
          <cell r="P18" vm="1573">
            <v>55110868</v>
          </cell>
          <cell r="Q18" vm="1574">
            <v>55441000</v>
          </cell>
          <cell r="R18" vm="1575">
            <v>55718260</v>
          </cell>
          <cell r="S18" vm="1576">
            <v>55955412</v>
          </cell>
          <cell r="T18" vm="1577">
            <v>56155144</v>
          </cell>
          <cell r="U18" vm="1578">
            <v>56317748</v>
          </cell>
          <cell r="V18" vm="1579">
            <v>56433884</v>
          </cell>
          <cell r="W18" vm="1580">
            <v>56501676</v>
          </cell>
          <cell r="X18" vm="1581">
            <v>56543548</v>
          </cell>
          <cell r="Y18" vm="1582">
            <v>56564072</v>
          </cell>
          <cell r="Z18" vm="1583">
            <v>56576720</v>
          </cell>
          <cell r="AA18" vm="1584">
            <v>56593072</v>
          </cell>
          <cell r="AB18" vm="1585">
            <v>56596156</v>
          </cell>
          <cell r="AC18" vm="1586">
            <v>56601932</v>
          </cell>
          <cell r="AD18" vm="1587">
            <v>56629288</v>
          </cell>
          <cell r="AE18" vm="1588">
            <v>56671780</v>
          </cell>
          <cell r="AF18" vm="1589">
            <v>56719240</v>
          </cell>
          <cell r="AG18" vm="1590">
            <v>56758520</v>
          </cell>
          <cell r="AH18" vm="1591">
            <v>56797088</v>
          </cell>
          <cell r="AI18" vm="1592">
            <v>56831820</v>
          </cell>
          <cell r="AJ18" vm="1593">
            <v>56843400</v>
          </cell>
          <cell r="AK18" vm="1594">
            <v>56844304</v>
          </cell>
          <cell r="AL18" vm="1595">
            <v>56860280</v>
          </cell>
          <cell r="AM18" vm="1596">
            <v>56890372</v>
          </cell>
          <cell r="AN18" vm="1597">
            <v>56906744</v>
          </cell>
          <cell r="AO18" vm="1598">
            <v>56916316</v>
          </cell>
          <cell r="AP18" vm="1599">
            <v>56942108</v>
          </cell>
          <cell r="AQ18" vm="1600">
            <v>56974100</v>
          </cell>
          <cell r="AR18" vm="1601">
            <v>57059008</v>
          </cell>
          <cell r="AS18" vm="1602">
            <v>57313204</v>
          </cell>
          <cell r="AT18" vm="1603">
            <v>57685328</v>
          </cell>
          <cell r="AU18" vm="1604">
            <v>57969484</v>
          </cell>
          <cell r="AV18" vm="1605">
            <v>58143980</v>
          </cell>
          <cell r="AW18" vm="1606">
            <v>58438312</v>
          </cell>
          <cell r="AX18" vm="1607">
            <v>58826732</v>
          </cell>
          <cell r="AY18" vm="1608">
            <v>59095364</v>
          </cell>
          <cell r="AZ18" vm="1609">
            <v>59277416</v>
          </cell>
          <cell r="BA18" vm="1610">
            <v>59379448</v>
          </cell>
          <cell r="BB18" vm="1611">
            <v>59539716</v>
          </cell>
          <cell r="BC18" vm="1612">
            <v>60233948</v>
          </cell>
          <cell r="BD18" vm="1613">
            <v>60789140</v>
          </cell>
          <cell r="BE18" vm="1614">
            <v>60730584</v>
          </cell>
          <cell r="BF18" vm="1615">
            <v>60627496</v>
          </cell>
          <cell r="BG18" vm="1616">
            <v>60536708</v>
          </cell>
          <cell r="BH18" vm="1617">
            <v>60421760</v>
          </cell>
          <cell r="BI18" vm="1618">
            <v>60297396</v>
          </cell>
        </row>
        <row r="19">
          <cell r="B19" t="str" vm="487">
            <v>Japan</v>
          </cell>
          <cell r="C19" vm="1619">
            <v>94943000</v>
          </cell>
          <cell r="D19" vm="1620">
            <v>95832000</v>
          </cell>
          <cell r="E19" vm="1621">
            <v>96812000</v>
          </cell>
          <cell r="F19" vm="1622">
            <v>97826000</v>
          </cell>
          <cell r="G19" vm="1623">
            <v>98883000</v>
          </cell>
          <cell r="H19" vm="1624">
            <v>99790000</v>
          </cell>
          <cell r="I19" vm="1625">
            <v>100725000</v>
          </cell>
          <cell r="J19" vm="1626">
            <v>101061000</v>
          </cell>
          <cell r="K19" vm="1627">
            <v>103172000</v>
          </cell>
          <cell r="L19" vm="1628">
            <v>104345000</v>
          </cell>
          <cell r="M19" vm="1629">
            <v>105697000</v>
          </cell>
          <cell r="N19" vm="1630">
            <v>107188000</v>
          </cell>
          <cell r="O19" vm="1631">
            <v>108079000</v>
          </cell>
          <cell r="P19" vm="1632">
            <v>110162000</v>
          </cell>
          <cell r="Q19" vm="1633">
            <v>111940000</v>
          </cell>
          <cell r="R19" vm="1634">
            <v>112771000</v>
          </cell>
          <cell r="S19" vm="1635">
            <v>113863000</v>
          </cell>
          <cell r="T19" vm="1636">
            <v>114898000</v>
          </cell>
          <cell r="U19" vm="1637">
            <v>115870000</v>
          </cell>
          <cell r="V19" vm="1638">
            <v>116782000</v>
          </cell>
          <cell r="W19" vm="1639">
            <v>117648000</v>
          </cell>
          <cell r="X19" vm="1640">
            <v>118449000</v>
          </cell>
          <cell r="Y19" vm="1641">
            <v>119259000</v>
          </cell>
          <cell r="Z19" vm="1642">
            <v>120018000</v>
          </cell>
          <cell r="AA19" vm="1643">
            <v>120754000</v>
          </cell>
          <cell r="AB19" vm="1644">
            <v>121492000</v>
          </cell>
          <cell r="AC19" vm="1645">
            <v>122091000</v>
          </cell>
          <cell r="AD19" vm="1646">
            <v>122613000</v>
          </cell>
          <cell r="AE19" vm="1647">
            <v>123116000</v>
          </cell>
          <cell r="AF19" vm="1648">
            <v>123537000</v>
          </cell>
          <cell r="AG19" vm="1649">
            <v>123921000</v>
          </cell>
          <cell r="AH19" vm="1650">
            <v>124229000</v>
          </cell>
          <cell r="AI19" vm="1651">
            <v>124536000</v>
          </cell>
          <cell r="AJ19" vm="1652">
            <v>124961000</v>
          </cell>
          <cell r="AK19" vm="1653">
            <v>125439000</v>
          </cell>
          <cell r="AL19" vm="1654">
            <v>125757000</v>
          </cell>
          <cell r="AM19" vm="1655">
            <v>126057000</v>
          </cell>
          <cell r="AN19" vm="1656">
            <v>126400000</v>
          </cell>
          <cell r="AO19" vm="1657">
            <v>126631000</v>
          </cell>
          <cell r="AP19" vm="1658">
            <v>126843000</v>
          </cell>
          <cell r="AQ19" vm="1659">
            <v>127149000</v>
          </cell>
          <cell r="AR19" vm="1660">
            <v>127445000</v>
          </cell>
          <cell r="AS19" vm="1661">
            <v>127718000</v>
          </cell>
          <cell r="AT19" vm="1662">
            <v>127761000</v>
          </cell>
          <cell r="AU19" vm="1663">
            <v>127773000</v>
          </cell>
          <cell r="AV19" vm="1664">
            <v>127854000</v>
          </cell>
          <cell r="AW19" vm="1665">
            <v>128001000</v>
          </cell>
          <cell r="AX19" vm="1666">
            <v>128063000</v>
          </cell>
          <cell r="AY19" vm="1667">
            <v>128047000</v>
          </cell>
          <cell r="AZ19" vm="1668">
            <v>128070000</v>
          </cell>
          <cell r="BA19" vm="1669">
            <v>127833000</v>
          </cell>
          <cell r="BB19" vm="1670">
            <v>127629000</v>
          </cell>
          <cell r="BC19" vm="1671">
            <v>127445000</v>
          </cell>
          <cell r="BD19" vm="1672">
            <v>127276000</v>
          </cell>
          <cell r="BE19" vm="1673">
            <v>127141000</v>
          </cell>
          <cell r="BF19" vm="1674">
            <v>126994512</v>
          </cell>
          <cell r="BG19" vm="1675">
            <v>126785800</v>
          </cell>
          <cell r="BH19" vm="1676">
            <v>126529104</v>
          </cell>
          <cell r="BI19" vm="1677">
            <v>126264928</v>
          </cell>
        </row>
        <row r="20">
          <cell r="B20" t="str" vm="547">
            <v>Luxemburg</v>
          </cell>
          <cell r="C20" vm="1678">
            <v>316845</v>
          </cell>
          <cell r="D20" vm="1679">
            <v>320750</v>
          </cell>
          <cell r="E20" vm="1680">
            <v>324100</v>
          </cell>
          <cell r="F20" vm="1681">
            <v>327750</v>
          </cell>
          <cell r="G20" vm="1682">
            <v>331500</v>
          </cell>
          <cell r="H20" vm="1683">
            <v>333895</v>
          </cell>
          <cell r="I20" vm="1684">
            <v>334995</v>
          </cell>
          <cell r="J20" vm="1685">
            <v>335850</v>
          </cell>
          <cell r="K20" vm="1686">
            <v>337500</v>
          </cell>
          <cell r="L20" vm="1687">
            <v>339171</v>
          </cell>
          <cell r="M20" vm="1688">
            <v>342421</v>
          </cell>
          <cell r="N20" vm="1689">
            <v>346600</v>
          </cell>
          <cell r="O20" vm="1690">
            <v>350450</v>
          </cell>
          <cell r="P20" vm="1691">
            <v>355050</v>
          </cell>
          <cell r="Q20" vm="1692">
            <v>358950</v>
          </cell>
          <cell r="R20" vm="1693">
            <v>360731</v>
          </cell>
          <cell r="S20" vm="1694">
            <v>361358</v>
          </cell>
          <cell r="T20" vm="1695">
            <v>362007</v>
          </cell>
          <cell r="U20" vm="1696">
            <v>362856</v>
          </cell>
          <cell r="V20" vm="1697">
            <v>364150</v>
          </cell>
          <cell r="W20" vm="1698">
            <v>365225</v>
          </cell>
          <cell r="X20" vm="1699">
            <v>365525</v>
          </cell>
          <cell r="Y20" vm="1700">
            <v>365622</v>
          </cell>
          <cell r="Z20" vm="1701">
            <v>365998</v>
          </cell>
          <cell r="AA20" vm="1702">
            <v>366706</v>
          </cell>
          <cell r="AB20" vm="1703">
            <v>368355</v>
          </cell>
          <cell r="AC20" vm="1704">
            <v>370750</v>
          </cell>
          <cell r="AD20" vm="1705">
            <v>373450</v>
          </cell>
          <cell r="AE20" vm="1706">
            <v>377100</v>
          </cell>
          <cell r="AF20" vm="1707">
            <v>381850</v>
          </cell>
          <cell r="AG20" vm="1708">
            <v>387000</v>
          </cell>
          <cell r="AH20" vm="1709">
            <v>392175</v>
          </cell>
          <cell r="AI20" vm="1710">
            <v>397475</v>
          </cell>
          <cell r="AJ20" vm="1711">
            <v>402925</v>
          </cell>
          <cell r="AK20" vm="1712">
            <v>408625</v>
          </cell>
          <cell r="AL20" vm="1713">
            <v>414225</v>
          </cell>
          <cell r="AM20" vm="1714">
            <v>419450</v>
          </cell>
          <cell r="AN20" vm="1715">
            <v>424700</v>
          </cell>
          <cell r="AO20" vm="1716">
            <v>430475</v>
          </cell>
          <cell r="AP20" vm="1717">
            <v>436300</v>
          </cell>
          <cell r="AQ20" vm="1718">
            <v>441525</v>
          </cell>
          <cell r="AR20" vm="1719">
            <v>446175</v>
          </cell>
          <cell r="AS20" vm="1720">
            <v>451630</v>
          </cell>
          <cell r="AT20" vm="1721">
            <v>458095</v>
          </cell>
          <cell r="AU20" vm="1722">
            <v>465158</v>
          </cell>
          <cell r="AV20" vm="1723">
            <v>472637</v>
          </cell>
          <cell r="AW20" vm="1724">
            <v>479993</v>
          </cell>
          <cell r="AX20" vm="1725">
            <v>488650</v>
          </cell>
          <cell r="AY20" vm="1726">
            <v>497783</v>
          </cell>
          <cell r="AZ20" vm="1727">
            <v>506953</v>
          </cell>
          <cell r="BA20" vm="1728">
            <v>518347</v>
          </cell>
          <cell r="BB20" vm="1729">
            <v>530946</v>
          </cell>
          <cell r="BC20" vm="1730">
            <v>543360</v>
          </cell>
          <cell r="BD20" vm="1731">
            <v>556319</v>
          </cell>
          <cell r="BE20" vm="1732">
            <v>569604</v>
          </cell>
          <cell r="BF20" vm="1733">
            <v>582014</v>
          </cell>
          <cell r="BG20" vm="1734">
            <v>596336</v>
          </cell>
          <cell r="BH20" vm="1735">
            <v>607950</v>
          </cell>
          <cell r="BI20" vm="1736">
            <v>619896</v>
          </cell>
        </row>
        <row r="21">
          <cell r="B21" t="str" vm="607">
            <v>Netherlands</v>
          </cell>
          <cell r="C21" vm="1737">
            <v>11638712</v>
          </cell>
          <cell r="D21" vm="1738">
            <v>11805689</v>
          </cell>
          <cell r="E21" vm="1739">
            <v>11965966</v>
          </cell>
          <cell r="F21" vm="1740">
            <v>12127120</v>
          </cell>
          <cell r="G21" vm="1741">
            <v>12294732</v>
          </cell>
          <cell r="H21" vm="1742">
            <v>12456251</v>
          </cell>
          <cell r="I21" vm="1743">
            <v>12598201</v>
          </cell>
          <cell r="J21" vm="1744">
            <v>12729721</v>
          </cell>
          <cell r="K21" vm="1745">
            <v>12877984</v>
          </cell>
          <cell r="L21" vm="1746">
            <v>13038526</v>
          </cell>
          <cell r="M21" vm="1747">
            <v>13194497</v>
          </cell>
          <cell r="N21" vm="1748">
            <v>13328593</v>
          </cell>
          <cell r="O21" vm="1749">
            <v>13439322</v>
          </cell>
          <cell r="P21" vm="1750">
            <v>13545056</v>
          </cell>
          <cell r="Q21" vm="1751">
            <v>13666335</v>
          </cell>
          <cell r="R21" vm="1752">
            <v>13774037</v>
          </cell>
          <cell r="S21" vm="1753">
            <v>13856185</v>
          </cell>
          <cell r="T21" vm="1754">
            <v>13941700</v>
          </cell>
          <cell r="U21" vm="1755">
            <v>14038270</v>
          </cell>
          <cell r="V21" vm="1756">
            <v>14149800</v>
          </cell>
          <cell r="W21" vm="1757">
            <v>14247208</v>
          </cell>
          <cell r="X21" vm="1758">
            <v>14312690</v>
          </cell>
          <cell r="Y21" vm="1759">
            <v>14367070</v>
          </cell>
          <cell r="Z21" vm="1760">
            <v>14424211</v>
          </cell>
          <cell r="AA21" vm="1761">
            <v>14491632</v>
          </cell>
          <cell r="AB21" vm="1762">
            <v>14572278</v>
          </cell>
          <cell r="AC21" vm="1763">
            <v>14665037</v>
          </cell>
          <cell r="AD21" vm="1764">
            <v>14760094</v>
          </cell>
          <cell r="AE21" vm="1765">
            <v>14848907</v>
          </cell>
          <cell r="AF21" vm="1766">
            <v>14951510</v>
          </cell>
          <cell r="AG21" vm="1767">
            <v>15069798</v>
          </cell>
          <cell r="AH21" vm="1768">
            <v>15184166</v>
          </cell>
          <cell r="AI21" vm="1769">
            <v>15290368</v>
          </cell>
          <cell r="AJ21" vm="1770">
            <v>15382838</v>
          </cell>
          <cell r="AK21" vm="1771">
            <v>15459006</v>
          </cell>
          <cell r="AL21" vm="1772">
            <v>15530498</v>
          </cell>
          <cell r="AM21" vm="1773">
            <v>15610650</v>
          </cell>
          <cell r="AN21" vm="1774">
            <v>15707209</v>
          </cell>
          <cell r="AO21" vm="1775">
            <v>15812088</v>
          </cell>
          <cell r="AP21" vm="1776">
            <v>15925513</v>
          </cell>
          <cell r="AQ21" vm="1777">
            <v>16046180</v>
          </cell>
          <cell r="AR21" vm="1778">
            <v>16148929</v>
          </cell>
          <cell r="AS21" vm="1779">
            <v>16225302</v>
          </cell>
          <cell r="AT21" vm="1780">
            <v>16281779</v>
          </cell>
          <cell r="AU21" vm="1781">
            <v>16319868</v>
          </cell>
          <cell r="AV21" vm="1782">
            <v>16346101</v>
          </cell>
          <cell r="AW21" vm="1783">
            <v>16381696</v>
          </cell>
          <cell r="AX21" vm="1784">
            <v>16445593</v>
          </cell>
          <cell r="AY21" vm="1785">
            <v>16530388</v>
          </cell>
          <cell r="AZ21" vm="1786">
            <v>16615394</v>
          </cell>
          <cell r="BA21" vm="1787">
            <v>16693074</v>
          </cell>
          <cell r="BB21" vm="1788">
            <v>16754962</v>
          </cell>
          <cell r="BC21" vm="1789">
            <v>16804432</v>
          </cell>
          <cell r="BD21" vm="1790">
            <v>16865008</v>
          </cell>
          <cell r="BE21" vm="1791">
            <v>16939924</v>
          </cell>
          <cell r="BF21" vm="1792">
            <v>17030314</v>
          </cell>
          <cell r="BG21" vm="1793">
            <v>17131296</v>
          </cell>
          <cell r="BH21" vm="1794">
            <v>17231624</v>
          </cell>
          <cell r="BI21" vm="1795">
            <v>17332850</v>
          </cell>
        </row>
        <row r="22">
          <cell r="B22" t="str" vm="667">
            <v>Norway</v>
          </cell>
          <cell r="C22" vm="1796">
            <v>3609800</v>
          </cell>
          <cell r="D22" vm="1797">
            <v>3638918</v>
          </cell>
          <cell r="E22" vm="1798">
            <v>3666537</v>
          </cell>
          <cell r="F22" vm="1799">
            <v>3694339</v>
          </cell>
          <cell r="G22" vm="1800">
            <v>3723168</v>
          </cell>
          <cell r="H22" vm="1801">
            <v>3753012</v>
          </cell>
          <cell r="I22" vm="1802">
            <v>3784539</v>
          </cell>
          <cell r="J22" vm="1803">
            <v>3816486</v>
          </cell>
          <cell r="K22" vm="1804">
            <v>3847707</v>
          </cell>
          <cell r="L22" vm="1805">
            <v>3875763</v>
          </cell>
          <cell r="M22" vm="1806">
            <v>3903039</v>
          </cell>
          <cell r="N22" vm="1807">
            <v>3933004</v>
          </cell>
          <cell r="O22" vm="1808">
            <v>3960612</v>
          </cell>
          <cell r="P22" vm="1809">
            <v>3985258</v>
          </cell>
          <cell r="Q22" vm="1810">
            <v>4007313</v>
          </cell>
          <cell r="R22" vm="1811">
            <v>4026152</v>
          </cell>
          <cell r="S22" vm="1812">
            <v>4043205</v>
          </cell>
          <cell r="T22" vm="1813">
            <v>4058671</v>
          </cell>
          <cell r="U22" vm="1814">
            <v>4072517</v>
          </cell>
          <cell r="V22" vm="1815">
            <v>4085620</v>
          </cell>
          <cell r="W22" vm="1816">
            <v>4099702</v>
          </cell>
          <cell r="X22" vm="1817">
            <v>4114787</v>
          </cell>
          <cell r="Y22" vm="1818">
            <v>4128432</v>
          </cell>
          <cell r="Z22" vm="1819">
            <v>4140099</v>
          </cell>
          <cell r="AA22" vm="1820">
            <v>4152516</v>
          </cell>
          <cell r="AB22" vm="1821">
            <v>4167354</v>
          </cell>
          <cell r="AC22" vm="1822">
            <v>4186905</v>
          </cell>
          <cell r="AD22" vm="1823">
            <v>4209488</v>
          </cell>
          <cell r="AE22" vm="1824">
            <v>4226901</v>
          </cell>
          <cell r="AF22" vm="1825">
            <v>4241473</v>
          </cell>
          <cell r="AG22" vm="1826">
            <v>4261732</v>
          </cell>
          <cell r="AH22" vm="1827">
            <v>4286401</v>
          </cell>
          <cell r="AI22" vm="1828">
            <v>4311991</v>
          </cell>
          <cell r="AJ22" vm="1829">
            <v>4336613</v>
          </cell>
          <cell r="AK22" vm="1830">
            <v>4359184</v>
          </cell>
          <cell r="AL22" vm="1831">
            <v>4381336</v>
          </cell>
          <cell r="AM22" vm="1832">
            <v>4405157</v>
          </cell>
          <cell r="AN22" vm="1833">
            <v>4431464</v>
          </cell>
          <cell r="AO22" vm="1834">
            <v>4461913</v>
          </cell>
          <cell r="AP22" vm="1835">
            <v>4490967</v>
          </cell>
          <cell r="AQ22" vm="1836">
            <v>4513751</v>
          </cell>
          <cell r="AR22" vm="1837">
            <v>4538159</v>
          </cell>
          <cell r="AS22" vm="1838">
            <v>4564855</v>
          </cell>
          <cell r="AT22" vm="1839">
            <v>4591910</v>
          </cell>
          <cell r="AU22" vm="1840">
            <v>4623291</v>
          </cell>
          <cell r="AV22" vm="1841">
            <v>4660677</v>
          </cell>
          <cell r="AW22" vm="1842">
            <v>4709153</v>
          </cell>
          <cell r="AX22" vm="1843">
            <v>4768212</v>
          </cell>
          <cell r="AY22" vm="1844">
            <v>4828726</v>
          </cell>
          <cell r="AZ22" vm="1845">
            <v>4889252</v>
          </cell>
          <cell r="BA22" vm="1846">
            <v>4953088</v>
          </cell>
          <cell r="BB22" vm="1847">
            <v>5018573</v>
          </cell>
          <cell r="BC22" vm="1848">
            <v>5079623</v>
          </cell>
          <cell r="BD22" vm="1849">
            <v>5137232</v>
          </cell>
          <cell r="BE22" vm="1850">
            <v>5188607</v>
          </cell>
          <cell r="BF22" vm="1851">
            <v>5234519</v>
          </cell>
          <cell r="BG22" vm="1852">
            <v>5276968</v>
          </cell>
          <cell r="BH22" vm="1853">
            <v>5311916</v>
          </cell>
          <cell r="BI22" vm="1854">
            <v>5347896</v>
          </cell>
        </row>
        <row r="23">
          <cell r="B23" t="str" vm="727">
            <v>Portugal</v>
          </cell>
          <cell r="C23" vm="1855">
            <v>8929316</v>
          </cell>
          <cell r="D23" vm="1856">
            <v>8993985</v>
          </cell>
          <cell r="E23" vm="1857">
            <v>9030355</v>
          </cell>
          <cell r="F23" vm="1858">
            <v>9035365</v>
          </cell>
          <cell r="G23" vm="1859">
            <v>8998595</v>
          </cell>
          <cell r="H23" vm="1860">
            <v>8930990</v>
          </cell>
          <cell r="I23" vm="1861">
            <v>8874520</v>
          </cell>
          <cell r="J23" vm="1862">
            <v>8836650</v>
          </cell>
          <cell r="K23" vm="1863">
            <v>8757705</v>
          </cell>
          <cell r="L23" vm="1864">
            <v>8680431</v>
          </cell>
          <cell r="M23" vm="1865">
            <v>8643756</v>
          </cell>
          <cell r="N23" vm="1866">
            <v>8630430</v>
          </cell>
          <cell r="O23" vm="1867">
            <v>8633100</v>
          </cell>
          <cell r="P23" vm="1868">
            <v>8754365</v>
          </cell>
          <cell r="Q23" vm="1869">
            <v>9093470</v>
          </cell>
          <cell r="R23" vm="1870">
            <v>9355810</v>
          </cell>
          <cell r="S23" vm="1871">
            <v>9455675</v>
          </cell>
          <cell r="T23" vm="1872">
            <v>9558250</v>
          </cell>
          <cell r="U23" vm="1873">
            <v>9661265</v>
          </cell>
          <cell r="V23" vm="1874">
            <v>9766312</v>
          </cell>
          <cell r="W23" vm="1875">
            <v>9851362</v>
          </cell>
          <cell r="X23" vm="1876">
            <v>9911771</v>
          </cell>
          <cell r="Y23" vm="1877">
            <v>9957865</v>
          </cell>
          <cell r="Z23" vm="1878">
            <v>9996232</v>
          </cell>
          <cell r="AA23" vm="1879">
            <v>10023613</v>
          </cell>
          <cell r="AB23" vm="1880">
            <v>10032734</v>
          </cell>
          <cell r="AC23" vm="1881">
            <v>10030031</v>
          </cell>
          <cell r="AD23" vm="1882">
            <v>10019610</v>
          </cell>
          <cell r="AE23" vm="1883">
            <v>10005000</v>
          </cell>
          <cell r="AF23" vm="1884">
            <v>9983218</v>
          </cell>
          <cell r="AG23" vm="1885">
            <v>9960235</v>
          </cell>
          <cell r="AH23" vm="1886">
            <v>9952494</v>
          </cell>
          <cell r="AI23" vm="1887">
            <v>9964675</v>
          </cell>
          <cell r="AJ23" vm="1888">
            <v>9991525</v>
          </cell>
          <cell r="AK23" vm="1889">
            <v>10026176</v>
          </cell>
          <cell r="AL23" vm="1890">
            <v>10063945</v>
          </cell>
          <cell r="AM23" vm="1891">
            <v>10108977</v>
          </cell>
          <cell r="AN23" vm="1892">
            <v>10160196</v>
          </cell>
          <cell r="AO23" vm="1893">
            <v>10217828</v>
          </cell>
          <cell r="AP23" vm="1894">
            <v>10289898</v>
          </cell>
          <cell r="AQ23" vm="1895">
            <v>10362722</v>
          </cell>
          <cell r="AR23" vm="1896">
            <v>10419631</v>
          </cell>
          <cell r="AS23" vm="1897">
            <v>10458821</v>
          </cell>
          <cell r="AT23" vm="1898">
            <v>10483861</v>
          </cell>
          <cell r="AU23" vm="1899">
            <v>10503330</v>
          </cell>
          <cell r="AV23" vm="1900">
            <v>10522288</v>
          </cell>
          <cell r="AW23" vm="1901">
            <v>10542964</v>
          </cell>
          <cell r="AX23" vm="1902">
            <v>10558177</v>
          </cell>
          <cell r="AY23" vm="1903">
            <v>10568247</v>
          </cell>
          <cell r="AZ23" vm="1904">
            <v>10573100</v>
          </cell>
          <cell r="BA23" vm="1905">
            <v>10557560</v>
          </cell>
          <cell r="BB23" vm="1906">
            <v>10514844</v>
          </cell>
          <cell r="BC23" vm="1907">
            <v>10457295</v>
          </cell>
          <cell r="BD23" vm="1908">
            <v>10401062</v>
          </cell>
          <cell r="BE23" vm="1909">
            <v>10358076</v>
          </cell>
          <cell r="BF23" vm="1910">
            <v>10325452</v>
          </cell>
          <cell r="BG23" vm="1911">
            <v>10300300</v>
          </cell>
          <cell r="BH23" vm="1912">
            <v>10283822</v>
          </cell>
          <cell r="BI23" vm="1913">
            <v>10269417</v>
          </cell>
        </row>
        <row r="24">
          <cell r="B24" t="str" vm="787">
            <v>Singapore</v>
          </cell>
          <cell r="C24" vm="1914">
            <v>1702400</v>
          </cell>
          <cell r="D24" vm="1915">
            <v>1750200</v>
          </cell>
          <cell r="E24" vm="1916">
            <v>1795000</v>
          </cell>
          <cell r="F24" vm="1917">
            <v>1841600</v>
          </cell>
          <cell r="G24" vm="1918">
            <v>1886900</v>
          </cell>
          <cell r="H24" vm="1919">
            <v>1934400</v>
          </cell>
          <cell r="I24" vm="1920">
            <v>1977600</v>
          </cell>
          <cell r="J24" vm="1921">
            <v>2012000</v>
          </cell>
          <cell r="K24" vm="1922">
            <v>2042500</v>
          </cell>
          <cell r="L24" vm="1923">
            <v>2074507</v>
          </cell>
          <cell r="M24" vm="1924">
            <v>2112900</v>
          </cell>
          <cell r="N24" vm="1925">
            <v>2152400</v>
          </cell>
          <cell r="O24" vm="1926">
            <v>2193000</v>
          </cell>
          <cell r="P24" vm="1927">
            <v>2229800</v>
          </cell>
          <cell r="Q24" vm="1928">
            <v>2262600</v>
          </cell>
          <cell r="R24" vm="1929">
            <v>2293300</v>
          </cell>
          <cell r="S24" vm="1930">
            <v>2325300</v>
          </cell>
          <cell r="T24" vm="1931">
            <v>2353600</v>
          </cell>
          <cell r="U24" vm="1932">
            <v>2383500</v>
          </cell>
          <cell r="V24" vm="1933">
            <v>2413945</v>
          </cell>
          <cell r="W24" vm="1934">
            <v>2532835</v>
          </cell>
          <cell r="X24" vm="1935">
            <v>2646466</v>
          </cell>
          <cell r="Y24" vm="1936">
            <v>2681061</v>
          </cell>
          <cell r="Z24" vm="1937">
            <v>2732221</v>
          </cell>
          <cell r="AA24" vm="1938">
            <v>2735957</v>
          </cell>
          <cell r="AB24" vm="1939">
            <v>2733373</v>
          </cell>
          <cell r="AC24" vm="1940">
            <v>2774789</v>
          </cell>
          <cell r="AD24" vm="1941">
            <v>2846108</v>
          </cell>
          <cell r="AE24" vm="1942">
            <v>2930901</v>
          </cell>
          <cell r="AF24" vm="1943">
            <v>3047132</v>
          </cell>
          <cell r="AG24" vm="1944">
            <v>3135083</v>
          </cell>
          <cell r="AH24" vm="1945">
            <v>3230698</v>
          </cell>
          <cell r="AI24" vm="1946">
            <v>3313471</v>
          </cell>
          <cell r="AJ24" vm="1947">
            <v>3419048</v>
          </cell>
          <cell r="AK24" vm="1948">
            <v>3524506</v>
          </cell>
          <cell r="AL24" vm="1949">
            <v>3670704</v>
          </cell>
          <cell r="AM24" vm="1950">
            <v>3796038</v>
          </cell>
          <cell r="AN24" vm="1951">
            <v>3927213</v>
          </cell>
          <cell r="AO24" vm="1952">
            <v>3958723</v>
          </cell>
          <cell r="AP24" vm="1953">
            <v>4027887</v>
          </cell>
          <cell r="AQ24" vm="1954">
            <v>4138012</v>
          </cell>
          <cell r="AR24" vm="1955">
            <v>4175950</v>
          </cell>
          <cell r="AS24" vm="1956">
            <v>4114826</v>
          </cell>
          <cell r="AT24" vm="1957">
            <v>4166664</v>
          </cell>
          <cell r="AU24" vm="1958">
            <v>4265762</v>
          </cell>
          <cell r="AV24" vm="1959">
            <v>4401365</v>
          </cell>
          <cell r="AW24" vm="1960">
            <v>4588599</v>
          </cell>
          <cell r="AX24" vm="1961">
            <v>4839396</v>
          </cell>
          <cell r="AY24" vm="1962">
            <v>4987573</v>
          </cell>
          <cell r="AZ24" vm="1963">
            <v>5076732</v>
          </cell>
          <cell r="BA24" vm="1964">
            <v>5183688</v>
          </cell>
          <cell r="BB24" vm="1965">
            <v>5312437</v>
          </cell>
          <cell r="BC24" vm="1966">
            <v>5399162</v>
          </cell>
          <cell r="BD24" vm="1967">
            <v>5469724</v>
          </cell>
          <cell r="BE24" vm="1968">
            <v>5535002</v>
          </cell>
          <cell r="BF24" vm="1969">
            <v>5607283</v>
          </cell>
          <cell r="BG24" vm="1970">
            <v>5612253</v>
          </cell>
          <cell r="BH24" vm="1971">
            <v>5638676</v>
          </cell>
          <cell r="BI24" vm="1972">
            <v>5703569</v>
          </cell>
        </row>
        <row r="25">
          <cell r="B25" t="str" vm="847">
            <v>South Korea</v>
          </cell>
          <cell r="C25" vm="1973">
            <v>25765672</v>
          </cell>
          <cell r="D25" vm="1974">
            <v>26513030</v>
          </cell>
          <cell r="E25" vm="1975">
            <v>27261748</v>
          </cell>
          <cell r="F25" vm="1976">
            <v>27984156</v>
          </cell>
          <cell r="G25" vm="1977">
            <v>28704674</v>
          </cell>
          <cell r="H25" vm="1978">
            <v>29435572</v>
          </cell>
          <cell r="I25" vm="1979">
            <v>30130984</v>
          </cell>
          <cell r="J25" vm="1980">
            <v>30838302</v>
          </cell>
          <cell r="K25" vm="1981">
            <v>31544266</v>
          </cell>
          <cell r="L25" vm="1982">
            <v>32240828</v>
          </cell>
          <cell r="M25" vm="1983">
            <v>32882704</v>
          </cell>
          <cell r="N25" vm="1984">
            <v>33505406</v>
          </cell>
          <cell r="O25" vm="1985">
            <v>34103148</v>
          </cell>
          <cell r="P25" vm="1986">
            <v>34692264</v>
          </cell>
          <cell r="Q25" vm="1987">
            <v>35280724</v>
          </cell>
          <cell r="R25" vm="1988">
            <v>35848524</v>
          </cell>
          <cell r="S25" vm="1989">
            <v>36411796</v>
          </cell>
          <cell r="T25" vm="1990">
            <v>36969184</v>
          </cell>
          <cell r="U25" vm="1991">
            <v>37534236</v>
          </cell>
          <cell r="V25" vm="1992">
            <v>38123776</v>
          </cell>
          <cell r="W25" vm="1993">
            <v>38723248</v>
          </cell>
          <cell r="X25" vm="1994">
            <v>39326352</v>
          </cell>
          <cell r="Y25" vm="1995">
            <v>39910404</v>
          </cell>
          <cell r="Z25" vm="1996">
            <v>40405956</v>
          </cell>
          <cell r="AA25" vm="1997">
            <v>40805744</v>
          </cell>
          <cell r="AB25" vm="1998">
            <v>41213672</v>
          </cell>
          <cell r="AC25" vm="1999">
            <v>41621688</v>
          </cell>
          <cell r="AD25" vm="2000">
            <v>42031248</v>
          </cell>
          <cell r="AE25" vm="2001">
            <v>42449040</v>
          </cell>
          <cell r="AF25" vm="2002">
            <v>42869284</v>
          </cell>
          <cell r="AG25" vm="2003">
            <v>43295704</v>
          </cell>
          <cell r="AH25" vm="2004">
            <v>43747960</v>
          </cell>
          <cell r="AI25" vm="2005">
            <v>44194628</v>
          </cell>
          <cell r="AJ25" vm="2006">
            <v>44641540</v>
          </cell>
          <cell r="AK25" vm="2007">
            <v>45092992</v>
          </cell>
          <cell r="AL25" vm="2008">
            <v>45524680</v>
          </cell>
          <cell r="AM25" vm="2009">
            <v>45953580</v>
          </cell>
          <cell r="AN25" vm="2010">
            <v>46286504</v>
          </cell>
          <cell r="AO25" vm="2011">
            <v>46616676</v>
          </cell>
          <cell r="AP25" vm="2012">
            <v>47008112</v>
          </cell>
          <cell r="AQ25" vm="2013">
            <v>47370164</v>
          </cell>
          <cell r="AR25" vm="2014">
            <v>47644736</v>
          </cell>
          <cell r="AS25" vm="2015">
            <v>47892328</v>
          </cell>
          <cell r="AT25" vm="2016">
            <v>48082520</v>
          </cell>
          <cell r="AU25" vm="2017">
            <v>48184560</v>
          </cell>
          <cell r="AV25" vm="2018">
            <v>48438292</v>
          </cell>
          <cell r="AW25" vm="2019">
            <v>48683640</v>
          </cell>
          <cell r="AX25" vm="2020">
            <v>49054708</v>
          </cell>
          <cell r="AY25" vm="2021">
            <v>49307836</v>
          </cell>
          <cell r="AZ25" vm="2022">
            <v>49554112</v>
          </cell>
          <cell r="BA25" vm="2023">
            <v>49936640</v>
          </cell>
          <cell r="BB25" vm="2024">
            <v>50199852</v>
          </cell>
          <cell r="BC25" vm="2025">
            <v>50428892</v>
          </cell>
          <cell r="BD25" vm="2026">
            <v>50746660</v>
          </cell>
          <cell r="BE25" vm="2027">
            <v>51014948</v>
          </cell>
          <cell r="BF25" vm="2028">
            <v>51217804</v>
          </cell>
          <cell r="BG25" vm="2029">
            <v>51361912</v>
          </cell>
          <cell r="BH25" vm="2030">
            <v>51606632</v>
          </cell>
          <cell r="BI25" vm="2031">
            <v>51709096</v>
          </cell>
        </row>
        <row r="26">
          <cell r="B26" t="str" vm="907">
            <v>Spain</v>
          </cell>
          <cell r="C26" vm="2032">
            <v>30739250</v>
          </cell>
          <cell r="D26" vm="2033">
            <v>31023366</v>
          </cell>
          <cell r="E26" vm="2034">
            <v>31296652</v>
          </cell>
          <cell r="F26" vm="2035">
            <v>31609196</v>
          </cell>
          <cell r="G26" vm="2036">
            <v>31954292</v>
          </cell>
          <cell r="H26" vm="2037">
            <v>32283194</v>
          </cell>
          <cell r="I26" vm="2038">
            <v>32682948</v>
          </cell>
          <cell r="J26" vm="2039">
            <v>33113134</v>
          </cell>
          <cell r="K26" vm="2040">
            <v>33441054</v>
          </cell>
          <cell r="L26" vm="2041">
            <v>33814532</v>
          </cell>
          <cell r="M26" vm="2042">
            <v>34224488</v>
          </cell>
          <cell r="N26" vm="2043">
            <v>34604468</v>
          </cell>
          <cell r="O26" vm="2044">
            <v>34988948</v>
          </cell>
          <cell r="P26" vm="2045">
            <v>35373336</v>
          </cell>
          <cell r="Q26" vm="2046">
            <v>35757900</v>
          </cell>
          <cell r="R26" vm="2047">
            <v>36137812</v>
          </cell>
          <cell r="S26" vm="2048">
            <v>36511640</v>
          </cell>
          <cell r="T26" vm="2049">
            <v>36864896</v>
          </cell>
          <cell r="U26" vm="2050">
            <v>37191328</v>
          </cell>
          <cell r="V26" vm="2051">
            <v>37491164</v>
          </cell>
          <cell r="W26" vm="2052">
            <v>37758632</v>
          </cell>
          <cell r="X26" vm="2053">
            <v>37986012</v>
          </cell>
          <cell r="Y26" vm="2054">
            <v>38171524</v>
          </cell>
          <cell r="Z26" vm="2055">
            <v>38330364</v>
          </cell>
          <cell r="AA26" vm="2056">
            <v>38469512</v>
          </cell>
          <cell r="AB26" vm="2057">
            <v>38584624</v>
          </cell>
          <cell r="AC26" vm="2058">
            <v>38684816</v>
          </cell>
          <cell r="AD26" vm="2059">
            <v>38766940</v>
          </cell>
          <cell r="AE26" vm="2060">
            <v>38827764</v>
          </cell>
          <cell r="AF26" vm="2061">
            <v>38867320</v>
          </cell>
          <cell r="AG26" vm="2062">
            <v>38966376</v>
          </cell>
          <cell r="AH26" vm="2063">
            <v>39157684</v>
          </cell>
          <cell r="AI26" vm="2064">
            <v>39361264</v>
          </cell>
          <cell r="AJ26" vm="2065">
            <v>39549108</v>
          </cell>
          <cell r="AK26" vm="2066">
            <v>39724048</v>
          </cell>
          <cell r="AL26" vm="2067">
            <v>39889852</v>
          </cell>
          <cell r="AM26" vm="2068">
            <v>40057388</v>
          </cell>
          <cell r="AN26" vm="2069">
            <v>40223508</v>
          </cell>
          <cell r="AO26" vm="2070">
            <v>40386876</v>
          </cell>
          <cell r="AP26" vm="2071">
            <v>40567864</v>
          </cell>
          <cell r="AQ26" vm="2072">
            <v>40850412</v>
          </cell>
          <cell r="AR26" vm="2073">
            <v>41431560</v>
          </cell>
          <cell r="AS26" vm="2074">
            <v>42187644</v>
          </cell>
          <cell r="AT26" vm="2075">
            <v>42921896</v>
          </cell>
          <cell r="AU26" vm="2076">
            <v>43653156</v>
          </cell>
          <cell r="AV26" vm="2077">
            <v>44397320</v>
          </cell>
          <cell r="AW26" vm="2078">
            <v>45226804</v>
          </cell>
          <cell r="AX26" vm="2079">
            <v>45954104</v>
          </cell>
          <cell r="AY26" vm="2080">
            <v>46362944</v>
          </cell>
          <cell r="AZ26" vm="2081">
            <v>46576896</v>
          </cell>
          <cell r="BA26" vm="2082">
            <v>46742696</v>
          </cell>
          <cell r="BB26" vm="2083">
            <v>46773056</v>
          </cell>
          <cell r="BC26" vm="2084">
            <v>46620044</v>
          </cell>
          <cell r="BD26" vm="2085">
            <v>46480880</v>
          </cell>
          <cell r="BE26" vm="2086">
            <v>46444832</v>
          </cell>
          <cell r="BF26" vm="2087">
            <v>46484064</v>
          </cell>
          <cell r="BG26" vm="2088">
            <v>46593236</v>
          </cell>
          <cell r="BH26" vm="2089">
            <v>46797752</v>
          </cell>
          <cell r="BI26" vm="2090">
            <v>47076780</v>
          </cell>
        </row>
        <row r="27">
          <cell r="B27" t="str" vm="967">
            <v>Sweden</v>
          </cell>
          <cell r="C27" vm="2091">
            <v>7519998</v>
          </cell>
          <cell r="D27" vm="2092">
            <v>7561588</v>
          </cell>
          <cell r="E27" vm="2093">
            <v>7604328</v>
          </cell>
          <cell r="F27" vm="2094">
            <v>7661354</v>
          </cell>
          <cell r="G27" vm="2095">
            <v>7733853</v>
          </cell>
          <cell r="H27" vm="2096">
            <v>7807797</v>
          </cell>
          <cell r="I27" vm="2097">
            <v>7867931</v>
          </cell>
          <cell r="J27" vm="2098">
            <v>7912273</v>
          </cell>
          <cell r="K27" vm="2099">
            <v>7968072</v>
          </cell>
          <cell r="L27" vm="2100">
            <v>8042801</v>
          </cell>
          <cell r="M27" vm="2101">
            <v>8098334</v>
          </cell>
          <cell r="N27" vm="2102">
            <v>8122300</v>
          </cell>
          <cell r="O27" vm="2103">
            <v>8136312</v>
          </cell>
          <cell r="P27" vm="2104">
            <v>8159955</v>
          </cell>
          <cell r="Q27" vm="2105">
            <v>8192437</v>
          </cell>
          <cell r="R27" vm="2106">
            <v>8222286</v>
          </cell>
          <cell r="S27" vm="2107">
            <v>8251540</v>
          </cell>
          <cell r="T27" vm="2108">
            <v>8275599</v>
          </cell>
          <cell r="U27" vm="2109">
            <v>8293678</v>
          </cell>
          <cell r="V27" vm="2110">
            <v>8310531</v>
          </cell>
          <cell r="W27" vm="2111">
            <v>8320503</v>
          </cell>
          <cell r="X27" vm="2112">
            <v>8325263</v>
          </cell>
          <cell r="Y27" vm="2113">
            <v>8329033</v>
          </cell>
          <cell r="Z27" vm="2114">
            <v>8336605</v>
          </cell>
          <cell r="AA27" vm="2115">
            <v>8350386</v>
          </cell>
          <cell r="AB27" vm="2116">
            <v>8369829</v>
          </cell>
          <cell r="AC27" vm="2117">
            <v>8397804</v>
          </cell>
          <cell r="AD27" vm="2118">
            <v>8436489</v>
          </cell>
          <cell r="AE27" vm="2119">
            <v>8492964</v>
          </cell>
          <cell r="AF27" vm="2120">
            <v>8558835</v>
          </cell>
          <cell r="AG27" vm="2121">
            <v>8617375</v>
          </cell>
          <cell r="AH27" vm="2122">
            <v>8668067</v>
          </cell>
          <cell r="AI27" vm="2123">
            <v>8718561</v>
          </cell>
          <cell r="AJ27" vm="2124">
            <v>8780745</v>
          </cell>
          <cell r="AK27" vm="2125">
            <v>8826939</v>
          </cell>
          <cell r="AL27" vm="2126">
            <v>8840998</v>
          </cell>
          <cell r="AM27" vm="2127">
            <v>8846062</v>
          </cell>
          <cell r="AN27" vm="2128">
            <v>8850974</v>
          </cell>
          <cell r="AO27" vm="2129">
            <v>8857874</v>
          </cell>
          <cell r="AP27" vm="2130">
            <v>8872109</v>
          </cell>
          <cell r="AQ27" vm="2131">
            <v>8895960</v>
          </cell>
          <cell r="AR27" vm="2132">
            <v>8924958</v>
          </cell>
          <cell r="AS27" vm="2133">
            <v>8958229</v>
          </cell>
          <cell r="AT27" vm="2134">
            <v>8993531</v>
          </cell>
          <cell r="AU27" vm="2135">
            <v>9029572</v>
          </cell>
          <cell r="AV27" vm="2136">
            <v>9080505</v>
          </cell>
          <cell r="AW27" vm="2137">
            <v>9148092</v>
          </cell>
          <cell r="AX27" vm="2138">
            <v>9219637</v>
          </cell>
          <cell r="AY27" vm="2139">
            <v>9298515</v>
          </cell>
          <cell r="AZ27" vm="2140">
            <v>9378126</v>
          </cell>
          <cell r="BA27" vm="2141">
            <v>9449213</v>
          </cell>
          <cell r="BB27" vm="2142">
            <v>9519374</v>
          </cell>
          <cell r="BC27" vm="2143">
            <v>9600379</v>
          </cell>
          <cell r="BD27" vm="2144">
            <v>9696110</v>
          </cell>
          <cell r="BE27" vm="2145">
            <v>9799186</v>
          </cell>
          <cell r="BF27" vm="2146">
            <v>9923085</v>
          </cell>
          <cell r="BG27" vm="2147">
            <v>10057698</v>
          </cell>
          <cell r="BH27" vm="2148">
            <v>10175214</v>
          </cell>
          <cell r="BI27" vm="2149">
            <v>10285453</v>
          </cell>
        </row>
        <row r="28">
          <cell r="B28" t="str" vm="1027">
            <v>United Kingdom</v>
          </cell>
          <cell r="C28" vm="2150">
            <v>52800000</v>
          </cell>
          <cell r="D28" vm="2151">
            <v>53250000</v>
          </cell>
          <cell r="E28" vm="2152">
            <v>53650000</v>
          </cell>
          <cell r="F28" vm="2153">
            <v>54000000</v>
          </cell>
          <cell r="G28" vm="2154">
            <v>54348048</v>
          </cell>
          <cell r="H28" vm="2155">
            <v>54648500</v>
          </cell>
          <cell r="I28" vm="2156">
            <v>54943600</v>
          </cell>
          <cell r="J28" vm="2157">
            <v>55211700</v>
          </cell>
          <cell r="K28" vm="2158">
            <v>55441752</v>
          </cell>
          <cell r="L28" vm="2159">
            <v>55663248</v>
          </cell>
          <cell r="M28" vm="2160">
            <v>55896224</v>
          </cell>
          <cell r="N28" vm="2161">
            <v>56086064</v>
          </cell>
          <cell r="O28" vm="2162">
            <v>56194528</v>
          </cell>
          <cell r="P28" vm="2163">
            <v>56229976</v>
          </cell>
          <cell r="Q28" vm="2164">
            <v>56225800</v>
          </cell>
          <cell r="R28" vm="2165">
            <v>56211968</v>
          </cell>
          <cell r="S28" vm="2166">
            <v>56193492</v>
          </cell>
          <cell r="T28" vm="2167">
            <v>56196504</v>
          </cell>
          <cell r="U28" vm="2168">
            <v>56246952</v>
          </cell>
          <cell r="V28" vm="2169">
            <v>56314216</v>
          </cell>
          <cell r="W28" vm="2170">
            <v>56333828</v>
          </cell>
          <cell r="X28" vm="2171">
            <v>56313640</v>
          </cell>
          <cell r="Y28" vm="2172">
            <v>56332848</v>
          </cell>
          <cell r="Z28" vm="2173">
            <v>56422072</v>
          </cell>
          <cell r="AA28" vm="2174">
            <v>56550268</v>
          </cell>
          <cell r="AB28" vm="2175">
            <v>56681396</v>
          </cell>
          <cell r="AC28" vm="2176">
            <v>56802048</v>
          </cell>
          <cell r="AD28" vm="2177">
            <v>56928328</v>
          </cell>
          <cell r="AE28" vm="2178">
            <v>57076712</v>
          </cell>
          <cell r="AF28" vm="2179">
            <v>57247584</v>
          </cell>
          <cell r="AG28" vm="2180">
            <v>57424896</v>
          </cell>
          <cell r="AH28" vm="2181">
            <v>57580400</v>
          </cell>
          <cell r="AI28" vm="2182">
            <v>57718616</v>
          </cell>
          <cell r="AJ28" vm="2183">
            <v>57865744</v>
          </cell>
          <cell r="AK28" vm="2184">
            <v>58019032</v>
          </cell>
          <cell r="AL28" vm="2185">
            <v>58166952</v>
          </cell>
          <cell r="AM28" vm="2186">
            <v>58316952</v>
          </cell>
          <cell r="AN28" vm="2187">
            <v>58487140</v>
          </cell>
          <cell r="AO28" vm="2188">
            <v>58682464</v>
          </cell>
          <cell r="AP28" vm="2189">
            <v>58892512</v>
          </cell>
          <cell r="AQ28" vm="2190">
            <v>59119672</v>
          </cell>
          <cell r="AR28" vm="2191">
            <v>59370480</v>
          </cell>
          <cell r="AS28" vm="2192">
            <v>59647576</v>
          </cell>
          <cell r="AT28" vm="2193">
            <v>59987904</v>
          </cell>
          <cell r="AU28" vm="2194">
            <v>60401208</v>
          </cell>
          <cell r="AV28" vm="2195">
            <v>60846820</v>
          </cell>
          <cell r="AW28" vm="2196">
            <v>61322464</v>
          </cell>
          <cell r="AX28" vm="2197">
            <v>61806996</v>
          </cell>
          <cell r="AY28" vm="2198">
            <v>62276272</v>
          </cell>
          <cell r="AZ28" vm="2199">
            <v>62766364</v>
          </cell>
          <cell r="BA28" vm="2200">
            <v>63258808</v>
          </cell>
          <cell r="BB28" vm="2201">
            <v>63700216</v>
          </cell>
          <cell r="BC28" vm="2202">
            <v>64128272</v>
          </cell>
          <cell r="BD28" vm="2203">
            <v>64602296</v>
          </cell>
          <cell r="BE28" vm="2204">
            <v>65116220</v>
          </cell>
          <cell r="BF28" vm="2205">
            <v>65611592</v>
          </cell>
          <cell r="BG28" vm="2206">
            <v>66058860</v>
          </cell>
          <cell r="BH28" vm="2207">
            <v>66460344</v>
          </cell>
          <cell r="BI28" vm="2208">
            <v>66834404</v>
          </cell>
        </row>
        <row r="29">
          <cell r="B29" t="str" vm="1087">
            <v>United States</v>
          </cell>
          <cell r="C29" vm="2209">
            <v>183691008</v>
          </cell>
          <cell r="D29" vm="2210">
            <v>186538000</v>
          </cell>
          <cell r="E29" vm="2211">
            <v>189242000</v>
          </cell>
          <cell r="F29" vm="2212">
            <v>191888992</v>
          </cell>
          <cell r="G29" vm="2213">
            <v>194303008</v>
          </cell>
          <cell r="H29" vm="2214">
            <v>196560000</v>
          </cell>
          <cell r="I29" vm="2215">
            <v>198712000</v>
          </cell>
          <cell r="J29" vm="2216">
            <v>200706000</v>
          </cell>
          <cell r="K29" vm="2217">
            <v>202676992</v>
          </cell>
          <cell r="L29" vm="2218">
            <v>205052000</v>
          </cell>
          <cell r="M29" vm="2219">
            <v>207660992</v>
          </cell>
          <cell r="N29" vm="2220">
            <v>209896000</v>
          </cell>
          <cell r="O29" vm="2221">
            <v>211908992</v>
          </cell>
          <cell r="P29" vm="2222">
            <v>213854000</v>
          </cell>
          <cell r="Q29" vm="2223">
            <v>215972992</v>
          </cell>
          <cell r="R29" vm="2224">
            <v>218035008</v>
          </cell>
          <cell r="S29" vm="2225">
            <v>220239008</v>
          </cell>
          <cell r="T29" vm="2226">
            <v>222584992</v>
          </cell>
          <cell r="U29" vm="2227">
            <v>225055008</v>
          </cell>
          <cell r="V29" vm="2228">
            <v>227224992</v>
          </cell>
          <cell r="W29" vm="2229">
            <v>229466000</v>
          </cell>
          <cell r="X29" vm="2230">
            <v>231664000</v>
          </cell>
          <cell r="Y29" vm="2231">
            <v>233792000</v>
          </cell>
          <cell r="Z29" vm="2232">
            <v>235824992</v>
          </cell>
          <cell r="AA29" vm="2233">
            <v>237924000</v>
          </cell>
          <cell r="AB29" vm="2234">
            <v>240132992</v>
          </cell>
          <cell r="AC29" vm="2235">
            <v>242288992</v>
          </cell>
          <cell r="AD29" vm="2236">
            <v>244499008</v>
          </cell>
          <cell r="AE29" vm="2237">
            <v>246819008</v>
          </cell>
          <cell r="AF29" vm="2238">
            <v>249623008</v>
          </cell>
          <cell r="AG29" vm="2239">
            <v>252980992</v>
          </cell>
          <cell r="AH29" vm="2240">
            <v>256514000</v>
          </cell>
          <cell r="AI29" vm="2241">
            <v>259919008</v>
          </cell>
          <cell r="AJ29" vm="2242">
            <v>263126000</v>
          </cell>
          <cell r="AK29" vm="2243">
            <v>266278000</v>
          </cell>
          <cell r="AL29" vm="2244">
            <v>269393984</v>
          </cell>
          <cell r="AM29" vm="2245">
            <v>272656992</v>
          </cell>
          <cell r="AN29" vm="2246">
            <v>275854016</v>
          </cell>
          <cell r="AO29" vm="2247">
            <v>279040000</v>
          </cell>
          <cell r="AP29" vm="2248">
            <v>282162400</v>
          </cell>
          <cell r="AQ29" vm="2249">
            <v>284968960</v>
          </cell>
          <cell r="AR29" vm="2250">
            <v>287625184</v>
          </cell>
          <cell r="AS29" vm="2251">
            <v>290107936</v>
          </cell>
          <cell r="AT29" vm="2252">
            <v>292805312</v>
          </cell>
          <cell r="AU29" vm="2253">
            <v>295516608</v>
          </cell>
          <cell r="AV29" vm="2254">
            <v>298379904</v>
          </cell>
          <cell r="AW29" vm="2255">
            <v>301231200</v>
          </cell>
          <cell r="AX29" vm="2256">
            <v>304093952</v>
          </cell>
          <cell r="AY29" vm="2257">
            <v>306771520</v>
          </cell>
          <cell r="AZ29" vm="2258">
            <v>309321664</v>
          </cell>
          <cell r="BA29" vm="2259">
            <v>311556864</v>
          </cell>
          <cell r="BB29" vm="2260">
            <v>313830976</v>
          </cell>
          <cell r="BC29" vm="2261">
            <v>315993728</v>
          </cell>
          <cell r="BD29" vm="2262">
            <v>318300992</v>
          </cell>
          <cell r="BE29" vm="2263">
            <v>320635168</v>
          </cell>
          <cell r="BF29" vm="2264">
            <v>322941312</v>
          </cell>
          <cell r="BG29" vm="2265">
            <v>324985536</v>
          </cell>
          <cell r="BH29" vm="2266">
            <v>326687488</v>
          </cell>
          <cell r="BI29" vm="2267">
            <v>328239520</v>
          </cell>
        </row>
      </sheetData>
      <sheetData sheetId="4"/>
      <sheetData sheetId="5"/>
      <sheetData sheetId="6"/>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Index"/>
      <sheetName val="Geography Geopolitical"/>
      <sheetName val="Geography Geoeconomic"/>
      <sheetName val="Src UN Pop"/>
      <sheetName val="Src UN GDP"/>
      <sheetName val="Src UN Consumption"/>
      <sheetName val="Src UN Real GDP"/>
      <sheetName val="Src PENN GDP"/>
      <sheetName val="Src North"/>
      <sheetName val="Src GDP comparisons"/>
      <sheetName val="Src MADDISON Multiple"/>
      <sheetName val="Src WID"/>
      <sheetName val="Src US Quintiles"/>
      <sheetName val="SRC Countries"/>
      <sheetName val="Real and Nominal GDP"/>
      <sheetName val="Growth"/>
      <sheetName val="Table 1"/>
      <sheetName val="Short Series"/>
      <sheetName val="CH Inverted Current Long Series"/>
      <sheetName val="Long Series"/>
      <sheetName val="Price Index"/>
      <sheetName val="Country GDP-Cap ratio North"/>
      <sheetName val="Geoeconomic"/>
      <sheetName val="PPP"/>
      <sheetName val="NDP-GDP-FI"/>
      <sheetName val="Comparisons"/>
      <sheetName val="MADDISON Multiple"/>
      <sheetName val="Transitional"/>
      <sheetName val="North"/>
      <sheetName val="Dispersion UN GD-Cap"/>
      <sheetName val="Dispersion PPP GD-Cap"/>
      <sheetName val="Dispersion Weighted"/>
      <sheetName val="Dispersion Weighted North"/>
      <sheetName val="Scale (includes Tables 4 and 5)"/>
      <sheetName val="In-text calculations"/>
      <sheetName val="CHART 1"/>
      <sheetName val="CHART 2"/>
      <sheetName val="CHART 3"/>
      <sheetName val="CHART 4"/>
      <sheetName val="CHART 5"/>
      <sheetName val="CHART 6"/>
      <sheetName val="CHART 7"/>
      <sheetName val="CHART 8"/>
      <sheetName val="CHART 9"/>
      <sheetName val="CHART 10"/>
      <sheetName val="CHART 11"/>
      <sheetName val="CHART 12"/>
      <sheetName val="CHART 13"/>
      <sheetName val="CHART 14"/>
      <sheetName val="CHART 15"/>
      <sheetName val="CHART 16"/>
      <sheetName val="CHART 17"/>
      <sheetName val="CHART 18"/>
      <sheetName val="CHART 19"/>
      <sheetName val="CHART 20"/>
      <sheetName val="CHART 21"/>
      <sheetName val="CHART 22"/>
      <sheetName val="CHART 23"/>
      <sheetName val="CHART 24"/>
      <sheetName val="CHART 25"/>
      <sheetName val="CHART 26"/>
      <sheetName val="CHART 27"/>
      <sheetName val="CHART 28"/>
      <sheetName val="CHART 29"/>
      <sheetName val="CHART 30"/>
      <sheetName val="CHART 31"/>
      <sheetName val="CHART 32"/>
      <sheetName val="CHART 33"/>
      <sheetName val="CHART 35"/>
      <sheetName val="CHART 36"/>
      <sheetName val="CHART X1"/>
      <sheetName val="CHART X2"/>
      <sheetName val="CHART X3"/>
      <sheetName val="CHART X4"/>
      <sheetName val="CHART X5"/>
      <sheetName val="CHART X6"/>
      <sheetName val="CHART X7"/>
      <sheetName val="CHART X8"/>
      <sheetName val="CHART X9"/>
      <sheetName val="CHART X10"/>
      <sheetName val="1970"/>
      <sheetName val="1975"/>
      <sheetName val="1980"/>
      <sheetName val="1985"/>
      <sheetName val="1990"/>
      <sheetName val="1995"/>
      <sheetName val="2000"/>
      <sheetName val="2005"/>
      <sheetName val="2010"/>
      <sheetName val="2015"/>
      <sheetName val="TO D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ow r="45">
          <cell r="C45">
            <v>6.554239893559016</v>
          </cell>
        </row>
      </sheetData>
      <sheetData sheetId="21"/>
      <sheetData sheetId="22"/>
      <sheetData sheetId="23"/>
      <sheetData sheetId="24"/>
      <sheetData sheetId="25"/>
      <sheetData sheetId="26"/>
      <sheetData sheetId="27"/>
      <sheetData sheetId="28"/>
      <sheetData sheetId="29"/>
      <sheetData sheetId="30">
        <row r="3">
          <cell r="E3">
            <v>4097.7420707694846</v>
          </cell>
          <cell r="F3">
            <v>4426.1704918032783</v>
          </cell>
          <cell r="G3">
            <v>5336.3827309236949</v>
          </cell>
          <cell r="H3">
            <v>6760.5480376877294</v>
          </cell>
          <cell r="I3">
            <v>7996.4589498644982</v>
          </cell>
          <cell r="J3">
            <v>9070.6502914834709</v>
          </cell>
          <cell r="K3">
            <v>9050.2050665575716</v>
          </cell>
          <cell r="L3">
            <v>9807.1507399835209</v>
          </cell>
          <cell r="M3">
            <v>11552.477354240153</v>
          </cell>
          <cell r="N3">
            <v>14956.124220230915</v>
          </cell>
          <cell r="O3">
            <v>15660.095297640502</v>
          </cell>
          <cell r="P3">
            <v>13125.066093333333</v>
          </cell>
          <cell r="Q3">
            <v>12160.719128700721</v>
          </cell>
          <cell r="R3">
            <v>10150.898659064771</v>
          </cell>
          <cell r="S3">
            <v>9779.6489767245821</v>
          </cell>
          <cell r="T3">
            <v>9837.2758811659187</v>
          </cell>
          <cell r="U3">
            <v>13110.947397725564</v>
          </cell>
          <cell r="V3">
            <v>15963.130682076155</v>
          </cell>
          <cell r="W3">
            <v>18099.664400999325</v>
          </cell>
          <cell r="X3">
            <v>19191.441389566808</v>
          </cell>
          <cell r="Y3">
            <v>23886.077234952027</v>
          </cell>
          <cell r="Z3">
            <v>24714.173298512465</v>
          </cell>
          <cell r="AA3">
            <v>25999.083599375084</v>
          </cell>
          <cell r="AB3">
            <v>20900.057551950926</v>
          </cell>
          <cell r="AC3">
            <v>20542.220687014375</v>
          </cell>
          <cell r="AD3">
            <v>23359.37334377447</v>
          </cell>
          <cell r="AE3">
            <v>24064.444422001245</v>
          </cell>
          <cell r="AF3">
            <v>23223.546691125033</v>
          </cell>
          <cell r="AG3">
            <v>23908.137912756072</v>
          </cell>
          <cell r="AH3">
            <v>24371.617710113405</v>
          </cell>
          <cell r="AI3">
            <v>21936.513258908089</v>
          </cell>
          <cell r="AJ3">
            <v>22228.647584680952</v>
          </cell>
          <cell r="AK3">
            <v>24742.619009550457</v>
          </cell>
          <cell r="AL3">
            <v>32775.178363532017</v>
          </cell>
          <cell r="AM3">
            <v>38505.152916950843</v>
          </cell>
          <cell r="AN3">
            <v>41280.993355902974</v>
          </cell>
          <cell r="AO3">
            <v>43746.531145435911</v>
          </cell>
          <cell r="AP3">
            <v>48580.31493777439</v>
          </cell>
          <cell r="AQ3">
            <v>47787.429246014239</v>
          </cell>
          <cell r="AR3">
            <v>43336.769328218608</v>
          </cell>
          <cell r="AS3">
            <v>39733.988336155548</v>
          </cell>
          <cell r="AT3">
            <v>41101.323423003902</v>
          </cell>
          <cell r="AU3">
            <v>38391.396489184895</v>
          </cell>
          <cell r="AV3">
            <v>40621.912722186462</v>
          </cell>
          <cell r="AW3">
            <v>42293.269959481462</v>
          </cell>
          <cell r="AX3">
            <v>36039.907862691311</v>
          </cell>
          <cell r="AY3">
            <v>37060.605963804985</v>
          </cell>
          <cell r="AZ3">
            <v>38952.39437184111</v>
          </cell>
        </row>
        <row r="4">
          <cell r="E4">
            <v>1516.6329631359633</v>
          </cell>
          <cell r="F4">
            <v>1673.9902257433216</v>
          </cell>
          <cell r="G4">
            <v>1924.5067126139627</v>
          </cell>
          <cell r="H4">
            <v>2528.2344226842383</v>
          </cell>
          <cell r="I4">
            <v>2842.5758789146635</v>
          </cell>
          <cell r="J4">
            <v>3167.3615923431926</v>
          </cell>
          <cell r="K4">
            <v>3415.1128542081406</v>
          </cell>
          <cell r="L4">
            <v>3908.3161922038857</v>
          </cell>
          <cell r="M4">
            <v>4711.9389498401479</v>
          </cell>
          <cell r="N4">
            <v>5722.0523996205711</v>
          </cell>
          <cell r="O4">
            <v>5900.1121751571227</v>
          </cell>
          <cell r="P4">
            <v>5380.927442431549</v>
          </cell>
          <cell r="Q4">
            <v>5569.5480398842692</v>
          </cell>
          <cell r="R4">
            <v>5008.6100909876714</v>
          </cell>
          <cell r="S4">
            <v>4839.6933145718021</v>
          </cell>
          <cell r="T4">
            <v>4793.7407172257845</v>
          </cell>
          <cell r="U4">
            <v>5624.7690750639458</v>
          </cell>
          <cell r="V4">
            <v>6520.006877837438</v>
          </cell>
          <cell r="W4">
            <v>7538.4552438632709</v>
          </cell>
          <cell r="X4">
            <v>7780.6518630661631</v>
          </cell>
          <cell r="Y4">
            <v>9551.8934363021763</v>
          </cell>
          <cell r="Z4">
            <v>10152.881116917484</v>
          </cell>
          <cell r="AA4">
            <v>11098.973469339133</v>
          </cell>
          <cell r="AB4">
            <v>10312.768285720827</v>
          </cell>
          <cell r="AC4">
            <v>10950.116323928025</v>
          </cell>
          <cell r="AD4">
            <v>12697.677112900423</v>
          </cell>
          <cell r="AE4">
            <v>13417.992903536027</v>
          </cell>
          <cell r="AF4">
            <v>13046.108505487988</v>
          </cell>
          <cell r="AG4">
            <v>13054.838571934835</v>
          </cell>
          <cell r="AH4">
            <v>13435.205251163497</v>
          </cell>
          <cell r="AI4">
            <v>11846.938629896162</v>
          </cell>
          <cell r="AJ4">
            <v>12159.796173204852</v>
          </cell>
          <cell r="AK4">
            <v>13729.407115167171</v>
          </cell>
          <cell r="AL4">
            <v>17965.828815713019</v>
          </cell>
          <cell r="AM4">
            <v>21383.302710551001</v>
          </cell>
          <cell r="AN4">
            <v>21944.56449065073</v>
          </cell>
          <cell r="AO4">
            <v>24076.685566423872</v>
          </cell>
          <cell r="AP4">
            <v>27941.558560805883</v>
          </cell>
          <cell r="AQ4">
            <v>30999.206893172792</v>
          </cell>
          <cell r="AR4">
            <v>28836.504708040004</v>
          </cell>
          <cell r="AS4">
            <v>26122.651527760121</v>
          </cell>
          <cell r="AT4">
            <v>25212.721393738229</v>
          </cell>
          <cell r="AU4">
            <v>21620.18312646656</v>
          </cell>
          <cell r="AV4">
            <v>21198.978915848886</v>
          </cell>
          <cell r="AW4">
            <v>21039.126917068377</v>
          </cell>
          <cell r="AX4">
            <v>17561.375670808891</v>
          </cell>
          <cell r="AY4">
            <v>17412.842694790103</v>
          </cell>
          <cell r="AZ4">
            <v>18166.521856518306</v>
          </cell>
        </row>
        <row r="5">
          <cell r="E5">
            <v>1648.8279708729438</v>
          </cell>
          <cell r="F5">
            <v>2051.1617988386388</v>
          </cell>
          <cell r="G5">
            <v>2411.5992740811612</v>
          </cell>
          <cell r="H5">
            <v>3142.380883499528</v>
          </cell>
          <cell r="I5">
            <v>3771.365580696267</v>
          </cell>
          <cell r="J5">
            <v>4654.1559371596823</v>
          </cell>
          <cell r="K5">
            <v>5285.5075934110082</v>
          </cell>
          <cell r="L5">
            <v>6188.331564481181</v>
          </cell>
          <cell r="M5">
            <v>7801.973387484958</v>
          </cell>
          <cell r="N5">
            <v>9203.1785748608509</v>
          </cell>
          <cell r="O5">
            <v>10367.026082624205</v>
          </cell>
          <cell r="P5">
            <v>9413.3727028309349</v>
          </cell>
          <cell r="Q5">
            <v>8595.6399006978518</v>
          </cell>
          <cell r="R5">
            <v>8774.7479480599668</v>
          </cell>
          <cell r="S5">
            <v>7891.2665930635394</v>
          </cell>
          <cell r="T5">
            <v>8482.2696503102088</v>
          </cell>
          <cell r="U5">
            <v>12248.785134858821</v>
          </cell>
          <cell r="V5">
            <v>15824.458435252791</v>
          </cell>
          <cell r="W5">
            <v>17893.440604613872</v>
          </cell>
          <cell r="X5">
            <v>18374.92789583145</v>
          </cell>
          <cell r="Y5">
            <v>20025.365549241062</v>
          </cell>
          <cell r="Z5">
            <v>19910.438419760168</v>
          </cell>
          <cell r="AA5">
            <v>20303.717155081362</v>
          </cell>
          <cell r="AB5">
            <v>18142.386943131358</v>
          </cell>
          <cell r="AC5">
            <v>19693.392278061452</v>
          </cell>
          <cell r="AD5">
            <v>23670.735482252603</v>
          </cell>
          <cell r="AE5">
            <v>23435.872503895265</v>
          </cell>
          <cell r="AF5">
            <v>20965.980404788748</v>
          </cell>
          <cell r="AG5">
            <v>22458.549456638306</v>
          </cell>
          <cell r="AH5">
            <v>22062.41738928737</v>
          </cell>
          <cell r="AI5">
            <v>20775.92386292835</v>
          </cell>
          <cell r="AJ5">
            <v>21071.887922310791</v>
          </cell>
          <cell r="AK5">
            <v>22604.79199547047</v>
          </cell>
          <cell r="AL5">
            <v>27487.475206320098</v>
          </cell>
          <cell r="AM5">
            <v>32051.843460368265</v>
          </cell>
          <cell r="AN5">
            <v>32480.599954346719</v>
          </cell>
          <cell r="AO5">
            <v>35335.641238524862</v>
          </cell>
          <cell r="AP5">
            <v>39520.989425053136</v>
          </cell>
          <cell r="AQ5">
            <v>43966.369275698882</v>
          </cell>
          <cell r="AR5">
            <v>44598.153663094061</v>
          </cell>
          <cell r="AS5">
            <v>44195.896518238638</v>
          </cell>
          <cell r="AT5">
            <v>47468.906634601779</v>
          </cell>
          <cell r="AU5">
            <v>46213.541615016824</v>
          </cell>
          <cell r="AV5">
            <v>47593.631722622042</v>
          </cell>
          <cell r="AW5">
            <v>50407.32639849597</v>
          </cell>
          <cell r="AX5">
            <v>44328.592954573673</v>
          </cell>
          <cell r="AY5">
            <v>48080.640572673954</v>
          </cell>
          <cell r="AZ5">
            <v>49363.478945506016</v>
          </cell>
        </row>
        <row r="6">
          <cell r="E6">
            <v>5201.8770185751237</v>
          </cell>
          <cell r="F6">
            <v>5927.3040044186691</v>
          </cell>
          <cell r="G6">
            <v>6924.8907724256242</v>
          </cell>
          <cell r="H6">
            <v>9138.158861853477</v>
          </cell>
          <cell r="I6">
            <v>10798.909964753493</v>
          </cell>
          <cell r="J6">
            <v>12192.841673779449</v>
          </cell>
          <cell r="K6">
            <v>13470.275022987544</v>
          </cell>
          <cell r="L6">
            <v>15384.370998363338</v>
          </cell>
          <cell r="M6">
            <v>20931.671396522714</v>
          </cell>
          <cell r="N6">
            <v>24641.711584862656</v>
          </cell>
          <cell r="O6">
            <v>26476.260152323513</v>
          </cell>
          <cell r="P6">
            <v>23186.973474679682</v>
          </cell>
          <cell r="Q6">
            <v>23706.97023948708</v>
          </cell>
          <cell r="R6">
            <v>23833.176271249766</v>
          </cell>
          <cell r="S6">
            <v>23481.8956536226</v>
          </cell>
          <cell r="T6">
            <v>24995.405892064424</v>
          </cell>
          <cell r="U6">
            <v>36642.20037058567</v>
          </cell>
          <cell r="V6">
            <v>45682.524027048414</v>
          </cell>
          <cell r="W6">
            <v>51738.808186510054</v>
          </cell>
          <cell r="X6">
            <v>51087.746224522125</v>
          </cell>
          <cell r="Y6">
            <v>61079.781124986956</v>
          </cell>
          <cell r="Z6">
            <v>65232.765974989692</v>
          </cell>
          <cell r="AA6">
            <v>68926.197918432386</v>
          </cell>
          <cell r="AB6">
            <v>67207.262074267186</v>
          </cell>
          <cell r="AC6">
            <v>73952.501498435697</v>
          </cell>
          <cell r="AD6">
            <v>87414.296468069922</v>
          </cell>
          <cell r="AE6">
            <v>86767.603351955302</v>
          </cell>
          <cell r="AF6">
            <v>80515.191689176456</v>
          </cell>
          <cell r="AG6">
            <v>84764.083016535311</v>
          </cell>
          <cell r="AH6">
            <v>89717.31484075269</v>
          </cell>
          <cell r="AI6">
            <v>82532.544222796365</v>
          </cell>
          <cell r="AJ6">
            <v>81848.673131181131</v>
          </cell>
          <cell r="AK6">
            <v>87412.730348638957</v>
          </cell>
          <cell r="AL6">
            <v>98956.986917630609</v>
          </cell>
          <cell r="AM6">
            <v>110432.74815007516</v>
          </cell>
          <cell r="AN6">
            <v>116094.77757374039</v>
          </cell>
          <cell r="AO6">
            <v>126060.80965949566</v>
          </cell>
          <cell r="AP6">
            <v>144079.42390011891</v>
          </cell>
          <cell r="AQ6">
            <v>158130.24470330041</v>
          </cell>
          <cell r="AR6">
            <v>139289.60319856848</v>
          </cell>
          <cell r="AS6">
            <v>156127.46762769768</v>
          </cell>
          <cell r="AT6">
            <v>175052.49586366644</v>
          </cell>
          <cell r="AU6">
            <v>165123.43308250103</v>
          </cell>
          <cell r="AV6">
            <v>173527.48626269208</v>
          </cell>
          <cell r="AW6">
            <v>179317.65658415708</v>
          </cell>
          <cell r="AX6">
            <v>167593.8598508141</v>
          </cell>
          <cell r="AY6">
            <v>165134.42644948716</v>
          </cell>
          <cell r="AZ6">
            <v>166337.51698811096</v>
          </cell>
        </row>
        <row r="7">
          <cell r="E7">
            <v>810.17816180651448</v>
          </cell>
          <cell r="F7">
            <v>854.95124969538688</v>
          </cell>
          <cell r="G7">
            <v>952.88860035527307</v>
          </cell>
          <cell r="H7">
            <v>1114.1134300959316</v>
          </cell>
          <cell r="I7">
            <v>1209.1952484278002</v>
          </cell>
          <cell r="J7">
            <v>1520.6372853686719</v>
          </cell>
          <cell r="K7">
            <v>1683.8605682144082</v>
          </cell>
          <cell r="L7">
            <v>1984.2272271443424</v>
          </cell>
          <cell r="M7">
            <v>2501.1803931127574</v>
          </cell>
          <cell r="N7">
            <v>3132.4544071431378</v>
          </cell>
          <cell r="O7">
            <v>3879.9012584239995</v>
          </cell>
          <cell r="P7">
            <v>3825.6347693140547</v>
          </cell>
          <cell r="Q7">
            <v>3762.5955142599501</v>
          </cell>
          <cell r="R7">
            <v>3518.9907596577045</v>
          </cell>
          <cell r="S7">
            <v>3294.1074525651252</v>
          </cell>
          <cell r="T7">
            <v>3310.828666422296</v>
          </cell>
          <cell r="U7">
            <v>4212.5913673311843</v>
          </cell>
          <cell r="V7">
            <v>5096.8314035122276</v>
          </cell>
          <cell r="W7">
            <v>5828.3586938930403</v>
          </cell>
          <cell r="X7">
            <v>6063.7030972851371</v>
          </cell>
          <cell r="Y7">
            <v>7229.5769734188361</v>
          </cell>
          <cell r="Z7">
            <v>7739.6114391284473</v>
          </cell>
          <cell r="AA7">
            <v>8432.8584860863048</v>
          </cell>
          <cell r="AB7">
            <v>7496.5675844872976</v>
          </cell>
          <cell r="AC7">
            <v>8226.2019543455535</v>
          </cell>
          <cell r="AD7">
            <v>9721.9962240833011</v>
          </cell>
          <cell r="AE7">
            <v>9919.3967866357398</v>
          </cell>
          <cell r="AF7">
            <v>9753.1940963469569</v>
          </cell>
          <cell r="AG7">
            <v>10178.367650183689</v>
          </cell>
          <cell r="AH7">
            <v>10395.2526199515</v>
          </cell>
          <cell r="AI7">
            <v>10218.471479927799</v>
          </cell>
          <cell r="AJ7">
            <v>10187.598757374955</v>
          </cell>
          <cell r="AK7">
            <v>11131.599033647892</v>
          </cell>
          <cell r="AL7">
            <v>13431.516027588534</v>
          </cell>
          <cell r="AM7">
            <v>14923.134814953815</v>
          </cell>
          <cell r="AN7">
            <v>15716.123145528249</v>
          </cell>
          <cell r="AO7">
            <v>16601.871782319984</v>
          </cell>
          <cell r="AP7">
            <v>19327.06677893567</v>
          </cell>
          <cell r="AQ7">
            <v>21783.237489323707</v>
          </cell>
          <cell r="AR7">
            <v>20596.042898718737</v>
          </cell>
          <cell r="AS7">
            <v>21005.35723486578</v>
          </cell>
          <cell r="AT7">
            <v>22727.688118326732</v>
          </cell>
          <cell r="AU7">
            <v>21887.197581210534</v>
          </cell>
          <cell r="AV7">
            <v>23972.335471569724</v>
          </cell>
          <cell r="AW7">
            <v>26397.814582794839</v>
          </cell>
          <cell r="AX7">
            <v>24703.045349098258</v>
          </cell>
          <cell r="AY7">
            <v>26266.187856296478</v>
          </cell>
          <cell r="AZ7">
            <v>29211.006515522069</v>
          </cell>
        </row>
        <row r="8">
          <cell r="E8">
            <v>12096.740040027255</v>
          </cell>
          <cell r="F8">
            <v>13393.913178752109</v>
          </cell>
          <cell r="G8">
            <v>16199.423695480438</v>
          </cell>
          <cell r="H8">
            <v>20710.653537378781</v>
          </cell>
          <cell r="I8">
            <v>22004.213074290317</v>
          </cell>
          <cell r="J8">
            <v>27403.083529785294</v>
          </cell>
          <cell r="K8">
            <v>27904.743435332839</v>
          </cell>
          <cell r="L8">
            <v>30407.973253516218</v>
          </cell>
          <cell r="M8">
            <v>37153.866998888334</v>
          </cell>
          <cell r="N8">
            <v>44501.425307823454</v>
          </cell>
          <cell r="O8">
            <v>50172.588259487755</v>
          </cell>
          <cell r="P8">
            <v>43363.590082462084</v>
          </cell>
          <cell r="Q8">
            <v>40517.785548798143</v>
          </cell>
          <cell r="R8">
            <v>38144.12514682328</v>
          </cell>
          <cell r="S8">
            <v>35632.24677328844</v>
          </cell>
          <cell r="T8">
            <v>36724.007907057392</v>
          </cell>
          <cell r="U8">
            <v>50871.043972315005</v>
          </cell>
          <cell r="V8">
            <v>61349.900761003701</v>
          </cell>
          <cell r="W8">
            <v>66771.533401744484</v>
          </cell>
          <cell r="X8">
            <v>67025.83617631004</v>
          </cell>
          <cell r="Y8">
            <v>82621.82652264004</v>
          </cell>
          <cell r="Z8">
            <v>82122.067040237642</v>
          </cell>
          <cell r="AA8">
            <v>89968.890098114731</v>
          </cell>
          <cell r="AB8">
            <v>84180.40261463933</v>
          </cell>
          <cell r="AC8">
            <v>87860.474315574989</v>
          </cell>
          <cell r="AD8">
            <v>100041.13463230262</v>
          </cell>
          <cell r="AE8">
            <v>99429.249297639428</v>
          </cell>
          <cell r="AF8">
            <v>89149.783270935324</v>
          </cell>
          <cell r="AG8">
            <v>91411.06696697649</v>
          </cell>
          <cell r="AH8">
            <v>89981.006226415091</v>
          </cell>
          <cell r="AI8">
            <v>81354.749797394179</v>
          </cell>
          <cell r="AJ8">
            <v>81467.369561186657</v>
          </cell>
          <cell r="AK8">
            <v>87705.029145851848</v>
          </cell>
          <cell r="AL8">
            <v>107029.2647800079</v>
          </cell>
          <cell r="AM8">
            <v>121615.51816053312</v>
          </cell>
          <cell r="AN8">
            <v>124374.15808007575</v>
          </cell>
          <cell r="AO8">
            <v>133187.40327830738</v>
          </cell>
          <cell r="AP8">
            <v>167129.76773660677</v>
          </cell>
          <cell r="AQ8">
            <v>180647.59294898613</v>
          </cell>
          <cell r="AR8">
            <v>149241.88068648381</v>
          </cell>
          <cell r="AS8">
            <v>144561.10271202889</v>
          </cell>
          <cell r="AT8">
            <v>162165.74485958877</v>
          </cell>
          <cell r="AU8">
            <v>152003.12600905169</v>
          </cell>
          <cell r="AV8">
            <v>172597.20923862947</v>
          </cell>
          <cell r="AW8">
            <v>185144.142478758</v>
          </cell>
          <cell r="AX8">
            <v>163393.91602057064</v>
          </cell>
          <cell r="AY8">
            <v>168011.80980336131</v>
          </cell>
          <cell r="AZ8">
            <v>165429.53991678081</v>
          </cell>
        </row>
        <row r="9">
          <cell r="E9">
            <v>926.26811257111694</v>
          </cell>
          <cell r="F9">
            <v>1075.4888892573338</v>
          </cell>
          <cell r="G9">
            <v>1371.8785649451017</v>
          </cell>
          <cell r="H9">
            <v>1930.7209804373788</v>
          </cell>
          <cell r="I9">
            <v>2362.8824755075898</v>
          </cell>
          <cell r="J9">
            <v>2561.8916529630737</v>
          </cell>
          <cell r="K9">
            <v>2652.630798448854</v>
          </cell>
          <cell r="L9">
            <v>2895.3219672442729</v>
          </cell>
          <cell r="M9">
            <v>3443.367435869292</v>
          </cell>
          <cell r="N9">
            <v>4096.6085437376059</v>
          </cell>
          <cell r="O9">
            <v>5008.4507604594273</v>
          </cell>
          <cell r="P9">
            <v>5837.7206016777036</v>
          </cell>
          <cell r="Q9">
            <v>6305.0863091088704</v>
          </cell>
          <cell r="R9">
            <v>6976.808802287831</v>
          </cell>
          <cell r="S9">
            <v>7394.2760402897029</v>
          </cell>
          <cell r="T9">
            <v>6858.1826023318863</v>
          </cell>
          <cell r="U9">
            <v>6789.265234808794</v>
          </cell>
          <cell r="V9">
            <v>7662.8914325111955</v>
          </cell>
          <cell r="W9">
            <v>9216.6731472714309</v>
          </cell>
          <cell r="X9">
            <v>10676.921972652795</v>
          </cell>
          <cell r="Y9">
            <v>12910.876442812085</v>
          </cell>
          <cell r="Z9">
            <v>14684.998783169765</v>
          </cell>
          <cell r="AA9">
            <v>16353.214583281731</v>
          </cell>
          <cell r="AB9">
            <v>18446.629077305308</v>
          </cell>
          <cell r="AC9">
            <v>21792.623809059623</v>
          </cell>
          <cell r="AD9">
            <v>25265.059982827308</v>
          </cell>
          <cell r="AE9">
            <v>27032.35328323425</v>
          </cell>
          <cell r="AF9">
            <v>27403.754588416159</v>
          </cell>
          <cell r="AG9">
            <v>22969.02827889501</v>
          </cell>
          <cell r="AH9">
            <v>22596.881352230295</v>
          </cell>
          <cell r="AI9">
            <v>24485.679717983832</v>
          </cell>
          <cell r="AJ9">
            <v>22216.968734782382</v>
          </cell>
          <cell r="AK9">
            <v>22255.425518153526</v>
          </cell>
          <cell r="AL9">
            <v>22827.858629725637</v>
          </cell>
          <cell r="AM9">
            <v>26086.717741714034</v>
          </cell>
          <cell r="AN9">
            <v>28278.515320052673</v>
          </cell>
          <cell r="AO9">
            <v>32090.888334333282</v>
          </cell>
          <cell r="AP9">
            <v>38034.640259920277</v>
          </cell>
          <cell r="AQ9">
            <v>39578.578836303204</v>
          </cell>
          <cell r="AR9">
            <v>38666.660759260165</v>
          </cell>
          <cell r="AS9">
            <v>46509.318023622007</v>
          </cell>
          <cell r="AT9">
            <v>53322.854233284008</v>
          </cell>
          <cell r="AU9">
            <v>55208.180372524308</v>
          </cell>
          <cell r="AV9">
            <v>56707.562643669262</v>
          </cell>
          <cell r="AW9">
            <v>57265.127629653201</v>
          </cell>
          <cell r="AX9">
            <v>54920.616223766825</v>
          </cell>
          <cell r="AY9">
            <v>55017.507990849343</v>
          </cell>
          <cell r="AZ9">
            <v>56629.931785401925</v>
          </cell>
        </row>
        <row r="10">
          <cell r="E10">
            <v>279.40203703189707</v>
          </cell>
          <cell r="F10">
            <v>300.94089013825101</v>
          </cell>
          <cell r="G10">
            <v>323.46742868033255</v>
          </cell>
          <cell r="H10">
            <v>405.1518440579801</v>
          </cell>
          <cell r="I10">
            <v>559.98717005400647</v>
          </cell>
          <cell r="J10">
            <v>613.36236019671674</v>
          </cell>
          <cell r="K10">
            <v>828.37895832343509</v>
          </cell>
          <cell r="L10">
            <v>1048.8876427350303</v>
          </cell>
          <cell r="M10">
            <v>1397.3971380730745</v>
          </cell>
          <cell r="N10">
            <v>1774.3658523420422</v>
          </cell>
          <cell r="O10">
            <v>1707.7484706872124</v>
          </cell>
          <cell r="P10">
            <v>1875.9837742398881</v>
          </cell>
          <cell r="Q10">
            <v>1985.0406588193064</v>
          </cell>
          <cell r="R10">
            <v>2189.1870195590545</v>
          </cell>
          <cell r="S10">
            <v>2396.9472650643665</v>
          </cell>
          <cell r="T10">
            <v>2450.4657943400512</v>
          </cell>
          <cell r="U10">
            <v>2810.8047333951708</v>
          </cell>
          <cell r="V10">
            <v>3501.9689700603722</v>
          </cell>
          <cell r="W10">
            <v>4680.3327949445948</v>
          </cell>
          <cell r="X10">
            <v>5741.7536181519235</v>
          </cell>
          <cell r="Y10">
            <v>6499.9916595089098</v>
          </cell>
          <cell r="Z10">
            <v>7515.313026619423</v>
          </cell>
          <cell r="AA10">
            <v>7981.1284166298619</v>
          </cell>
          <cell r="AB10">
            <v>8705.3478801350284</v>
          </cell>
          <cell r="AC10">
            <v>10172.693972973293</v>
          </cell>
          <cell r="AD10">
            <v>12274.106765125607</v>
          </cell>
          <cell r="AE10">
            <v>13068.935795246929</v>
          </cell>
          <cell r="AF10">
            <v>12077.241360681748</v>
          </cell>
          <cell r="AG10">
            <v>8021.0279612176864</v>
          </cell>
          <cell r="AH10">
            <v>10313.908592825603</v>
          </cell>
          <cell r="AI10">
            <v>11859.964962033762</v>
          </cell>
          <cell r="AJ10">
            <v>11171.009331921665</v>
          </cell>
          <cell r="AK10">
            <v>12686.235605184684</v>
          </cell>
          <cell r="AL10">
            <v>14109.596216092215</v>
          </cell>
          <cell r="AM10">
            <v>15773.819023448432</v>
          </cell>
          <cell r="AN10">
            <v>18436.208746827248</v>
          </cell>
          <cell r="AO10">
            <v>20656.152289752888</v>
          </cell>
          <cell r="AP10">
            <v>22828.05897824706</v>
          </cell>
          <cell r="AQ10">
            <v>20317.363722908216</v>
          </cell>
          <cell r="AR10">
            <v>18266.79763677052</v>
          </cell>
          <cell r="AS10">
            <v>21996.713973458965</v>
          </cell>
          <cell r="AT10">
            <v>24123.192318532281</v>
          </cell>
          <cell r="AU10">
            <v>24423.327208283175</v>
          </cell>
          <cell r="AV10">
            <v>26111.617397433169</v>
          </cell>
          <cell r="AW10">
            <v>27984.208173929197</v>
          </cell>
          <cell r="AX10">
            <v>27276.142720163538</v>
          </cell>
          <cell r="AY10">
            <v>27788.573496244011</v>
          </cell>
          <cell r="AZ10">
            <v>30075.857209108275</v>
          </cell>
        </row>
        <row r="11">
          <cell r="E11">
            <v>393.25049866474149</v>
          </cell>
          <cell r="F11">
            <v>446.89854148880846</v>
          </cell>
          <cell r="G11">
            <v>524.90572744184738</v>
          </cell>
          <cell r="H11">
            <v>699.9348901178322</v>
          </cell>
          <cell r="I11">
            <v>927.44519189414405</v>
          </cell>
          <cell r="J11">
            <v>978.39934691917267</v>
          </cell>
          <cell r="K11">
            <v>1150.557159794387</v>
          </cell>
          <cell r="L11">
            <v>1322.5548493245265</v>
          </cell>
          <cell r="M11">
            <v>1598.6182243493276</v>
          </cell>
          <cell r="N11">
            <v>1943.3259481526945</v>
          </cell>
          <cell r="O11">
            <v>2384.7401283344543</v>
          </cell>
          <cell r="P11">
            <v>2721.212587521597</v>
          </cell>
          <cell r="Q11">
            <v>2699.5554514190185</v>
          </cell>
          <cell r="R11">
            <v>2904.0072753658446</v>
          </cell>
          <cell r="S11">
            <v>3225.173115412696</v>
          </cell>
          <cell r="T11">
            <v>3315.1628210344202</v>
          </cell>
          <cell r="U11">
            <v>4038.1325261915636</v>
          </cell>
          <cell r="V11">
            <v>5350.2677248289847</v>
          </cell>
          <cell r="W11">
            <v>6369.3274596487945</v>
          </cell>
          <cell r="X11">
            <v>7614.3729714312412</v>
          </cell>
          <cell r="Y11">
            <v>8216.1763268176819</v>
          </cell>
          <cell r="Z11">
            <v>9135.6810031368095</v>
          </cell>
          <cell r="AA11">
            <v>10778.424268932895</v>
          </cell>
          <cell r="AB11">
            <v>11251.233845247336</v>
          </cell>
          <cell r="AC11">
            <v>12159.530532415361</v>
          </cell>
          <cell r="AD11">
            <v>13129.057332305963</v>
          </cell>
          <cell r="AE11">
            <v>13649.523566854785</v>
          </cell>
          <cell r="AF11">
            <v>14039.700438485943</v>
          </cell>
          <cell r="AG11">
            <v>12839.926813983631</v>
          </cell>
          <cell r="AH11">
            <v>13819.36138567146</v>
          </cell>
          <cell r="AI11">
            <v>14940.701902078761</v>
          </cell>
          <cell r="AJ11">
            <v>13448.288954458631</v>
          </cell>
          <cell r="AK11">
            <v>13750.265576138378</v>
          </cell>
          <cell r="AL11">
            <v>14120.228082333311</v>
          </cell>
          <cell r="AM11">
            <v>15387.52528571254</v>
          </cell>
          <cell r="AN11">
            <v>16532.042189373155</v>
          </cell>
          <cell r="AO11">
            <v>17025.866022327402</v>
          </cell>
          <cell r="AP11">
            <v>17814.116595569241</v>
          </cell>
          <cell r="AQ11">
            <v>18130.555421827747</v>
          </cell>
          <cell r="AR11">
            <v>16988.377696183772</v>
          </cell>
          <cell r="AS11">
            <v>19277.718274348124</v>
          </cell>
          <cell r="AT11">
            <v>20939.178207067653</v>
          </cell>
          <cell r="AU11">
            <v>21307.98359322951</v>
          </cell>
          <cell r="AV11">
            <v>21915.652330118912</v>
          </cell>
          <cell r="AW11">
            <v>22619.431152931047</v>
          </cell>
          <cell r="AX11"/>
          <cell r="AY11"/>
          <cell r="AZ11"/>
        </row>
        <row r="12">
          <cell r="E12">
            <v>3520.5742157908639</v>
          </cell>
          <cell r="F12">
            <v>3856.7853888485133</v>
          </cell>
          <cell r="G12">
            <v>4466.4404296739867</v>
          </cell>
          <cell r="H12">
            <v>6361.8359115283074</v>
          </cell>
          <cell r="I12">
            <v>7465.9377569160933</v>
          </cell>
          <cell r="J12">
            <v>7880.7299956345096</v>
          </cell>
          <cell r="K12">
            <v>8431.8098458243567</v>
          </cell>
          <cell r="L12">
            <v>8196.68366418611</v>
          </cell>
          <cell r="M12">
            <v>9504.30971526346</v>
          </cell>
          <cell r="N12">
            <v>10363.953010666166</v>
          </cell>
          <cell r="O12">
            <v>11809.587938219336</v>
          </cell>
          <cell r="P12">
            <v>13613.241343764401</v>
          </cell>
          <cell r="Q12">
            <v>12765.053538429625</v>
          </cell>
          <cell r="R12">
            <v>12649.634360024849</v>
          </cell>
          <cell r="S12">
            <v>13365.864254216414</v>
          </cell>
          <cell r="T12">
            <v>11570.510532247934</v>
          </cell>
          <cell r="U12">
            <v>12010.38598127731</v>
          </cell>
          <cell r="V12">
            <v>14026.509487734033</v>
          </cell>
          <cell r="W12">
            <v>17486.082228150415</v>
          </cell>
          <cell r="X12">
            <v>19056.360018470376</v>
          </cell>
          <cell r="Y12">
            <v>19012.486744071743</v>
          </cell>
          <cell r="Z12">
            <v>19106.207004520762</v>
          </cell>
          <cell r="AA12">
            <v>18643.541659851671</v>
          </cell>
          <cell r="AB12">
            <v>17922.281749576538</v>
          </cell>
          <cell r="AC12">
            <v>20298.907281301923</v>
          </cell>
          <cell r="AD12">
            <v>21630.001509121332</v>
          </cell>
          <cell r="AE12">
            <v>23807.329417474601</v>
          </cell>
          <cell r="AF12">
            <v>23608.930413652288</v>
          </cell>
          <cell r="AG12">
            <v>20841.097401109797</v>
          </cell>
          <cell r="AH12">
            <v>22582.563123034892</v>
          </cell>
          <cell r="AI12">
            <v>21451.983537464603</v>
          </cell>
          <cell r="AJ12">
            <v>20240.254940023453</v>
          </cell>
          <cell r="AK12">
            <v>22336.108419367574</v>
          </cell>
          <cell r="AL12">
            <v>28329.227456890327</v>
          </cell>
          <cell r="AM12">
            <v>33987.640529870325</v>
          </cell>
          <cell r="AN12">
            <v>37551.44053255058</v>
          </cell>
          <cell r="AO12">
            <v>39711.074470853579</v>
          </cell>
          <cell r="AP12">
            <v>46976.454102667616</v>
          </cell>
          <cell r="AQ12">
            <v>49666.177689090851</v>
          </cell>
          <cell r="AR12">
            <v>46460.193274404024</v>
          </cell>
          <cell r="AS12">
            <v>58770.173540185053</v>
          </cell>
          <cell r="AT12">
            <v>68505.947561811045</v>
          </cell>
          <cell r="AU12">
            <v>69670.0810556621</v>
          </cell>
          <cell r="AV12">
            <v>66520.586307264297</v>
          </cell>
          <cell r="AW12">
            <v>62194.702817522273</v>
          </cell>
          <cell r="AX12">
            <v>52521.988225326553</v>
          </cell>
          <cell r="AY12">
            <v>53865.951017453233</v>
          </cell>
          <cell r="AZ12">
            <v>57644.710709406063</v>
          </cell>
        </row>
        <row r="13">
          <cell r="E13">
            <v>2045.3124369781217</v>
          </cell>
          <cell r="F13">
            <v>2365.2907800178536</v>
          </cell>
          <cell r="G13">
            <v>2909.8851656029051</v>
          </cell>
          <cell r="H13">
            <v>3879.9143702597521</v>
          </cell>
          <cell r="I13">
            <v>4614.084011360701</v>
          </cell>
          <cell r="J13">
            <v>5244.8363222173621</v>
          </cell>
          <cell r="K13">
            <v>5622.3683651956107</v>
          </cell>
          <cell r="L13">
            <v>6750.0889316101875</v>
          </cell>
          <cell r="M13">
            <v>8134.821135539285</v>
          </cell>
          <cell r="N13">
            <v>9706.2109748586354</v>
          </cell>
          <cell r="O13">
            <v>10782.916843019326</v>
          </cell>
          <cell r="P13">
            <v>9340.6737622777418</v>
          </cell>
          <cell r="Q13">
            <v>9375.3036168173312</v>
          </cell>
          <cell r="R13">
            <v>9485.3990213468132</v>
          </cell>
          <cell r="S13">
            <v>8936.7610711195157</v>
          </cell>
          <cell r="T13">
            <v>9112.2272907422685</v>
          </cell>
          <cell r="U13">
            <v>12987.611671031251</v>
          </cell>
          <cell r="V13">
            <v>16231.743215916742</v>
          </cell>
          <cell r="W13">
            <v>17365.55405257193</v>
          </cell>
          <cell r="X13">
            <v>17302.901735650172</v>
          </cell>
          <cell r="Y13">
            <v>21491.597109198934</v>
          </cell>
          <cell r="Z13">
            <v>22386.040579716111</v>
          </cell>
          <cell r="AA13">
            <v>24901.247399256255</v>
          </cell>
          <cell r="AB13">
            <v>24074.750325832738</v>
          </cell>
          <cell r="AC13">
            <v>25669.389089930817</v>
          </cell>
          <cell r="AD13">
            <v>30162.246604275453</v>
          </cell>
          <cell r="AE13">
            <v>29558.99845133298</v>
          </cell>
          <cell r="AF13">
            <v>26516.032364996048</v>
          </cell>
          <cell r="AG13">
            <v>27110.887259748415</v>
          </cell>
          <cell r="AH13">
            <v>26952.795222225795</v>
          </cell>
          <cell r="AI13">
            <v>24413.590512953084</v>
          </cell>
          <cell r="AJ13">
            <v>24327.751369887035</v>
          </cell>
          <cell r="AK13">
            <v>26185.051851320048</v>
          </cell>
          <cell r="AL13">
            <v>32045.589866352766</v>
          </cell>
          <cell r="AM13">
            <v>36632.243311116668</v>
          </cell>
          <cell r="AN13">
            <v>38286.09160795527</v>
          </cell>
          <cell r="AO13">
            <v>40556.517498749206</v>
          </cell>
          <cell r="AP13">
            <v>46801.029333898638</v>
          </cell>
          <cell r="AQ13">
            <v>51568.318487853801</v>
          </cell>
          <cell r="AR13">
            <v>47789.508243570701</v>
          </cell>
          <cell r="AS13">
            <v>46611.459831682689</v>
          </cell>
          <cell r="AT13">
            <v>50946.445474773587</v>
          </cell>
          <cell r="AU13">
            <v>48018.51424846681</v>
          </cell>
          <cell r="AV13">
            <v>50129.509003609557</v>
          </cell>
          <cell r="AW13">
            <v>51197.583288738155</v>
          </cell>
          <cell r="AX13">
            <v>44016.026903701808</v>
          </cell>
          <cell r="AY13">
            <v>45320.601848390397</v>
          </cell>
          <cell r="AZ13">
            <v>47892.071255132891</v>
          </cell>
        </row>
        <row r="14">
          <cell r="E14">
            <v>2787.5153439823594</v>
          </cell>
          <cell r="F14">
            <v>3102.609331633711</v>
          </cell>
          <cell r="G14">
            <v>3859.4269007265771</v>
          </cell>
          <cell r="H14">
            <v>4937.8082603820831</v>
          </cell>
          <cell r="I14">
            <v>5779.6160878914789</v>
          </cell>
          <cell r="J14">
            <v>6757.1323729842834</v>
          </cell>
          <cell r="K14">
            <v>7299.2736201140669</v>
          </cell>
          <cell r="L14">
            <v>8483.6678677836207</v>
          </cell>
          <cell r="M14">
            <v>10369.211006734498</v>
          </cell>
          <cell r="N14">
            <v>11872.896683372272</v>
          </cell>
          <cell r="O14">
            <v>12969.912336565172</v>
          </cell>
          <cell r="P14">
            <v>10626.89361123301</v>
          </cell>
          <cell r="Q14">
            <v>9361.7062578666719</v>
          </cell>
          <cell r="R14">
            <v>8855.3781370354063</v>
          </cell>
          <cell r="S14">
            <v>8458.6138543569596</v>
          </cell>
          <cell r="T14">
            <v>8745.7138872905562</v>
          </cell>
          <cell r="U14">
            <v>12187.086482587272</v>
          </cell>
          <cell r="V14">
            <v>15087.06898381248</v>
          </cell>
          <cell r="W14">
            <v>16367.07226213021</v>
          </cell>
          <cell r="X14">
            <v>16532.774572312152</v>
          </cell>
          <cell r="Y14">
            <v>20586.528175961652</v>
          </cell>
          <cell r="Z14">
            <v>21116.705156510146</v>
          </cell>
          <cell r="AA14">
            <v>23417.110028962798</v>
          </cell>
          <cell r="AB14">
            <v>22334.942305681554</v>
          </cell>
          <cell r="AC14">
            <v>24222.327885836821</v>
          </cell>
          <cell r="AD14">
            <v>28469.597169925699</v>
          </cell>
          <cell r="AE14">
            <v>27526.68790760437</v>
          </cell>
          <cell r="AF14">
            <v>24941.829296359698</v>
          </cell>
          <cell r="AG14">
            <v>25495.006055796552</v>
          </cell>
          <cell r="AH14">
            <v>25353.090541737038</v>
          </cell>
          <cell r="AI14">
            <v>23147.173326520155</v>
          </cell>
          <cell r="AJ14">
            <v>23064.207944573027</v>
          </cell>
          <cell r="AK14">
            <v>24988.2174283651</v>
          </cell>
          <cell r="AL14">
            <v>30617.047725738819</v>
          </cell>
          <cell r="AM14">
            <v>35400.368144744949</v>
          </cell>
          <cell r="AN14">
            <v>36693.295063585596</v>
          </cell>
          <cell r="AO14">
            <v>38607.977142570882</v>
          </cell>
          <cell r="AP14">
            <v>44121.076834705338</v>
          </cell>
          <cell r="AQ14">
            <v>48148.406190345027</v>
          </cell>
          <cell r="AR14">
            <v>44658.107656425382</v>
          </cell>
          <cell r="AS14">
            <v>44246.416337385876</v>
          </cell>
          <cell r="AT14">
            <v>47852.17726952571</v>
          </cell>
          <cell r="AU14">
            <v>44931.452467846495</v>
          </cell>
          <cell r="AV14">
            <v>46720.121899164886</v>
          </cell>
          <cell r="AW14">
            <v>47329.742393392873</v>
          </cell>
          <cell r="AX14">
            <v>40397.096370108273</v>
          </cell>
          <cell r="AY14">
            <v>41354.437001134611</v>
          </cell>
          <cell r="AZ14">
            <v>43300.915381351158</v>
          </cell>
        </row>
        <row r="15">
          <cell r="E15">
            <v>4097.1386365356848</v>
          </cell>
          <cell r="F15">
            <v>4552.9059171351228</v>
          </cell>
          <cell r="G15">
            <v>5100.1507117102346</v>
          </cell>
          <cell r="H15">
            <v>5821.3829081709282</v>
          </cell>
          <cell r="I15">
            <v>7005.8091293574489</v>
          </cell>
          <cell r="J15">
            <v>7514.1836694505419</v>
          </cell>
          <cell r="K15">
            <v>8824.8429817430624</v>
          </cell>
          <cell r="L15">
            <v>8929.4785167698137</v>
          </cell>
          <cell r="M15">
            <v>9119.649045922306</v>
          </cell>
          <cell r="N15">
            <v>10009.041913089553</v>
          </cell>
          <cell r="O15">
            <v>11166.617259139937</v>
          </cell>
          <cell r="P15">
            <v>12343.119356350697</v>
          </cell>
          <cell r="Q15">
            <v>12499.526775104521</v>
          </cell>
          <cell r="R15">
            <v>13479.944530621216</v>
          </cell>
          <cell r="S15">
            <v>13882.549408579931</v>
          </cell>
          <cell r="T15">
            <v>14106.853735657194</v>
          </cell>
          <cell r="U15">
            <v>14384.876725040522</v>
          </cell>
          <cell r="V15">
            <v>16221.445081601396</v>
          </cell>
          <cell r="W15">
            <v>18814.122481495921</v>
          </cell>
          <cell r="X15">
            <v>20676.153398175215</v>
          </cell>
          <cell r="Y15">
            <v>21449.711620543767</v>
          </cell>
          <cell r="Z15">
            <v>21751.063288248726</v>
          </cell>
          <cell r="AA15">
            <v>20856.563564076681</v>
          </cell>
          <cell r="AB15">
            <v>20096.614211601118</v>
          </cell>
          <cell r="AC15">
            <v>19913.052309865834</v>
          </cell>
          <cell r="AD15">
            <v>20593.198680180532</v>
          </cell>
          <cell r="AE15">
            <v>21234.123188702284</v>
          </cell>
          <cell r="AF15">
            <v>21837.164312120964</v>
          </cell>
          <cell r="AG15">
            <v>20942.315386365506</v>
          </cell>
          <cell r="AH15">
            <v>22197.497041756644</v>
          </cell>
          <cell r="AI15">
            <v>24141.251438226442</v>
          </cell>
          <cell r="AJ15">
            <v>23723.00911414803</v>
          </cell>
          <cell r="AK15">
            <v>24201.101833383524</v>
          </cell>
          <cell r="AL15">
            <v>28203.031218795259</v>
          </cell>
          <cell r="AM15">
            <v>31925.466180665087</v>
          </cell>
          <cell r="AN15">
            <v>36236.395091919658</v>
          </cell>
          <cell r="AO15">
            <v>40434.382899637822</v>
          </cell>
          <cell r="AP15">
            <v>44215.717948783175</v>
          </cell>
          <cell r="AQ15">
            <v>46400.867330999361</v>
          </cell>
          <cell r="AR15">
            <v>40544.741388474496</v>
          </cell>
          <cell r="AS15">
            <v>47119.191184157367</v>
          </cell>
          <cell r="AT15">
            <v>51826.036845011542</v>
          </cell>
          <cell r="AU15">
            <v>52147.945210503487</v>
          </cell>
          <cell r="AV15">
            <v>52190.444292713961</v>
          </cell>
          <cell r="AW15">
            <v>50555.083583281412</v>
          </cell>
          <cell r="AX15">
            <v>43115.788311827178</v>
          </cell>
          <cell r="AY15">
            <v>42170.358989375498</v>
          </cell>
          <cell r="AZ15">
            <v>45069.840224411746</v>
          </cell>
        </row>
        <row r="16">
          <cell r="E16">
            <v>993.2357820218017</v>
          </cell>
          <cell r="F16">
            <v>1149.220660729731</v>
          </cell>
          <cell r="G16">
            <v>1382.2165252658431</v>
          </cell>
          <cell r="H16">
            <v>1663.4426407352416</v>
          </cell>
          <cell r="I16">
            <v>1457.2038023535858</v>
          </cell>
          <cell r="J16">
            <v>1201.5672467314603</v>
          </cell>
          <cell r="K16">
            <v>1372.6436397205316</v>
          </cell>
          <cell r="L16">
            <v>1728.4440970177063</v>
          </cell>
          <cell r="M16">
            <v>2235.3788735553308</v>
          </cell>
          <cell r="N16">
            <v>2899.3954759555359</v>
          </cell>
          <cell r="O16">
            <v>3486.7765499572515</v>
          </cell>
          <cell r="P16">
            <v>3346.7080036507523</v>
          </cell>
          <cell r="Q16">
            <v>3458.4728466883139</v>
          </cell>
          <cell r="R16">
            <v>3450.5786404102137</v>
          </cell>
          <cell r="S16">
            <v>3614.8309142532003</v>
          </cell>
          <cell r="T16">
            <v>3811.903452813538</v>
          </cell>
          <cell r="U16">
            <v>4811.8642504081608</v>
          </cell>
          <cell r="V16">
            <v>5677.8586704083609</v>
          </cell>
          <cell r="W16">
            <v>6432.9888034825162</v>
          </cell>
          <cell r="X16">
            <v>6739.1391662805372</v>
          </cell>
          <cell r="Y16">
            <v>8076.2741483980208</v>
          </cell>
          <cell r="Z16">
            <v>8160.9331068061583</v>
          </cell>
          <cell r="AA16">
            <v>9566.4955814885925</v>
          </cell>
          <cell r="AB16">
            <v>8923.1330734252533</v>
          </cell>
          <cell r="AC16">
            <v>9827.1111060673029</v>
          </cell>
          <cell r="AD16">
            <v>11487.912255782199</v>
          </cell>
          <cell r="AE16">
            <v>11338.124510117092</v>
          </cell>
          <cell r="AF16">
            <v>10752.998378576109</v>
          </cell>
          <cell r="AG16">
            <v>11384.075605477692</v>
          </cell>
          <cell r="AH16">
            <v>11453.774151503698</v>
          </cell>
          <cell r="AI16">
            <v>10770.815605235315</v>
          </cell>
          <cell r="AJ16">
            <v>10996.228051759796</v>
          </cell>
          <cell r="AK16">
            <v>11853.731648798423</v>
          </cell>
          <cell r="AL16">
            <v>14652.897057358216</v>
          </cell>
          <cell r="AM16">
            <v>17228.967823952651</v>
          </cell>
          <cell r="AN16">
            <v>18456.709555124369</v>
          </cell>
          <cell r="AO16">
            <v>19839.025317811705</v>
          </cell>
          <cell r="AP16">
            <v>22713.741942367858</v>
          </cell>
          <cell r="AQ16">
            <v>25741.251507309331</v>
          </cell>
          <cell r="AR16">
            <v>23624.10279069937</v>
          </cell>
          <cell r="AS16">
            <v>22973.727285555458</v>
          </cell>
          <cell r="AT16">
            <v>24384.668484711092</v>
          </cell>
          <cell r="AU16">
            <v>22061.859258789387</v>
          </cell>
          <cell r="AV16">
            <v>21056.00314713925</v>
          </cell>
          <cell r="AW16">
            <v>20275.621537278628</v>
          </cell>
          <cell r="AX16">
            <v>16952.414590197117</v>
          </cell>
          <cell r="AY16">
            <v>17467.686301085574</v>
          </cell>
          <cell r="AZ16">
            <v>18683.786952005936</v>
          </cell>
        </row>
        <row r="17">
          <cell r="E17">
            <v>3462.7118512358247</v>
          </cell>
          <cell r="F17">
            <v>3846.5336283763713</v>
          </cell>
          <cell r="G17">
            <v>4655.290174662251</v>
          </cell>
          <cell r="H17">
            <v>6124.9989837058083</v>
          </cell>
          <cell r="I17">
            <v>6775.9421678698</v>
          </cell>
          <cell r="J17">
            <v>7994.6512380970817</v>
          </cell>
          <cell r="K17">
            <v>8772.5489461585075</v>
          </cell>
          <cell r="L17">
            <v>9767.2967048554601</v>
          </cell>
          <cell r="M17">
            <v>11813.354886304258</v>
          </cell>
          <cell r="N17">
            <v>13746.994600003478</v>
          </cell>
          <cell r="O17">
            <v>13881.309599927399</v>
          </cell>
          <cell r="P17">
            <v>12073.06278893442</v>
          </cell>
          <cell r="Q17">
            <v>11791.61211660576</v>
          </cell>
          <cell r="R17">
            <v>11845.614030725405</v>
          </cell>
          <cell r="S17">
            <v>11552.89010288781</v>
          </cell>
          <cell r="T17">
            <v>12251.782656592579</v>
          </cell>
          <cell r="U17">
            <v>17220.865479346903</v>
          </cell>
          <cell r="V17">
            <v>21300.390813317317</v>
          </cell>
          <cell r="W17">
            <v>22645.453603077127</v>
          </cell>
          <cell r="X17">
            <v>21830.822431403951</v>
          </cell>
          <cell r="Y17">
            <v>26842.426205210348</v>
          </cell>
          <cell r="Z17">
            <v>26964.593742507142</v>
          </cell>
          <cell r="AA17">
            <v>29584.368625100306</v>
          </cell>
          <cell r="AB17">
            <v>27549.047901051526</v>
          </cell>
          <cell r="AC17">
            <v>29934.753750191408</v>
          </cell>
          <cell r="AD17">
            <v>35354.570027274618</v>
          </cell>
          <cell r="AE17">
            <v>35776.405080249519</v>
          </cell>
          <cell r="AF17">
            <v>32968.838195194847</v>
          </cell>
          <cell r="AG17">
            <v>33393.838440609623</v>
          </cell>
          <cell r="AH17">
            <v>33447.493260705924</v>
          </cell>
          <cell r="AI17">
            <v>30704.745043898423</v>
          </cell>
          <cell r="AJ17">
            <v>30794.716447849987</v>
          </cell>
          <cell r="AK17">
            <v>33315.955681217303</v>
          </cell>
          <cell r="AL17">
            <v>40468.033223884013</v>
          </cell>
          <cell r="AM17">
            <v>46457.727817314146</v>
          </cell>
          <cell r="AN17">
            <v>48693.196343140953</v>
          </cell>
          <cell r="AO17">
            <v>51980.942280398427</v>
          </cell>
          <cell r="AP17">
            <v>58318.557165988692</v>
          </cell>
          <cell r="AQ17">
            <v>64207.55957615735</v>
          </cell>
          <cell r="AR17">
            <v>58084.335197641449</v>
          </cell>
          <cell r="AS17">
            <v>57967.424467725825</v>
          </cell>
          <cell r="AT17">
            <v>61617.02048389781</v>
          </cell>
          <cell r="AU17">
            <v>58281.913357786783</v>
          </cell>
          <cell r="AV17">
            <v>61016.524658391718</v>
          </cell>
          <cell r="AW17">
            <v>62324.392637317585</v>
          </cell>
          <cell r="AX17">
            <v>53263.534079432982</v>
          </cell>
          <cell r="AY17">
            <v>54679.994097364739</v>
          </cell>
          <cell r="AZ17">
            <v>57657.682842558708</v>
          </cell>
        </row>
        <row r="18">
          <cell r="E18">
            <v>2443.9109444046721</v>
          </cell>
          <cell r="F18">
            <v>2685.1550767057361</v>
          </cell>
          <cell r="G18">
            <v>3146.204339895407</v>
          </cell>
          <cell r="H18">
            <v>4134.1850563880826</v>
          </cell>
          <cell r="I18">
            <v>5256.3027135347293</v>
          </cell>
          <cell r="J18">
            <v>6218.1357762406942</v>
          </cell>
          <cell r="K18">
            <v>6699.4050230259691</v>
          </cell>
          <cell r="L18">
            <v>7033.5887486907332</v>
          </cell>
          <cell r="M18">
            <v>7606.9301014322064</v>
          </cell>
          <cell r="N18">
            <v>9299.6106934208274</v>
          </cell>
          <cell r="O18">
            <v>11212.651870425123</v>
          </cell>
          <cell r="P18">
            <v>10912.584211901793</v>
          </cell>
          <cell r="Q18">
            <v>10926.305971748257</v>
          </cell>
          <cell r="R18">
            <v>10491.791893056979</v>
          </cell>
          <cell r="S18">
            <v>10827.269229557523</v>
          </cell>
          <cell r="T18">
            <v>11384.876468576036</v>
          </cell>
          <cell r="U18">
            <v>14924.709946837349</v>
          </cell>
          <cell r="V18">
            <v>18527.606737906746</v>
          </cell>
          <cell r="W18">
            <v>21970.991437965105</v>
          </cell>
          <cell r="X18">
            <v>23909.43347702434</v>
          </cell>
          <cell r="Y18">
            <v>28421.475266711528</v>
          </cell>
          <cell r="Z18">
            <v>25502.453116828132</v>
          </cell>
          <cell r="AA18">
            <v>22398.747255905688</v>
          </cell>
          <cell r="AB18">
            <v>17597.769760729399</v>
          </cell>
          <cell r="AC18">
            <v>20207.580903404429</v>
          </cell>
          <cell r="AD18">
            <v>26176.962124475362</v>
          </cell>
          <cell r="AE18">
            <v>25696.036522633243</v>
          </cell>
          <cell r="AF18">
            <v>24651.836484174491</v>
          </cell>
          <cell r="AG18">
            <v>25947.660857101586</v>
          </cell>
          <cell r="AH18">
            <v>26082.289429949346</v>
          </cell>
          <cell r="AI18">
            <v>24287.031072364945</v>
          </cell>
          <cell r="AJ18">
            <v>24805.407348053901</v>
          </cell>
          <cell r="AK18">
            <v>26854.015624817177</v>
          </cell>
          <cell r="AL18">
            <v>32714.105691049135</v>
          </cell>
          <cell r="AM18">
            <v>37579.749665454387</v>
          </cell>
          <cell r="AN18">
            <v>38791.183068333143</v>
          </cell>
          <cell r="AO18">
            <v>41117.408201122867</v>
          </cell>
          <cell r="AP18">
            <v>48131.243141297855</v>
          </cell>
          <cell r="AQ18">
            <v>53384.442044233147</v>
          </cell>
          <cell r="AR18">
            <v>46980.466233398205</v>
          </cell>
          <cell r="AS18">
            <v>46218.799049234578</v>
          </cell>
          <cell r="AT18">
            <v>50842.029361457513</v>
          </cell>
          <cell r="AU18">
            <v>47478.468422199971</v>
          </cell>
          <cell r="AV18">
            <v>49663.246401805831</v>
          </cell>
          <cell r="AW18">
            <v>50002.591709423767</v>
          </cell>
          <cell r="AX18">
            <v>42320.583527880328</v>
          </cell>
          <cell r="AY18">
            <v>43459.183734700411</v>
          </cell>
          <cell r="AZ18">
            <v>45683.829827733891</v>
          </cell>
        </row>
        <row r="19">
          <cell r="E19">
            <v>2910.8744526474284</v>
          </cell>
          <cell r="F19">
            <v>3237.5416277641584</v>
          </cell>
          <cell r="G19">
            <v>3923.4759074226677</v>
          </cell>
          <cell r="H19">
            <v>5056.2786800170807</v>
          </cell>
          <cell r="I19">
            <v>5432.4908540407478</v>
          </cell>
          <cell r="J19">
            <v>6809.9423195999116</v>
          </cell>
          <cell r="K19">
            <v>6979.913160873939</v>
          </cell>
          <cell r="L19">
            <v>7661.2298344284909</v>
          </cell>
          <cell r="M19">
            <v>9441.9646199342933</v>
          </cell>
          <cell r="N19">
            <v>11397.292463657301</v>
          </cell>
          <cell r="O19">
            <v>12964.479766682271</v>
          </cell>
          <cell r="P19">
            <v>11344.7917203058</v>
          </cell>
          <cell r="Q19">
            <v>10724.560864981115</v>
          </cell>
          <cell r="R19">
            <v>10215.653913492966</v>
          </cell>
          <cell r="S19">
            <v>9636.5436900928198</v>
          </cell>
          <cell r="T19">
            <v>9982.4035317129947</v>
          </cell>
          <cell r="U19">
            <v>13840.893560907543</v>
          </cell>
          <cell r="V19">
            <v>16671.275363988916</v>
          </cell>
          <cell r="W19">
            <v>18101.726592373394</v>
          </cell>
          <cell r="X19">
            <v>18177.581345382445</v>
          </cell>
          <cell r="Y19">
            <v>22296.021076656951</v>
          </cell>
          <cell r="Z19">
            <v>22188.171628966807</v>
          </cell>
          <cell r="AA19">
            <v>24349.106638234331</v>
          </cell>
          <cell r="AB19">
            <v>22859.193257507774</v>
          </cell>
          <cell r="AC19">
            <v>23969.377137628715</v>
          </cell>
          <cell r="AD19">
            <v>27471.682189998548</v>
          </cell>
          <cell r="AE19">
            <v>27521.514302777137</v>
          </cell>
          <cell r="AF19">
            <v>24675.22469259605</v>
          </cell>
          <cell r="AG19">
            <v>25408.690314139494</v>
          </cell>
          <cell r="AH19">
            <v>25119.652152497936</v>
          </cell>
          <cell r="AI19">
            <v>22815.652879972891</v>
          </cell>
          <cell r="AJ19">
            <v>23034.070461421838</v>
          </cell>
          <cell r="AK19">
            <v>24740.525026485644</v>
          </cell>
          <cell r="AL19">
            <v>30388.060821571613</v>
          </cell>
          <cell r="AM19">
            <v>34818.8225561851</v>
          </cell>
          <cell r="AN19">
            <v>35927.811228747472</v>
          </cell>
          <cell r="AO19">
            <v>37666.688898672124</v>
          </cell>
          <cell r="AP19">
            <v>42930.263563413289</v>
          </cell>
          <cell r="AQ19">
            <v>46847.749690804849</v>
          </cell>
          <cell r="AR19">
            <v>42911.252510866594</v>
          </cell>
          <cell r="AS19">
            <v>41886.983207444966</v>
          </cell>
          <cell r="AT19">
            <v>45150.592697829372</v>
          </cell>
          <cell r="AU19">
            <v>42111.964021549255</v>
          </cell>
          <cell r="AV19">
            <v>43961.259273244352</v>
          </cell>
          <cell r="AW19">
            <v>44398.99648920777</v>
          </cell>
          <cell r="AX19">
            <v>37854.576370056413</v>
          </cell>
          <cell r="AY19">
            <v>38176.837460460694</v>
          </cell>
          <cell r="AZ19">
            <v>39737.792180588243</v>
          </cell>
        </row>
        <row r="20">
          <cell r="E20">
            <v>2736.3094673863984</v>
          </cell>
          <cell r="F20">
            <v>3160.4355907795903</v>
          </cell>
          <cell r="G20">
            <v>3789.5252553734454</v>
          </cell>
          <cell r="H20">
            <v>5029.3801948936771</v>
          </cell>
          <cell r="I20">
            <v>5626.1487987614764</v>
          </cell>
          <cell r="J20">
            <v>6200.3515409128868</v>
          </cell>
          <cell r="K20">
            <v>6574.0632442144179</v>
          </cell>
          <cell r="L20">
            <v>7598.3014365618064</v>
          </cell>
          <cell r="M20">
            <v>9390.589906169429</v>
          </cell>
          <cell r="N20">
            <v>11191.150354405123</v>
          </cell>
          <cell r="O20">
            <v>12094.408209750703</v>
          </cell>
          <cell r="P20">
            <v>10201.455841187217</v>
          </cell>
          <cell r="Q20">
            <v>9930.0982664049843</v>
          </cell>
          <cell r="R20">
            <v>9872.7241314059575</v>
          </cell>
          <cell r="S20">
            <v>9291.6307784934943</v>
          </cell>
          <cell r="T20">
            <v>9393.0020744895428</v>
          </cell>
          <cell r="U20">
            <v>13361.168415677872</v>
          </cell>
          <cell r="V20">
            <v>16527.001122606162</v>
          </cell>
          <cell r="W20">
            <v>17867.622764862492</v>
          </cell>
          <cell r="X20">
            <v>17658.505540603841</v>
          </cell>
          <cell r="Y20">
            <v>22245.161702608275</v>
          </cell>
          <cell r="Z20">
            <v>23377.272886777482</v>
          </cell>
          <cell r="AA20">
            <v>26484.718317530784</v>
          </cell>
          <cell r="AB20">
            <v>25707.87056268493</v>
          </cell>
          <cell r="AC20">
            <v>27307.198820131311</v>
          </cell>
          <cell r="AD20">
            <v>31880.608279051776</v>
          </cell>
          <cell r="AE20">
            <v>30702.597253055817</v>
          </cell>
          <cell r="AF20">
            <v>27239.309258233854</v>
          </cell>
          <cell r="AG20">
            <v>27484.921575702701</v>
          </cell>
          <cell r="AH20">
            <v>26999.955425528133</v>
          </cell>
          <cell r="AI20">
            <v>23929.974268528182</v>
          </cell>
          <cell r="AJ20">
            <v>23915.860910651227</v>
          </cell>
          <cell r="AK20">
            <v>25486.488044288457</v>
          </cell>
          <cell r="AL20">
            <v>30727.233054530825</v>
          </cell>
          <cell r="AM20">
            <v>34509.91080583138</v>
          </cell>
          <cell r="AN20">
            <v>35018.450560412755</v>
          </cell>
          <cell r="AO20">
            <v>36791.599820417745</v>
          </cell>
          <cell r="AP20">
            <v>42289.298732294672</v>
          </cell>
          <cell r="AQ20">
            <v>46221.574840790709</v>
          </cell>
          <cell r="AR20">
            <v>42240.152906389303</v>
          </cell>
          <cell r="AS20">
            <v>42277.138659520991</v>
          </cell>
          <cell r="AT20">
            <v>46457.61661751385</v>
          </cell>
          <cell r="AU20">
            <v>43668.001608166676</v>
          </cell>
          <cell r="AV20">
            <v>46145.249790758979</v>
          </cell>
          <cell r="AW20">
            <v>47858.830292882296</v>
          </cell>
          <cell r="AX20">
            <v>41366.92373231674</v>
          </cell>
          <cell r="AY20">
            <v>42712.392129243497</v>
          </cell>
          <cell r="AZ20">
            <v>44946.74797001484</v>
          </cell>
        </row>
        <row r="21">
          <cell r="E21">
            <v>2538.3368333773592</v>
          </cell>
          <cell r="F21">
            <v>3188.6049355829405</v>
          </cell>
          <cell r="G21">
            <v>3940.4270500978905</v>
          </cell>
          <cell r="H21">
            <v>5325.6714313907923</v>
          </cell>
          <cell r="I21">
            <v>6924.7434903021394</v>
          </cell>
          <cell r="J21">
            <v>6356.1150639702846</v>
          </cell>
          <cell r="K21">
            <v>7466.2182068264246</v>
          </cell>
          <cell r="L21">
            <v>9789.1322604446923</v>
          </cell>
          <cell r="M21">
            <v>11039.959915235333</v>
          </cell>
          <cell r="N21">
            <v>12433.107123744488</v>
          </cell>
          <cell r="O21">
            <v>14594.177331312265</v>
          </cell>
          <cell r="P21">
            <v>14918.920256303541</v>
          </cell>
          <cell r="Q21">
            <v>13542.791519661849</v>
          </cell>
          <cell r="R21">
            <v>11545.586283307699</v>
          </cell>
          <cell r="S21">
            <v>11817.034307895883</v>
          </cell>
          <cell r="T21">
            <v>12169.149187439461</v>
          </cell>
          <cell r="U21">
            <v>16086.875386258806</v>
          </cell>
          <cell r="V21">
            <v>22013.388972540637</v>
          </cell>
          <cell r="W21">
            <v>24088.194986306637</v>
          </cell>
          <cell r="X21">
            <v>22140.435809566068</v>
          </cell>
          <cell r="Y21">
            <v>24987.581729355443</v>
          </cell>
          <cell r="Z21">
            <v>26423.629359065926</v>
          </cell>
          <cell r="AA21">
            <v>26815.489042902005</v>
          </cell>
          <cell r="AB21">
            <v>23325.02526879264</v>
          </cell>
          <cell r="AC21">
            <v>23741.619258650211</v>
          </cell>
          <cell r="AD21">
            <v>26223.255962545165</v>
          </cell>
          <cell r="AE21">
            <v>27136.647192300574</v>
          </cell>
          <cell r="AF21">
            <v>27798.825355965517</v>
          </cell>
          <cell r="AG21">
            <v>30854.392381291411</v>
          </cell>
          <cell r="AH21">
            <v>32287.076402634324</v>
          </cell>
          <cell r="AI21">
            <v>32105.998135040205</v>
          </cell>
          <cell r="AJ21">
            <v>29003.725704913628</v>
          </cell>
          <cell r="AK21">
            <v>32575.221134199466</v>
          </cell>
          <cell r="AL21">
            <v>39638.750614685778</v>
          </cell>
          <cell r="AM21">
            <v>47525.139661426845</v>
          </cell>
          <cell r="AN21">
            <v>56995.714227114469</v>
          </cell>
          <cell r="AO21">
            <v>57440.137594752574</v>
          </cell>
          <cell r="AP21">
            <v>70494.636084534737</v>
          </cell>
          <cell r="AQ21">
            <v>57594.628346907528</v>
          </cell>
          <cell r="AR21">
            <v>41648.964316673308</v>
          </cell>
          <cell r="AS21">
            <v>42717.744593042131</v>
          </cell>
          <cell r="AT21">
            <v>46869.835237989224</v>
          </cell>
          <cell r="AU21">
            <v>45231.6505102511</v>
          </cell>
          <cell r="AV21">
            <v>49027.815664665824</v>
          </cell>
          <cell r="AW21">
            <v>54064.858359795289</v>
          </cell>
          <cell r="AX21">
            <v>52519.405125922429</v>
          </cell>
          <cell r="AY21">
            <v>62232.149905522361</v>
          </cell>
          <cell r="AZ21">
            <v>72954.137381077278</v>
          </cell>
        </row>
        <row r="22">
          <cell r="E22">
            <v>1492.0720146250947</v>
          </cell>
          <cell r="F22">
            <v>1709.1085452140312</v>
          </cell>
          <cell r="G22">
            <v>2087.4306643193381</v>
          </cell>
          <cell r="H22">
            <v>2432.5578257360858</v>
          </cell>
          <cell r="I22">
            <v>2524.852363409902</v>
          </cell>
          <cell r="J22">
            <v>2982.1677706849541</v>
          </cell>
          <cell r="K22">
            <v>2923.4014876479264</v>
          </cell>
          <cell r="L22">
            <v>3421.8011144972761</v>
          </cell>
          <cell r="M22">
            <v>4386.917186411486</v>
          </cell>
          <cell r="N22">
            <v>5407.9935006693049</v>
          </cell>
          <cell r="O22">
            <v>6338.7991221422826</v>
          </cell>
          <cell r="P22">
            <v>5959.1085307098874</v>
          </cell>
          <cell r="Q22">
            <v>6133.53881084967</v>
          </cell>
          <cell r="R22">
            <v>5886.6425209299796</v>
          </cell>
          <cell r="S22">
            <v>5667.980575810594</v>
          </cell>
          <cell r="T22">
            <v>5973.6397950158753</v>
          </cell>
          <cell r="U22">
            <v>8050.0796685619371</v>
          </cell>
          <cell r="V22">
            <v>9507.9266753645261</v>
          </cell>
          <cell r="W22">
            <v>10595.419249101737</v>
          </cell>
          <cell r="X22">
            <v>11013.222449877203</v>
          </cell>
          <cell r="Y22">
            <v>13831.081634076783</v>
          </cell>
          <cell r="Z22">
            <v>13938.155121316977</v>
          </cell>
          <cell r="AA22">
            <v>15601.971837438283</v>
          </cell>
          <cell r="AB22">
            <v>14554.449227535004</v>
          </cell>
          <cell r="AC22">
            <v>15762.44238900474</v>
          </cell>
          <cell r="AD22">
            <v>18957.613752808742</v>
          </cell>
          <cell r="AE22">
            <v>20620.00255064814</v>
          </cell>
          <cell r="AF22">
            <v>22310.98061987941</v>
          </cell>
          <cell r="AG22">
            <v>24018.223870771642</v>
          </cell>
          <cell r="AH22">
            <v>26000.270656867153</v>
          </cell>
          <cell r="AI22">
            <v>25944.06152085754</v>
          </cell>
          <cell r="AJ22">
            <v>27882.279481225891</v>
          </cell>
          <cell r="AK22">
            <v>32190.827223782584</v>
          </cell>
          <cell r="AL22">
            <v>40498.356976718627</v>
          </cell>
          <cell r="AM22">
            <v>46987.598422669915</v>
          </cell>
          <cell r="AN22">
            <v>50320.711458904239</v>
          </cell>
          <cell r="AO22">
            <v>53911.237007275697</v>
          </cell>
          <cell r="AP22">
            <v>61390.522622066528</v>
          </cell>
          <cell r="AQ22">
            <v>61252.822919870836</v>
          </cell>
          <cell r="AR22">
            <v>51663.023985653439</v>
          </cell>
          <cell r="AS22">
            <v>47979.998824273905</v>
          </cell>
          <cell r="AT22">
            <v>51044.711521241785</v>
          </cell>
          <cell r="AU22">
            <v>48096.274633575857</v>
          </cell>
          <cell r="AV22">
            <v>51046.921091071337</v>
          </cell>
          <cell r="AW22">
            <v>55266.927523719438</v>
          </cell>
          <cell r="AX22">
            <v>61913.484097276931</v>
          </cell>
          <cell r="AY22">
            <v>63736.154270195708</v>
          </cell>
          <cell r="AZ22">
            <v>69310.285185648958</v>
          </cell>
        </row>
        <row r="23">
          <cell r="E23">
            <v>2110.3867849841135</v>
          </cell>
          <cell r="F23">
            <v>2166.6054051734823</v>
          </cell>
          <cell r="G23">
            <v>2755.1582499484166</v>
          </cell>
          <cell r="H23">
            <v>3427.0471295647831</v>
          </cell>
          <cell r="I23">
            <v>4511.6037854488395</v>
          </cell>
          <cell r="J23">
            <v>4338.9580293458321</v>
          </cell>
          <cell r="K23">
            <v>4450.5181966493801</v>
          </cell>
          <cell r="L23">
            <v>4711.8147981701586</v>
          </cell>
          <cell r="M23">
            <v>4547.7243643600978</v>
          </cell>
          <cell r="N23">
            <v>5739.7288936126397</v>
          </cell>
          <cell r="O23">
            <v>6392.7893356071445</v>
          </cell>
          <cell r="P23">
            <v>6655.6798931231442</v>
          </cell>
          <cell r="Q23">
            <v>7144.8015242565471</v>
          </cell>
          <cell r="R23">
            <v>7832.8262243985819</v>
          </cell>
          <cell r="S23">
            <v>7227.0569931750215</v>
          </cell>
          <cell r="T23">
            <v>6705.9656820206392</v>
          </cell>
          <cell r="U23">
            <v>8180.1743387356692</v>
          </cell>
          <cell r="V23">
            <v>9670.6018567997235</v>
          </cell>
          <cell r="W23">
            <v>11619.720511765374</v>
          </cell>
          <cell r="X23">
            <v>11329.150615312858</v>
          </cell>
          <cell r="Y23">
            <v>13051.824762275093</v>
          </cell>
          <cell r="Z23">
            <v>14482.624920367385</v>
          </cell>
          <cell r="AA23">
            <v>15649.924395147455</v>
          </cell>
          <cell r="AB23">
            <v>15164.281855673824</v>
          </cell>
          <cell r="AC23">
            <v>16636.448497620629</v>
          </cell>
          <cell r="AD23">
            <v>18748.644238663492</v>
          </cell>
          <cell r="AE23">
            <v>20043.450556542848</v>
          </cell>
          <cell r="AF23">
            <v>20420.687470434397</v>
          </cell>
          <cell r="AG23">
            <v>20120.689445831114</v>
          </cell>
          <cell r="AH23">
            <v>19858.20899322275</v>
          </cell>
          <cell r="AI23">
            <v>21949.731456675636</v>
          </cell>
          <cell r="AJ23">
            <v>21371.948583333469</v>
          </cell>
          <cell r="AK23">
            <v>19393.247784000891</v>
          </cell>
          <cell r="AL23">
            <v>20001.515075393901</v>
          </cell>
          <cell r="AM23">
            <v>20869.316801948793</v>
          </cell>
          <cell r="AN23">
            <v>21505.474051828194</v>
          </cell>
          <cell r="AO23">
            <v>22797.21536455338</v>
          </cell>
          <cell r="AP23">
            <v>25857.019350150989</v>
          </cell>
          <cell r="AQ23">
            <v>30433.637059152563</v>
          </cell>
          <cell r="AR23">
            <v>28481.42412624288</v>
          </cell>
          <cell r="AS23">
            <v>31511.081599023102</v>
          </cell>
          <cell r="AT23">
            <v>34615.910053596526</v>
          </cell>
          <cell r="AU23">
            <v>33380.503318242838</v>
          </cell>
          <cell r="AV23">
            <v>37462.737042911453</v>
          </cell>
          <cell r="AW23">
            <v>39036.287251164133</v>
          </cell>
          <cell r="AX23">
            <v>37199.857598945113</v>
          </cell>
          <cell r="AY23">
            <v>38908.313230704829</v>
          </cell>
          <cell r="AZ23">
            <v>42363.509393118125</v>
          </cell>
        </row>
        <row r="24">
          <cell r="E24">
            <v>2109.0476951617552</v>
          </cell>
          <cell r="F24">
            <v>2298.4275345094065</v>
          </cell>
          <cell r="G24">
            <v>2669.3167889201482</v>
          </cell>
          <cell r="H24">
            <v>3200.2851069996123</v>
          </cell>
          <cell r="I24">
            <v>3616.7209259619785</v>
          </cell>
          <cell r="J24">
            <v>4102.6051795914518</v>
          </cell>
          <cell r="K24">
            <v>4028.4662938225197</v>
          </cell>
          <cell r="L24">
            <v>4602.0178541102323</v>
          </cell>
          <cell r="M24">
            <v>5601.4389918380257</v>
          </cell>
          <cell r="N24">
            <v>6969.2853637895842</v>
          </cell>
          <cell r="O24">
            <v>8436.8322318186274</v>
          </cell>
          <cell r="P24">
            <v>7582.6530391485485</v>
          </cell>
          <cell r="Q24">
            <v>7510.9654806605331</v>
          </cell>
          <cell r="R24">
            <v>7776.3950729605313</v>
          </cell>
          <cell r="S24">
            <v>7657.4928497282363</v>
          </cell>
          <cell r="T24">
            <v>7910.5664681225571</v>
          </cell>
          <cell r="U24">
            <v>11180.863968842192</v>
          </cell>
          <cell r="V24">
            <v>14065.645611732269</v>
          </cell>
          <cell r="W24">
            <v>15568.324032967161</v>
          </cell>
          <cell r="X24">
            <v>16213.426117553292</v>
          </cell>
          <cell r="Y24">
            <v>20655.688576634006</v>
          </cell>
          <cell r="Z24">
            <v>21696.332668888979</v>
          </cell>
          <cell r="AA24">
            <v>23081.407003402481</v>
          </cell>
          <cell r="AB24">
            <v>18522.839219938236</v>
          </cell>
          <cell r="AC24">
            <v>19213.514688417577</v>
          </cell>
          <cell r="AD24">
            <v>20434.827989049449</v>
          </cell>
          <cell r="AE24">
            <v>22890.223798591753</v>
          </cell>
          <cell r="AF24">
            <v>21684.045963182587</v>
          </cell>
          <cell r="AG24">
            <v>22220.841147370858</v>
          </cell>
          <cell r="AH24">
            <v>21860.795073968886</v>
          </cell>
          <cell r="AI24">
            <v>19897.468692903865</v>
          </cell>
          <cell r="AJ24">
            <v>20171.679073872307</v>
          </cell>
          <cell r="AK24">
            <v>21971.647785697336</v>
          </cell>
          <cell r="AL24">
            <v>27000.516414972553</v>
          </cell>
          <cell r="AM24">
            <v>30772.016557259612</v>
          </cell>
          <cell r="AN24">
            <v>31458.046087363859</v>
          </cell>
          <cell r="AO24">
            <v>32836.904781168436</v>
          </cell>
          <cell r="AP24">
            <v>37091.042594139428</v>
          </cell>
          <cell r="AQ24">
            <v>40166.457868309946</v>
          </cell>
          <cell r="AR24">
            <v>36719.181691406899</v>
          </cell>
          <cell r="AS24">
            <v>35660.586754271833</v>
          </cell>
          <cell r="AT24">
            <v>38152.656408822986</v>
          </cell>
          <cell r="AU24">
            <v>34653.728560391035</v>
          </cell>
          <cell r="AV24">
            <v>35697.52631226118</v>
          </cell>
          <cell r="AW24">
            <v>36082.50225540813</v>
          </cell>
          <cell r="AX24">
            <v>30754.125439052954</v>
          </cell>
          <cell r="AY24">
            <v>31483.955675169895</v>
          </cell>
          <cell r="AZ24">
            <v>32733.573280549266</v>
          </cell>
        </row>
        <row r="25">
          <cell r="E25">
            <v>2030.0089068785164</v>
          </cell>
          <cell r="F25">
            <v>2255.1034682814811</v>
          </cell>
          <cell r="G25">
            <v>2945.0705446268948</v>
          </cell>
          <cell r="H25">
            <v>3944.0211925405411</v>
          </cell>
          <cell r="I25">
            <v>4323.1502969139619</v>
          </cell>
          <cell r="J25">
            <v>4643.1756845321834</v>
          </cell>
          <cell r="K25">
            <v>5154.3620609679756</v>
          </cell>
          <cell r="L25">
            <v>6278.3483537665561</v>
          </cell>
          <cell r="M25">
            <v>8715.1392703416186</v>
          </cell>
          <cell r="N25">
            <v>9069.2840597647337</v>
          </cell>
          <cell r="O25">
            <v>9420.5630624712667</v>
          </cell>
          <cell r="P25">
            <v>10274.273932219974</v>
          </cell>
          <cell r="Q25">
            <v>9446.9264316173285</v>
          </cell>
          <cell r="R25">
            <v>10295.74630909119</v>
          </cell>
          <cell r="S25">
            <v>10891.107081034786</v>
          </cell>
          <cell r="T25">
            <v>11485.385175518015</v>
          </cell>
          <cell r="U25">
            <v>16976.868885552136</v>
          </cell>
          <cell r="V25">
            <v>20555.200348694194</v>
          </cell>
          <cell r="W25">
            <v>24839.198955090145</v>
          </cell>
          <cell r="X25">
            <v>24583.113912249923</v>
          </cell>
          <cell r="Y25">
            <v>25137.420576191442</v>
          </cell>
          <cell r="Z25">
            <v>28653.750132383528</v>
          </cell>
          <cell r="AA25">
            <v>31194.782840909989</v>
          </cell>
          <cell r="AB25">
            <v>35396.816609172689</v>
          </cell>
          <cell r="AC25">
            <v>38948.72520108489</v>
          </cell>
          <cell r="AD25">
            <v>43125.459859834817</v>
          </cell>
          <cell r="AE25">
            <v>38135.385260242503</v>
          </cell>
          <cell r="AF25">
            <v>34751.054477801816</v>
          </cell>
          <cell r="AG25">
            <v>31700.517050378745</v>
          </cell>
          <cell r="AH25">
            <v>35810.808858111421</v>
          </cell>
          <cell r="AI25">
            <v>38342.735693502</v>
          </cell>
          <cell r="AJ25">
            <v>33666.471682989737</v>
          </cell>
          <cell r="AK25">
            <v>32212.007297802258</v>
          </cell>
          <cell r="AL25">
            <v>34747.2220025469</v>
          </cell>
          <cell r="AM25">
            <v>37593.506437755386</v>
          </cell>
          <cell r="AN25">
            <v>37090.205436725948</v>
          </cell>
          <cell r="AO25">
            <v>35271.310972806736</v>
          </cell>
          <cell r="AP25">
            <v>35173.660767535344</v>
          </cell>
          <cell r="AQ25">
            <v>39206.378267867185</v>
          </cell>
          <cell r="AR25">
            <v>40679.287792940653</v>
          </cell>
          <cell r="AS25">
            <v>44340.07775476035</v>
          </cell>
          <cell r="AT25">
            <v>47935.728770931026</v>
          </cell>
          <cell r="AU25">
            <v>48276.684329911521</v>
          </cell>
          <cell r="AV25">
            <v>40214.188875134321</v>
          </cell>
          <cell r="AW25">
            <v>37842.472818493021</v>
          </cell>
          <cell r="AX25">
            <v>34303.585638940618</v>
          </cell>
          <cell r="AY25">
            <v>38777.22302064133</v>
          </cell>
          <cell r="AZ25">
            <v>38265.105680836015</v>
          </cell>
        </row>
        <row r="26">
          <cell r="E26">
            <v>4443.1459690050287</v>
          </cell>
          <cell r="F26">
            <v>4594.550910801634</v>
          </cell>
          <cell r="G26">
            <v>5704.8057652353064</v>
          </cell>
          <cell r="H26">
            <v>7760.1322302418621</v>
          </cell>
          <cell r="I26">
            <v>9385.0346252302897</v>
          </cell>
          <cell r="J26">
            <v>9134.1703584635416</v>
          </cell>
          <cell r="K26">
            <v>9940.0916385277251</v>
          </cell>
          <cell r="L26">
            <v>10928.032245214057</v>
          </cell>
          <cell r="M26">
            <v>13529.306062762931</v>
          </cell>
          <cell r="N26">
            <v>15743.394626077417</v>
          </cell>
          <cell r="O26">
            <v>17119.532861953972</v>
          </cell>
          <cell r="P26">
            <v>14342.170902541526</v>
          </cell>
          <cell r="Q26">
            <v>13049.595982448549</v>
          </cell>
          <cell r="R26">
            <v>12821.123702111934</v>
          </cell>
          <cell r="S26">
            <v>12561.157364097377</v>
          </cell>
          <cell r="T26">
            <v>12915.319103585874</v>
          </cell>
          <cell r="U26">
            <v>18774.011690798718</v>
          </cell>
          <cell r="V26">
            <v>23214.336452174477</v>
          </cell>
          <cell r="W26">
            <v>26062.779505396695</v>
          </cell>
          <cell r="X26">
            <v>27512.161596585705</v>
          </cell>
          <cell r="Y26">
            <v>34650.140791689693</v>
          </cell>
          <cell r="Z26">
            <v>37068.939205698429</v>
          </cell>
          <cell r="AA26">
            <v>41049.276389009538</v>
          </cell>
          <cell r="AB26">
            <v>41547.372614097425</v>
          </cell>
          <cell r="AC26">
            <v>45539.423553734414</v>
          </cell>
          <cell r="AD26">
            <v>52893.552163548113</v>
          </cell>
          <cell r="AE26">
            <v>52599.546310498336</v>
          </cell>
          <cell r="AF26">
            <v>46983.03853809998</v>
          </cell>
          <cell r="AG26">
            <v>47456.813565411794</v>
          </cell>
          <cell r="AH26">
            <v>51558.641575190952</v>
          </cell>
          <cell r="AI26">
            <v>48757.973478742409</v>
          </cell>
          <cell r="AJ26">
            <v>48324.227815664766</v>
          </cell>
          <cell r="AK26">
            <v>53225.195447190381</v>
          </cell>
          <cell r="AL26">
            <v>66073.623219962348</v>
          </cell>
          <cell r="AM26">
            <v>76771.426655364208</v>
          </cell>
          <cell r="AN26">
            <v>81570.641623092684</v>
          </cell>
          <cell r="AO26">
            <v>91100.356682576021</v>
          </cell>
          <cell r="AP26">
            <v>107190.15039117631</v>
          </cell>
          <cell r="AQ26">
            <v>115133.3328145453</v>
          </cell>
          <cell r="AR26">
            <v>103505.18337467432</v>
          </cell>
          <cell r="AS26">
            <v>104771.86316695184</v>
          </cell>
          <cell r="AT26">
            <v>115406.61389273014</v>
          </cell>
          <cell r="AU26">
            <v>106460.07845232885</v>
          </cell>
          <cell r="AV26">
            <v>113341.23746284796</v>
          </cell>
          <cell r="AW26">
            <v>118824.28913962567</v>
          </cell>
          <cell r="AX26">
            <v>100935.70097275476</v>
          </cell>
          <cell r="AY26">
            <v>102791.37486161984</v>
          </cell>
          <cell r="AZ26">
            <v>107356.29975381721</v>
          </cell>
        </row>
        <row r="27">
          <cell r="E27">
            <v>2935.3366408389884</v>
          </cell>
          <cell r="F27">
            <v>3390.6197230104322</v>
          </cell>
          <cell r="G27">
            <v>4115.7684603215812</v>
          </cell>
          <cell r="H27">
            <v>5348.961555058967</v>
          </cell>
          <cell r="I27">
            <v>6432.5380391047684</v>
          </cell>
          <cell r="J27">
            <v>7308.1833895076852</v>
          </cell>
          <cell r="K27">
            <v>7902.4962463142829</v>
          </cell>
          <cell r="L27">
            <v>9141.3487894586851</v>
          </cell>
          <cell r="M27">
            <v>11155.558543084055</v>
          </cell>
          <cell r="N27">
            <v>12794.456417923242</v>
          </cell>
          <cell r="O27">
            <v>13782.462558526873</v>
          </cell>
          <cell r="P27">
            <v>11530.00088654458</v>
          </cell>
          <cell r="Q27">
            <v>11052.647889150616</v>
          </cell>
          <cell r="R27">
            <v>10650.602124481871</v>
          </cell>
          <cell r="S27">
            <v>9974.0218289779405</v>
          </cell>
          <cell r="T27">
            <v>9921.4900093696069</v>
          </cell>
          <cell r="U27">
            <v>13771.127290092221</v>
          </cell>
          <cell r="V27">
            <v>16686.362249754795</v>
          </cell>
          <cell r="W27">
            <v>17733.81116252713</v>
          </cell>
          <cell r="X27">
            <v>17351.939365060254</v>
          </cell>
          <cell r="Y27">
            <v>21248.946239364166</v>
          </cell>
          <cell r="Z27">
            <v>21706.633978821363</v>
          </cell>
          <cell r="AA27">
            <v>23935.335821992841</v>
          </cell>
          <cell r="AB27">
            <v>23185.738858106291</v>
          </cell>
          <cell r="AC27">
            <v>24659.837388217413</v>
          </cell>
          <cell r="AD27">
            <v>29221.900314400493</v>
          </cell>
          <cell r="AE27">
            <v>28914.259902571794</v>
          </cell>
          <cell r="AF27">
            <v>26636.049049933012</v>
          </cell>
          <cell r="AG27">
            <v>27817.211957057083</v>
          </cell>
          <cell r="AH27">
            <v>28227.675208453802</v>
          </cell>
          <cell r="AI27">
            <v>26120.500398463209</v>
          </cell>
          <cell r="AJ27">
            <v>26907.037869751708</v>
          </cell>
          <cell r="AK27">
            <v>29297.926706146449</v>
          </cell>
          <cell r="AL27">
            <v>35738.642750045969</v>
          </cell>
          <cell r="AM27">
            <v>40338.469847024491</v>
          </cell>
          <cell r="AN27">
            <v>41852.104073291157</v>
          </cell>
          <cell r="AO27">
            <v>44585.77262521151</v>
          </cell>
          <cell r="AP27">
            <v>51311.390716794078</v>
          </cell>
          <cell r="AQ27">
            <v>57216.200103158153</v>
          </cell>
          <cell r="AR27">
            <v>52204.478446587178</v>
          </cell>
          <cell r="AS27">
            <v>50770.497749284492</v>
          </cell>
          <cell r="AT27">
            <v>54012.062614320057</v>
          </cell>
          <cell r="AU27">
            <v>49972.910989370721</v>
          </cell>
          <cell r="AV27">
            <v>52079.312576827375</v>
          </cell>
          <cell r="AW27">
            <v>52755.119851816729</v>
          </cell>
          <cell r="AX27">
            <v>45163.3851875904</v>
          </cell>
          <cell r="AY27">
            <v>46175.50224693292</v>
          </cell>
          <cell r="AZ27">
            <v>48830.449046219692</v>
          </cell>
        </row>
        <row r="28">
          <cell r="E28">
            <v>2305.171603473902</v>
          </cell>
          <cell r="F28">
            <v>2764.9589041048175</v>
          </cell>
          <cell r="G28">
            <v>3296.3314157216851</v>
          </cell>
          <cell r="H28">
            <v>4249.9140134387771</v>
          </cell>
          <cell r="I28">
            <v>4688.0571870078566</v>
          </cell>
          <cell r="J28">
            <v>4484.5501465792395</v>
          </cell>
          <cell r="K28">
            <v>4472.804582492915</v>
          </cell>
          <cell r="L28">
            <v>4869.9876483071066</v>
          </cell>
          <cell r="M28">
            <v>5901.9564989089013</v>
          </cell>
          <cell r="N28">
            <v>6697.0980561012238</v>
          </cell>
          <cell r="O28">
            <v>7425.3132161853719</v>
          </cell>
          <cell r="P28">
            <v>7956.3690311132232</v>
          </cell>
          <cell r="Q28">
            <v>7866.6558495913023</v>
          </cell>
          <cell r="R28">
            <v>7739.7293363340004</v>
          </cell>
          <cell r="S28">
            <v>7384.4223856904455</v>
          </cell>
          <cell r="T28">
            <v>7376.3860902333854</v>
          </cell>
          <cell r="U28">
            <v>9206.369807166755</v>
          </cell>
          <cell r="V28">
            <v>11615.692184503599</v>
          </cell>
          <cell r="W28">
            <v>13883.536416013962</v>
          </cell>
          <cell r="X28">
            <v>13280.205049335651</v>
          </cell>
          <cell r="Y28">
            <v>13371.951515697263</v>
          </cell>
          <cell r="Z28">
            <v>12719.483922151258</v>
          </cell>
          <cell r="AA28">
            <v>12006.544070089441</v>
          </cell>
          <cell r="AB28">
            <v>12804.55900129725</v>
          </cell>
          <cell r="AC28">
            <v>14783.319469463986</v>
          </cell>
          <cell r="AD28">
            <v>17184.363520888528</v>
          </cell>
          <cell r="AE28">
            <v>18694.103498756776</v>
          </cell>
          <cell r="AF28">
            <v>18468.937640078435</v>
          </cell>
          <cell r="AG28">
            <v>15111.170003017991</v>
          </cell>
          <cell r="AH28">
            <v>15694.004473916688</v>
          </cell>
          <cell r="AI28">
            <v>14108.161148784957</v>
          </cell>
          <cell r="AJ28">
            <v>13845.956917122172</v>
          </cell>
          <cell r="AK28">
            <v>15775.204078213446</v>
          </cell>
          <cell r="AL28">
            <v>20862.492318505723</v>
          </cell>
          <cell r="AM28">
            <v>24997.31646455601</v>
          </cell>
          <cell r="AN28">
            <v>27808.978914748554</v>
          </cell>
          <cell r="AO28">
            <v>26756.383368327657</v>
          </cell>
          <cell r="AP28">
            <v>32363.598652634882</v>
          </cell>
          <cell r="AQ28">
            <v>31086.93238592206</v>
          </cell>
          <cell r="AR28">
            <v>27986.701459610566</v>
          </cell>
          <cell r="AS28">
            <v>33637.9666924634</v>
          </cell>
          <cell r="AT28">
            <v>38023.114885257331</v>
          </cell>
          <cell r="AU28">
            <v>39393.492418879061</v>
          </cell>
          <cell r="AV28">
            <v>42279.769440226919</v>
          </cell>
          <cell r="AW28">
            <v>44014.27726804914</v>
          </cell>
          <cell r="AX28">
            <v>38357.085832322759</v>
          </cell>
          <cell r="AY28">
            <v>40341.356542488247</v>
          </cell>
          <cell r="AZ28">
            <v>42932.082720346792</v>
          </cell>
        </row>
        <row r="29">
          <cell r="E29">
            <v>3305.984650134415</v>
          </cell>
          <cell r="F29">
            <v>3734.2122995880695</v>
          </cell>
          <cell r="G29">
            <v>4412.7338059981312</v>
          </cell>
          <cell r="H29">
            <v>5689.282986627456</v>
          </cell>
          <cell r="I29">
            <v>6810.6916580881698</v>
          </cell>
          <cell r="J29">
            <v>8202.9163746487993</v>
          </cell>
          <cell r="K29">
            <v>8924.241841103918</v>
          </cell>
          <cell r="L29">
            <v>10263.264975657277</v>
          </cell>
          <cell r="M29">
            <v>11461.305083067209</v>
          </cell>
          <cell r="N29">
            <v>13045.498741427416</v>
          </cell>
          <cell r="O29">
            <v>15770.400929400237</v>
          </cell>
          <cell r="P29">
            <v>15515.243070398366</v>
          </cell>
          <cell r="Q29">
            <v>15236.405174848</v>
          </cell>
          <cell r="R29">
            <v>14941.508632504845</v>
          </cell>
          <cell r="S29">
            <v>14996.194510118727</v>
          </cell>
          <cell r="T29">
            <v>15751.257500352147</v>
          </cell>
          <cell r="U29">
            <v>18874.246188708861</v>
          </cell>
          <cell r="V29">
            <v>22505.726090813208</v>
          </cell>
          <cell r="W29">
            <v>24251.265939857811</v>
          </cell>
          <cell r="X29">
            <v>24372.225884628981</v>
          </cell>
          <cell r="Y29">
            <v>28253.343017951469</v>
          </cell>
          <cell r="Z29">
            <v>28574.968655367375</v>
          </cell>
          <cell r="AA29">
            <v>30517.04493436855</v>
          </cell>
          <cell r="AB29">
            <v>28030.100157802513</v>
          </cell>
          <cell r="AC29">
            <v>29251.787641234885</v>
          </cell>
          <cell r="AD29">
            <v>34806.543172135527</v>
          </cell>
          <cell r="AE29">
            <v>37330.343263887517</v>
          </cell>
          <cell r="AF29">
            <v>36423.180345418441</v>
          </cell>
          <cell r="AG29">
            <v>34626.303489207159</v>
          </cell>
          <cell r="AH29">
            <v>36209.176388756023</v>
          </cell>
          <cell r="AI29">
            <v>38005.346085349338</v>
          </cell>
          <cell r="AJ29">
            <v>38468.808760276312</v>
          </cell>
          <cell r="AK29">
            <v>42894.673339464702</v>
          </cell>
          <cell r="AL29">
            <v>50108.246942193466</v>
          </cell>
          <cell r="AM29">
            <v>57413.595800456438</v>
          </cell>
          <cell r="AN29">
            <v>66704.602660758086</v>
          </cell>
          <cell r="AO29">
            <v>73827.269867560302</v>
          </cell>
          <cell r="AP29">
            <v>84963.963414220721</v>
          </cell>
          <cell r="AQ29">
            <v>97036.32616696661</v>
          </cell>
          <cell r="AR29">
            <v>80171.031533939065</v>
          </cell>
          <cell r="AS29">
            <v>87804.075337124668</v>
          </cell>
          <cell r="AT29">
            <v>100857.08308784368</v>
          </cell>
          <cell r="AU29">
            <v>101755.64399650678</v>
          </cell>
          <cell r="AV29">
            <v>103208.50422317775</v>
          </cell>
          <cell r="AW29">
            <v>97075.838407442658</v>
          </cell>
          <cell r="AX29">
            <v>74425.424186455115</v>
          </cell>
          <cell r="AY29">
            <v>70713.040952380776</v>
          </cell>
          <cell r="AZ29">
            <v>75373.26768995481</v>
          </cell>
        </row>
        <row r="30">
          <cell r="E30">
            <v>931.84547685522227</v>
          </cell>
          <cell r="F30">
            <v>1051.952753360777</v>
          </cell>
          <cell r="G30">
            <v>1271.1532266129218</v>
          </cell>
          <cell r="H30">
            <v>1684.8358736201806</v>
          </cell>
          <cell r="I30">
            <v>1925.9101851200035</v>
          </cell>
          <cell r="J30">
            <v>2098.4367835244766</v>
          </cell>
          <cell r="K30">
            <v>2174.0629431158968</v>
          </cell>
          <cell r="L30">
            <v>2260.6188301967527</v>
          </cell>
          <cell r="M30">
            <v>2445.9055638730479</v>
          </cell>
          <cell r="N30">
            <v>2740.561294440281</v>
          </cell>
          <cell r="O30">
            <v>3355.3381782140291</v>
          </cell>
          <cell r="P30">
            <v>3238.5237485971252</v>
          </cell>
          <cell r="Q30">
            <v>3075.8333061480926</v>
          </cell>
          <cell r="R30">
            <v>2735.7696723284434</v>
          </cell>
          <cell r="S30">
            <v>2527.8447170579866</v>
          </cell>
          <cell r="T30">
            <v>2715.6851811738434</v>
          </cell>
          <cell r="U30">
            <v>3881.2993103127737</v>
          </cell>
          <cell r="V30">
            <v>4832.5414796745799</v>
          </cell>
          <cell r="W30">
            <v>5659.4942581215892</v>
          </cell>
          <cell r="X30">
            <v>6091.3430452444745</v>
          </cell>
          <cell r="Y30">
            <v>7909.5186344224403</v>
          </cell>
          <cell r="Z30">
            <v>8947.659879017805</v>
          </cell>
          <cell r="AA30">
            <v>10789.667814101216</v>
          </cell>
          <cell r="AB30">
            <v>9450.3171392609202</v>
          </cell>
          <cell r="AC30">
            <v>9868.1458166290449</v>
          </cell>
          <cell r="AD30">
            <v>11625.919297400376</v>
          </cell>
          <cell r="AE30">
            <v>12067.8223388931</v>
          </cell>
          <cell r="AF30">
            <v>11433.726796863915</v>
          </cell>
          <cell r="AG30">
            <v>12071.31499259269</v>
          </cell>
          <cell r="AH30">
            <v>12315.01896076561</v>
          </cell>
          <cell r="AI30">
            <v>11395.332375288468</v>
          </cell>
          <cell r="AJ30">
            <v>11731.54531761332</v>
          </cell>
          <cell r="AK30">
            <v>12830.741076794091</v>
          </cell>
          <cell r="AL30">
            <v>15733.596081209385</v>
          </cell>
          <cell r="AM30">
            <v>17951.670683155102</v>
          </cell>
          <cell r="AN30">
            <v>18645.198250985759</v>
          </cell>
          <cell r="AO30">
            <v>19717.072277032225</v>
          </cell>
          <cell r="AP30">
            <v>22577.35566484668</v>
          </cell>
          <cell r="AQ30">
            <v>24596.091343124019</v>
          </cell>
          <cell r="AR30">
            <v>22887.983208475009</v>
          </cell>
          <cell r="AS30">
            <v>22342.548633297851</v>
          </cell>
          <cell r="AT30">
            <v>23058.107371723985</v>
          </cell>
          <cell r="AU30">
            <v>20412.36569773766</v>
          </cell>
          <cell r="AV30">
            <v>21467.230083302351</v>
          </cell>
          <cell r="AW30">
            <v>21965.075911302349</v>
          </cell>
          <cell r="AX30">
            <v>19100.687787932071</v>
          </cell>
          <cell r="AY30">
            <v>18127.060084936846</v>
          </cell>
          <cell r="AZ30">
            <v>18886.60280282997</v>
          </cell>
        </row>
        <row r="31">
          <cell r="E31">
            <v>1203.075327228066</v>
          </cell>
          <cell r="F31">
            <v>1352.9050751666371</v>
          </cell>
          <cell r="G31">
            <v>1696.6090692544301</v>
          </cell>
          <cell r="H31">
            <v>2230.5092955732025</v>
          </cell>
          <cell r="I31">
            <v>2727.0804330291767</v>
          </cell>
          <cell r="J31">
            <v>3168.8394342387433</v>
          </cell>
          <cell r="K31">
            <v>3244.1557084768688</v>
          </cell>
          <cell r="L31">
            <v>3590.5150343568766</v>
          </cell>
          <cell r="M31">
            <v>4308.2900332233785</v>
          </cell>
          <cell r="N31">
            <v>5708.9886265208452</v>
          </cell>
          <cell r="O31">
            <v>6138.0864134621361</v>
          </cell>
          <cell r="P31">
            <v>5305.8390706439377</v>
          </cell>
          <cell r="Q31">
            <v>5090.0930813575424</v>
          </cell>
          <cell r="R31">
            <v>4413.9724557732943</v>
          </cell>
          <cell r="S31">
            <v>4445.8092044793075</v>
          </cell>
          <cell r="T31">
            <v>4634.8887024175892</v>
          </cell>
          <cell r="U31">
            <v>6442.8239672640884</v>
          </cell>
          <cell r="V31">
            <v>8141.9021920970699</v>
          </cell>
          <cell r="W31">
            <v>9580.5986898237479</v>
          </cell>
          <cell r="X31">
            <v>10555.370567445503</v>
          </cell>
          <cell r="Y31">
            <v>13611.117499714548</v>
          </cell>
          <cell r="Z31">
            <v>14618.102083079546</v>
          </cell>
          <cell r="AA31">
            <v>15917.799571975684</v>
          </cell>
          <cell r="AB31">
            <v>13219.425612929768</v>
          </cell>
          <cell r="AC31">
            <v>13303.303242887636</v>
          </cell>
          <cell r="AD31">
            <v>15367.068887787207</v>
          </cell>
          <cell r="AE31">
            <v>16021.265443025231</v>
          </cell>
          <cell r="AF31">
            <v>14676.728240815957</v>
          </cell>
          <cell r="AG31">
            <v>15312.970309217762</v>
          </cell>
          <cell r="AH31">
            <v>15614.314493112977</v>
          </cell>
          <cell r="AI31">
            <v>14546.35706412171</v>
          </cell>
          <cell r="AJ31">
            <v>15123.657400938111</v>
          </cell>
          <cell r="AK31">
            <v>16791.503356395253</v>
          </cell>
          <cell r="AL31">
            <v>21264.420418645095</v>
          </cell>
          <cell r="AM31">
            <v>24681.864605532595</v>
          </cell>
          <cell r="AN31">
            <v>26338.117122518928</v>
          </cell>
          <cell r="AO31">
            <v>28171.828118221154</v>
          </cell>
          <cell r="AP31">
            <v>32603.531191533937</v>
          </cell>
          <cell r="AQ31">
            <v>35653.872897595465</v>
          </cell>
          <cell r="AR31">
            <v>32274.672437894493</v>
          </cell>
          <cell r="AS31">
            <v>30562.97948612817</v>
          </cell>
          <cell r="AT31">
            <v>31763.535359082289</v>
          </cell>
          <cell r="AU31">
            <v>28597.40159740817</v>
          </cell>
          <cell r="AV31">
            <v>29123.582323972787</v>
          </cell>
          <cell r="AW31">
            <v>29663.494736277346</v>
          </cell>
          <cell r="AX31">
            <v>25863.371052473678</v>
          </cell>
          <cell r="AY31">
            <v>26723.720948836919</v>
          </cell>
          <cell r="AZ31">
            <v>28243.822407674179</v>
          </cell>
        </row>
        <row r="32">
          <cell r="E32">
            <v>4667.6221252959067</v>
          </cell>
          <cell r="F32">
            <v>5067.5882908567446</v>
          </cell>
          <cell r="G32">
            <v>5945.3098991587831</v>
          </cell>
          <cell r="H32">
            <v>7192.8928538919608</v>
          </cell>
          <cell r="I32">
            <v>7971.0390593650473</v>
          </cell>
          <cell r="J32">
            <v>9979.8626536169049</v>
          </cell>
          <cell r="K32">
            <v>10725.788643150658</v>
          </cell>
          <cell r="L32">
            <v>11300.877625097037</v>
          </cell>
          <cell r="M32">
            <v>12443.499866020959</v>
          </cell>
          <cell r="N32">
            <v>14698.789867907277</v>
          </cell>
          <cell r="O32">
            <v>16834.33261130079</v>
          </cell>
          <cell r="P32">
            <v>15374.464911567398</v>
          </cell>
          <cell r="Q32">
            <v>13566.362624070689</v>
          </cell>
          <cell r="R32">
            <v>12481.333505671746</v>
          </cell>
          <cell r="S32">
            <v>12948.957129360082</v>
          </cell>
          <cell r="T32">
            <v>13520.543808237051</v>
          </cell>
          <cell r="U32">
            <v>17769.850383822806</v>
          </cell>
          <cell r="V32">
            <v>21493.741402503438</v>
          </cell>
          <cell r="W32">
            <v>24099.83854289541</v>
          </cell>
          <cell r="X32">
            <v>25251.91427127791</v>
          </cell>
          <cell r="Y32">
            <v>30114.209891840965</v>
          </cell>
          <cell r="Z32">
            <v>31419.790781294258</v>
          </cell>
          <cell r="AA32">
            <v>32348.161070358055</v>
          </cell>
          <cell r="AB32">
            <v>24008.846230885527</v>
          </cell>
          <cell r="AC32">
            <v>25686.973090281528</v>
          </cell>
          <cell r="AD32">
            <v>29876.352640549001</v>
          </cell>
          <cell r="AE32">
            <v>32508.611677973757</v>
          </cell>
          <cell r="AF32">
            <v>29879.850303077525</v>
          </cell>
          <cell r="AG32">
            <v>30098.588094396386</v>
          </cell>
          <cell r="AH32">
            <v>30541.749783052146</v>
          </cell>
          <cell r="AI32">
            <v>29273.872843303714</v>
          </cell>
          <cell r="AJ32">
            <v>26972.980827942389</v>
          </cell>
          <cell r="AK32">
            <v>29594.110054666151</v>
          </cell>
          <cell r="AL32">
            <v>37089.079254670374</v>
          </cell>
          <cell r="AM32">
            <v>42488.637348246324</v>
          </cell>
          <cell r="AN32">
            <v>43037.52905724688</v>
          </cell>
          <cell r="AO32">
            <v>46282.737616234532</v>
          </cell>
          <cell r="AP32">
            <v>53256.254363220534</v>
          </cell>
          <cell r="AQ32">
            <v>55754.696656558648</v>
          </cell>
          <cell r="AR32">
            <v>46169.647901675402</v>
          </cell>
          <cell r="AS32">
            <v>52075.745609663216</v>
          </cell>
          <cell r="AT32">
            <v>59582.340470396237</v>
          </cell>
          <cell r="AU32">
            <v>57017.639937167398</v>
          </cell>
          <cell r="AV32">
            <v>60216.861823726424</v>
          </cell>
          <cell r="AW32">
            <v>59240.140954381379</v>
          </cell>
          <cell r="AX32">
            <v>51005.959401099906</v>
          </cell>
          <cell r="AY32">
            <v>52063.345635332465</v>
          </cell>
          <cell r="AZ32">
            <v>54128.647435175641</v>
          </cell>
        </row>
        <row r="33">
          <cell r="E33">
            <v>3934.6642765746451</v>
          </cell>
          <cell r="F33">
            <v>4688.5544286992081</v>
          </cell>
          <cell r="G33">
            <v>5706.062981719173</v>
          </cell>
          <cell r="H33">
            <v>7623.323223023197</v>
          </cell>
          <cell r="I33">
            <v>8744.612458607091</v>
          </cell>
          <cell r="J33">
            <v>10001.356095204907</v>
          </cell>
          <cell r="K33">
            <v>10462.596191955286</v>
          </cell>
          <cell r="L33">
            <v>11199.31457452484</v>
          </cell>
          <cell r="M33">
            <v>15710.87492420749</v>
          </cell>
          <cell r="N33">
            <v>17759.344705550859</v>
          </cell>
          <cell r="O33">
            <v>18878.071454293651</v>
          </cell>
          <cell r="P33">
            <v>17258.083234943788</v>
          </cell>
          <cell r="Q33">
            <v>17661.302886929185</v>
          </cell>
          <cell r="R33">
            <v>17406.04460181321</v>
          </cell>
          <cell r="S33">
            <v>16519.381832264378</v>
          </cell>
          <cell r="T33">
            <v>16728.044132297764</v>
          </cell>
          <cell r="U33">
            <v>23713.883678165024</v>
          </cell>
          <cell r="V33">
            <v>29547.348401052132</v>
          </cell>
          <cell r="W33">
            <v>31800.295362360561</v>
          </cell>
          <cell r="X33">
            <v>30517.490525603345</v>
          </cell>
          <cell r="Y33">
            <v>38652.322360368482</v>
          </cell>
          <cell r="Z33">
            <v>38717.894743400488</v>
          </cell>
          <cell r="AA33">
            <v>39909.756996532546</v>
          </cell>
          <cell r="AB33">
            <v>38307.504788438098</v>
          </cell>
          <cell r="AC33">
            <v>42090.063254326116</v>
          </cell>
          <cell r="AD33">
            <v>48870.667269832338</v>
          </cell>
          <cell r="AE33">
            <v>46734.444829492211</v>
          </cell>
          <cell r="AF33">
            <v>40469.47410129918</v>
          </cell>
          <cell r="AG33">
            <v>41460.960570345407</v>
          </cell>
          <cell r="AH33">
            <v>40624.985991384143</v>
          </cell>
          <cell r="AI33">
            <v>37950.399386096484</v>
          </cell>
          <cell r="AJ33">
            <v>38735.554865997889</v>
          </cell>
          <cell r="AK33">
            <v>41552.122236680334</v>
          </cell>
          <cell r="AL33">
            <v>48409.925927327786</v>
          </cell>
          <cell r="AM33">
            <v>53625.528037916789</v>
          </cell>
          <cell r="AN33">
            <v>55193.387373372338</v>
          </cell>
          <cell r="AO33">
            <v>57609.484419174092</v>
          </cell>
          <cell r="AP33">
            <v>63489.056999681758</v>
          </cell>
          <cell r="AQ33">
            <v>72455.115429238358</v>
          </cell>
          <cell r="AR33">
            <v>69922.288033039513</v>
          </cell>
          <cell r="AS33">
            <v>74566.159655085547</v>
          </cell>
          <cell r="AT33">
            <v>88267.697263487018</v>
          </cell>
          <cell r="AU33">
            <v>83170.747802138285</v>
          </cell>
          <cell r="AV33">
            <v>84719.98262809994</v>
          </cell>
          <cell r="AW33">
            <v>86152.121802817594</v>
          </cell>
          <cell r="AX33">
            <v>81733.038501429546</v>
          </cell>
          <cell r="AY33">
            <v>79833.032192014885</v>
          </cell>
          <cell r="AZ33">
            <v>80255.095371183954</v>
          </cell>
        </row>
        <row r="34">
          <cell r="E34">
            <v>2354.6355836555649</v>
          </cell>
          <cell r="F34">
            <v>2651.8662903214477</v>
          </cell>
          <cell r="G34">
            <v>3038.2468815076568</v>
          </cell>
          <cell r="H34">
            <v>3442.3204079017696</v>
          </cell>
          <cell r="I34">
            <v>3668.6020026292836</v>
          </cell>
          <cell r="J34">
            <v>4305.1345596491337</v>
          </cell>
          <cell r="K34">
            <v>4142.4133992032766</v>
          </cell>
          <cell r="L34">
            <v>4674.5566547379567</v>
          </cell>
          <cell r="M34">
            <v>5971.8830947009137</v>
          </cell>
          <cell r="N34">
            <v>7802.7620995778898</v>
          </cell>
          <cell r="O34">
            <v>10041.681687719127</v>
          </cell>
          <cell r="P34">
            <v>9613.2803007218881</v>
          </cell>
          <cell r="Q34">
            <v>9148.0354638249373</v>
          </cell>
          <cell r="R34">
            <v>8698.6042965140459</v>
          </cell>
          <cell r="S34">
            <v>8175.7558370995012</v>
          </cell>
          <cell r="T34">
            <v>8660.0583868574522</v>
          </cell>
          <cell r="U34">
            <v>10623.201921438505</v>
          </cell>
          <cell r="V34">
            <v>13137.196343845959</v>
          </cell>
          <cell r="W34">
            <v>16003.406931888023</v>
          </cell>
          <cell r="X34">
            <v>16256.386111722162</v>
          </cell>
          <cell r="Y34">
            <v>19061.498549962078</v>
          </cell>
          <cell r="Z34">
            <v>19881.600534417423</v>
          </cell>
          <cell r="AA34">
            <v>20523.689416329926</v>
          </cell>
          <cell r="AB34">
            <v>18386.666461291072</v>
          </cell>
          <cell r="AC34">
            <v>19719.508329693297</v>
          </cell>
          <cell r="AD34">
            <v>23112.087414743994</v>
          </cell>
          <cell r="AE34">
            <v>24244.823609794938</v>
          </cell>
          <cell r="AF34">
            <v>26565.354061667818</v>
          </cell>
          <cell r="AG34">
            <v>28012.670472472633</v>
          </cell>
          <cell r="AH34">
            <v>28427.115123756339</v>
          </cell>
          <cell r="AI34">
            <v>27989.419253137799</v>
          </cell>
          <cell r="AJ34">
            <v>27557.363949801369</v>
          </cell>
          <cell r="AK34">
            <v>29823.610027688443</v>
          </cell>
          <cell r="AL34">
            <v>34239.54901545855</v>
          </cell>
          <cell r="AM34">
            <v>40077.397469994052</v>
          </cell>
          <cell r="AN34">
            <v>41966.102270694566</v>
          </cell>
          <cell r="AO34">
            <v>44405.84973060451</v>
          </cell>
          <cell r="AP34">
            <v>50150.892311379728</v>
          </cell>
          <cell r="AQ34">
            <v>46716.762070886405</v>
          </cell>
          <cell r="AR34">
            <v>38104.28290864436</v>
          </cell>
          <cell r="AS34">
            <v>38700.39706923315</v>
          </cell>
          <cell r="AT34">
            <v>41214.896035032973</v>
          </cell>
          <cell r="AU34">
            <v>41711.849315384039</v>
          </cell>
          <cell r="AV34">
            <v>42542.584972857519</v>
          </cell>
          <cell r="AW34">
            <v>46604.136527786955</v>
          </cell>
          <cell r="AX34">
            <v>44344.487552043611</v>
          </cell>
          <cell r="AY34">
            <v>40442.107032560096</v>
          </cell>
          <cell r="AZ34">
            <v>39766.996247870498</v>
          </cell>
        </row>
        <row r="35">
          <cell r="E35">
            <v>5105.2506099772518</v>
          </cell>
          <cell r="F35">
            <v>5485.6295421958412</v>
          </cell>
          <cell r="G35">
            <v>5999.481344837739</v>
          </cell>
          <cell r="H35">
            <v>6642.8611299010654</v>
          </cell>
          <cell r="I35">
            <v>7135.6754308106492</v>
          </cell>
          <cell r="J35">
            <v>7664.0484087574232</v>
          </cell>
          <cell r="K35">
            <v>8452.3893810941736</v>
          </cell>
          <cell r="L35">
            <v>9313.820068316154</v>
          </cell>
          <cell r="M35">
            <v>10423.612784803263</v>
          </cell>
          <cell r="N35">
            <v>11555.366779819629</v>
          </cell>
          <cell r="O35">
            <v>12447.606024181712</v>
          </cell>
          <cell r="P35">
            <v>13839.848208338952</v>
          </cell>
          <cell r="Q35">
            <v>14265.418098049038</v>
          </cell>
          <cell r="R35">
            <v>15358.968283518938</v>
          </cell>
          <cell r="S35">
            <v>16933.95943602471</v>
          </cell>
          <cell r="T35">
            <v>18021.450076630197</v>
          </cell>
          <cell r="U35">
            <v>18840.066625057269</v>
          </cell>
          <cell r="V35">
            <v>19804.169848645288</v>
          </cell>
          <cell r="W35">
            <v>21151.24242720937</v>
          </cell>
          <cell r="X35">
            <v>22549.790897868064</v>
          </cell>
          <cell r="Y35">
            <v>23601.160784285898</v>
          </cell>
          <cell r="Z35">
            <v>24159.248731451189</v>
          </cell>
          <cell r="AA35">
            <v>25324.885655810755</v>
          </cell>
          <cell r="AB35">
            <v>26382.566473914456</v>
          </cell>
          <cell r="AC35">
            <v>27745.895160372947</v>
          </cell>
          <cell r="AD35">
            <v>28758.688285812335</v>
          </cell>
          <cell r="AE35">
            <v>30021.939006253135</v>
          </cell>
          <cell r="AF35">
            <v>31528.290445255305</v>
          </cell>
          <cell r="AG35">
            <v>32880.579130213016</v>
          </cell>
          <cell r="AH35">
            <v>34533.176291413132</v>
          </cell>
          <cell r="AI35">
            <v>36527.052658647415</v>
          </cell>
          <cell r="AJ35">
            <v>37212.256577076776</v>
          </cell>
          <cell r="AK35">
            <v>37912.140444042569</v>
          </cell>
          <cell r="AL35">
            <v>39651.396507014011</v>
          </cell>
          <cell r="AM35">
            <v>41703.794438196019</v>
          </cell>
          <cell r="AN35">
            <v>44048.459485772051</v>
          </cell>
          <cell r="AO35">
            <v>46335.568364169092</v>
          </cell>
          <cell r="AP35">
            <v>48237.635010819598</v>
          </cell>
          <cell r="AQ35">
            <v>48455.029513398113</v>
          </cell>
          <cell r="AR35">
            <v>47047.08451308254</v>
          </cell>
          <cell r="AS35">
            <v>48600.094369719242</v>
          </cell>
          <cell r="AT35">
            <v>49830.998970716602</v>
          </cell>
          <cell r="AU35">
            <v>51701.78268767977</v>
          </cell>
          <cell r="AV35">
            <v>53242.622778248733</v>
          </cell>
          <cell r="AW35">
            <v>55080.155411900356</v>
          </cell>
          <cell r="AX35">
            <v>56887.594913513851</v>
          </cell>
          <cell r="AY35">
            <v>58060.772676488603</v>
          </cell>
          <cell r="AZ35">
            <v>60142.66061162285</v>
          </cell>
        </row>
      </sheetData>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Population"/>
      <sheetName val="GDP"/>
    </sheetNames>
    <definedNames>
      <definedName name="TheilT2"/>
    </definedNames>
    <sheetDataSet>
      <sheetData sheetId="0"/>
      <sheetData sheetId="1"/>
      <sheetData sheetId="2"/>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an Freeman" refreshedDate="44171.783303356482" backgroundQuery="1" createdVersion="6" refreshedVersion="6" minRefreshableVersion="3" recordCount="0" supportSubquery="1" supportAdvancedDrill="1" xr:uid="{E9EC0002-2739-4B09-B2A1-A354A6BC751F}">
  <cacheSource type="external" connectionId="1"/>
  <cacheFields count="15">
    <cacheField name="[Data].[Demographics].[Population]" caption="Population" numFmtId="0" hierarchy="1" level="1">
      <sharedItems containsSemiMixedTypes="0" containsString="0"/>
    </cacheField>
    <cacheField name="[Geography].[Blocs].[Major_Blocs]" caption="Major_Blocs" numFmtId="0" hierarchy="6" level="1">
      <sharedItems count="4">
        <s v="[Geography].[Blocs].[Major_Blocs].&amp;[China Mainland]" c="China Mainland"/>
        <s v="[Geography].[Blocs].[Major_Blocs].&amp;[North]" c="North"/>
        <s v="[Geography].[Blocs].[Major_Blocs].&amp;[South]" c="South"/>
        <s v="[Geography].[Blocs].[Major_Blocs].&amp;[Transitional]" u="1" c="Transitional"/>
      </sharedItems>
    </cacheField>
    <cacheField name="[Geography].[Blocs].[Country]" caption="Country" numFmtId="0" hierarchy="6" level="2">
      <sharedItems count="77">
        <s v="[Geography].[Blocs].[Country].&amp;[Australia]" c="Australia"/>
        <s v="[Geography].[Blocs].[Country].&amp;[Austria]" c="Austria"/>
        <s v="[Geography].[Blocs].[Country].&amp;[Belgium]" c="Belgium"/>
        <s v="[Geography].[Blocs].[Country].&amp;[Finland]" c="Finland"/>
        <s v="[Geography].[Blocs].[Country].&amp;[France]" c="France"/>
        <s v="[Geography].[Blocs].[Country].&amp;[Greece]" c="Greece"/>
        <s v="[Geography].[Blocs].[Country].&amp;[Israel]" c="Israel"/>
        <s v="[Geography].[Blocs].[Country].&amp;[Italy]" c="Italy"/>
        <s v="[Geography].[Blocs].[Country].&amp;[Japan]" c="Japan"/>
        <s v="[Geography].[Blocs].[Country].&amp;[Luxemburg]" c="Luxemburg"/>
        <s v="[Geography].[Blocs].[Country].&amp;[Netherlands]" c="Netherlands"/>
        <s v="[Geography].[Blocs].[Country].&amp;[Norway]" c="Norway"/>
        <s v="[Geography].[Blocs].[Country].&amp;[Portugal]" c="Portugal"/>
        <s v="[Geography].[Blocs].[Country].&amp;[Singapore]" c="Singapore"/>
        <s v="[Geography].[Blocs].[Country].&amp;[South Korea]" c="South Korea"/>
        <s v="[Geography].[Blocs].[Country].&amp;[Spain]" c="Spain"/>
        <s v="[Geography].[Blocs].[Country].&amp;[Sweden]" c="Sweden"/>
        <s v="[Geography].[Blocs].[Country].&amp;[United Kingdom]" c="United Kingdom"/>
        <s v="[Geography].[Blocs].[Country].&amp;[United States]" c="United States"/>
        <s v="[Geography].[Blocs].[Country].&amp;[Bahamas]" c="Bahamas"/>
        <s v="[Geography].[Blocs].[Country].&amp;[Bangladesh]" c="Bangladesh"/>
        <s v="[Geography].[Blocs].[Country].&amp;[Belize]" c="Belize"/>
        <s v="[Geography].[Blocs].[Country].&amp;[Benin]" c="Benin"/>
        <s v="[Geography].[Blocs].[Country].&amp;[Bolivia]" c="Bolivia"/>
        <s v="[Geography].[Blocs].[Country].&amp;[Botswana]" c="Botswana"/>
        <s v="[Geography].[Blocs].[Country].&amp;[Brazil]" c="Brazil"/>
        <s v="[Geography].[Blocs].[Country].&amp;[Burkina Faso]" c="Burkina Faso"/>
        <s v="[Geography].[Blocs].[Country].&amp;[Burundi]" c="Burundi"/>
        <s v="[Geography].[Blocs].[Country].&amp;[Cameroon]" c="Cameroon"/>
        <s v="[Geography].[Blocs].[Country].&amp;[Central African Republic]" c="Central African Republic"/>
        <s v="[Geography].[Blocs].[Country].&amp;[Chad]" c="Chad"/>
        <s v="[Geography].[Blocs].[Country].&amp;[Chile]" c="Chile"/>
        <s v="[Geography].[Blocs].[Country].&amp;[Colombia]" c="Colombia"/>
        <s v="[Geography].[Blocs].[Country].&amp;[Congo DR]" c="Congo DR"/>
        <s v="[Geography].[Blocs].[Country].&amp;[Congo R]" c="Congo R"/>
        <s v="[Geography].[Blocs].[Country].&amp;[Costa Rica]" c="Costa Rica"/>
        <s v="[Geography].[Blocs].[Country].&amp;[Cote d'Ivoire]" c="Cote d'Ivoire"/>
        <s v="[Geography].[Blocs].[Country].&amp;[Dominican Republic]" c="Dominican Republic"/>
        <s v="[Geography].[Blocs].[Country].&amp;[Ecuador]" c="Ecuador"/>
        <s v="[Geography].[Blocs].[Country].&amp;[Fiji]" c="Fiji"/>
        <s v="[Geography].[Blocs].[Country].&amp;[Gabon]" c="Gabon"/>
        <s v="[Geography].[Blocs].[Country].&amp;[Ghana]" c="Ghana"/>
        <s v="[Geography].[Blocs].[Country].&amp;[Guatemala]" c="Guatemala"/>
        <s v="[Geography].[Blocs].[Country].&amp;[Guyana]" c="Guyana"/>
        <s v="[Geography].[Blocs].[Country].&amp;[Haiti]" c="Haiti"/>
        <s v="[Geography].[Blocs].[Country].&amp;[Honduras]" c="Honduras"/>
        <s v="[Geography].[Blocs].[Country].&amp;[India]" c="India"/>
        <s v="[Geography].[Blocs].[Country].&amp;[Kenya]" c="Kenya"/>
        <s v="[Geography].[Blocs].[Country].&amp;[Lesotho]" c="Lesotho"/>
        <s v="[Geography].[Blocs].[Country].&amp;[Madagascar]" c="Madagascar"/>
        <s v="[Geography].[Blocs].[Country].&amp;[Malawi]" c="Malawi"/>
        <s v="[Geography].[Blocs].[Country].&amp;[Malaysia]" c="Malaysia"/>
        <s v="[Geography].[Blocs].[Country].&amp;[Mexico]" c="Mexico"/>
        <s v="[Geography].[Blocs].[Country].&amp;[Nepal]" c="Nepal"/>
        <s v="[Geography].[Blocs].[Country].&amp;[Nicaragua]" c="Nicaragua"/>
        <s v="[Geography].[Blocs].[Country].&amp;[Niger]" c="Niger"/>
        <s v="[Geography].[Blocs].[Country].&amp;[Nigeria]" c="Nigeria"/>
        <s v="[Geography].[Blocs].[Country].&amp;[Pakistan]" c="Pakistan"/>
        <s v="[Geography].[Blocs].[Country].&amp;[Panama]" c="Panama"/>
        <s v="[Geography].[Blocs].[Country].&amp;[Papua New Guinea]" c="Papua New Guinea"/>
        <s v="[Geography].[Blocs].[Country].&amp;[Peru]" c="Peru"/>
        <s v="[Geography].[Blocs].[Country].&amp;[Philippines]" c="Philippines"/>
        <s v="[Geography].[Blocs].[Country].&amp;[Puerto Rico]" c="Puerto Rico"/>
        <s v="[Geography].[Blocs].[Country].&amp;[Rwanda]" c="Rwanda"/>
        <s v="[Geography].[Blocs].[Country].&amp;[Senegal]" c="Senegal"/>
        <s v="[Geography].[Blocs].[Country].&amp;[Seychelles]" c="Seychelles"/>
        <s v="[Geography].[Blocs].[Country].&amp;[Sierra Leone]" c="Sierra Leone"/>
        <s v="[Geography].[Blocs].[Country].&amp;[South Africa]" c="South Africa"/>
        <s v="[Geography].[Blocs].[Country].&amp;[Sudan (Former)]" c="Sudan (Former)"/>
        <s v="[Geography].[Blocs].[Country].&amp;[Suriname]" c="Suriname"/>
        <s v="[Geography].[Blocs].[Country].&amp;[Thailand]" c="Thailand"/>
        <s v="[Geography].[Blocs].[Country].&amp;[Togo]" c="Togo"/>
        <s v="[Geography].[Blocs].[Country].&amp;[Trinidad and Tobago]" c="Trinidad and Tobago"/>
        <s v="[Geography].[Blocs].[Country].&amp;[Turkey]" c="Turkey"/>
        <s v="[Geography].[Blocs].[Country].&amp;[Uruguay]" c="Uruguay"/>
        <s v="[Geography].[Blocs].[Country].&amp;[Zambia]" c="Zambia"/>
        <s v="[Geography].[Blocs].[Country].&amp;[Zimbabwe]" c="Zimbabwe"/>
      </sharedItems>
    </cacheField>
    <cacheField name="[Geography].[Blocs].[Nation]" caption="Nation" numFmtId="0" hierarchy="6" level="3">
      <sharedItems containsSemiMixedTypes="0" containsString="0"/>
    </cacheField>
    <cacheField name="[Indicator Detail].[Units].[Measure Type (Stock/Flow/etc)]" caption="Measure Type (Stock/Flow/etc)" numFmtId="0" hierarchy="12" level="1">
      <sharedItems containsSemiMixedTypes="0" containsString="0"/>
    </cacheField>
    <cacheField name="[Indicator Detail].[Units].[Dimension (Money/Quantity/PPP)]" caption="Dimension (Money/Quantity/PPP)" numFmtId="0" hierarchy="12" level="2">
      <sharedItems containsSemiMixedTypes="0" containsString="0"/>
    </cacheField>
    <cacheField name="[Indicator Detail].[Units].[Units (USD/EUR/LCU/etc)]" caption="Units (USD/EUR/LCU/etc)" numFmtId="0" hierarchy="12" level="3">
      <sharedItems containsSemiMixedTypes="0" containsString="0"/>
    </cacheField>
    <cacheField name="[Indicator Detail].[Units].[Metric (Current/Constant/etc)]" caption="Metric (Current/Constant/etc)" numFmtId="0" hierarchy="12" level="4">
      <sharedItems containsSemiMixedTypes="0" containsString="0"/>
    </cacheField>
    <cacheField name="[Dates].[Year].[Year]" caption="Year" numFmtId="0" hierarchy="5" level="1">
      <sharedItems count="60">
        <s v="[Dates].[Year].&amp;[1960]" c="1960"/>
        <s v="[Dates].[Year].&amp;[1961]" c="1961"/>
        <s v="[Dates].[Year].&amp;[1962]" c="1962"/>
        <s v="[Dates].[Year].&amp;[1963]" c="1963"/>
        <s v="[Dates].[Year].&amp;[1964]" c="1964"/>
        <s v="[Dates].[Year].&amp;[1965]" c="1965"/>
        <s v="[Dates].[Year].&amp;[1966]" c="1966"/>
        <s v="[Dates].[Year].&amp;[1967]" c="1967"/>
        <s v="[Dates].[Year].&amp;[1968]" c="1968"/>
        <s v="[Dates].[Year].&amp;[1969]" c="1969"/>
        <s v="[Dates].[Year].&amp;[1970]" c="1970"/>
        <s v="[Dates].[Year].&amp;[1971]" c="1971"/>
        <s v="[Dates].[Year].&amp;[1972]" c="1972"/>
        <s v="[Dates].[Year].&amp;[1973]" c="1973"/>
        <s v="[Dates].[Year].&amp;[1974]" c="1974"/>
        <s v="[Dates].[Year].&amp;[1975]" c="1975"/>
        <s v="[Dates].[Year].&amp;[1976]" c="1976"/>
        <s v="[Dates].[Year].&amp;[1977]" c="1977"/>
        <s v="[Dates].[Year].&amp;[1978]" c="1978"/>
        <s v="[Dates].[Year].&amp;[1979]" c="1979"/>
        <s v="[Dates].[Year].&amp;[1980]" c="1980"/>
        <s v="[Dates].[Year].&amp;[1981]" c="1981"/>
        <s v="[Dates].[Year].&amp;[1982]" c="1982"/>
        <s v="[Dates].[Year].&amp;[1983]" c="1983"/>
        <s v="[Dates].[Year].&amp;[1984]" c="1984"/>
        <s v="[Dates].[Year].&amp;[1985]" c="1985"/>
        <s v="[Dates].[Year].&amp;[1986]" c="1986"/>
        <s v="[Dates].[Year].&amp;[1987]" c="1987"/>
        <s v="[Dates].[Year].&amp;[1988]" c="1988"/>
        <s v="[Dates].[Year].&amp;[1989]" c="1989"/>
        <s v="[Dates].[Year].&amp;[1990]" c="1990"/>
        <s v="[Dates].[Year].&amp;[1991]" c="1991"/>
        <s v="[Dates].[Year].&amp;[1992]" c="1992"/>
        <s v="[Dates].[Year].&amp;[1993]" c="1993"/>
        <s v="[Dates].[Year].&amp;[1994]" c="1994"/>
        <s v="[Dates].[Year].&amp;[1995]" c="1995"/>
        <s v="[Dates].[Year].&amp;[1996]" c="1996"/>
        <s v="[Dates].[Year].&amp;[1997]" c="1997"/>
        <s v="[Dates].[Year].&amp;[1998]" c="1998"/>
        <s v="[Dates].[Year].&amp;[1999]" c="1999"/>
        <s v="[Dates].[Year].&amp;[2000]" c="2000"/>
        <s v="[Dates].[Year].&amp;[2001]" c="2001"/>
        <s v="[Dates].[Year].&amp;[2002]" c="2002"/>
        <s v="[Dates].[Year].&amp;[2003]" c="2003"/>
        <s v="[Dates].[Year].&amp;[2004]" c="2004"/>
        <s v="[Dates].[Year].&amp;[2005]" c="2005"/>
        <s v="[Dates].[Year].&amp;[2006]" c="2006"/>
        <s v="[Dates].[Year].&amp;[2007]" c="2007"/>
        <s v="[Dates].[Year].&amp;[2008]" c="2008"/>
        <s v="[Dates].[Year].&amp;[2009]" c="2009"/>
        <s v="[Dates].[Year].&amp;[2010]" c="2010"/>
        <s v="[Dates].[Year].&amp;[2011]" c="2011"/>
        <s v="[Dates].[Year].&amp;[2012]" c="2012"/>
        <s v="[Dates].[Year].&amp;[2013]" c="2013"/>
        <s v="[Dates].[Year].&amp;[2014]" c="2014"/>
        <s v="[Dates].[Year].&amp;[2015]" c="2015"/>
        <s v="[Dates].[Year].&amp;[2016]" c="2016"/>
        <s v="[Dates].[Year].&amp;[2017]" c="2017"/>
        <s v="[Dates].[Year].&amp;[2018]" c="2018"/>
        <s v="[Dates].[Year].&amp;[2019]" c="2019"/>
      </sharedItems>
    </cacheField>
    <cacheField name="[Measures].[Item]" caption="Item" numFmtId="0" hierarchy="73" level="32767"/>
    <cacheField name="[Data].[Original Source Data].[Source]" caption="Source" numFmtId="0" hierarchy="4" level="1">
      <sharedItems containsSemiMixedTypes="0" containsString="0"/>
    </cacheField>
    <cacheField name="[Data].[Original Source Data].[IndicatorSourceDescription]" caption="IndicatorSourceDescription" numFmtId="0" hierarchy="4" level="2">
      <sharedItems containsSemiMixedTypes="0" containsString="0"/>
    </cacheField>
    <cacheField name="[Geography].[WDI Availability].[wdi_availability]" caption="wdi_availability" numFmtId="0" hierarchy="9" level="1">
      <sharedItems containsSemiMixedTypes="0" containsString="0"/>
    </cacheField>
    <cacheField name="[Geography].[WDI Availability].[Country]" caption="Country" numFmtId="0" hierarchy="9" level="2">
      <sharedItems containsSemiMixedTypes="0" containsString="0"/>
    </cacheField>
    <cacheField name="[Geography].[WDI Availability].[Nation]" caption="Nation" numFmtId="0" hierarchy="9" level="3">
      <sharedItems containsSemiMixedTypes="0" containsString="0"/>
    </cacheField>
  </cacheFields>
  <cacheHierarchies count="76">
    <cacheHierarchy uniqueName="[Data].[Balance of Payments Component]" caption="Balance of Payments Component" defaultMemberUniqueName="[Data].[Balance of Payments Component].[All]" allUniqueName="[Data].[Balance of Payments Component].[All]" dimensionUniqueName="[Data]" displayFolder="" count="0" unbalanced="0"/>
    <cacheHierarchy uniqueName="[Data].[Demographics]" caption="Demographics" defaultMemberUniqueName="[Data].[Demographics].[All]" allUniqueName="[Data].[Demographics].[All]" dimensionUniqueName="[Data]" displayFolder="" count="2" unbalanced="0">
      <fieldsUsage count="2">
        <fieldUsage x="-1"/>
        <fieldUsage x="0"/>
      </fieldsUsage>
    </cacheHierarchy>
    <cacheHierarchy uniqueName="[Data].[GDP and other output measures]" caption="GDP and other output measures" defaultMemberUniqueName="[Data].[GDP and other output measures].[All]" allUniqueName="[Data].[GDP and other output measures].[All]" dimensionUniqueName="[Data]" displayFolder="" count="0" unbalanced="0"/>
    <cacheHierarchy uniqueName="[Data].[Indicator Source and Code]" caption="Indicator Source and Code" attribute="1" defaultMemberUniqueName="[Data].[Indicator Source and Code].[All]" allUniqueName="[Data].[Indicator Source and Code].[All]" dimensionUniqueName="[Data]" displayFolder="" count="0" unbalanced="0"/>
    <cacheHierarchy uniqueName="[Data].[Original Source Data]" caption="Original Source Data" defaultMemberUniqueName="[Data].[Original Source Data].[All]" allUniqueName="[Data].[Original Source Data].[All]" dimensionUniqueName="[Data]" displayFolder="" count="3" unbalanced="0">
      <fieldsUsage count="3">
        <fieldUsage x="-1"/>
        <fieldUsage x="10"/>
        <fieldUsage x="11"/>
      </fieldsUsage>
    </cacheHierarchy>
    <cacheHierarchy uniqueName="[Dates].[Year]" caption="Year" attribute="1" defaultMemberUniqueName="[Dates].[Year].[All]" allUniqueName="[Dates].[Year].[All]" dimensionUniqueName="[Dates]" displayFolder="" count="2" unbalanced="0">
      <fieldsUsage count="2">
        <fieldUsage x="-1"/>
        <fieldUsage x="8"/>
      </fieldsUsage>
    </cacheHierarchy>
    <cacheHierarchy uniqueName="[Geography].[Blocs]" caption="Blocs" defaultMemberUniqueName="[Geography].[Blocs].[All]" allUniqueName="[Geography].[Blocs].[All]" dimensionUniqueName="[Geography]" displayFolder="" count="4" unbalanced="0">
      <fieldsUsage count="4">
        <fieldUsage x="-1"/>
        <fieldUsage x="1"/>
        <fieldUsage x="2"/>
        <fieldUsage x="3"/>
      </fieldsUsage>
    </cacheHierarchy>
    <cacheHierarchy uniqueName="[Geography].[GeoEconomic Region]" caption="GeoEconomic Region" defaultMemberUniqueName="[Geography].[GeoEconomic Region].[All]" allUniqueName="[Geography].[GeoEconomic Region].[All]" dimensionUniqueName="[Geography]" displayFolder="" count="0" unbalanced="0"/>
    <cacheHierarchy uniqueName="[Geography].[Penn Availability]" caption="Penn Availability" defaultMemberUniqueName="[Geography].[Penn Availability].[All]" allUniqueName="[Geography].[Penn Availability].[All]" dimensionUniqueName="[Geography]" displayFolder="" count="0" unbalanced="0"/>
    <cacheHierarchy uniqueName="[Geography].[WDI Availability]" caption="WDI Availability" defaultMemberUniqueName="[Geography].[WDI Availability].[All]" allUniqueName="[Geography].[WDI Availability].[All]" dimensionUniqueName="[Geography]" displayFolder="" count="4" unbalanced="0">
      <fieldsUsage count="4">
        <fieldUsage x="-1"/>
        <fieldUsage x="12"/>
        <fieldUsage x="13"/>
        <fieldUsage x="14"/>
      </fieldsUsage>
    </cacheHierarchy>
    <cacheHierarchy uniqueName="[Indicator Detail].[Accounting Basis (net/gross,paid/received, etc)]" caption="Accounting Basis (net/gross,paid/received, etc)" attribute="1" defaultMemberUniqueName="[Indicator Detail].[Accounting Basis (net/gross,paid/received, etc)].[All]" allUniqueName="[Indicator Detail].[Accounting Basis (net/gross,paid/received, etc)].[All]" dimensionUniqueName="[Indicator Detail]" displayFolder="" count="0" unbalanced="0"/>
    <cacheHierarchy uniqueName="[Indicator Detail].[Industrial Sector (Agriculture/Manufacturing/etc)]" caption="Industrial Sector (Agriculture/Manufacturing/etc)" attribute="1" defaultMemberUniqueName="[Indicator Detail].[Industrial Sector (Agriculture/Manufacturing/etc)].[All]" allUniqueName="[Indicator Detail].[Industrial Sector (Agriculture/Manufacturing/etc)].[All]" dimensionUniqueName="[Indicator Detail]" displayFolder="" count="0" unbalanced="0"/>
    <cacheHierarchy uniqueName="[Indicator Detail].[Units]" caption="Units" defaultMemberUniqueName="[Indicator Detail].[Units].[All]" allUniqueName="[Indicator Detail].[Units].[All]" dimensionUniqueName="[Indicator Detail]" displayFolder="" count="5" unbalanced="0">
      <fieldsUsage count="5">
        <fieldUsage x="-1"/>
        <fieldUsage x="4"/>
        <fieldUsage x="5"/>
        <fieldUsage x="6"/>
        <fieldUsage x="7"/>
      </fieldsUsage>
    </cacheHierarchy>
    <cacheHierarchy uniqueName="[Data].[Accounting Basis]" caption="Accounting Basis" attribute="1" defaultMemberUniqueName="[Data].[Accounting Basis].[All]" allUniqueName="[Data].[Accounting Basis].[All]" dimensionUniqueName="[Data]" displayFolder="" count="0" unbalanced="0" hidden="1"/>
    <cacheHierarchy uniqueName="[Data].[Balance of Payments]" caption="Balance of Payments" attribute="1" defaultMemberUniqueName="[Data].[Balance of Payments].[All]" allUniqueName="[Data].[Balance of Payments].[All]" dimensionUniqueName="[Data]" displayFolder="" count="0" unbalanced="0" hidden="1"/>
    <cacheHierarchy uniqueName="[Data].[DateField]" caption="DateField" attribute="1" defaultMemberUniqueName="[Data].[DateField].[All]" allUniqueName="[Data].[DateField].[All]" dimensionUniqueName="[Data]" displayFolder="" count="0" unbalanced="0" hidden="1"/>
    <cacheHierarchy uniqueName="[Data].[DimGeoID]" caption="DimGeoID" attribute="1" defaultMemberUniqueName="[Data].[DimGeoID].[All]" allUniqueName="[Data].[DimGeoID].[All]" dimensionUniqueName="[Data]" displayFolder="" count="0" unbalanced="0" hidden="1"/>
    <cacheHierarchy uniqueName="[Data].[DimIndicatorID]" caption="DimIndicatorID" attribute="1" defaultMemberUniqueName="[Data].[DimIndicatorID].[All]" allUniqueName="[Data].[DimIndicatorID].[All]" dimensionUniqueName="[Data]" displayFolder="" count="0" unbalanced="0" hidden="1"/>
    <cacheHierarchy uniqueName="[Data].[DimSourceID]" caption="DimSourceID" attribute="1" defaultMemberUniqueName="[Data].[DimSourceID].[All]" allUniqueName="[Data].[DimSourceID].[All]" dimensionUniqueName="[Data]" displayFolder="" count="0" unbalanced="0" hidden="1"/>
    <cacheHierarchy uniqueName="[Data].[FactID]" caption="FactID" attribute="1" defaultMemberUniqueName="[Data].[FactID].[All]" allUniqueName="[Data].[FactID].[All]" dimensionUniqueName="[Data]" displayFolder="" count="0" unbalanced="0" hidden="1"/>
    <cacheHierarchy uniqueName="[Data].[Indicator_Type]" caption="Indicator_Type" attribute="1" defaultMemberUniqueName="[Data].[Indicator_Type].[All]" allUniqueName="[Data].[Indicator_Type].[All]" dimensionUniqueName="[Data]" displayFolder="" count="0" unbalanced="0" hidden="1"/>
    <cacheHierarchy uniqueName="[Data].[IndicatorSourceDescription]" caption="IndicatorSourceDescription" attribute="1" defaultMemberUniqueName="[Data].[IndicatorSourceDescription].[All]" allUniqueName="[Data].[IndicatorSourceDescription].[All]" dimensionUniqueName="[Data]" displayFolder="" count="0" unbalanced="0" hidden="1"/>
    <cacheHierarchy uniqueName="[Data].[IndicatorStandardNamesID]" caption="IndicatorStandardNamesID" attribute="1" defaultMemberUniqueName="[Data].[IndicatorStandardNamesID].[All]" allUniqueName="[Data].[IndicatorStandardNamesID].[All]" dimensionUniqueName="[Data]" displayFolder="" count="0" unbalanced="0" hidden="1"/>
    <cacheHierarchy uniqueName="[Data].[Nation]" caption="Nation" attribute="1" defaultMemberUniqueName="[Data].[Nation].[All]" allUniqueName="[Data].[Nation].[All]" dimensionUniqueName="[Data]" displayFolder="" count="0" unbalanced="0" hidden="1"/>
    <cacheHierarchy uniqueName="[Data].[Output Definition]" caption="Output Definition" attribute="1" defaultMemberUniqueName="[Data].[Output Definition].[All]" allUniqueName="[Data].[Output Definition].[All]" dimensionUniqueName="[Data]" displayFolder="" count="0" unbalanced="0" hidden="1"/>
    <cacheHierarchy uniqueName="[Data].[Population]" caption="Population" attribute="1" defaultMemberUniqueName="[Data].[Population].[All]" allUniqueName="[Data].[Population].[All]" dimensionUniqueName="[Data]" displayFolder="" count="0" unbalanced="0" hidden="1"/>
    <cacheHierarchy uniqueName="[Data].[Source]" caption="Source" attribute="1" defaultMemberUniqueName="[Data].[Source].[All]" allUniqueName="[Data].[Source].[All]" dimensionUniqueName="[Data]" displayFolder="" count="0" unbalanced="0" hidden="1"/>
    <cacheHierarchy uniqueName="[Data].[Value]" caption="Value" attribute="1" defaultMemberUniqueName="[Data].[Value].[All]" allUniqueName="[Data].[Value].[All]" dimensionUniqueName="[Data]" displayFolder="" count="0" unbalanced="0" hidden="1"/>
    <cacheHierarchy uniqueName="[Dates].[CalendarKey]" caption="CalendarKey" attribute="1" defaultMemberUniqueName="[Dates].[CalendarKey].[All]" allUniqueName="[Dates].[CalendarKey].[All]" dimensionUniqueName="[Dates]" displayFolder="" count="0" unbalanced="0" hidden="1"/>
    <cacheHierarchy uniqueName="[Dates].[Date]" caption="Date" attribute="1" defaultMemberUniqueName="[Dates].[Date].[All]" allUniqueName="[Dates].[Date].[All]" dimensionUniqueName="[Dates]" displayFolder="" count="0" unbalanced="0" hidden="1"/>
    <cacheHierarchy uniqueName="[Geography].[Country]" caption="Country" attribute="1" defaultMemberUniqueName="[Geography].[Country].[All]" allUniqueName="[Geography].[Country].[All]" dimensionUniqueName="[Geography]" displayFolder="" count="0" unbalanced="0" hidden="1"/>
    <cacheHierarchy uniqueName="[Geography].[DimGeoID]" caption="DimGeoID" attribute="1" defaultMemberUniqueName="[Geography].[DimGeoID].[All]" allUniqueName="[Geography].[DimGeoID].[All]" dimensionUniqueName="[Geography]" displayFolder="" count="0" unbalanced="0" hidden="1"/>
    <cacheHierarchy uniqueName="[Geography].[GeoEconomic_Region]" caption="GeoEconomic_Region" attribute="1" defaultMemberUniqueName="[Geography].[GeoEconomic_Region].[All]" allUniqueName="[Geography].[GeoEconomic_Region].[All]" dimensionUniqueName="[Geography]" displayFolder="" count="0" unbalanced="0" hidden="1"/>
    <cacheHierarchy uniqueName="[Geography].[Geopolitical_Region]" caption="Geopolitical_Region" attribute="1" defaultMemberUniqueName="[Geography].[Geopolitical_Region].[All]" allUniqueName="[Geography].[Geopolitical_Region].[All]" dimensionUniqueName="[Geography]" displayFolder="" count="0" unbalanced="0" hidden="1"/>
    <cacheHierarchy uniqueName="[Geography].[GeoPolitical_Type]" caption="GeoPolitical_Type" attribute="1" defaultMemberUniqueName="[Geography].[GeoPolitical_Type].[All]" allUniqueName="[Geography].[GeoPolitical_Type].[All]" dimensionUniqueName="[Geography]" displayFolder="" count="0" unbalanced="0" hidden="1"/>
    <cacheHierarchy uniqueName="[Geography].[IMF_main_category]" caption="IMF_main_category" attribute="1" defaultMemberUniqueName="[Geography].[IMF_main_category].[All]" allUniqueName="[Geography].[IMF_main_category].[All]" dimensionUniqueName="[Geography]" displayFolder="" count="0" unbalanced="0" hidden="1"/>
    <cacheHierarchy uniqueName="[Geography].[IMF_sub_category]" caption="IMF_sub_category" attribute="1" defaultMemberUniqueName="[Geography].[IMF_sub_category].[All]" allUniqueName="[Geography].[IMF_sub_category].[All]" dimensionUniqueName="[Geography]" displayFolder="" count="0" unbalanced="0" hidden="1"/>
    <cacheHierarchy uniqueName="[Geography].[MACROHISTORY_Geography]" caption="MACROHISTORY_Geography" attribute="1" defaultMemberUniqueName="[Geography].[MACROHISTORY_Geography].[All]" allUniqueName="[Geography].[MACROHISTORY_Geography].[All]" dimensionUniqueName="[Geography]" displayFolder="" count="0" unbalanced="0" hidden="1"/>
    <cacheHierarchy uniqueName="[Geography].[Major_Blocs]" caption="Major_Blocs" attribute="1" defaultMemberUniqueName="[Geography].[Major_Blocs].[All]" allUniqueName="[Geography].[Major_Blocs].[All]" dimensionUniqueName="[Geography]" displayFolder="" count="0" unbalanced="0" hidden="1"/>
    <cacheHierarchy uniqueName="[Geography].[Nation]" caption="Nation" attribute="1" defaultMemberUniqueName="[Geography].[Nation].[All]" allUniqueName="[Geography].[Nation].[All]" dimensionUniqueName="[Geography]" displayFolder="" count="0" unbalanced="0" hidden="1"/>
    <cacheHierarchy uniqueName="[Geography].[penn_availability]" caption="penn_availability" attribute="1" defaultMemberUniqueName="[Geography].[penn_availability].[All]" allUniqueName="[Geography].[penn_availability].[All]" dimensionUniqueName="[Geography]" displayFolder="" count="0" unbalanced="0" hidden="1"/>
    <cacheHierarchy uniqueName="[Geography].[Size]" caption="Size" attribute="1" defaultMemberUniqueName="[Geography].[Size].[All]" allUniqueName="[Geography].[Size].[All]" dimensionUniqueName="[Geography]" displayFolder="" count="0" unbalanced="0" hidden="1"/>
    <cacheHierarchy uniqueName="[Geography].[wdi_availability]" caption="wdi_availability" attribute="1" defaultMemberUniqueName="[Geography].[wdi_availability].[All]" allUniqueName="[Geography].[wdi_availability].[All]" dimensionUniqueName="[Geography]" displayFolder="" count="0" unbalanced="0" hidden="1"/>
    <cacheHierarchy uniqueName="[Geography].[WID_Geography]" caption="WID_Geography" attribute="1" defaultMemberUniqueName="[Geography].[WID_Geography].[All]" allUniqueName="[Geography].[WID_Geography].[All]" dimensionUniqueName="[Geography]" displayFolder="" count="0" unbalanced="0" hidden="1"/>
    <cacheHierarchy uniqueName="[Indicator Detail].[balance_of_payments_component]" caption="balance_of_payments_component" attribute="1" defaultMemberUniqueName="[Indicator Detail].[balance_of_payments_component].[All]" allUniqueName="[Indicator Detail].[balance_of_payments_component].[All]" dimensionUniqueName="[Indicator Detail]" displayFolder="" count="0" unbalanced="0" hidden="1"/>
    <cacheHierarchy uniqueName="[Indicator Detail].[capital_component]" caption="capital_component" attribute="1" defaultMemberUniqueName="[Indicator Detail].[capital_component].[All]" allUniqueName="[Indicator Detail].[capital_component].[All]" dimensionUniqueName="[Indicator Detail]" displayFolder="" count="0" unbalanced="0" hidden="1"/>
    <cacheHierarchy uniqueName="[Indicator Detail].[DimIndicatorID]" caption="DimIndicatorID" attribute="1" defaultMemberUniqueName="[Indicator Detail].[DimIndicatorID].[All]" allUniqueName="[Indicator Detail].[DimIndicatorID].[All]" dimensionUniqueName="[Indicator Detail]" displayFolder="" count="0" unbalanced="0" hidden="1"/>
    <cacheHierarchy uniqueName="[Indicator Detail].[gdp_expenditure_component]" caption="gdp_expenditure_component" attribute="1" defaultMemberUniqueName="[Indicator Detail].[gdp_expenditure_component].[All]" allUniqueName="[Indicator Detail].[gdp_expenditure_component].[All]" dimensionUniqueName="[Indicator Detail]" displayFolder="" count="0" unbalanced="0" hidden="1"/>
    <cacheHierarchy uniqueName="[Indicator Detail].[indicator_dimension]" caption="indicator_dimension" attribute="1" defaultMemberUniqueName="[Indicator Detail].[indicator_dimension].[All]" allUniqueName="[Indicator Detail].[indicator_dimension].[All]" dimensionUniqueName="[Indicator Detail]" displayFolder="" count="0" unbalanced="0" hidden="1"/>
    <cacheHierarchy uniqueName="[Indicator Detail].[indicator_metrics]" caption="indicator_metrics" attribute="1" defaultMemberUniqueName="[Indicator Detail].[indicator_metrics].[All]" allUniqueName="[Indicator Detail].[indicator_metrics].[All]" dimensionUniqueName="[Indicator Detail]" displayFolder="" count="0" unbalanced="0" hidden="1"/>
    <cacheHierarchy uniqueName="[Indicator Detail].[indicator_type]" caption="indicator_type" attribute="1" defaultMemberUniqueName="[Indicator Detail].[indicator_type].[All]" allUniqueName="[Indicator Detail].[indicator_type].[All]" dimensionUniqueName="[Indicator Detail]" displayFolder="" count="0" unbalanced="0" hidden="1"/>
    <cacheHierarchy uniqueName="[Indicator Detail].[indicator_units]" caption="indicator_units" attribute="1" defaultMemberUniqueName="[Indicator Detail].[indicator_units].[All]" allUniqueName="[Indicator Detail].[indicator_units].[All]" dimensionUniqueName="[Indicator Detail]" displayFolder="" count="0" unbalanced="0" hidden="1"/>
    <cacheHierarchy uniqueName="[Indicator Detail].[IndicatorStandardName]" caption="IndicatorStandardName" attribute="1" defaultMemberUniqueName="[Indicator Detail].[IndicatorStandardName].[All]" allUniqueName="[Indicator Detail].[IndicatorStandardName].[All]" dimensionUniqueName="[Indicator Detail]" displayFolder="" count="0" unbalanced="0" hidden="1"/>
    <cacheHierarchy uniqueName="[Indicator Detail].[measure_type]" caption="measure_type" attribute="1" defaultMemberUniqueName="[Indicator Detail].[measure_type].[All]" allUniqueName="[Indicator Detail].[measure_type].[All]" dimensionUniqueName="[Indicator Detail]" displayFolder="" count="0" unbalanced="0" hidden="1"/>
    <cacheHierarchy uniqueName="[Indicator Detail].[other_indicator_description]" caption="other_indicator_description" attribute="1" defaultMemberUniqueName="[Indicator Detail].[other_indicator_description].[All]" allUniqueName="[Indicator Detail].[other_indicator_description].[All]" dimensionUniqueName="[Indicator Detail]" displayFolder="" count="0" unbalanced="0" hidden="1"/>
    <cacheHierarchy uniqueName="[Indicator Detail].[output_definition]" caption="output_definition" attribute="1" defaultMemberUniqueName="[Indicator Detail].[output_definition].[All]" allUniqueName="[Indicator Detail].[output_definition].[All]" dimensionUniqueName="[Indicator Detail]" displayFolder="" count="0" unbalanced="0" hidden="1"/>
    <cacheHierarchy uniqueName="[Indicator Detail].[population_component]" caption="population_component" attribute="1" defaultMemberUniqueName="[Indicator Detail].[population_component].[All]" allUniqueName="[Indicator Detail].[population_component].[All]" dimensionUniqueName="[Indicator Detail]" displayFolder="" count="0" unbalanced="0" hidden="1"/>
    <cacheHierarchy uniqueName="[Indicator Detail].[source_component]" caption="source_component" attribute="1" defaultMemberUniqueName="[Indicator Detail].[source_component].[All]" allUniqueName="[Indicator Detail].[source_component].[All]" dimensionUniqueName="[Indicator Detail]" displayFolder="" count="0" unbalanced="0" hidden="1"/>
    <cacheHierarchy uniqueName="[IndicatorStandardNames].[IndicatorSource]" caption="IndicatorSource" attribute="1" defaultMemberUniqueName="[IndicatorStandardNames].[IndicatorSource].[All]" allUniqueName="[IndicatorStandardNames].[IndicatorSource].[All]" dimensionUniqueName="[IndicatorStandardNames]" displayFolder="" count="0" unbalanced="0" hidden="1"/>
    <cacheHierarchy uniqueName="[IndicatorStandardNames].[IndicatorSourceCode]" caption="IndicatorSourceCode" attribute="1" defaultMemberUniqueName="[IndicatorStandardNames].[IndicatorSourceCode].[All]" allUniqueName="[IndicatorStandardNames].[IndicatorSourceCode].[All]" dimensionUniqueName="[IndicatorStandardNames]" displayFolder="" count="0" unbalanced="0" hidden="1"/>
    <cacheHierarchy uniqueName="[IndicatorStandardNames].[IndicatorSourceDescription]" caption="IndicatorSourceDescription" attribute="1" defaultMemberUniqueName="[IndicatorStandardNames].[IndicatorSourceDescription].[All]" allUniqueName="[IndicatorStandardNames].[IndicatorSourceDescription].[All]" dimensionUniqueName="[IndicatorStandardNames]" displayFolder="" count="0" unbalanced="0" hidden="1"/>
    <cacheHierarchy uniqueName="[IndicatorStandardNames].[IndicatorStandardName]" caption="IndicatorStandardName" attribute="1" defaultMemberUniqueName="[IndicatorStandardNames].[IndicatorStandardName].[All]" allUniqueName="[IndicatorStandardNames].[IndicatorStandardName].[All]" dimensionUniqueName="[IndicatorStandardNames]" displayFolder="" count="0" unbalanced="0" hidden="1"/>
    <cacheHierarchy uniqueName="[IndicatorStandardNames].[IndicatorStandardNamesID]" caption="IndicatorStandardNamesID" attribute="1" defaultMemberUniqueName="[IndicatorStandardNames].[IndicatorStandardNamesID].[All]" allUniqueName="[IndicatorStandardNames].[IndicatorStandardNamesID].[All]" dimensionUniqueName="[IndicatorStandardNames]" displayFolder="" count="0" unbalanced="0" hidden="1"/>
    <cacheHierarchy uniqueName="[Sources].[DataNotes]" caption="DataNotes" attribute="1" defaultMemberUniqueName="[Sources].[DataNotes].[All]" allUniqueName="[Sources].[DataNotes].[All]" dimensionUniqueName="[Sources]" displayFolder="" count="0" unbalanced="0" hidden="1"/>
    <cacheHierarchy uniqueName="[Sources].[DataOriginFile]" caption="DataOriginFile" attribute="1" defaultMemberUniqueName="[Sources].[DataOriginFile].[All]" allUniqueName="[Sources].[DataOriginFile].[All]" dimensionUniqueName="[Sources]" displayFolder="" count="0" unbalanced="0" hidden="1"/>
    <cacheHierarchy uniqueName="[Sources].[DataOriginURL]" caption="DataOriginURL" attribute="1" defaultMemberUniqueName="[Sources].[DataOriginURL].[All]" allUniqueName="[Sources].[DataOriginURL].[All]" dimensionUniqueName="[Sources]" displayFolder="" count="0" unbalanced="0" hidden="1"/>
    <cacheHierarchy uniqueName="[Sources].[Description]" caption="Description" attribute="1" defaultMemberUniqueName="[Sources].[Description].[All]" allUniqueName="[Sources].[Description].[All]" dimensionUniqueName="[Sources]" displayFolder="" count="0" unbalanced="0" hidden="1"/>
    <cacheHierarchy uniqueName="[Sources].[DimSourceID]" caption="DimSourceID" attribute="1" defaultMemberUniqueName="[Sources].[DimSourceID].[All]" allUniqueName="[Sources].[DimSourceID].[All]" dimensionUniqueName="[Sources]" displayFolder="" count="0" unbalanced="0" hidden="1"/>
    <cacheHierarchy uniqueName="[Sources].[PreparationNotes]" caption="PreparationNotes" attribute="1" defaultMemberUniqueName="[Sources].[PreparationNotes].[All]" allUniqueName="[Sources].[PreparationNotes].[All]" dimensionUniqueName="[Sources]" displayFolder="" count="0" unbalanced="0" hidden="1"/>
    <cacheHierarchy uniqueName="[Sources].[SourceName]" caption="SourceName" attribute="1" defaultMemberUniqueName="[Sources].[SourceName].[All]" allUniqueName="[Sources].[SourceName].[All]" dimensionUniqueName="[Sources]" displayFolder="" count="0" unbalanced="0" hidden="1"/>
    <cacheHierarchy uniqueName="[Sources].[SourceNameDetail]" caption="SourceNameDetail" attribute="1" defaultMemberUniqueName="[Sources].[SourceNameDetail].[All]" allUniqueName="[Sources].[SourceNameDetail].[All]" dimensionUniqueName="[Sources]" displayFolder="" count="0" unbalanced="0" hidden="1"/>
    <cacheHierarchy uniqueName="[Sources].[SourceNameParent]" caption="SourceNameParent" attribute="1" defaultMemberUniqueName="[Sources].[SourceNameParent].[All]" allUniqueName="[Sources].[SourceNameParent].[All]" dimensionUniqueName="[Sources]" displayFolder="" count="0" unbalanced="0" hidden="1"/>
    <cacheHierarchy uniqueName="[Sources].[SourceNotes]" caption="SourceNotes" attribute="1" defaultMemberUniqueName="[Sources].[SourceNotes].[All]" allUniqueName="[Sources].[SourceNotes].[All]" dimensionUniqueName="[Sources]" displayFolder="" count="0" unbalanced="0" hidden="1"/>
    <cacheHierarchy uniqueName="[Measures].[Item]" caption="Item" measure="1" displayFolder="" measureGroup="Data" count="0" oneField="1">
      <fieldsUsage count="1">
        <fieldUsage x="9"/>
      </fieldsUsage>
    </cacheHierarchy>
    <cacheHierarchy uniqueName="[Measures].[Count]" caption="Count" measure="1" displayFolder="" measureGroup="Data" count="0"/>
    <cacheHierarchy uniqueName="[Measures].[__Default measure]" caption="__Default measure" measure="1" displayFolder="" count="0" hidden="1"/>
  </cacheHierarchies>
  <kpis count="0"/>
  <dimensions count="5">
    <dimension name="Data" uniqueName="[Data]" caption="Data"/>
    <dimension name="Dates" uniqueName="[Dates]" caption="Dates"/>
    <dimension name="Geography" uniqueName="[Geography]" caption="Geography"/>
    <dimension name="Indicator Detail" uniqueName="[Indicator Detail]" caption="Indicator Detail"/>
    <dimension measure="1" name="Measures" uniqueName="[Measures]" caption="Measures"/>
  </dimensions>
  <measureGroups count="6">
    <measureGroup name="Data" caption="Data"/>
    <measureGroup name="Dates" caption="Dates"/>
    <measureGroup name="Geography" caption="Geography"/>
    <measureGroup name="Indicator Detail" caption="Indicator Detail"/>
    <measureGroup name="IndicatorStandardNames" caption="IndicatorStandardNames"/>
    <measureGroup name="Sources" caption="Sources"/>
  </measureGroups>
  <maps count="7">
    <map measureGroup="0" dimension="0"/>
    <map measureGroup="0" dimension="1"/>
    <map measureGroup="0" dimension="2"/>
    <map measureGroup="0" dimension="3"/>
    <map measureGroup="1" dimension="1"/>
    <map measureGroup="2"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an Freeman" refreshedDate="44171.7858375" backgroundQuery="1" createdVersion="6" refreshedVersion="6" minRefreshableVersion="3" recordCount="0" supportSubquery="1" supportAdvancedDrill="1" xr:uid="{FF8F0465-E5FE-41DA-9B77-394DB90C805A}">
  <cacheSource type="external" connectionId="1"/>
  <cacheFields count="16">
    <cacheField name="[Geography].[Blocs].[Major_Blocs]" caption="Major_Blocs" numFmtId="0" hierarchy="6" level="1">
      <sharedItems count="4">
        <s v="[Geography].[Blocs].[Major_Blocs].&amp;[China Mainland]" c="China Mainland"/>
        <s v="[Geography].[Blocs].[Major_Blocs].&amp;[North]" c="North"/>
        <s v="[Geography].[Blocs].[Major_Blocs].&amp;[South]" c="South"/>
        <s v="[Geography].[Blocs].[Major_Blocs].&amp;[Transitional]" u="1" c="Transitional"/>
      </sharedItems>
    </cacheField>
    <cacheField name="[Geography].[Blocs].[Country]" caption="Country" numFmtId="0" hierarchy="6" level="2">
      <sharedItems count="94">
        <s v="[Geography].[Blocs].[Country].&amp;[Australia]" c="Australia"/>
        <s v="[Geography].[Blocs].[Country].&amp;[Austria]" c="Austria"/>
        <s v="[Geography].[Blocs].[Country].&amp;[Belgium]" c="Belgium"/>
        <s v="[Geography].[Blocs].[Country].&amp;[Finland]" c="Finland"/>
        <s v="[Geography].[Blocs].[Country].&amp;[France]" c="France"/>
        <s v="[Geography].[Blocs].[Country].&amp;[Greece]" c="Greece"/>
        <s v="[Geography].[Blocs].[Country].&amp;[Israel]" c="Israel"/>
        <s v="[Geography].[Blocs].[Country].&amp;[Italy]" c="Italy"/>
        <s v="[Geography].[Blocs].[Country].&amp;[Japan]" c="Japan"/>
        <s v="[Geography].[Blocs].[Country].&amp;[Luxemburg]" c="Luxemburg"/>
        <s v="[Geography].[Blocs].[Country].&amp;[Netherlands]" c="Netherlands"/>
        <s v="[Geography].[Blocs].[Country].&amp;[Norway]" c="Norway"/>
        <s v="[Geography].[Blocs].[Country].&amp;[Portugal]" c="Portugal"/>
        <s v="[Geography].[Blocs].[Country].&amp;[Singapore]" c="Singapore"/>
        <s v="[Geography].[Blocs].[Country].&amp;[South Korea]" c="South Korea"/>
        <s v="[Geography].[Blocs].[Country].&amp;[Spain]" c="Spain"/>
        <s v="[Geography].[Blocs].[Country].&amp;[Sweden]" c="Sweden"/>
        <s v="[Geography].[Blocs].[Country].&amp;[United Kingdom]" c="United Kingdom"/>
        <s v="[Geography].[Blocs].[Country].&amp;[United States]" c="United States"/>
        <s v="[Geography].[Blocs].[Country].&amp;[Bahamas]" c="Bahamas"/>
        <s v="[Geography].[Blocs].[Country].&amp;[Bangladesh]" c="Bangladesh"/>
        <s v="[Geography].[Blocs].[Country].&amp;[Belize]" c="Belize"/>
        <s v="[Geography].[Blocs].[Country].&amp;[Benin]" c="Benin"/>
        <s v="[Geography].[Blocs].[Country].&amp;[Bolivia]" c="Bolivia"/>
        <s v="[Geography].[Blocs].[Country].&amp;[Botswana]" c="Botswana"/>
        <s v="[Geography].[Blocs].[Country].&amp;[Brazil]" c="Brazil"/>
        <s v="[Geography].[Blocs].[Country].&amp;[Burkina Faso]" c="Burkina Faso"/>
        <s v="[Geography].[Blocs].[Country].&amp;[Burundi]" c="Burundi"/>
        <s v="[Geography].[Blocs].[Country].&amp;[Cameroon]" c="Cameroon"/>
        <s v="[Geography].[Blocs].[Country].&amp;[Central African Republic]" c="Central African Republic"/>
        <s v="[Geography].[Blocs].[Country].&amp;[Chad]" c="Chad"/>
        <s v="[Geography].[Blocs].[Country].&amp;[Chile]" c="Chile"/>
        <s v="[Geography].[Blocs].[Country].&amp;[Colombia]" c="Colombia"/>
        <s v="[Geography].[Blocs].[Country].&amp;[Congo DR]" c="Congo DR"/>
        <s v="[Geography].[Blocs].[Country].&amp;[Congo R]" c="Congo R"/>
        <s v="[Geography].[Blocs].[Country].&amp;[Costa Rica]" c="Costa Rica"/>
        <s v="[Geography].[Blocs].[Country].&amp;[Cote d'Ivoire]" c="Cote d'Ivoire"/>
        <s v="[Geography].[Blocs].[Country].&amp;[Dominican Republic]" c="Dominican Republic"/>
        <s v="[Geography].[Blocs].[Country].&amp;[Ecuador]" c="Ecuador"/>
        <s v="[Geography].[Blocs].[Country].&amp;[Fiji]" c="Fiji"/>
        <s v="[Geography].[Blocs].[Country].&amp;[Gabon]" c="Gabon"/>
        <s v="[Geography].[Blocs].[Country].&amp;[Ghana]" c="Ghana"/>
        <s v="[Geography].[Blocs].[Country].&amp;[Guatemala]" c="Guatemala"/>
        <s v="[Geography].[Blocs].[Country].&amp;[Guyana]" c="Guyana"/>
        <s v="[Geography].[Blocs].[Country].&amp;[Haiti]" c="Haiti"/>
        <s v="[Geography].[Blocs].[Country].&amp;[Honduras]" c="Honduras"/>
        <s v="[Geography].[Blocs].[Country].&amp;[India]" c="India"/>
        <s v="[Geography].[Blocs].[Country].&amp;[Kenya]" c="Kenya"/>
        <s v="[Geography].[Blocs].[Country].&amp;[Lesotho]" c="Lesotho"/>
        <s v="[Geography].[Blocs].[Country].&amp;[Madagascar]" c="Madagascar"/>
        <s v="[Geography].[Blocs].[Country].&amp;[Malawi]" c="Malawi"/>
        <s v="[Geography].[Blocs].[Country].&amp;[Malaysia]" c="Malaysia"/>
        <s v="[Geography].[Blocs].[Country].&amp;[Mexico]" c="Mexico"/>
        <s v="[Geography].[Blocs].[Country].&amp;[Nepal]" c="Nepal"/>
        <s v="[Geography].[Blocs].[Country].&amp;[Nicaragua]" c="Nicaragua"/>
        <s v="[Geography].[Blocs].[Country].&amp;[Niger]" c="Niger"/>
        <s v="[Geography].[Blocs].[Country].&amp;[Nigeria]" c="Nigeria"/>
        <s v="[Geography].[Blocs].[Country].&amp;[Pakistan]" c="Pakistan"/>
        <s v="[Geography].[Blocs].[Country].&amp;[Panama]" c="Panama"/>
        <s v="[Geography].[Blocs].[Country].&amp;[Papua New Guinea]" c="Papua New Guinea"/>
        <s v="[Geography].[Blocs].[Country].&amp;[Peru]" c="Peru"/>
        <s v="[Geography].[Blocs].[Country].&amp;[Philippines]" c="Philippines"/>
        <s v="[Geography].[Blocs].[Country].&amp;[Puerto Rico]" c="Puerto Rico"/>
        <s v="[Geography].[Blocs].[Country].&amp;[Rwanda]" c="Rwanda"/>
        <s v="[Geography].[Blocs].[Country].&amp;[Senegal]" c="Senegal"/>
        <s v="[Geography].[Blocs].[Country].&amp;[Seychelles]" c="Seychelles"/>
        <s v="[Geography].[Blocs].[Country].&amp;[Sierra Leone]" c="Sierra Leone"/>
        <s v="[Geography].[Blocs].[Country].&amp;[South Africa]" c="South Africa"/>
        <s v="[Geography].[Blocs].[Country].&amp;[Sudan (Former)]" c="Sudan (Former)"/>
        <s v="[Geography].[Blocs].[Country].&amp;[Suriname]" c="Suriname"/>
        <s v="[Geography].[Blocs].[Country].&amp;[Thailand]" c="Thailand"/>
        <s v="[Geography].[Blocs].[Country].&amp;[Togo]" c="Togo"/>
        <s v="[Geography].[Blocs].[Country].&amp;[Trinidad and Tobago]" c="Trinidad and Tobago"/>
        <s v="[Geography].[Blocs].[Country].&amp;[Turkey]" c="Turkey"/>
        <s v="[Geography].[Blocs].[Country].&amp;[Uruguay]" c="Uruguay"/>
        <s v="[Geography].[Blocs].[Country].&amp;[Zambia]" c="Zambia"/>
        <s v="[Geography].[Blocs].[Country].&amp;[Zimbabwe]" c="Zimbabwe"/>
        <s v="[Geography].[Blocs].[Country].&amp;[Algeria]" u="1" c="Algeria"/>
        <s v="[Geography].[Blocs].[Country].&amp;[Argentina]" u="1" c="Argentina"/>
        <s v="[Geography].[Blocs].[Country].&amp;[El Salvador]" u="1" c="El Salvador"/>
        <s v="[Geography].[Blocs].[Country].&amp;[Gambia]" u="1" c="Gambia"/>
        <s v="[Geography].[Blocs].[Country].&amp;[Guinea-Bissau]" u="1" c="Guinea-Bissau"/>
        <s v="[Geography].[Blocs].[Country].&amp;[Iraq]" u="1" c="Iraq"/>
        <s v="[Geography].[Blocs].[Country].&amp;[Jamaica]" u="1" c="Jamaica"/>
        <s v="[Geography].[Blocs].[Country].&amp;[Kiribati]" u="1" c="Kiribati"/>
        <s v="[Geography].[Blocs].[Country].&amp;[Mali]" u="1" c="Mali"/>
        <s v="[Geography].[Blocs].[Country].&amp;[Mauritania]" u="1" c="Mauritania"/>
        <s v="[Geography].[Blocs].[Country].&amp;[Morocco]" u="1" c="Morocco"/>
        <s v="[Geography].[Blocs].[Country].&amp;[Oman]" u="1" c="Oman"/>
        <s v="[Geography].[Blocs].[Country].&amp;[Paraguay]" u="1" c="Paraguay"/>
        <s v="[Geography].[Blocs].[Country].&amp;[Saudi Arabia]" u="1" c="Saudi Arabia"/>
        <s v="[Geography].[Blocs].[Country].&amp;[Sri Lanka]" u="1" c="Sri Lanka"/>
        <s v="[Geography].[Blocs].[Country].&amp;[Swaziland]" u="1" c="Swaziland"/>
        <s v="[Geography].[Blocs].[Country].&amp;[Tunisia]" u="1" c="Tunisia"/>
      </sharedItems>
    </cacheField>
    <cacheField name="[Geography].[Blocs].[Nation]" caption="Nation" numFmtId="0" hierarchy="6" level="3">
      <sharedItems containsSemiMixedTypes="0" containsString="0"/>
    </cacheField>
    <cacheField name="[Indicator Detail].[Units].[Measure Type (Stock/Flow/etc)]" caption="Measure Type (Stock/Flow/etc)" numFmtId="0" hierarchy="12" level="1">
      <sharedItems containsSemiMixedTypes="0" containsString="0"/>
    </cacheField>
    <cacheField name="[Indicator Detail].[Units].[Dimension (Money/Quantity/PPP)]" caption="Dimension (Money/Quantity/PPP)" numFmtId="0" hierarchy="12" level="2">
      <sharedItems containsSemiMixedTypes="0" containsString="0"/>
    </cacheField>
    <cacheField name="[Indicator Detail].[Units].[Units (USD/EUR/LCU/etc)]" caption="Units (USD/EUR/LCU/etc)" numFmtId="0" hierarchy="12" level="3">
      <sharedItems containsSemiMixedTypes="0" containsString="0"/>
    </cacheField>
    <cacheField name="[Indicator Detail].[Units].[Metric (Current/Constant/etc)]" caption="Metric (Current/Constant/etc)" numFmtId="0" hierarchy="12" level="4">
      <sharedItems containsSemiMixedTypes="0" containsString="0"/>
    </cacheField>
    <cacheField name="[Dates].[Year].[Year]" caption="Year" numFmtId="0" hierarchy="5" level="1">
      <sharedItems count="60">
        <s v="[Dates].[Year].&amp;[1960]" c="1960"/>
        <s v="[Dates].[Year].&amp;[1961]" c="1961"/>
        <s v="[Dates].[Year].&amp;[1962]" c="1962"/>
        <s v="[Dates].[Year].&amp;[1963]" c="1963"/>
        <s v="[Dates].[Year].&amp;[1964]" c="1964"/>
        <s v="[Dates].[Year].&amp;[1965]" c="1965"/>
        <s v="[Dates].[Year].&amp;[1966]" c="1966"/>
        <s v="[Dates].[Year].&amp;[1967]" c="1967"/>
        <s v="[Dates].[Year].&amp;[1968]" c="1968"/>
        <s v="[Dates].[Year].&amp;[1969]" c="1969"/>
        <s v="[Dates].[Year].&amp;[1970]" c="1970"/>
        <s v="[Dates].[Year].&amp;[1971]" c="1971"/>
        <s v="[Dates].[Year].&amp;[1972]" c="1972"/>
        <s v="[Dates].[Year].&amp;[1973]" c="1973"/>
        <s v="[Dates].[Year].&amp;[1974]" c="1974"/>
        <s v="[Dates].[Year].&amp;[1975]" c="1975"/>
        <s v="[Dates].[Year].&amp;[1976]" c="1976"/>
        <s v="[Dates].[Year].&amp;[1977]" c="1977"/>
        <s v="[Dates].[Year].&amp;[1978]" c="1978"/>
        <s v="[Dates].[Year].&amp;[1979]" c="1979"/>
        <s v="[Dates].[Year].&amp;[1980]" c="1980"/>
        <s v="[Dates].[Year].&amp;[1981]" c="1981"/>
        <s v="[Dates].[Year].&amp;[1982]" c="1982"/>
        <s v="[Dates].[Year].&amp;[1983]" c="1983"/>
        <s v="[Dates].[Year].&amp;[1984]" c="1984"/>
        <s v="[Dates].[Year].&amp;[1985]" c="1985"/>
        <s v="[Dates].[Year].&amp;[1986]" c="1986"/>
        <s v="[Dates].[Year].&amp;[1987]" c="1987"/>
        <s v="[Dates].[Year].&amp;[1988]" c="1988"/>
        <s v="[Dates].[Year].&amp;[1989]" c="1989"/>
        <s v="[Dates].[Year].&amp;[1990]" c="1990"/>
        <s v="[Dates].[Year].&amp;[1991]" c="1991"/>
        <s v="[Dates].[Year].&amp;[1992]" c="1992"/>
        <s v="[Dates].[Year].&amp;[1993]" c="1993"/>
        <s v="[Dates].[Year].&amp;[1994]" c="1994"/>
        <s v="[Dates].[Year].&amp;[1995]" c="1995"/>
        <s v="[Dates].[Year].&amp;[1996]" c="1996"/>
        <s v="[Dates].[Year].&amp;[1997]" c="1997"/>
        <s v="[Dates].[Year].&amp;[1998]" c="1998"/>
        <s v="[Dates].[Year].&amp;[1999]" c="1999"/>
        <s v="[Dates].[Year].&amp;[2000]" c="2000"/>
        <s v="[Dates].[Year].&amp;[2001]" c="2001"/>
        <s v="[Dates].[Year].&amp;[2002]" c="2002"/>
        <s v="[Dates].[Year].&amp;[2003]" c="2003"/>
        <s v="[Dates].[Year].&amp;[2004]" c="2004"/>
        <s v="[Dates].[Year].&amp;[2005]" c="2005"/>
        <s v="[Dates].[Year].&amp;[2006]" c="2006"/>
        <s v="[Dates].[Year].&amp;[2007]" c="2007"/>
        <s v="[Dates].[Year].&amp;[2008]" c="2008"/>
        <s v="[Dates].[Year].&amp;[2009]" c="2009"/>
        <s v="[Dates].[Year].&amp;[2010]" c="2010"/>
        <s v="[Dates].[Year].&amp;[2011]" c="2011"/>
        <s v="[Dates].[Year].&amp;[2012]" c="2012"/>
        <s v="[Dates].[Year].&amp;[2013]" c="2013"/>
        <s v="[Dates].[Year].&amp;[2014]" c="2014"/>
        <s v="[Dates].[Year].&amp;[2015]" c="2015"/>
        <s v="[Dates].[Year].&amp;[2016]" c="2016"/>
        <s v="[Dates].[Year].&amp;[2017]" c="2017"/>
        <s v="[Dates].[Year].&amp;[2018]" c="2018"/>
        <s v="[Dates].[Year].&amp;[2019]" c="2019"/>
      </sharedItems>
    </cacheField>
    <cacheField name="[Measures].[Item]" caption="Item" numFmtId="0" hierarchy="73" level="32767"/>
    <cacheField name="[Data].[Original Source Data].[Source]" caption="Source" numFmtId="0" hierarchy="4" level="1">
      <sharedItems containsSemiMixedTypes="0" containsString="0"/>
    </cacheField>
    <cacheField name="[Data].[Original Source Data].[IndicatorSourceDescription]" caption="IndicatorSourceDescription" numFmtId="0" hierarchy="4" level="2">
      <sharedItems containsSemiMixedTypes="0" containsString="0"/>
    </cacheField>
    <cacheField name="[Data].[GDP and other output measures].[Output Definition]" caption="Output Definition" numFmtId="0" hierarchy="2" level="1">
      <sharedItems containsSemiMixedTypes="0" containsString="0"/>
    </cacheField>
    <cacheField name="[Indicator Detail].[Industrial Sector (Agriculture/Manufacturing/etc)].[Industrial Sector (Agriculture/Manufacturing/etc)]" caption="Industrial Sector (Agriculture/Manufacturing/etc)" numFmtId="0" hierarchy="11" level="1">
      <sharedItems containsSemiMixedTypes="0" containsString="0"/>
    </cacheField>
    <cacheField name="[Geography].[WDI Availability].[wdi_availability]" caption="wdi_availability" numFmtId="0" hierarchy="9" level="1">
      <sharedItems containsSemiMixedTypes="0" containsString="0"/>
    </cacheField>
    <cacheField name="[Geography].[WDI Availability].[Country]" caption="Country" numFmtId="0" hierarchy="9" level="2">
      <sharedItems containsSemiMixedTypes="0" containsString="0"/>
    </cacheField>
    <cacheField name="[Geography].[WDI Availability].[Nation]" caption="Nation" numFmtId="0" hierarchy="9" level="3">
      <sharedItems containsSemiMixedTypes="0" containsString="0"/>
    </cacheField>
  </cacheFields>
  <cacheHierarchies count="76">
    <cacheHierarchy uniqueName="[Data].[Balance of Payments Component]" caption="Balance of Payments Component" defaultMemberUniqueName="[Data].[Balance of Payments Component].[All]" allUniqueName="[Data].[Balance of Payments Component].[All]" dimensionUniqueName="[Data]" displayFolder="" count="0" unbalanced="0"/>
    <cacheHierarchy uniqueName="[Data].[Demographics]" caption="Demographics" defaultMemberUniqueName="[Data].[Demographics].[All]" allUniqueName="[Data].[Demographics].[All]" dimensionUniqueName="[Data]" displayFolder="" count="0" unbalanced="0"/>
    <cacheHierarchy uniqueName="[Data].[GDP and other output measures]" caption="GDP and other output measures" defaultMemberUniqueName="[Data].[GDP and other output measures].[All]" allUniqueName="[Data].[GDP and other output measures].[All]" dimensionUniqueName="[Data]" displayFolder="" count="2" unbalanced="0">
      <fieldsUsage count="2">
        <fieldUsage x="-1"/>
        <fieldUsage x="11"/>
      </fieldsUsage>
    </cacheHierarchy>
    <cacheHierarchy uniqueName="[Data].[Indicator Source and Code]" caption="Indicator Source and Code" attribute="1" defaultMemberUniqueName="[Data].[Indicator Source and Code].[All]" allUniqueName="[Data].[Indicator Source and Code].[All]" dimensionUniqueName="[Data]" displayFolder="" count="0" unbalanced="0"/>
    <cacheHierarchy uniqueName="[Data].[Original Source Data]" caption="Original Source Data" defaultMemberUniqueName="[Data].[Original Source Data].[All]" allUniqueName="[Data].[Original Source Data].[All]" dimensionUniqueName="[Data]" displayFolder="" count="3" unbalanced="0">
      <fieldsUsage count="3">
        <fieldUsage x="-1"/>
        <fieldUsage x="9"/>
        <fieldUsage x="10"/>
      </fieldsUsage>
    </cacheHierarchy>
    <cacheHierarchy uniqueName="[Dates].[Year]" caption="Year" attribute="1" defaultMemberUniqueName="[Dates].[Year].[All]" allUniqueName="[Dates].[Year].[All]" dimensionUniqueName="[Dates]" displayFolder="" count="2" unbalanced="0">
      <fieldsUsage count="2">
        <fieldUsage x="-1"/>
        <fieldUsage x="7"/>
      </fieldsUsage>
    </cacheHierarchy>
    <cacheHierarchy uniqueName="[Geography].[Blocs]" caption="Blocs" defaultMemberUniqueName="[Geography].[Blocs].[All]" allUniqueName="[Geography].[Blocs].[All]" dimensionUniqueName="[Geography]" displayFolder="" count="4" unbalanced="0">
      <fieldsUsage count="4">
        <fieldUsage x="-1"/>
        <fieldUsage x="0"/>
        <fieldUsage x="1"/>
        <fieldUsage x="2"/>
      </fieldsUsage>
    </cacheHierarchy>
    <cacheHierarchy uniqueName="[Geography].[GeoEconomic Region]" caption="GeoEconomic Region" defaultMemberUniqueName="[Geography].[GeoEconomic Region].[All]" allUniqueName="[Geography].[GeoEconomic Region].[All]" dimensionUniqueName="[Geography]" displayFolder="" count="0" unbalanced="0"/>
    <cacheHierarchy uniqueName="[Geography].[Penn Availability]" caption="Penn Availability" defaultMemberUniqueName="[Geography].[Penn Availability].[All]" allUniqueName="[Geography].[Penn Availability].[All]" dimensionUniqueName="[Geography]" displayFolder="" count="0" unbalanced="0"/>
    <cacheHierarchy uniqueName="[Geography].[WDI Availability]" caption="WDI Availability" defaultMemberUniqueName="[Geography].[WDI Availability].[All]" allUniqueName="[Geography].[WDI Availability].[All]" dimensionUniqueName="[Geography]" displayFolder="" count="4" unbalanced="0">
      <fieldsUsage count="4">
        <fieldUsage x="-1"/>
        <fieldUsage x="13"/>
        <fieldUsage x="14"/>
        <fieldUsage x="15"/>
      </fieldsUsage>
    </cacheHierarchy>
    <cacheHierarchy uniqueName="[Indicator Detail].[Accounting Basis (net/gross,paid/received, etc)]" caption="Accounting Basis (net/gross,paid/received, etc)" attribute="1" defaultMemberUniqueName="[Indicator Detail].[Accounting Basis (net/gross,paid/received, etc)].[All]" allUniqueName="[Indicator Detail].[Accounting Basis (net/gross,paid/received, etc)].[All]" dimensionUniqueName="[Indicator Detail]" displayFolder="" count="0" unbalanced="0"/>
    <cacheHierarchy uniqueName="[Indicator Detail].[Industrial Sector (Agriculture/Manufacturing/etc)]" caption="Industrial Sector (Agriculture/Manufacturing/etc)" attribute="1" defaultMemberUniqueName="[Indicator Detail].[Industrial Sector (Agriculture/Manufacturing/etc)].[All]" allUniqueName="[Indicator Detail].[Industrial Sector (Agriculture/Manufacturing/etc)].[All]" dimensionUniqueName="[Indicator Detail]" displayFolder="" count="2" unbalanced="0">
      <fieldsUsage count="2">
        <fieldUsage x="-1"/>
        <fieldUsage x="12"/>
      </fieldsUsage>
    </cacheHierarchy>
    <cacheHierarchy uniqueName="[Indicator Detail].[Units]" caption="Units" defaultMemberUniqueName="[Indicator Detail].[Units].[All]" allUniqueName="[Indicator Detail].[Units].[All]" dimensionUniqueName="[Indicator Detail]" displayFolder="" count="5" unbalanced="0">
      <fieldsUsage count="5">
        <fieldUsage x="-1"/>
        <fieldUsage x="3"/>
        <fieldUsage x="4"/>
        <fieldUsage x="5"/>
        <fieldUsage x="6"/>
      </fieldsUsage>
    </cacheHierarchy>
    <cacheHierarchy uniqueName="[Data].[Accounting Basis]" caption="Accounting Basis" attribute="1" defaultMemberUniqueName="[Data].[Accounting Basis].[All]" allUniqueName="[Data].[Accounting Basis].[All]" dimensionUniqueName="[Data]" displayFolder="" count="0" unbalanced="0" hidden="1"/>
    <cacheHierarchy uniqueName="[Data].[Balance of Payments]" caption="Balance of Payments" attribute="1" defaultMemberUniqueName="[Data].[Balance of Payments].[All]" allUniqueName="[Data].[Balance of Payments].[All]" dimensionUniqueName="[Data]" displayFolder="" count="0" unbalanced="0" hidden="1"/>
    <cacheHierarchy uniqueName="[Data].[DateField]" caption="DateField" attribute="1" defaultMemberUniqueName="[Data].[DateField].[All]" allUniqueName="[Data].[DateField].[All]" dimensionUniqueName="[Data]" displayFolder="" count="0" unbalanced="0" hidden="1"/>
    <cacheHierarchy uniqueName="[Data].[DimGeoID]" caption="DimGeoID" attribute="1" defaultMemberUniqueName="[Data].[DimGeoID].[All]" allUniqueName="[Data].[DimGeoID].[All]" dimensionUniqueName="[Data]" displayFolder="" count="0" unbalanced="0" hidden="1"/>
    <cacheHierarchy uniqueName="[Data].[DimIndicatorID]" caption="DimIndicatorID" attribute="1" defaultMemberUniqueName="[Data].[DimIndicatorID].[All]" allUniqueName="[Data].[DimIndicatorID].[All]" dimensionUniqueName="[Data]" displayFolder="" count="0" unbalanced="0" hidden="1"/>
    <cacheHierarchy uniqueName="[Data].[DimSourceID]" caption="DimSourceID" attribute="1" defaultMemberUniqueName="[Data].[DimSourceID].[All]" allUniqueName="[Data].[DimSourceID].[All]" dimensionUniqueName="[Data]" displayFolder="" count="0" unbalanced="0" hidden="1"/>
    <cacheHierarchy uniqueName="[Data].[FactID]" caption="FactID" attribute="1" defaultMemberUniqueName="[Data].[FactID].[All]" allUniqueName="[Data].[FactID].[All]" dimensionUniqueName="[Data]" displayFolder="" count="0" unbalanced="0" hidden="1"/>
    <cacheHierarchy uniqueName="[Data].[Indicator_Type]" caption="Indicator_Type" attribute="1" defaultMemberUniqueName="[Data].[Indicator_Type].[All]" allUniqueName="[Data].[Indicator_Type].[All]" dimensionUniqueName="[Data]" displayFolder="" count="0" unbalanced="0" hidden="1"/>
    <cacheHierarchy uniqueName="[Data].[IndicatorSourceDescription]" caption="IndicatorSourceDescription" attribute="1" defaultMemberUniqueName="[Data].[IndicatorSourceDescription].[All]" allUniqueName="[Data].[IndicatorSourceDescription].[All]" dimensionUniqueName="[Data]" displayFolder="" count="0" unbalanced="0" hidden="1"/>
    <cacheHierarchy uniqueName="[Data].[IndicatorStandardNamesID]" caption="IndicatorStandardNamesID" attribute="1" defaultMemberUniqueName="[Data].[IndicatorStandardNamesID].[All]" allUniqueName="[Data].[IndicatorStandardNamesID].[All]" dimensionUniqueName="[Data]" displayFolder="" count="0" unbalanced="0" hidden="1"/>
    <cacheHierarchy uniqueName="[Data].[Nation]" caption="Nation" attribute="1" defaultMemberUniqueName="[Data].[Nation].[All]" allUniqueName="[Data].[Nation].[All]" dimensionUniqueName="[Data]" displayFolder="" count="0" unbalanced="0" hidden="1"/>
    <cacheHierarchy uniqueName="[Data].[Output Definition]" caption="Output Definition" attribute="1" defaultMemberUniqueName="[Data].[Output Definition].[All]" allUniqueName="[Data].[Output Definition].[All]" dimensionUniqueName="[Data]" displayFolder="" count="0" unbalanced="0" hidden="1"/>
    <cacheHierarchy uniqueName="[Data].[Population]" caption="Population" attribute="1" defaultMemberUniqueName="[Data].[Population].[All]" allUniqueName="[Data].[Population].[All]" dimensionUniqueName="[Data]" displayFolder="" count="0" unbalanced="0" hidden="1"/>
    <cacheHierarchy uniqueName="[Data].[Source]" caption="Source" attribute="1" defaultMemberUniqueName="[Data].[Source].[All]" allUniqueName="[Data].[Source].[All]" dimensionUniqueName="[Data]" displayFolder="" count="0" unbalanced="0" hidden="1"/>
    <cacheHierarchy uniqueName="[Data].[Value]" caption="Value" attribute="1" defaultMemberUniqueName="[Data].[Value].[All]" allUniqueName="[Data].[Value].[All]" dimensionUniqueName="[Data]" displayFolder="" count="0" unbalanced="0" hidden="1"/>
    <cacheHierarchy uniqueName="[Dates].[CalendarKey]" caption="CalendarKey" attribute="1" defaultMemberUniqueName="[Dates].[CalendarKey].[All]" allUniqueName="[Dates].[CalendarKey].[All]" dimensionUniqueName="[Dates]" displayFolder="" count="0" unbalanced="0" hidden="1"/>
    <cacheHierarchy uniqueName="[Dates].[Date]" caption="Date" attribute="1" defaultMemberUniqueName="[Dates].[Date].[All]" allUniqueName="[Dates].[Date].[All]" dimensionUniqueName="[Dates]" displayFolder="" count="0" unbalanced="0" hidden="1"/>
    <cacheHierarchy uniqueName="[Geography].[Country]" caption="Country" attribute="1" defaultMemberUniqueName="[Geography].[Country].[All]" allUniqueName="[Geography].[Country].[All]" dimensionUniqueName="[Geography]" displayFolder="" count="0" unbalanced="0" hidden="1"/>
    <cacheHierarchy uniqueName="[Geography].[DimGeoID]" caption="DimGeoID" attribute="1" defaultMemberUniqueName="[Geography].[DimGeoID].[All]" allUniqueName="[Geography].[DimGeoID].[All]" dimensionUniqueName="[Geography]" displayFolder="" count="0" unbalanced="0" hidden="1"/>
    <cacheHierarchy uniqueName="[Geography].[GeoEconomic_Region]" caption="GeoEconomic_Region" attribute="1" defaultMemberUniqueName="[Geography].[GeoEconomic_Region].[All]" allUniqueName="[Geography].[GeoEconomic_Region].[All]" dimensionUniqueName="[Geography]" displayFolder="" count="0" unbalanced="0" hidden="1"/>
    <cacheHierarchy uniqueName="[Geography].[Geopolitical_Region]" caption="Geopolitical_Region" attribute="1" defaultMemberUniqueName="[Geography].[Geopolitical_Region].[All]" allUniqueName="[Geography].[Geopolitical_Region].[All]" dimensionUniqueName="[Geography]" displayFolder="" count="0" unbalanced="0" hidden="1"/>
    <cacheHierarchy uniqueName="[Geography].[GeoPolitical_Type]" caption="GeoPolitical_Type" attribute="1" defaultMemberUniqueName="[Geography].[GeoPolitical_Type].[All]" allUniqueName="[Geography].[GeoPolitical_Type].[All]" dimensionUniqueName="[Geography]" displayFolder="" count="0" unbalanced="0" hidden="1"/>
    <cacheHierarchy uniqueName="[Geography].[IMF_main_category]" caption="IMF_main_category" attribute="1" defaultMemberUniqueName="[Geography].[IMF_main_category].[All]" allUniqueName="[Geography].[IMF_main_category].[All]" dimensionUniqueName="[Geography]" displayFolder="" count="0" unbalanced="0" hidden="1"/>
    <cacheHierarchy uniqueName="[Geography].[IMF_sub_category]" caption="IMF_sub_category" attribute="1" defaultMemberUniqueName="[Geography].[IMF_sub_category].[All]" allUniqueName="[Geography].[IMF_sub_category].[All]" dimensionUniqueName="[Geography]" displayFolder="" count="0" unbalanced="0" hidden="1"/>
    <cacheHierarchy uniqueName="[Geography].[MACROHISTORY_Geography]" caption="MACROHISTORY_Geography" attribute="1" defaultMemberUniqueName="[Geography].[MACROHISTORY_Geography].[All]" allUniqueName="[Geography].[MACROHISTORY_Geography].[All]" dimensionUniqueName="[Geography]" displayFolder="" count="0" unbalanced="0" hidden="1"/>
    <cacheHierarchy uniqueName="[Geography].[Major_Blocs]" caption="Major_Blocs" attribute="1" defaultMemberUniqueName="[Geography].[Major_Blocs].[All]" allUniqueName="[Geography].[Major_Blocs].[All]" dimensionUniqueName="[Geography]" displayFolder="" count="0" unbalanced="0" hidden="1"/>
    <cacheHierarchy uniqueName="[Geography].[Nation]" caption="Nation" attribute="1" defaultMemberUniqueName="[Geography].[Nation].[All]" allUniqueName="[Geography].[Nation].[All]" dimensionUniqueName="[Geography]" displayFolder="" count="0" unbalanced="0" hidden="1"/>
    <cacheHierarchy uniqueName="[Geography].[penn_availability]" caption="penn_availability" attribute="1" defaultMemberUniqueName="[Geography].[penn_availability].[All]" allUniqueName="[Geography].[penn_availability].[All]" dimensionUniqueName="[Geography]" displayFolder="" count="0" unbalanced="0" hidden="1"/>
    <cacheHierarchy uniqueName="[Geography].[Size]" caption="Size" attribute="1" defaultMemberUniqueName="[Geography].[Size].[All]" allUniqueName="[Geography].[Size].[All]" dimensionUniqueName="[Geography]" displayFolder="" count="0" unbalanced="0" hidden="1"/>
    <cacheHierarchy uniqueName="[Geography].[wdi_availability]" caption="wdi_availability" attribute="1" defaultMemberUniqueName="[Geography].[wdi_availability].[All]" allUniqueName="[Geography].[wdi_availability].[All]" dimensionUniqueName="[Geography]" displayFolder="" count="0" unbalanced="0" hidden="1"/>
    <cacheHierarchy uniqueName="[Geography].[WID_Geography]" caption="WID_Geography" attribute="1" defaultMemberUniqueName="[Geography].[WID_Geography].[All]" allUniqueName="[Geography].[WID_Geography].[All]" dimensionUniqueName="[Geography]" displayFolder="" count="0" unbalanced="0" hidden="1"/>
    <cacheHierarchy uniqueName="[Indicator Detail].[balance_of_payments_component]" caption="balance_of_payments_component" attribute="1" defaultMemberUniqueName="[Indicator Detail].[balance_of_payments_component].[All]" allUniqueName="[Indicator Detail].[balance_of_payments_component].[All]" dimensionUniqueName="[Indicator Detail]" displayFolder="" count="0" unbalanced="0" hidden="1"/>
    <cacheHierarchy uniqueName="[Indicator Detail].[capital_component]" caption="capital_component" attribute="1" defaultMemberUniqueName="[Indicator Detail].[capital_component].[All]" allUniqueName="[Indicator Detail].[capital_component].[All]" dimensionUniqueName="[Indicator Detail]" displayFolder="" count="0" unbalanced="0" hidden="1"/>
    <cacheHierarchy uniqueName="[Indicator Detail].[DimIndicatorID]" caption="DimIndicatorID" attribute="1" defaultMemberUniqueName="[Indicator Detail].[DimIndicatorID].[All]" allUniqueName="[Indicator Detail].[DimIndicatorID].[All]" dimensionUniqueName="[Indicator Detail]" displayFolder="" count="0" unbalanced="0" hidden="1"/>
    <cacheHierarchy uniqueName="[Indicator Detail].[gdp_expenditure_component]" caption="gdp_expenditure_component" attribute="1" defaultMemberUniqueName="[Indicator Detail].[gdp_expenditure_component].[All]" allUniqueName="[Indicator Detail].[gdp_expenditure_component].[All]" dimensionUniqueName="[Indicator Detail]" displayFolder="" count="0" unbalanced="0" hidden="1"/>
    <cacheHierarchy uniqueName="[Indicator Detail].[indicator_dimension]" caption="indicator_dimension" attribute="1" defaultMemberUniqueName="[Indicator Detail].[indicator_dimension].[All]" allUniqueName="[Indicator Detail].[indicator_dimension].[All]" dimensionUniqueName="[Indicator Detail]" displayFolder="" count="0" unbalanced="0" hidden="1"/>
    <cacheHierarchy uniqueName="[Indicator Detail].[indicator_metrics]" caption="indicator_metrics" attribute="1" defaultMemberUniqueName="[Indicator Detail].[indicator_metrics].[All]" allUniqueName="[Indicator Detail].[indicator_metrics].[All]" dimensionUniqueName="[Indicator Detail]" displayFolder="" count="0" unbalanced="0" hidden="1"/>
    <cacheHierarchy uniqueName="[Indicator Detail].[indicator_type]" caption="indicator_type" attribute="1" defaultMemberUniqueName="[Indicator Detail].[indicator_type].[All]" allUniqueName="[Indicator Detail].[indicator_type].[All]" dimensionUniqueName="[Indicator Detail]" displayFolder="" count="0" unbalanced="0" hidden="1"/>
    <cacheHierarchy uniqueName="[Indicator Detail].[indicator_units]" caption="indicator_units" attribute="1" defaultMemberUniqueName="[Indicator Detail].[indicator_units].[All]" allUniqueName="[Indicator Detail].[indicator_units].[All]" dimensionUniqueName="[Indicator Detail]" displayFolder="" count="0" unbalanced="0" hidden="1"/>
    <cacheHierarchy uniqueName="[Indicator Detail].[IndicatorStandardName]" caption="IndicatorStandardName" attribute="1" defaultMemberUniqueName="[Indicator Detail].[IndicatorStandardName].[All]" allUniqueName="[Indicator Detail].[IndicatorStandardName].[All]" dimensionUniqueName="[Indicator Detail]" displayFolder="" count="0" unbalanced="0" hidden="1"/>
    <cacheHierarchy uniqueName="[Indicator Detail].[measure_type]" caption="measure_type" attribute="1" defaultMemberUniqueName="[Indicator Detail].[measure_type].[All]" allUniqueName="[Indicator Detail].[measure_type].[All]" dimensionUniqueName="[Indicator Detail]" displayFolder="" count="0" unbalanced="0" hidden="1"/>
    <cacheHierarchy uniqueName="[Indicator Detail].[other_indicator_description]" caption="other_indicator_description" attribute="1" defaultMemberUniqueName="[Indicator Detail].[other_indicator_description].[All]" allUniqueName="[Indicator Detail].[other_indicator_description].[All]" dimensionUniqueName="[Indicator Detail]" displayFolder="" count="0" unbalanced="0" hidden="1"/>
    <cacheHierarchy uniqueName="[Indicator Detail].[output_definition]" caption="output_definition" attribute="1" defaultMemberUniqueName="[Indicator Detail].[output_definition].[All]" allUniqueName="[Indicator Detail].[output_definition].[All]" dimensionUniqueName="[Indicator Detail]" displayFolder="" count="0" unbalanced="0" hidden="1"/>
    <cacheHierarchy uniqueName="[Indicator Detail].[population_component]" caption="population_component" attribute="1" defaultMemberUniqueName="[Indicator Detail].[population_component].[All]" allUniqueName="[Indicator Detail].[population_component].[All]" dimensionUniqueName="[Indicator Detail]" displayFolder="" count="0" unbalanced="0" hidden="1"/>
    <cacheHierarchy uniqueName="[Indicator Detail].[source_component]" caption="source_component" attribute="1" defaultMemberUniqueName="[Indicator Detail].[source_component].[All]" allUniqueName="[Indicator Detail].[source_component].[All]" dimensionUniqueName="[Indicator Detail]" displayFolder="" count="0" unbalanced="0" hidden="1"/>
    <cacheHierarchy uniqueName="[IndicatorStandardNames].[IndicatorSource]" caption="IndicatorSource" attribute="1" defaultMemberUniqueName="[IndicatorStandardNames].[IndicatorSource].[All]" allUniqueName="[IndicatorStandardNames].[IndicatorSource].[All]" dimensionUniqueName="[IndicatorStandardNames]" displayFolder="" count="0" unbalanced="0" hidden="1"/>
    <cacheHierarchy uniqueName="[IndicatorStandardNames].[IndicatorSourceCode]" caption="IndicatorSourceCode" attribute="1" defaultMemberUniqueName="[IndicatorStandardNames].[IndicatorSourceCode].[All]" allUniqueName="[IndicatorStandardNames].[IndicatorSourceCode].[All]" dimensionUniqueName="[IndicatorStandardNames]" displayFolder="" count="0" unbalanced="0" hidden="1"/>
    <cacheHierarchy uniqueName="[IndicatorStandardNames].[IndicatorSourceDescription]" caption="IndicatorSourceDescription" attribute="1" defaultMemberUniqueName="[IndicatorStandardNames].[IndicatorSourceDescription].[All]" allUniqueName="[IndicatorStandardNames].[IndicatorSourceDescription].[All]" dimensionUniqueName="[IndicatorStandardNames]" displayFolder="" count="0" unbalanced="0" hidden="1"/>
    <cacheHierarchy uniqueName="[IndicatorStandardNames].[IndicatorStandardName]" caption="IndicatorStandardName" attribute="1" defaultMemberUniqueName="[IndicatorStandardNames].[IndicatorStandardName].[All]" allUniqueName="[IndicatorStandardNames].[IndicatorStandardName].[All]" dimensionUniqueName="[IndicatorStandardNames]" displayFolder="" count="0" unbalanced="0" hidden="1"/>
    <cacheHierarchy uniqueName="[IndicatorStandardNames].[IndicatorStandardNamesID]" caption="IndicatorStandardNamesID" attribute="1" defaultMemberUniqueName="[IndicatorStandardNames].[IndicatorStandardNamesID].[All]" allUniqueName="[IndicatorStandardNames].[IndicatorStandardNamesID].[All]" dimensionUniqueName="[IndicatorStandardNames]" displayFolder="" count="0" unbalanced="0" hidden="1"/>
    <cacheHierarchy uniqueName="[Sources].[DataNotes]" caption="DataNotes" attribute="1" defaultMemberUniqueName="[Sources].[DataNotes].[All]" allUniqueName="[Sources].[DataNotes].[All]" dimensionUniqueName="[Sources]" displayFolder="" count="0" unbalanced="0" hidden="1"/>
    <cacheHierarchy uniqueName="[Sources].[DataOriginFile]" caption="DataOriginFile" attribute="1" defaultMemberUniqueName="[Sources].[DataOriginFile].[All]" allUniqueName="[Sources].[DataOriginFile].[All]" dimensionUniqueName="[Sources]" displayFolder="" count="0" unbalanced="0" hidden="1"/>
    <cacheHierarchy uniqueName="[Sources].[DataOriginURL]" caption="DataOriginURL" attribute="1" defaultMemberUniqueName="[Sources].[DataOriginURL].[All]" allUniqueName="[Sources].[DataOriginURL].[All]" dimensionUniqueName="[Sources]" displayFolder="" count="0" unbalanced="0" hidden="1"/>
    <cacheHierarchy uniqueName="[Sources].[Description]" caption="Description" attribute="1" defaultMemberUniqueName="[Sources].[Description].[All]" allUniqueName="[Sources].[Description].[All]" dimensionUniqueName="[Sources]" displayFolder="" count="0" unbalanced="0" hidden="1"/>
    <cacheHierarchy uniqueName="[Sources].[DimSourceID]" caption="DimSourceID" attribute="1" defaultMemberUniqueName="[Sources].[DimSourceID].[All]" allUniqueName="[Sources].[DimSourceID].[All]" dimensionUniqueName="[Sources]" displayFolder="" count="0" unbalanced="0" hidden="1"/>
    <cacheHierarchy uniqueName="[Sources].[PreparationNotes]" caption="PreparationNotes" attribute="1" defaultMemberUniqueName="[Sources].[PreparationNotes].[All]" allUniqueName="[Sources].[PreparationNotes].[All]" dimensionUniqueName="[Sources]" displayFolder="" count="0" unbalanced="0" hidden="1"/>
    <cacheHierarchy uniqueName="[Sources].[SourceName]" caption="SourceName" attribute="1" defaultMemberUniqueName="[Sources].[SourceName].[All]" allUniqueName="[Sources].[SourceName].[All]" dimensionUniqueName="[Sources]" displayFolder="" count="0" unbalanced="0" hidden="1"/>
    <cacheHierarchy uniqueName="[Sources].[SourceNameDetail]" caption="SourceNameDetail" attribute="1" defaultMemberUniqueName="[Sources].[SourceNameDetail].[All]" allUniqueName="[Sources].[SourceNameDetail].[All]" dimensionUniqueName="[Sources]" displayFolder="" count="0" unbalanced="0" hidden="1"/>
    <cacheHierarchy uniqueName="[Sources].[SourceNameParent]" caption="SourceNameParent" attribute="1" defaultMemberUniqueName="[Sources].[SourceNameParent].[All]" allUniqueName="[Sources].[SourceNameParent].[All]" dimensionUniqueName="[Sources]" displayFolder="" count="0" unbalanced="0" hidden="1"/>
    <cacheHierarchy uniqueName="[Sources].[SourceNotes]" caption="SourceNotes" attribute="1" defaultMemberUniqueName="[Sources].[SourceNotes].[All]" allUniqueName="[Sources].[SourceNotes].[All]" dimensionUniqueName="[Sources]" displayFolder="" count="0" unbalanced="0" hidden="1"/>
    <cacheHierarchy uniqueName="[Measures].[Item]" caption="Item" measure="1" displayFolder="" measureGroup="Data" count="0" oneField="1">
      <fieldsUsage count="1">
        <fieldUsage x="8"/>
      </fieldsUsage>
    </cacheHierarchy>
    <cacheHierarchy uniqueName="[Measures].[Count]" caption="Count" measure="1" displayFolder="" measureGroup="Data" count="0"/>
    <cacheHierarchy uniqueName="[Measures].[__Default measure]" caption="__Default measure" measure="1" displayFolder="" count="0" hidden="1"/>
  </cacheHierarchies>
  <kpis count="0"/>
  <dimensions count="5">
    <dimension name="Data" uniqueName="[Data]" caption="Data"/>
    <dimension name="Dates" uniqueName="[Dates]" caption="Dates"/>
    <dimension name="Geography" uniqueName="[Geography]" caption="Geography"/>
    <dimension name="Indicator Detail" uniqueName="[Indicator Detail]" caption="Indicator Detail"/>
    <dimension measure="1" name="Measures" uniqueName="[Measures]" caption="Measures"/>
  </dimensions>
  <measureGroups count="6">
    <measureGroup name="Data" caption="Data"/>
    <measureGroup name="Dates" caption="Dates"/>
    <measureGroup name="Geography" caption="Geography"/>
    <measureGroup name="Indicator Detail" caption="Indicator Detail"/>
    <measureGroup name="IndicatorStandardNames" caption="IndicatorStandardNames"/>
    <measureGroup name="Sources" caption="Sources"/>
  </measureGroups>
  <maps count="7">
    <map measureGroup="0" dimension="0"/>
    <map measureGroup="0" dimension="1"/>
    <map measureGroup="0" dimension="2"/>
    <map measureGroup="0" dimension="3"/>
    <map measureGroup="1" dimension="1"/>
    <map measureGroup="2"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E30774-8BF9-4151-BD86-53108B6FADEB}" name="PivotTable1" cacheId="55"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fieldListSortAscending="1">
  <location ref="A11:BJ90" firstHeaderRow="1" firstDataRow="2" firstDataCol="2" rowPageCount="4" colPageCount="1"/>
  <pivotFields count="15">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items count="4">
        <item s="1" c="1" x="0"/>
        <item s="1" c="1" x="1" d="1"/>
        <item s="1" c="1" x="2" d="1"/>
        <item x="3" d="1"/>
      </items>
      <extLst>
        <ext xmlns:x14="http://schemas.microsoft.com/office/spreadsheetml/2009/9/main" uri="{2946ED86-A175-432a-8AC1-64E0C546D7DE}">
          <x14:pivotField fillDownLabels="1"/>
        </ext>
      </extLst>
    </pivotField>
    <pivotField axis="axisRow" compact="0" outline="0" subtotalTop="0" showAll="0" dataSourceSort="1" defaultSubtotal="0">
      <items count="77">
        <item c="1" x="0"/>
        <item c="1" x="1"/>
        <item c="1" x="2"/>
        <item c="1" x="3"/>
        <item c="1" x="4"/>
        <item c="1" x="5"/>
        <item c="1" x="6"/>
        <item c="1" x="7"/>
        <item c="1" x="8"/>
        <item c="1" x="9"/>
        <item c="1" x="10"/>
        <item c="1" x="11"/>
        <item c="1" x="12"/>
        <item c="1" x="13"/>
        <item c="1" x="14"/>
        <item c="1" x="15"/>
        <item c="1" x="16"/>
        <item c="1" x="17"/>
        <item c="1" x="18"/>
        <item c="1" x="19"/>
        <item c="1" x="20"/>
        <item c="1" x="21"/>
        <item c="1" x="22"/>
        <item c="1" x="23"/>
        <item c="1" x="24"/>
        <item c="1" x="25"/>
        <item c="1" x="26"/>
        <item c="1" x="27"/>
        <item c="1" x="28"/>
        <item c="1" x="29"/>
        <item c="1" x="30"/>
        <item c="1" x="31"/>
        <item c="1" x="32"/>
        <item c="1" x="33"/>
        <item c="1" x="34"/>
        <item c="1" x="35"/>
        <item c="1" x="36"/>
        <item c="1" x="37"/>
        <item c="1" x="38"/>
        <item c="1" x="39"/>
        <item c="1" x="40"/>
        <item c="1" x="41"/>
        <item c="1" x="42"/>
        <item c="1" x="43"/>
        <item c="1" x="44"/>
        <item c="1" x="45"/>
        <item c="1" x="46"/>
        <item c="1" x="47"/>
        <item c="1" x="48"/>
        <item c="1" x="49"/>
        <item c="1" x="50"/>
        <item c="1" x="51"/>
        <item c="1" x="52"/>
        <item c="1" x="53"/>
        <item c="1" x="54"/>
        <item c="1" x="55"/>
        <item c="1" x="56"/>
        <item c="1" x="57"/>
        <item c="1" x="58"/>
        <item c="1" x="59"/>
        <item c="1" x="60"/>
        <item c="1" x="61"/>
        <item c="1" x="62"/>
        <item c="1" x="63"/>
        <item c="1" x="64"/>
        <item c="1" x="65"/>
        <item c="1" x="66"/>
        <item c="1" x="67"/>
        <item c="1" x="68"/>
        <item c="1" x="69"/>
        <item c="1" x="70"/>
        <item c="1" x="71"/>
        <item c="1" x="72"/>
        <item c="1" x="73"/>
        <item c="1" x="74"/>
        <item c="1" x="75"/>
        <item c="1" x="76"/>
      </items>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Col" compact="0" allDrilled="1" outline="0" subtotalTop="0" showAll="0" dataSourceSort="1" defaultSubtotal="0" defaultAttributeDrillState="1">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s>
  <rowFields count="2">
    <field x="1"/>
    <field x="2"/>
  </rowFields>
  <rowItems count="78">
    <i>
      <x/>
    </i>
    <i>
      <x v="1"/>
      <x/>
    </i>
    <i r="1">
      <x v="1"/>
    </i>
    <i r="1">
      <x v="2"/>
    </i>
    <i r="1">
      <x v="3"/>
    </i>
    <i r="1">
      <x v="4"/>
    </i>
    <i r="1">
      <x v="5"/>
    </i>
    <i r="1">
      <x v="6"/>
    </i>
    <i r="1">
      <x v="7"/>
    </i>
    <i r="1">
      <x v="8"/>
    </i>
    <i r="1">
      <x v="9"/>
    </i>
    <i r="1">
      <x v="10"/>
    </i>
    <i r="1">
      <x v="11"/>
    </i>
    <i r="1">
      <x v="12"/>
    </i>
    <i r="1">
      <x v="13"/>
    </i>
    <i r="1">
      <x v="14"/>
    </i>
    <i r="1">
      <x v="15"/>
    </i>
    <i r="1">
      <x v="16"/>
    </i>
    <i r="1">
      <x v="17"/>
    </i>
    <i r="1">
      <x v="18"/>
    </i>
    <i>
      <x v="2"/>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rowItems>
  <colFields count="1">
    <field x="8"/>
  </colFields>
  <colItems count="6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colItems>
  <pageFields count="4">
    <pageField fld="0" hier="1" name="[Data].[Demographics].[Population].&amp;[Total]" cap="Total"/>
    <pageField fld="4" hier="12" name="[Indicator Detail].[Units].[All]" cap="All"/>
    <pageField fld="10" hier="4" name="[Data].[Original Source Data].[Source].&amp;[WDI2020]" cap="WDI2020"/>
    <pageField fld="12" hier="9" name="[Geography].[WDI Availability].[wdi_availability].&amp;[From 1960]" cap="From 1960"/>
  </pageFields>
  <dataFields count="1">
    <dataField fld="9" baseField="0" baseItem="0"/>
  </dataFields>
  <pivotHierarchies count="76">
    <pivotHierarchy/>
    <pivotHierarchy/>
    <pivotHierarchy/>
    <pivotHierarchy/>
    <pivotHierarchy/>
    <pivotHierarchy/>
    <pivotHierarchy/>
    <pivotHierarchy/>
    <pivotHierarchy/>
    <pivotHierarchy multipleItemSelectionAllowed="1">
      <members count="1" level="1">
        <member name="[Geography].[WDI Availability].[wdi_availability].&amp;[From 1960]"/>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8" type="captionGreaterThanOrEqual" evalOrder="-1" id="5" stringValue1="1960">
      <autoFilter ref="A1">
        <filterColumn colId="0">
          <customFilters>
            <customFilter operator="greaterThanOrEqual" val="1960"/>
          </customFilters>
        </filterColumn>
      </autoFilter>
    </filter>
  </filters>
  <rowHierarchiesUsage count="1">
    <rowHierarchyUsage hierarchyUsage="6"/>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6CED83-E738-4D11-B0A7-1A42A441F9B8}" name="PivotTable1" cacheId="56"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fieldListSortAscending="1">
  <location ref="A11:BJ90" firstHeaderRow="1" firstDataRow="2" firstDataCol="2" rowPageCount="5" colPageCount="1"/>
  <pivotFields count="16">
    <pivotField axis="axisRow" compact="0" allDrilled="1" outline="0" showAll="0" dataSourceSort="1" defaultSubtotal="0">
      <items count="4">
        <item s="1" c="1" x="0"/>
        <item s="1" c="1" x="1" d="1"/>
        <item c="1" x="2" d="1"/>
        <item x="3" d="1"/>
      </items>
      <extLst>
        <ext xmlns:x14="http://schemas.microsoft.com/office/spreadsheetml/2009/9/main" uri="{2946ED86-A175-432a-8AC1-64E0C546D7DE}">
          <x14:pivotField fillDownLabels="1"/>
        </ext>
      </extLst>
    </pivotField>
    <pivotField axis="axisRow" compact="0" outline="0" showAll="0" dataSourceSort="1" defaultSubtotal="0">
      <items count="94">
        <item c="1" x="0"/>
        <item c="1" x="1"/>
        <item c="1" x="2"/>
        <item c="1" x="3"/>
        <item c="1" x="4"/>
        <item c="1" x="5"/>
        <item c="1" x="6"/>
        <item c="1" x="7"/>
        <item c="1" x="8"/>
        <item c="1" x="9"/>
        <item c="1" x="10"/>
        <item c="1" x="11"/>
        <item c="1" x="12"/>
        <item c="1" x="13"/>
        <item c="1" x="14"/>
        <item c="1" x="15"/>
        <item c="1" x="16"/>
        <item c="1" x="17"/>
        <item c="1" x="18"/>
        <item s="1" c="1" x="19"/>
        <item s="1" c="1" x="20"/>
        <item s="1" c="1" x="21"/>
        <item s="1" c="1" x="22"/>
        <item s="1" c="1" x="23"/>
        <item s="1" c="1" x="24"/>
        <item s="1" c="1" x="25"/>
        <item s="1" c="1" x="26"/>
        <item s="1" c="1" x="27"/>
        <item s="1" c="1" x="28"/>
        <item s="1" c="1" x="29"/>
        <item s="1" c="1" x="30"/>
        <item s="1" c="1" x="31"/>
        <item s="1" c="1" x="32"/>
        <item s="1" c="1" x="33"/>
        <item s="1" c="1" x="34"/>
        <item s="1" c="1" x="35"/>
        <item s="1" c="1" x="36"/>
        <item s="1" c="1" x="37"/>
        <item s="1" c="1" x="38"/>
        <item s="1" c="1" x="39"/>
        <item s="1" c="1" x="40"/>
        <item s="1" c="1" x="41"/>
        <item s="1" c="1" x="42"/>
        <item s="1" c="1" x="43"/>
        <item s="1" c="1" x="44"/>
        <item s="1" c="1" x="45"/>
        <item s="1" c="1" x="46"/>
        <item s="1" c="1" x="47"/>
        <item s="1" c="1" x="48"/>
        <item s="1" c="1" x="49"/>
        <item s="1" c="1" x="50"/>
        <item s="1" c="1" x="51"/>
        <item s="1" c="1" x="52"/>
        <item s="1" c="1" x="53"/>
        <item s="1" c="1" x="54"/>
        <item s="1" c="1" x="55"/>
        <item s="1" c="1" x="56"/>
        <item s="1" c="1" x="57"/>
        <item s="1" c="1" x="58"/>
        <item s="1" c="1" x="59"/>
        <item s="1" c="1" x="60"/>
        <item s="1" c="1" x="61"/>
        <item s="1" c="1" x="62"/>
        <item s="1" c="1" x="63"/>
        <item s="1" c="1" x="64"/>
        <item s="1" c="1" x="65"/>
        <item s="1" c="1" x="66"/>
        <item s="1" c="1" x="67"/>
        <item s="1" c="1" x="68"/>
        <item s="1" c="1" x="69"/>
        <item s="1" c="1" x="70"/>
        <item s="1" c="1" x="71"/>
        <item s="1" c="1" x="72"/>
        <item s="1" c="1" x="73"/>
        <item s="1" c="1" x="74"/>
        <item s="1" c="1" x="75"/>
        <item s="1" c="1" x="76"/>
        <item s="1" x="77"/>
        <item s="1" x="78"/>
        <item s="1" x="79"/>
        <item s="1" x="80"/>
        <item s="1" x="81"/>
        <item s="1" x="82"/>
        <item s="1" x="83"/>
        <item s="1" x="84"/>
        <item s="1" x="85"/>
        <item s="1" x="86"/>
        <item s="1" x="87"/>
        <item s="1" x="88"/>
        <item s="1" x="89"/>
        <item s="1" x="90"/>
        <item s="1" x="91"/>
        <item s="1" x="92"/>
        <item s="1" x="93"/>
      </items>
      <extLst>
        <ext xmlns:x14="http://schemas.microsoft.com/office/spreadsheetml/2009/9/main" uri="{2946ED86-A175-432a-8AC1-64E0C546D7DE}">
          <x14:pivotField fillDownLabels="1"/>
        </ext>
      </extLst>
    </pivotField>
    <pivotField axis="axisRow" compact="0"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Col" compact="0" allDrilled="1" outline="0" showAll="0" dataSourceSort="1" defaultSubtotal="0" defaultAttributeDrillState="1">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s>
  <rowFields count="2">
    <field x="0"/>
    <field x="1"/>
  </rowFields>
  <rowItems count="78">
    <i>
      <x/>
    </i>
    <i>
      <x v="1"/>
      <x/>
    </i>
    <i r="1">
      <x v="1"/>
    </i>
    <i r="1">
      <x v="2"/>
    </i>
    <i r="1">
      <x v="3"/>
    </i>
    <i r="1">
      <x v="4"/>
    </i>
    <i r="1">
      <x v="5"/>
    </i>
    <i r="1">
      <x v="6"/>
    </i>
    <i r="1">
      <x v="7"/>
    </i>
    <i r="1">
      <x v="8"/>
    </i>
    <i r="1">
      <x v="9"/>
    </i>
    <i r="1">
      <x v="10"/>
    </i>
    <i r="1">
      <x v="11"/>
    </i>
    <i r="1">
      <x v="12"/>
    </i>
    <i r="1">
      <x v="13"/>
    </i>
    <i r="1">
      <x v="14"/>
    </i>
    <i r="1">
      <x v="15"/>
    </i>
    <i r="1">
      <x v="16"/>
    </i>
    <i r="1">
      <x v="17"/>
    </i>
    <i r="1">
      <x v="18"/>
    </i>
    <i>
      <x v="2"/>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rowItems>
  <colFields count="1">
    <field x="7"/>
  </colFields>
  <colItems count="6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colItems>
  <pageFields count="5">
    <pageField fld="3" hier="12" name="[Indicator Detail].[Units].[Measure Type (Stock/Flow/etc)].&amp;[Flow].&amp;[Money].&amp;[USD]" cap="USD"/>
    <pageField fld="9" hier="4" name="[Data].[Original Source Data].[Source].&amp;[WDI2020]" cap="WDI2020"/>
    <pageField fld="11" hier="2" name="[Data].[GDP and other output measures].[Output Definition].&amp;[Expenditure Approach]" cap="Expenditure Approach"/>
    <pageField fld="12" hier="11" name="[Indicator Detail].[Industrial Sector (Agriculture/Manufacturing/etc)].&amp;[Whole economy]" cap="Whole economy"/>
    <pageField fld="13" hier="9" name="[Geography].[WDI Availability].[wdi_availability].&amp;[From 1960]" cap="From 1960"/>
  </pageFields>
  <dataFields count="1">
    <dataField fld="8" baseField="0" baseItem="0"/>
  </dataFields>
  <pivotHierarchies count="76">
    <pivotHierarchy/>
    <pivotHierarchy/>
    <pivotHierarchy/>
    <pivotHierarchy/>
    <pivotHierarchy/>
    <pivotHierarchy/>
    <pivotHierarchy>
      <members count="2" level="1">
        <member name=""/>
        <member name=""/>
      </members>
      <members count="146" level="2">
        <member name=""/>
        <member name=""/>
        <member name="[Geography].[Blocs].[Country].&amp;[Guam]"/>
        <member name="[Geography].[Blocs].[Country].&amp;[Iran]"/>
        <member name=""/>
        <member name="[Geography].[Blocs].[Country].&amp;[Laos]"/>
        <member name=""/>
        <member name=""/>
        <member name=""/>
        <member name=""/>
        <member name="[Geography].[Blocs].[Country].&amp;[Aruba]"/>
        <member name=""/>
        <member name=""/>
        <member name="[Geography].[Blocs].[Country].&amp;[Egypt]"/>
        <member name=""/>
        <member name=""/>
        <member name=""/>
        <member name=""/>
        <member name=""/>
        <member name="[Geography].[Blocs].[Country].&amp;[Libya]"/>
        <member name="[Geography].[Blocs].[Country].&amp;[Nauru]"/>
        <member name=""/>
        <member name=""/>
        <member name="[Geography].[Blocs].[Country].&amp;[Palau]"/>
        <member name="[Geography].[Blocs].[Country].&amp;[Qatar]"/>
        <member name="[Geography].[Blocs].[Country].&amp;[Syria]"/>
        <member name="[Geography].[Blocs].[Country].&amp;[Tonga]"/>
        <member name="[Geography].[Blocs].[Country].&amp;[Yemen]"/>
        <member name="[Geography].[Blocs].[Country].&amp;[Angola]"/>
        <member name=""/>
        <member name="[Geography].[Blocs].[Country].&amp;[Bhutan]"/>
        <member name=""/>
        <member name="[Geography].[Blocs].[Country].&amp;[Brunei]"/>
        <member name=""/>
        <member name="[Geography].[Blocs].[Country].&amp;[Guinea]"/>
        <member name=""/>
        <member name="[Geography].[Blocs].[Country].&amp;[Jordan]"/>
        <member name="[Geography].[Blocs].[Country].&amp;[Kuwait]"/>
        <member name=""/>
        <member name=""/>
        <member name=""/>
        <member name=""/>
        <member name=""/>
        <member name="[Geography].[Blocs].[Country].&amp;[Tuvalu]"/>
        <member name="[Geography].[Blocs].[Country].&amp;[Uganda]"/>
        <member name=""/>
        <member name=""/>
        <member name="[Geography].[Blocs].[Country].&amp;[Antigua]"/>
        <member name=""/>
        <member name="[Geography].[Blocs].[Country].&amp;[Bahrain]"/>
        <member name="[Geography].[Blocs].[Country].&amp;[Bermuda]"/>
        <member name=""/>
        <member name=""/>
        <member name="[Geography].[Blocs].[Country].&amp;[Comoros]"/>
        <member name=""/>
        <member name="[Geography].[Blocs].[Country].&amp;[Curacao]"/>
        <member name=""/>
        <member name="[Geography].[Blocs].[Country].&amp;[Grenada]"/>
        <member name=""/>
        <member name="[Geography].[Blocs].[Country].&amp;[Lebanon]"/>
        <member name=""/>
        <member name="[Geography].[Blocs].[Country].&amp;[Liberia]"/>
        <member name=""/>
        <member name="[Geography].[Blocs].[Country].&amp;[Myanmar]"/>
        <member name="[Geography].[Blocs].[Country].&amp;[Namibia]"/>
        <member name=""/>
        <member name=""/>
        <member name="[Geography].[Blocs].[Country].&amp;[Somalia]"/>
        <member name=""/>
        <member name=""/>
        <member name="[Geography].[Blocs].[Country].&amp;[Vanuatu]"/>
        <member name="[Geography].[Blocs].[Country].&amp;[Anguilla]"/>
        <member name="[Geography].[Blocs].[Country].&amp;[Barbados]"/>
        <member name=""/>
        <member name="[Geography].[Blocs].[Country].&amp;[Cambodia]"/>
        <member name=""/>
        <member name=""/>
        <member name=""/>
        <member name="[Geography].[Blocs].[Country].&amp;[Djibouti]"/>
        <member name="[Geography].[Blocs].[Country].&amp;[Dominica]"/>
        <member name=""/>
        <member name=""/>
        <member name=""/>
        <member name="[Geography].[Blocs].[Country].&amp;[Maldives]"/>
        <member name="[Geography].[Blocs].[Country].&amp;[Mongolia]"/>
        <member name=""/>
        <member name=""/>
        <member name="[Geography].[Blocs].[Country].&amp;[Sao Tome]"/>
        <member name=""/>
        <member name="[Geography].[Blocs].[Country].&amp;[Tanzania]"/>
        <member name=""/>
        <member name=""/>
        <member name=""/>
        <member name=""/>
        <member name="[Geography].[Blocs].[Country].&amp;[Mauritius]"/>
        <member name="[Geography].[Blocs].[Country].&amp;[Melanesia]"/>
        <member name=""/>
        <member name="[Geography].[Blocs].[Country].&amp;[Polynesia]"/>
        <member name=""/>
        <member name="[Geography].[Blocs].[Country].&amp;[St. Lucia]"/>
        <member name=""/>
        <member name="[Geography].[Blocs].[Country].&amp;[Venezuela]"/>
        <member name=""/>
        <member name="[Geography].[Blocs].[Country].&amp;[Cabo Verde]"/>
        <member name=""/>
        <member name=""/>
        <member name=""/>
        <member name="[Geography].[Blocs].[Country].&amp;[Montserrat]"/>
        <member name="[Geography].[Blocs].[Country].&amp;[Mozambique]"/>
        <member name=""/>
        <member name="[Geography].[Blocs].[Country].&amp;[Afghanistan]"/>
        <member name=""/>
        <member name=""/>
        <member name=""/>
        <member name="[Geography].[Blocs].[Country].&amp;[St. Vincent]"/>
        <member name=""/>
        <member name=""/>
        <member name=""/>
        <member name="[Geography].[Blocs].[Country].&amp;[Small States]"/>
        <member name=""/>
        <member name=""/>
        <member name=""/>
        <member name="[Geography].[Blocs].[Country].&amp;[New Caledonia]"/>
        <member name="[Geography].[Blocs].[Country].&amp;[Western Samoa]"/>
        <member name="[Geography].[Blocs].[Country].&amp;[American Samoa]"/>
        <member name="[Geography].[Blocs].[Country].&amp;[Cayman Islands]"/>
        <member name=""/>
        <member name="[Geography].[Blocs].[Country].&amp;[Virgin Islands]"/>
        <member name="[Geography].[Blocs].[Country].&amp;[Solomon Islands]"/>
        <member name="[Geography].[Blocs].[Country].&amp;[French Polynesia]"/>
        <member name="[Geography].[Blocs].[Country].&amp;[Marshall Islands]"/>
        <member name=""/>
        <member name="[Geography].[Blocs].[Country].&amp;[Equatorial Guinea]"/>
        <member name="[Geography].[Blocs].[Country].&amp;[Ethiopia (Former)]"/>
        <member name=""/>
        <member name="[Geography].[Blocs].[Country].&amp;[Indonesia (Former)]"/>
        <member name="[Geography].[Blocs].[Country].&amp;[West Bank and Gaza]"/>
        <member name="[Geography].[Blocs].[Country].&amp;[St. Kitts and Nevis]"/>
        <member name=""/>
        <member name="[Geography].[Blocs].[Country].&amp;[United Arab Emirates]"/>
        <member name=""/>
        <member name="[Geography].[Blocs].[Country].&amp;[Northern Mariana Islands]"/>
        <member name="[Geography].[Blocs].[Country].&amp;[St. Martin (French part)]"/>
        <member name="[Geography].[Blocs].[Country].&amp;[Turks and Caicos Islands]"/>
        <member name="[Geography].[Blocs].[Country].&amp;[Sint Maarten (Dutch part)]"/>
        <member name="[Geography].[Blocs].[Country].&amp;[Micronesia Federated States]"/>
      </members>
    </pivotHierarchy>
    <pivotHierarchy/>
    <pivotHierarchy/>
    <pivotHierarchy multipleItemSelectionAllowed="1">
      <members count="1" level="1">
        <member name="[Geography].[WDI Availability].[wdi_availability].&amp;[From 1960]"/>
      </members>
    </pivotHierarchy>
    <pivotHierarchy/>
    <pivotHierarchy multipleItemSelectionAllowed="1">
      <members count="1" level="1">
        <member name="[Indicator Detail].[Industrial Sector (Agriculture/Manufacturing/etc)].&amp;[Whole economy]"/>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7" type="captionGreaterThanOrEqual" evalOrder="-1" id="5" stringValue1="1960">
      <autoFilter ref="A1">
        <filterColumn colId="0">
          <customFilters>
            <customFilter operator="greaterThanOrEqual" val="1960"/>
          </customFilters>
        </filterColumn>
      </autoFilter>
    </filter>
  </filters>
  <rowHierarchiesUsage count="1">
    <rowHierarchyUsage hierarchyUsage="6"/>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E4B6C-DD63-4587-81A5-138CE74F3FD5}">
  <sheetPr codeName="Sheet1"/>
  <dimension ref="B1:B30"/>
  <sheetViews>
    <sheetView workbookViewId="0">
      <selection activeCell="B5" sqref="B5"/>
    </sheetView>
  </sheetViews>
  <sheetFormatPr defaultRowHeight="14.25" x14ac:dyDescent="0.45"/>
  <cols>
    <col min="1" max="1" width="17.73046875" customWidth="1"/>
    <col min="2" max="2" width="153.6640625" customWidth="1"/>
    <col min="257" max="257" width="17.73046875" customWidth="1"/>
    <col min="258" max="258" width="153.6640625" customWidth="1"/>
    <col min="513" max="513" width="17.73046875" customWidth="1"/>
    <col min="514" max="514" width="153.6640625" customWidth="1"/>
    <col min="769" max="769" width="17.73046875" customWidth="1"/>
    <col min="770" max="770" width="153.6640625" customWidth="1"/>
    <col min="1025" max="1025" width="17.73046875" customWidth="1"/>
    <col min="1026" max="1026" width="153.6640625" customWidth="1"/>
    <col min="1281" max="1281" width="17.73046875" customWidth="1"/>
    <col min="1282" max="1282" width="153.6640625" customWidth="1"/>
    <col min="1537" max="1537" width="17.73046875" customWidth="1"/>
    <col min="1538" max="1538" width="153.6640625" customWidth="1"/>
    <col min="1793" max="1793" width="17.73046875" customWidth="1"/>
    <col min="1794" max="1794" width="153.6640625" customWidth="1"/>
    <col min="2049" max="2049" width="17.73046875" customWidth="1"/>
    <col min="2050" max="2050" width="153.6640625" customWidth="1"/>
    <col min="2305" max="2305" width="17.73046875" customWidth="1"/>
    <col min="2306" max="2306" width="153.6640625" customWidth="1"/>
    <col min="2561" max="2561" width="17.73046875" customWidth="1"/>
    <col min="2562" max="2562" width="153.6640625" customWidth="1"/>
    <col min="2817" max="2817" width="17.73046875" customWidth="1"/>
    <col min="2818" max="2818" width="153.6640625" customWidth="1"/>
    <col min="3073" max="3073" width="17.73046875" customWidth="1"/>
    <col min="3074" max="3074" width="153.6640625" customWidth="1"/>
    <col min="3329" max="3329" width="17.73046875" customWidth="1"/>
    <col min="3330" max="3330" width="153.6640625" customWidth="1"/>
    <col min="3585" max="3585" width="17.73046875" customWidth="1"/>
    <col min="3586" max="3586" width="153.6640625" customWidth="1"/>
    <col min="3841" max="3841" width="17.73046875" customWidth="1"/>
    <col min="3842" max="3842" width="153.6640625" customWidth="1"/>
    <col min="4097" max="4097" width="17.73046875" customWidth="1"/>
    <col min="4098" max="4098" width="153.6640625" customWidth="1"/>
    <col min="4353" max="4353" width="17.73046875" customWidth="1"/>
    <col min="4354" max="4354" width="153.6640625" customWidth="1"/>
    <col min="4609" max="4609" width="17.73046875" customWidth="1"/>
    <col min="4610" max="4610" width="153.6640625" customWidth="1"/>
    <col min="4865" max="4865" width="17.73046875" customWidth="1"/>
    <col min="4866" max="4866" width="153.6640625" customWidth="1"/>
    <col min="5121" max="5121" width="17.73046875" customWidth="1"/>
    <col min="5122" max="5122" width="153.6640625" customWidth="1"/>
    <col min="5377" max="5377" width="17.73046875" customWidth="1"/>
    <col min="5378" max="5378" width="153.6640625" customWidth="1"/>
    <col min="5633" max="5633" width="17.73046875" customWidth="1"/>
    <col min="5634" max="5634" width="153.6640625" customWidth="1"/>
    <col min="5889" max="5889" width="17.73046875" customWidth="1"/>
    <col min="5890" max="5890" width="153.6640625" customWidth="1"/>
    <col min="6145" max="6145" width="17.73046875" customWidth="1"/>
    <col min="6146" max="6146" width="153.6640625" customWidth="1"/>
    <col min="6401" max="6401" width="17.73046875" customWidth="1"/>
    <col min="6402" max="6402" width="153.6640625" customWidth="1"/>
    <col min="6657" max="6657" width="17.73046875" customWidth="1"/>
    <col min="6658" max="6658" width="153.6640625" customWidth="1"/>
    <col min="6913" max="6913" width="17.73046875" customWidth="1"/>
    <col min="6914" max="6914" width="153.6640625" customWidth="1"/>
    <col min="7169" max="7169" width="17.73046875" customWidth="1"/>
    <col min="7170" max="7170" width="153.6640625" customWidth="1"/>
    <col min="7425" max="7425" width="17.73046875" customWidth="1"/>
    <col min="7426" max="7426" width="153.6640625" customWidth="1"/>
    <col min="7681" max="7681" width="17.73046875" customWidth="1"/>
    <col min="7682" max="7682" width="153.6640625" customWidth="1"/>
    <col min="7937" max="7937" width="17.73046875" customWidth="1"/>
    <col min="7938" max="7938" width="153.6640625" customWidth="1"/>
    <col min="8193" max="8193" width="17.73046875" customWidth="1"/>
    <col min="8194" max="8194" width="153.6640625" customWidth="1"/>
    <col min="8449" max="8449" width="17.73046875" customWidth="1"/>
    <col min="8450" max="8450" width="153.6640625" customWidth="1"/>
    <col min="8705" max="8705" width="17.73046875" customWidth="1"/>
    <col min="8706" max="8706" width="153.6640625" customWidth="1"/>
    <col min="8961" max="8961" width="17.73046875" customWidth="1"/>
    <col min="8962" max="8962" width="153.6640625" customWidth="1"/>
    <col min="9217" max="9217" width="17.73046875" customWidth="1"/>
    <col min="9218" max="9218" width="153.6640625" customWidth="1"/>
    <col min="9473" max="9473" width="17.73046875" customWidth="1"/>
    <col min="9474" max="9474" width="153.6640625" customWidth="1"/>
    <col min="9729" max="9729" width="17.73046875" customWidth="1"/>
    <col min="9730" max="9730" width="153.6640625" customWidth="1"/>
    <col min="9985" max="9985" width="17.73046875" customWidth="1"/>
    <col min="9986" max="9986" width="153.6640625" customWidth="1"/>
    <col min="10241" max="10241" width="17.73046875" customWidth="1"/>
    <col min="10242" max="10242" width="153.6640625" customWidth="1"/>
    <col min="10497" max="10497" width="17.73046875" customWidth="1"/>
    <col min="10498" max="10498" width="153.6640625" customWidth="1"/>
    <col min="10753" max="10753" width="17.73046875" customWidth="1"/>
    <col min="10754" max="10754" width="153.6640625" customWidth="1"/>
    <col min="11009" max="11009" width="17.73046875" customWidth="1"/>
    <col min="11010" max="11010" width="153.6640625" customWidth="1"/>
    <col min="11265" max="11265" width="17.73046875" customWidth="1"/>
    <col min="11266" max="11266" width="153.6640625" customWidth="1"/>
    <col min="11521" max="11521" width="17.73046875" customWidth="1"/>
    <col min="11522" max="11522" width="153.6640625" customWidth="1"/>
    <col min="11777" max="11777" width="17.73046875" customWidth="1"/>
    <col min="11778" max="11778" width="153.6640625" customWidth="1"/>
    <col min="12033" max="12033" width="17.73046875" customWidth="1"/>
    <col min="12034" max="12034" width="153.6640625" customWidth="1"/>
    <col min="12289" max="12289" width="17.73046875" customWidth="1"/>
    <col min="12290" max="12290" width="153.6640625" customWidth="1"/>
    <col min="12545" max="12545" width="17.73046875" customWidth="1"/>
    <col min="12546" max="12546" width="153.6640625" customWidth="1"/>
    <col min="12801" max="12801" width="17.73046875" customWidth="1"/>
    <col min="12802" max="12802" width="153.6640625" customWidth="1"/>
    <col min="13057" max="13057" width="17.73046875" customWidth="1"/>
    <col min="13058" max="13058" width="153.6640625" customWidth="1"/>
    <col min="13313" max="13313" width="17.73046875" customWidth="1"/>
    <col min="13314" max="13314" width="153.6640625" customWidth="1"/>
    <col min="13569" max="13569" width="17.73046875" customWidth="1"/>
    <col min="13570" max="13570" width="153.6640625" customWidth="1"/>
    <col min="13825" max="13825" width="17.73046875" customWidth="1"/>
    <col min="13826" max="13826" width="153.6640625" customWidth="1"/>
    <col min="14081" max="14081" width="17.73046875" customWidth="1"/>
    <col min="14082" max="14082" width="153.6640625" customWidth="1"/>
    <col min="14337" max="14337" width="17.73046875" customWidth="1"/>
    <col min="14338" max="14338" width="153.6640625" customWidth="1"/>
    <col min="14593" max="14593" width="17.73046875" customWidth="1"/>
    <col min="14594" max="14594" width="153.6640625" customWidth="1"/>
    <col min="14849" max="14849" width="17.73046875" customWidth="1"/>
    <col min="14850" max="14850" width="153.6640625" customWidth="1"/>
    <col min="15105" max="15105" width="17.73046875" customWidth="1"/>
    <col min="15106" max="15106" width="153.6640625" customWidth="1"/>
    <col min="15361" max="15361" width="17.73046875" customWidth="1"/>
    <col min="15362" max="15362" width="153.6640625" customWidth="1"/>
    <col min="15617" max="15617" width="17.73046875" customWidth="1"/>
    <col min="15618" max="15618" width="153.6640625" customWidth="1"/>
    <col min="15873" max="15873" width="17.73046875" customWidth="1"/>
    <col min="15874" max="15874" width="153.6640625" customWidth="1"/>
    <col min="16129" max="16129" width="17.73046875" customWidth="1"/>
    <col min="16130" max="16130" width="153.6640625" customWidth="1"/>
  </cols>
  <sheetData>
    <row r="1" spans="2:2" ht="18" x14ac:dyDescent="0.55000000000000004">
      <c r="B1" s="1" t="s">
        <v>0</v>
      </c>
    </row>
    <row r="2" spans="2:2" ht="18" x14ac:dyDescent="0.55000000000000004">
      <c r="B2" s="1" t="s">
        <v>1</v>
      </c>
    </row>
    <row r="3" spans="2:2" ht="18" x14ac:dyDescent="0.55000000000000004">
      <c r="B3" s="1" t="s">
        <v>2</v>
      </c>
    </row>
    <row r="4" spans="2:2" ht="18" x14ac:dyDescent="0.55000000000000004">
      <c r="B4" s="2" t="s">
        <v>206</v>
      </c>
    </row>
    <row r="5" spans="2:2" ht="18" x14ac:dyDescent="0.55000000000000004">
      <c r="B5" s="3"/>
    </row>
    <row r="6" spans="2:2" x14ac:dyDescent="0.45">
      <c r="B6" s="4" t="s">
        <v>3</v>
      </c>
    </row>
    <row r="7" spans="2:2" x14ac:dyDescent="0.45">
      <c r="B7" s="4" t="s">
        <v>4</v>
      </c>
    </row>
    <row r="8" spans="2:2" x14ac:dyDescent="0.45">
      <c r="B8" s="4" t="s">
        <v>5</v>
      </c>
    </row>
    <row r="9" spans="2:2" ht="7.35" customHeight="1" x14ac:dyDescent="0.45">
      <c r="B9" s="4"/>
    </row>
    <row r="10" spans="2:2" x14ac:dyDescent="0.45">
      <c r="B10" s="5" t="s">
        <v>6</v>
      </c>
    </row>
    <row r="11" spans="2:2" x14ac:dyDescent="0.45">
      <c r="B11" s="4" t="s">
        <v>7</v>
      </c>
    </row>
    <row r="12" spans="2:2" x14ac:dyDescent="0.45">
      <c r="B12" s="5" t="s">
        <v>8</v>
      </c>
    </row>
    <row r="13" spans="2:2" ht="5.0999999999999996" customHeight="1" x14ac:dyDescent="0.45">
      <c r="B13" s="4" t="s">
        <v>9</v>
      </c>
    </row>
    <row r="14" spans="2:2" x14ac:dyDescent="0.45">
      <c r="B14" s="5" t="s">
        <v>10</v>
      </c>
    </row>
    <row r="15" spans="2:2" x14ac:dyDescent="0.45">
      <c r="B15" s="4" t="s">
        <v>11</v>
      </c>
    </row>
    <row r="16" spans="2:2" x14ac:dyDescent="0.45">
      <c r="B16" s="4" t="s">
        <v>12</v>
      </c>
    </row>
    <row r="17" spans="2:2" ht="4.3499999999999996" customHeight="1" x14ac:dyDescent="0.45">
      <c r="B17" s="6"/>
    </row>
    <row r="18" spans="2:2" x14ac:dyDescent="0.45">
      <c r="B18" s="4" t="s">
        <v>13</v>
      </c>
    </row>
    <row r="19" spans="2:2" ht="7.35" customHeight="1" x14ac:dyDescent="0.45">
      <c r="B19" s="4" t="s">
        <v>9</v>
      </c>
    </row>
    <row r="20" spans="2:2" x14ac:dyDescent="0.45">
      <c r="B20" s="5" t="s">
        <v>14</v>
      </c>
    </row>
    <row r="21" spans="2:2" ht="28.5" x14ac:dyDescent="0.45">
      <c r="B21" s="7" t="s">
        <v>15</v>
      </c>
    </row>
    <row r="22" spans="2:2" x14ac:dyDescent="0.45">
      <c r="B22" s="4" t="s">
        <v>16</v>
      </c>
    </row>
    <row r="23" spans="2:2" x14ac:dyDescent="0.45">
      <c r="B23" s="4" t="s">
        <v>17</v>
      </c>
    </row>
    <row r="24" spans="2:2" x14ac:dyDescent="0.45">
      <c r="B24" s="4" t="s">
        <v>18</v>
      </c>
    </row>
    <row r="25" spans="2:2" ht="4.3499999999999996" customHeight="1" x14ac:dyDescent="0.45">
      <c r="B25" s="4"/>
    </row>
    <row r="26" spans="2:2" x14ac:dyDescent="0.45">
      <c r="B26" s="5" t="s">
        <v>19</v>
      </c>
    </row>
    <row r="27" spans="2:2" ht="31.8" customHeight="1" x14ac:dyDescent="0.45">
      <c r="B27" s="7" t="s">
        <v>20</v>
      </c>
    </row>
    <row r="28" spans="2:2" ht="6" customHeight="1" x14ac:dyDescent="0.45">
      <c r="B28" s="4" t="s">
        <v>9</v>
      </c>
    </row>
    <row r="29" spans="2:2" ht="28.5" x14ac:dyDescent="0.45">
      <c r="B29" s="8" t="s">
        <v>21</v>
      </c>
    </row>
    <row r="30" spans="2:2" ht="28.5" x14ac:dyDescent="0.45">
      <c r="B30" s="7" t="s">
        <v>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J90"/>
  <sheetViews>
    <sheetView workbookViewId="0">
      <pane xSplit="2" ySplit="12" topLeftCell="AY13" activePane="bottomRight" state="frozen"/>
      <selection pane="topRight" activeCell="C1" sqref="C1"/>
      <selection pane="bottomLeft" activeCell="A9" sqref="A9"/>
      <selection pane="bottomRight" activeCell="BA1" sqref="BA1:BJ1048576"/>
    </sheetView>
  </sheetViews>
  <sheetFormatPr defaultRowHeight="14.25" x14ac:dyDescent="0.45"/>
  <cols>
    <col min="1" max="1" width="27.06640625" bestFit="1" customWidth="1"/>
    <col min="2" max="2" width="21.59765625" bestFit="1" customWidth="1"/>
    <col min="3" max="62" width="13.3984375" bestFit="1" customWidth="1"/>
    <col min="63" max="63" width="8.73046875" bestFit="1" customWidth="1"/>
    <col min="64" max="64" width="11.73046875" bestFit="1" customWidth="1"/>
    <col min="65" max="75" width="11.59765625" bestFit="1" customWidth="1"/>
    <col min="76" max="77" width="11.73046875" bestFit="1" customWidth="1"/>
    <col min="78" max="81" width="11.59765625" bestFit="1" customWidth="1"/>
    <col min="82" max="91" width="11.73046875" bestFit="1" customWidth="1"/>
    <col min="92" max="110" width="11.59765625" bestFit="1" customWidth="1"/>
    <col min="111" max="146" width="11.73046875" bestFit="1" customWidth="1"/>
    <col min="147" max="149" width="11.59765625" bestFit="1" customWidth="1"/>
    <col min="150" max="153" width="11.73046875" bestFit="1" customWidth="1"/>
    <col min="154" max="155" width="11.59765625" bestFit="1" customWidth="1"/>
  </cols>
  <sheetData>
    <row r="1" spans="1:62" x14ac:dyDescent="0.45">
      <c r="B1" t="s">
        <v>27</v>
      </c>
      <c r="C1" s="11">
        <f>SUMIF($A$14:$A$90,$B1,C$14:C$90)</f>
        <v>977433934</v>
      </c>
      <c r="D1" s="11">
        <f t="shared" ref="D1:BA2" si="0">SUMIF($A$14:$A$90,$B1,D$14:D$90)</f>
        <v>1000661463</v>
      </c>
      <c r="E1" s="11">
        <f t="shared" si="0"/>
        <v>1024719298</v>
      </c>
      <c r="F1" s="11">
        <f t="shared" si="0"/>
        <v>1049568603</v>
      </c>
      <c r="G1" s="11">
        <f t="shared" si="0"/>
        <v>1075153775</v>
      </c>
      <c r="H1" s="11">
        <f t="shared" si="0"/>
        <v>1101434985</v>
      </c>
      <c r="I1" s="11">
        <f t="shared" si="0"/>
        <v>1128416566</v>
      </c>
      <c r="J1" s="11">
        <f t="shared" si="0"/>
        <v>1156108444</v>
      </c>
      <c r="K1" s="11">
        <f t="shared" si="0"/>
        <v>1184502788</v>
      </c>
      <c r="L1" s="11">
        <f t="shared" si="0"/>
        <v>1213594304</v>
      </c>
      <c r="M1" s="11">
        <f t="shared" si="0"/>
        <v>1243387892</v>
      </c>
      <c r="N1" s="11">
        <f t="shared" si="0"/>
        <v>1273871027</v>
      </c>
      <c r="O1" s="11">
        <f t="shared" si="0"/>
        <v>1305074950</v>
      </c>
      <c r="P1" s="11">
        <f t="shared" si="0"/>
        <v>1337087498</v>
      </c>
      <c r="Q1" s="11">
        <f t="shared" si="0"/>
        <v>1370024373</v>
      </c>
      <c r="R1" s="11">
        <f t="shared" si="0"/>
        <v>1403969870</v>
      </c>
      <c r="S1" s="11">
        <f t="shared" si="0"/>
        <v>1438938757</v>
      </c>
      <c r="T1" s="11">
        <f t="shared" si="0"/>
        <v>1474910374</v>
      </c>
      <c r="U1" s="11">
        <f t="shared" si="0"/>
        <v>1511892167</v>
      </c>
      <c r="V1" s="11">
        <f t="shared" si="0"/>
        <v>1549885129</v>
      </c>
      <c r="W1" s="11">
        <f t="shared" si="0"/>
        <v>1588872219</v>
      </c>
      <c r="X1" s="11">
        <f t="shared" si="0"/>
        <v>1628833387</v>
      </c>
      <c r="Y1" s="11">
        <f t="shared" si="0"/>
        <v>1669718190</v>
      </c>
      <c r="Z1" s="11">
        <f t="shared" si="0"/>
        <v>1711431948</v>
      </c>
      <c r="AA1" s="11">
        <f t="shared" si="0"/>
        <v>1753857484</v>
      </c>
      <c r="AB1" s="11">
        <f t="shared" si="0"/>
        <v>1796886055</v>
      </c>
      <c r="AC1" s="11">
        <f t="shared" si="0"/>
        <v>1840492564</v>
      </c>
      <c r="AD1" s="11">
        <f t="shared" si="0"/>
        <v>1884626310</v>
      </c>
      <c r="AE1" s="11">
        <f t="shared" si="0"/>
        <v>1929112680</v>
      </c>
      <c r="AF1" s="11">
        <f t="shared" si="0"/>
        <v>1973749340</v>
      </c>
      <c r="AG1" s="11">
        <f t="shared" si="0"/>
        <v>2018392238</v>
      </c>
      <c r="AH1" s="11">
        <f t="shared" si="0"/>
        <v>2062919226</v>
      </c>
      <c r="AI1" s="11">
        <f t="shared" si="0"/>
        <v>2107361144</v>
      </c>
      <c r="AJ1" s="11">
        <f t="shared" si="0"/>
        <v>2151909344</v>
      </c>
      <c r="AK1" s="11">
        <f t="shared" si="0"/>
        <v>2196831419</v>
      </c>
      <c r="AL1" s="11">
        <f t="shared" si="0"/>
        <v>2242306667</v>
      </c>
      <c r="AM1" s="11">
        <f t="shared" si="0"/>
        <v>2288404631</v>
      </c>
      <c r="AN1" s="11">
        <f t="shared" si="0"/>
        <v>2335004621</v>
      </c>
      <c r="AO1" s="11">
        <f t="shared" si="0"/>
        <v>2381915859</v>
      </c>
      <c r="AP1" s="11">
        <f t="shared" si="0"/>
        <v>2428876896</v>
      </c>
      <c r="AQ1" s="11">
        <f t="shared" si="0"/>
        <v>2475690529</v>
      </c>
      <c r="AR1" s="11">
        <f t="shared" si="0"/>
        <v>2522283224</v>
      </c>
      <c r="AS1" s="11">
        <f t="shared" si="0"/>
        <v>2568701171</v>
      </c>
      <c r="AT1" s="11">
        <f t="shared" si="0"/>
        <v>2615010246</v>
      </c>
      <c r="AU1" s="11">
        <f t="shared" si="0"/>
        <v>2661346015</v>
      </c>
      <c r="AV1" s="11">
        <f t="shared" si="0"/>
        <v>2707793841</v>
      </c>
      <c r="AW1" s="11">
        <f t="shared" si="0"/>
        <v>2754374297</v>
      </c>
      <c r="AX1" s="11">
        <f t="shared" si="0"/>
        <v>2801054133</v>
      </c>
      <c r="AY1" s="11">
        <f t="shared" si="0"/>
        <v>2847802924</v>
      </c>
      <c r="AZ1" s="11">
        <f t="shared" si="0"/>
        <v>2894558379</v>
      </c>
      <c r="BA1" s="11">
        <f t="shared" si="0"/>
        <v>2941288122</v>
      </c>
      <c r="BB1" s="11">
        <f t="shared" ref="BA1:BJ2" si="1">SUMIF($A$14:$A$90,$B1,BB$14:BB$90)</f>
        <v>2987917132</v>
      </c>
      <c r="BC1" s="11">
        <f t="shared" si="1"/>
        <v>3034503241</v>
      </c>
      <c r="BD1" s="11">
        <f t="shared" si="1"/>
        <v>3081181655</v>
      </c>
      <c r="BE1" s="11">
        <f t="shared" si="1"/>
        <v>3128109814</v>
      </c>
      <c r="BF1" s="11">
        <f t="shared" si="1"/>
        <v>3175410810</v>
      </c>
      <c r="BG1" s="11">
        <f t="shared" si="1"/>
        <v>3223139404</v>
      </c>
      <c r="BH1" s="11">
        <f t="shared" si="1"/>
        <v>3271196203</v>
      </c>
      <c r="BI1" s="11">
        <f t="shared" si="1"/>
        <v>3319325725</v>
      </c>
      <c r="BJ1" s="11">
        <f t="shared" si="1"/>
        <v>3367494870</v>
      </c>
    </row>
    <row r="2" spans="1:62" x14ac:dyDescent="0.45">
      <c r="B2" t="s">
        <v>26</v>
      </c>
      <c r="C2" s="11">
        <f>SUMIF($A$14:$A$90,$B2,C$14:C$90)</f>
        <v>552583822</v>
      </c>
      <c r="D2" s="11">
        <f t="shared" si="0"/>
        <v>561230199</v>
      </c>
      <c r="E2" s="11">
        <f t="shared" si="0"/>
        <v>568336968</v>
      </c>
      <c r="F2" s="11">
        <f t="shared" si="0"/>
        <v>575280813</v>
      </c>
      <c r="G2" s="11">
        <f t="shared" si="0"/>
        <v>582204706</v>
      </c>
      <c r="H2" s="11">
        <f t="shared" si="0"/>
        <v>588891771</v>
      </c>
      <c r="I2" s="11">
        <f t="shared" si="0"/>
        <v>595107268</v>
      </c>
      <c r="J2" s="11">
        <f t="shared" si="0"/>
        <v>601100431</v>
      </c>
      <c r="K2" s="11">
        <f t="shared" si="0"/>
        <v>606197769</v>
      </c>
      <c r="L2" s="11">
        <f t="shared" si="0"/>
        <v>612830956</v>
      </c>
      <c r="M2" s="11">
        <f t="shared" si="0"/>
        <v>618949139</v>
      </c>
      <c r="N2" s="11">
        <f t="shared" si="0"/>
        <v>625723991</v>
      </c>
      <c r="O2" s="11">
        <f t="shared" si="0"/>
        <v>632076346</v>
      </c>
      <c r="P2" s="11">
        <f t="shared" si="0"/>
        <v>637527558</v>
      </c>
      <c r="Q2" s="11">
        <f t="shared" si="0"/>
        <v>644168213</v>
      </c>
      <c r="R2" s="11">
        <f t="shared" si="0"/>
        <v>650616497</v>
      </c>
      <c r="S2" s="11">
        <f t="shared" si="0"/>
        <v>655838478</v>
      </c>
      <c r="T2" s="11">
        <f t="shared" si="0"/>
        <v>661186484</v>
      </c>
      <c r="U2" s="11">
        <f t="shared" si="0"/>
        <v>666542725</v>
      </c>
      <c r="V2" s="11">
        <f t="shared" si="0"/>
        <v>671955233</v>
      </c>
      <c r="W2" s="11">
        <f t="shared" si="0"/>
        <v>677022633</v>
      </c>
      <c r="X2" s="11">
        <f t="shared" si="0"/>
        <v>682118521</v>
      </c>
      <c r="Y2" s="11">
        <f t="shared" si="0"/>
        <v>686933875</v>
      </c>
      <c r="Z2" s="11">
        <f t="shared" si="0"/>
        <v>691476543</v>
      </c>
      <c r="AA2" s="11">
        <f t="shared" si="0"/>
        <v>695808544</v>
      </c>
      <c r="AB2" s="11">
        <f t="shared" si="0"/>
        <v>700122901</v>
      </c>
      <c r="AC2" s="11">
        <f t="shared" si="0"/>
        <v>704555271</v>
      </c>
      <c r="AD2" s="11">
        <f t="shared" si="0"/>
        <v>708828894</v>
      </c>
      <c r="AE2" s="11">
        <f t="shared" si="0"/>
        <v>713184800</v>
      </c>
      <c r="AF2" s="11">
        <f t="shared" si="0"/>
        <v>717725822</v>
      </c>
      <c r="AG2" s="11">
        <f t="shared" si="0"/>
        <v>722816702</v>
      </c>
      <c r="AH2" s="11">
        <f t="shared" si="0"/>
        <v>728664067</v>
      </c>
      <c r="AI2" s="11">
        <f t="shared" si="0"/>
        <v>734536269</v>
      </c>
      <c r="AJ2" s="11">
        <f t="shared" si="0"/>
        <v>740109615</v>
      </c>
      <c r="AK2" s="11">
        <f t="shared" si="0"/>
        <v>745534654</v>
      </c>
      <c r="AL2" s="11">
        <f t="shared" si="0"/>
        <v>750915744</v>
      </c>
      <c r="AM2" s="11">
        <f t="shared" si="0"/>
        <v>756099581</v>
      </c>
      <c r="AN2" s="11">
        <f t="shared" si="0"/>
        <v>761386850</v>
      </c>
      <c r="AO2" s="11">
        <f t="shared" si="0"/>
        <v>766581760</v>
      </c>
      <c r="AP2" s="11">
        <f t="shared" si="0"/>
        <v>771705868</v>
      </c>
      <c r="AQ2" s="11">
        <f t="shared" si="0"/>
        <v>777058003</v>
      </c>
      <c r="AR2" s="11">
        <f t="shared" si="0"/>
        <v>782418893</v>
      </c>
      <c r="AS2" s="11">
        <f t="shared" si="0"/>
        <v>787773800</v>
      </c>
      <c r="AT2" s="11">
        <f t="shared" si="0"/>
        <v>793108979</v>
      </c>
      <c r="AU2" s="11">
        <f t="shared" si="0"/>
        <v>798637512</v>
      </c>
      <c r="AV2" s="11">
        <f t="shared" si="0"/>
        <v>804149105</v>
      </c>
      <c r="AW2" s="11">
        <f t="shared" si="0"/>
        <v>810020098</v>
      </c>
      <c r="AX2" s="11">
        <f t="shared" si="0"/>
        <v>816036221</v>
      </c>
      <c r="AY2" s="11">
        <f t="shared" si="0"/>
        <v>822474850</v>
      </c>
      <c r="AZ2" s="11">
        <f t="shared" si="0"/>
        <v>828042212</v>
      </c>
      <c r="BA2" s="11">
        <f t="shared" si="1"/>
        <v>833032550</v>
      </c>
      <c r="BB2" s="11">
        <f t="shared" si="1"/>
        <v>837434108</v>
      </c>
      <c r="BC2" s="11">
        <f t="shared" si="1"/>
        <v>841623629</v>
      </c>
      <c r="BD2" s="11">
        <f t="shared" si="1"/>
        <v>845963864</v>
      </c>
      <c r="BE2" s="11">
        <f t="shared" si="1"/>
        <v>850434215</v>
      </c>
      <c r="BF2" s="11">
        <f t="shared" si="1"/>
        <v>854434828</v>
      </c>
      <c r="BG2" s="11">
        <f t="shared" si="1"/>
        <v>858379823</v>
      </c>
      <c r="BH2" s="11">
        <f t="shared" si="1"/>
        <v>861912060</v>
      </c>
      <c r="BI2" s="11">
        <f t="shared" si="1"/>
        <v>865099664</v>
      </c>
      <c r="BJ2" s="11">
        <f t="shared" si="1"/>
        <v>868056459</v>
      </c>
    </row>
    <row r="3" spans="1:62" x14ac:dyDescent="0.45">
      <c r="B3" t="s">
        <v>174</v>
      </c>
      <c r="C3" s="11">
        <f>C13</f>
        <v>667070016</v>
      </c>
      <c r="D3" s="11">
        <f t="shared" ref="D3:AZ3" si="2">D13</f>
        <v>660329984</v>
      </c>
      <c r="E3" s="11">
        <f t="shared" si="2"/>
        <v>665769984</v>
      </c>
      <c r="F3" s="11">
        <f t="shared" si="2"/>
        <v>682334976</v>
      </c>
      <c r="G3" s="11">
        <f t="shared" si="2"/>
        <v>698355008</v>
      </c>
      <c r="H3" s="11">
        <f t="shared" si="2"/>
        <v>715185024</v>
      </c>
      <c r="I3" s="11">
        <f t="shared" si="2"/>
        <v>735400000</v>
      </c>
      <c r="J3" s="11">
        <f t="shared" si="2"/>
        <v>754550016</v>
      </c>
      <c r="K3" s="11">
        <f t="shared" si="2"/>
        <v>774510016</v>
      </c>
      <c r="L3" s="11">
        <f t="shared" si="2"/>
        <v>796025024</v>
      </c>
      <c r="M3" s="11">
        <f t="shared" si="2"/>
        <v>818315008</v>
      </c>
      <c r="N3" s="11">
        <f t="shared" si="2"/>
        <v>841105024</v>
      </c>
      <c r="O3" s="11">
        <f t="shared" si="2"/>
        <v>862030016</v>
      </c>
      <c r="P3" s="11">
        <f t="shared" si="2"/>
        <v>881939968</v>
      </c>
      <c r="Q3" s="11">
        <f t="shared" si="2"/>
        <v>900350016</v>
      </c>
      <c r="R3" s="11">
        <f t="shared" si="2"/>
        <v>916395008</v>
      </c>
      <c r="S3" s="11">
        <f t="shared" si="2"/>
        <v>930684992</v>
      </c>
      <c r="T3" s="11">
        <f t="shared" si="2"/>
        <v>943454976</v>
      </c>
      <c r="U3" s="11">
        <f t="shared" si="2"/>
        <v>956164992</v>
      </c>
      <c r="V3" s="11">
        <f t="shared" si="2"/>
        <v>969004992</v>
      </c>
      <c r="W3" s="11">
        <f t="shared" si="2"/>
        <v>981235008</v>
      </c>
      <c r="X3" s="11">
        <f t="shared" si="2"/>
        <v>993884992</v>
      </c>
      <c r="Y3" s="11">
        <f t="shared" si="2"/>
        <v>1008630016</v>
      </c>
      <c r="Z3" s="11">
        <f t="shared" si="2"/>
        <v>1023310016</v>
      </c>
      <c r="AA3" s="11">
        <f t="shared" si="2"/>
        <v>1036825024</v>
      </c>
      <c r="AB3" s="11">
        <f t="shared" si="2"/>
        <v>1051040000</v>
      </c>
      <c r="AC3" s="11">
        <f t="shared" si="2"/>
        <v>1066790016</v>
      </c>
      <c r="AD3" s="11">
        <f t="shared" si="2"/>
        <v>1084034944</v>
      </c>
      <c r="AE3" s="11">
        <f t="shared" si="2"/>
        <v>1101629952</v>
      </c>
      <c r="AF3" s="11">
        <f t="shared" si="2"/>
        <v>1118649984</v>
      </c>
      <c r="AG3" s="11">
        <f t="shared" si="2"/>
        <v>1135185024</v>
      </c>
      <c r="AH3" s="11">
        <f t="shared" si="2"/>
        <v>1150780032</v>
      </c>
      <c r="AI3" s="11">
        <f t="shared" si="2"/>
        <v>1164969984</v>
      </c>
      <c r="AJ3" s="11">
        <f t="shared" si="2"/>
        <v>1178439936</v>
      </c>
      <c r="AK3" s="11">
        <f t="shared" si="2"/>
        <v>1191835008</v>
      </c>
      <c r="AL3" s="11">
        <f t="shared" si="2"/>
        <v>1204855040</v>
      </c>
      <c r="AM3" s="11">
        <f t="shared" si="2"/>
        <v>1217549952</v>
      </c>
      <c r="AN3" s="11">
        <f t="shared" si="2"/>
        <v>1230075008</v>
      </c>
      <c r="AO3" s="11">
        <f t="shared" si="2"/>
        <v>1241934976</v>
      </c>
      <c r="AP3" s="11">
        <f t="shared" si="2"/>
        <v>1252734976</v>
      </c>
      <c r="AQ3" s="11">
        <f t="shared" si="2"/>
        <v>1262644992</v>
      </c>
      <c r="AR3" s="11">
        <f t="shared" si="2"/>
        <v>1271849984</v>
      </c>
      <c r="AS3" s="11">
        <f t="shared" si="2"/>
        <v>1280400000</v>
      </c>
      <c r="AT3" s="11">
        <f t="shared" si="2"/>
        <v>1288400000</v>
      </c>
      <c r="AU3" s="11">
        <f t="shared" si="2"/>
        <v>1296075008</v>
      </c>
      <c r="AV3" s="11">
        <f t="shared" si="2"/>
        <v>1303719936</v>
      </c>
      <c r="AW3" s="11">
        <f t="shared" si="2"/>
        <v>1311020032</v>
      </c>
      <c r="AX3" s="11">
        <f t="shared" si="2"/>
        <v>1317885056</v>
      </c>
      <c r="AY3" s="11">
        <f t="shared" si="2"/>
        <v>1324654976</v>
      </c>
      <c r="AZ3" s="11">
        <f t="shared" si="2"/>
        <v>1331260032</v>
      </c>
      <c r="BA3" s="11">
        <f t="shared" ref="BA3:BJ3" si="3">BA13</f>
        <v>1337704960</v>
      </c>
      <c r="BB3" s="11">
        <f t="shared" si="3"/>
        <v>1344130048</v>
      </c>
      <c r="BC3" s="11">
        <f t="shared" si="3"/>
        <v>1350695040</v>
      </c>
      <c r="BD3" s="11">
        <f t="shared" si="3"/>
        <v>1357379968</v>
      </c>
      <c r="BE3" s="11">
        <f t="shared" si="3"/>
        <v>1364269952</v>
      </c>
      <c r="BF3" s="11">
        <f t="shared" si="3"/>
        <v>1371219968</v>
      </c>
      <c r="BG3" s="11">
        <f t="shared" si="3"/>
        <v>1378664960</v>
      </c>
      <c r="BH3" s="11">
        <f t="shared" si="3"/>
        <v>1386395008</v>
      </c>
      <c r="BI3" s="11">
        <f t="shared" si="3"/>
        <v>1392729984</v>
      </c>
      <c r="BJ3" s="11">
        <f t="shared" si="3"/>
        <v>1397714944</v>
      </c>
    </row>
    <row r="4" spans="1:62" x14ac:dyDescent="0.45">
      <c r="B4" t="s">
        <v>189</v>
      </c>
      <c r="C4" s="11">
        <f>SUM(C13:C116)</f>
        <v>2197087772</v>
      </c>
      <c r="D4" s="11">
        <f t="shared" ref="D4:AZ4" si="4">SUM(D13:D116)</f>
        <v>2222221646</v>
      </c>
      <c r="E4" s="11">
        <f t="shared" si="4"/>
        <v>2258826250</v>
      </c>
      <c r="F4" s="11">
        <f t="shared" si="4"/>
        <v>2307184392</v>
      </c>
      <c r="G4" s="11">
        <f t="shared" si="4"/>
        <v>2355713489</v>
      </c>
      <c r="H4" s="11">
        <f t="shared" si="4"/>
        <v>2405511780</v>
      </c>
      <c r="I4" s="11">
        <f t="shared" si="4"/>
        <v>2458923834</v>
      </c>
      <c r="J4" s="11">
        <f t="shared" si="4"/>
        <v>2511758891</v>
      </c>
      <c r="K4" s="11">
        <f t="shared" si="4"/>
        <v>2565210573</v>
      </c>
      <c r="L4" s="11">
        <f t="shared" si="4"/>
        <v>2622450284</v>
      </c>
      <c r="M4" s="11">
        <f t="shared" si="4"/>
        <v>2680652039</v>
      </c>
      <c r="N4" s="11">
        <f t="shared" si="4"/>
        <v>2740700042</v>
      </c>
      <c r="O4" s="11">
        <f t="shared" si="4"/>
        <v>2799181312</v>
      </c>
      <c r="P4" s="11">
        <f t="shared" si="4"/>
        <v>2856555024</v>
      </c>
      <c r="Q4" s="11">
        <f t="shared" si="4"/>
        <v>2914542602</v>
      </c>
      <c r="R4" s="11">
        <f t="shared" si="4"/>
        <v>2970981375</v>
      </c>
      <c r="S4" s="11">
        <f t="shared" si="4"/>
        <v>3025462227</v>
      </c>
      <c r="T4" s="11">
        <f t="shared" si="4"/>
        <v>3079551834</v>
      </c>
      <c r="U4" s="11">
        <f t="shared" si="4"/>
        <v>3134599884</v>
      </c>
      <c r="V4" s="11">
        <f t="shared" si="4"/>
        <v>3190845354</v>
      </c>
      <c r="W4" s="11">
        <f t="shared" si="4"/>
        <v>3247129860</v>
      </c>
      <c r="X4" s="11">
        <f t="shared" si="4"/>
        <v>3304836900</v>
      </c>
      <c r="Y4" s="11">
        <f t="shared" si="4"/>
        <v>3365282081</v>
      </c>
      <c r="Z4" s="11">
        <f t="shared" si="4"/>
        <v>3426218507</v>
      </c>
      <c r="AA4" s="11">
        <f t="shared" si="4"/>
        <v>3486491052</v>
      </c>
      <c r="AB4" s="11">
        <f t="shared" si="4"/>
        <v>3548048956</v>
      </c>
      <c r="AC4" s="11">
        <f t="shared" si="4"/>
        <v>3611837851</v>
      </c>
      <c r="AD4" s="11">
        <f t="shared" si="4"/>
        <v>3677490148</v>
      </c>
      <c r="AE4" s="11">
        <f t="shared" si="4"/>
        <v>3743927432</v>
      </c>
      <c r="AF4" s="11">
        <f t="shared" si="4"/>
        <v>3810125146</v>
      </c>
      <c r="AG4" s="11">
        <f t="shared" si="4"/>
        <v>3876393964</v>
      </c>
      <c r="AH4" s="11">
        <f t="shared" si="4"/>
        <v>3942363325</v>
      </c>
      <c r="AI4" s="11">
        <f t="shared" si="4"/>
        <v>4006867397</v>
      </c>
      <c r="AJ4" s="11">
        <f t="shared" si="4"/>
        <v>4070458895</v>
      </c>
      <c r="AK4" s="11">
        <f t="shared" si="4"/>
        <v>4134201081</v>
      </c>
      <c r="AL4" s="11">
        <f t="shared" si="4"/>
        <v>4198077451</v>
      </c>
      <c r="AM4" s="11">
        <f t="shared" si="4"/>
        <v>4262054164</v>
      </c>
      <c r="AN4" s="11">
        <f t="shared" si="4"/>
        <v>4326466479</v>
      </c>
      <c r="AO4" s="11">
        <f t="shared" si="4"/>
        <v>4390432595</v>
      </c>
      <c r="AP4" s="11">
        <f t="shared" si="4"/>
        <v>4453317740</v>
      </c>
      <c r="AQ4" s="11">
        <f t="shared" si="4"/>
        <v>4515393524</v>
      </c>
      <c r="AR4" s="11">
        <f t="shared" si="4"/>
        <v>4576552101</v>
      </c>
      <c r="AS4" s="11">
        <f t="shared" si="4"/>
        <v>4636874971</v>
      </c>
      <c r="AT4" s="11">
        <f t="shared" si="4"/>
        <v>4696519225</v>
      </c>
      <c r="AU4" s="11">
        <f t="shared" si="4"/>
        <v>4756058535</v>
      </c>
      <c r="AV4" s="11">
        <f t="shared" si="4"/>
        <v>4815662882</v>
      </c>
      <c r="AW4" s="11">
        <f t="shared" si="4"/>
        <v>4875414427</v>
      </c>
      <c r="AX4" s="11">
        <f t="shared" si="4"/>
        <v>4934975410</v>
      </c>
      <c r="AY4" s="11">
        <f t="shared" si="4"/>
        <v>4994932750</v>
      </c>
      <c r="AZ4" s="11">
        <f t="shared" si="4"/>
        <v>5053860623</v>
      </c>
      <c r="BA4" s="11">
        <f t="shared" ref="BA4:BJ4" si="5">SUM(BA13:BA116)</f>
        <v>5112025632</v>
      </c>
      <c r="BB4" s="11">
        <f t="shared" si="5"/>
        <v>5169481288</v>
      </c>
      <c r="BC4" s="11">
        <f t="shared" si="5"/>
        <v>5226821910</v>
      </c>
      <c r="BD4" s="11">
        <f t="shared" si="5"/>
        <v>5284525487</v>
      </c>
      <c r="BE4" s="11">
        <f t="shared" si="5"/>
        <v>5342813981</v>
      </c>
      <c r="BF4" s="11">
        <f t="shared" si="5"/>
        <v>5401065606</v>
      </c>
      <c r="BG4" s="11">
        <f t="shared" si="5"/>
        <v>5460184187</v>
      </c>
      <c r="BH4" s="11">
        <f t="shared" si="5"/>
        <v>5519503271</v>
      </c>
      <c r="BI4" s="11">
        <f t="shared" si="5"/>
        <v>5577155373</v>
      </c>
      <c r="BJ4" s="11">
        <f t="shared" si="5"/>
        <v>5633266273</v>
      </c>
    </row>
    <row r="5" spans="1:62" x14ac:dyDescent="0.45">
      <c r="C5" s="15">
        <f>SUM(C1:C3)</f>
        <v>2197087772</v>
      </c>
      <c r="D5" s="15">
        <f t="shared" ref="D5:AZ5" si="6">SUM(D1:D3)</f>
        <v>2222221646</v>
      </c>
      <c r="E5" s="15">
        <f t="shared" si="6"/>
        <v>2258826250</v>
      </c>
      <c r="F5" s="15">
        <f t="shared" si="6"/>
        <v>2307184392</v>
      </c>
      <c r="G5" s="15">
        <f t="shared" si="6"/>
        <v>2355713489</v>
      </c>
      <c r="H5" s="15">
        <f t="shared" si="6"/>
        <v>2405511780</v>
      </c>
      <c r="I5" s="15">
        <f t="shared" si="6"/>
        <v>2458923834</v>
      </c>
      <c r="J5" s="15">
        <f t="shared" si="6"/>
        <v>2511758891</v>
      </c>
      <c r="K5" s="15">
        <f t="shared" si="6"/>
        <v>2565210573</v>
      </c>
      <c r="L5" s="15">
        <f t="shared" si="6"/>
        <v>2622450284</v>
      </c>
      <c r="M5" s="15">
        <f t="shared" si="6"/>
        <v>2680652039</v>
      </c>
      <c r="N5" s="15">
        <f t="shared" si="6"/>
        <v>2740700042</v>
      </c>
      <c r="O5" s="15">
        <f t="shared" si="6"/>
        <v>2799181312</v>
      </c>
      <c r="P5" s="15">
        <f t="shared" si="6"/>
        <v>2856555024</v>
      </c>
      <c r="Q5" s="15">
        <f t="shared" si="6"/>
        <v>2914542602</v>
      </c>
      <c r="R5" s="15">
        <f t="shared" si="6"/>
        <v>2970981375</v>
      </c>
      <c r="S5" s="15">
        <f t="shared" si="6"/>
        <v>3025462227</v>
      </c>
      <c r="T5" s="15">
        <f t="shared" si="6"/>
        <v>3079551834</v>
      </c>
      <c r="U5" s="15">
        <f t="shared" si="6"/>
        <v>3134599884</v>
      </c>
      <c r="V5" s="15">
        <f t="shared" si="6"/>
        <v>3190845354</v>
      </c>
      <c r="W5" s="15">
        <f t="shared" si="6"/>
        <v>3247129860</v>
      </c>
      <c r="X5" s="15">
        <f t="shared" si="6"/>
        <v>3304836900</v>
      </c>
      <c r="Y5" s="15">
        <f t="shared" si="6"/>
        <v>3365282081</v>
      </c>
      <c r="Z5" s="15">
        <f t="shared" si="6"/>
        <v>3426218507</v>
      </c>
      <c r="AA5" s="15">
        <f t="shared" si="6"/>
        <v>3486491052</v>
      </c>
      <c r="AB5" s="15">
        <f t="shared" si="6"/>
        <v>3548048956</v>
      </c>
      <c r="AC5" s="15">
        <f t="shared" si="6"/>
        <v>3611837851</v>
      </c>
      <c r="AD5" s="15">
        <f t="shared" si="6"/>
        <v>3677490148</v>
      </c>
      <c r="AE5" s="15">
        <f t="shared" si="6"/>
        <v>3743927432</v>
      </c>
      <c r="AF5" s="15">
        <f t="shared" si="6"/>
        <v>3810125146</v>
      </c>
      <c r="AG5" s="15">
        <f t="shared" si="6"/>
        <v>3876393964</v>
      </c>
      <c r="AH5" s="15">
        <f t="shared" si="6"/>
        <v>3942363325</v>
      </c>
      <c r="AI5" s="15">
        <f t="shared" si="6"/>
        <v>4006867397</v>
      </c>
      <c r="AJ5" s="15">
        <f t="shared" si="6"/>
        <v>4070458895</v>
      </c>
      <c r="AK5" s="15">
        <f t="shared" si="6"/>
        <v>4134201081</v>
      </c>
      <c r="AL5" s="15">
        <f t="shared" si="6"/>
        <v>4198077451</v>
      </c>
      <c r="AM5" s="15">
        <f t="shared" si="6"/>
        <v>4262054164</v>
      </c>
      <c r="AN5" s="15">
        <f t="shared" si="6"/>
        <v>4326466479</v>
      </c>
      <c r="AO5" s="15">
        <f t="shared" si="6"/>
        <v>4390432595</v>
      </c>
      <c r="AP5" s="15">
        <f t="shared" si="6"/>
        <v>4453317740</v>
      </c>
      <c r="AQ5" s="15">
        <f t="shared" si="6"/>
        <v>4515393524</v>
      </c>
      <c r="AR5" s="15">
        <f t="shared" si="6"/>
        <v>4576552101</v>
      </c>
      <c r="AS5" s="15">
        <f t="shared" si="6"/>
        <v>4636874971</v>
      </c>
      <c r="AT5" s="15">
        <f t="shared" si="6"/>
        <v>4696519225</v>
      </c>
      <c r="AU5" s="15">
        <f t="shared" si="6"/>
        <v>4756058535</v>
      </c>
      <c r="AV5" s="15">
        <f t="shared" si="6"/>
        <v>4815662882</v>
      </c>
      <c r="AW5" s="15">
        <f t="shared" si="6"/>
        <v>4875414427</v>
      </c>
      <c r="AX5" s="15">
        <f t="shared" si="6"/>
        <v>4934975410</v>
      </c>
      <c r="AY5" s="15">
        <f t="shared" si="6"/>
        <v>4994932750</v>
      </c>
      <c r="AZ5" s="15">
        <f t="shared" si="6"/>
        <v>5053860623</v>
      </c>
      <c r="BA5" s="15">
        <f t="shared" ref="BA5:BJ5" si="7">SUM(BA1:BA3)</f>
        <v>5112025632</v>
      </c>
      <c r="BB5" s="15">
        <f t="shared" si="7"/>
        <v>5169481288</v>
      </c>
      <c r="BC5" s="15">
        <f t="shared" si="7"/>
        <v>5226821910</v>
      </c>
      <c r="BD5" s="15">
        <f t="shared" si="7"/>
        <v>5284525487</v>
      </c>
      <c r="BE5" s="15">
        <f t="shared" si="7"/>
        <v>5342813981</v>
      </c>
      <c r="BF5" s="15">
        <f t="shared" si="7"/>
        <v>5401065606</v>
      </c>
      <c r="BG5" s="15">
        <f t="shared" si="7"/>
        <v>5460184187</v>
      </c>
      <c r="BH5" s="15">
        <f t="shared" si="7"/>
        <v>5519503271</v>
      </c>
      <c r="BI5" s="15">
        <f t="shared" si="7"/>
        <v>5577155373</v>
      </c>
      <c r="BJ5" s="15">
        <f t="shared" si="7"/>
        <v>5633266273</v>
      </c>
    </row>
    <row r="6" spans="1:62" x14ac:dyDescent="0.45">
      <c r="A6" s="9" t="s">
        <v>23</v>
      </c>
      <c r="B6" t="s" vm="2">
        <v>82</v>
      </c>
    </row>
    <row r="7" spans="1:62" x14ac:dyDescent="0.45">
      <c r="A7" s="9" t="s">
        <v>28</v>
      </c>
      <c r="B7" t="s" vm="1">
        <v>24</v>
      </c>
    </row>
    <row r="8" spans="1:62" x14ac:dyDescent="0.45">
      <c r="A8" s="9" t="s">
        <v>84</v>
      </c>
      <c r="B8" t="s" vm="3">
        <v>83</v>
      </c>
      <c r="E8" s="11"/>
      <c r="F8" s="11"/>
      <c r="G8" s="11"/>
      <c r="H8" s="11"/>
      <c r="I8" s="11"/>
      <c r="J8" s="11"/>
      <c r="K8" s="11"/>
      <c r="L8" s="11"/>
      <c r="M8" s="11"/>
    </row>
    <row r="9" spans="1:62" x14ac:dyDescent="0.45">
      <c r="A9" s="9" t="s">
        <v>165</v>
      </c>
      <c r="B9" t="s" vm="2268">
        <v>194</v>
      </c>
    </row>
    <row r="11" spans="1:62" x14ac:dyDescent="0.45">
      <c r="A11" s="9" t="s">
        <v>80</v>
      </c>
      <c r="C11" s="9" t="s">
        <v>166</v>
      </c>
    </row>
    <row r="12" spans="1:62" x14ac:dyDescent="0.45">
      <c r="A12" s="9" t="s">
        <v>167</v>
      </c>
      <c r="B12" s="9" t="s">
        <v>168</v>
      </c>
      <c r="C12" t="s">
        <v>195</v>
      </c>
      <c r="D12" t="s">
        <v>196</v>
      </c>
      <c r="E12" t="s">
        <v>197</v>
      </c>
      <c r="F12" t="s">
        <v>198</v>
      </c>
      <c r="G12" t="s">
        <v>199</v>
      </c>
      <c r="H12" t="s">
        <v>200</v>
      </c>
      <c r="I12" t="s">
        <v>201</v>
      </c>
      <c r="J12" t="s">
        <v>202</v>
      </c>
      <c r="K12" t="s">
        <v>203</v>
      </c>
      <c r="L12" t="s">
        <v>204</v>
      </c>
      <c r="M12" t="s">
        <v>30</v>
      </c>
      <c r="N12" t="s">
        <v>31</v>
      </c>
      <c r="O12" t="s">
        <v>32</v>
      </c>
      <c r="P12" t="s">
        <v>33</v>
      </c>
      <c r="Q12" t="s">
        <v>34</v>
      </c>
      <c r="R12" t="s">
        <v>35</v>
      </c>
      <c r="S12" t="s">
        <v>36</v>
      </c>
      <c r="T12" t="s">
        <v>37</v>
      </c>
      <c r="U12" t="s">
        <v>38</v>
      </c>
      <c r="V12" t="s">
        <v>39</v>
      </c>
      <c r="W12" t="s">
        <v>40</v>
      </c>
      <c r="X12" t="s">
        <v>41</v>
      </c>
      <c r="Y12" t="s">
        <v>42</v>
      </c>
      <c r="Z12" t="s">
        <v>43</v>
      </c>
      <c r="AA12" t="s">
        <v>44</v>
      </c>
      <c r="AB12" t="s">
        <v>45</v>
      </c>
      <c r="AC12" t="s">
        <v>46</v>
      </c>
      <c r="AD12" t="s">
        <v>47</v>
      </c>
      <c r="AE12" t="s">
        <v>48</v>
      </c>
      <c r="AF12" t="s">
        <v>49</v>
      </c>
      <c r="AG12" t="s">
        <v>50</v>
      </c>
      <c r="AH12" t="s">
        <v>51</v>
      </c>
      <c r="AI12" t="s">
        <v>52</v>
      </c>
      <c r="AJ12" t="s">
        <v>53</v>
      </c>
      <c r="AK12" t="s">
        <v>54</v>
      </c>
      <c r="AL12" t="s">
        <v>55</v>
      </c>
      <c r="AM12" t="s">
        <v>56</v>
      </c>
      <c r="AN12" t="s">
        <v>57</v>
      </c>
      <c r="AO12" t="s">
        <v>58</v>
      </c>
      <c r="AP12" t="s">
        <v>59</v>
      </c>
      <c r="AQ12" t="s">
        <v>60</v>
      </c>
      <c r="AR12" t="s">
        <v>61</v>
      </c>
      <c r="AS12" t="s">
        <v>62</v>
      </c>
      <c r="AT12" t="s">
        <v>63</v>
      </c>
      <c r="AU12" t="s">
        <v>64</v>
      </c>
      <c r="AV12" t="s">
        <v>65</v>
      </c>
      <c r="AW12" t="s">
        <v>66</v>
      </c>
      <c r="AX12" t="s">
        <v>67</v>
      </c>
      <c r="AY12" t="s">
        <v>68</v>
      </c>
      <c r="AZ12" t="s">
        <v>69</v>
      </c>
      <c r="BA12" t="s">
        <v>70</v>
      </c>
      <c r="BB12" t="s">
        <v>71</v>
      </c>
      <c r="BC12" t="s">
        <v>72</v>
      </c>
      <c r="BD12" t="s">
        <v>73</v>
      </c>
      <c r="BE12" t="s">
        <v>74</v>
      </c>
      <c r="BF12" t="s">
        <v>75</v>
      </c>
      <c r="BG12" t="s">
        <v>76</v>
      </c>
      <c r="BH12" t="s">
        <v>77</v>
      </c>
      <c r="BI12" t="s">
        <v>78</v>
      </c>
      <c r="BJ12" t="s">
        <v>79</v>
      </c>
    </row>
    <row r="13" spans="1:62" x14ac:dyDescent="0.45">
      <c r="A13" t="s">
        <v>25</v>
      </c>
      <c r="C13" s="10">
        <v>667070016</v>
      </c>
      <c r="D13" s="10">
        <v>660329984</v>
      </c>
      <c r="E13" s="10">
        <v>665769984</v>
      </c>
      <c r="F13" s="10">
        <v>682334976</v>
      </c>
      <c r="G13" s="10">
        <v>698355008</v>
      </c>
      <c r="H13" s="10">
        <v>715185024</v>
      </c>
      <c r="I13" s="10">
        <v>735400000</v>
      </c>
      <c r="J13" s="10">
        <v>754550016</v>
      </c>
      <c r="K13" s="10">
        <v>774510016</v>
      </c>
      <c r="L13" s="10">
        <v>796025024</v>
      </c>
      <c r="M13" s="10">
        <v>818315008</v>
      </c>
      <c r="N13" s="10">
        <v>841105024</v>
      </c>
      <c r="O13" s="10">
        <v>862030016</v>
      </c>
      <c r="P13" s="10">
        <v>881939968</v>
      </c>
      <c r="Q13" s="10">
        <v>900350016</v>
      </c>
      <c r="R13" s="10">
        <v>916395008</v>
      </c>
      <c r="S13" s="10">
        <v>930684992</v>
      </c>
      <c r="T13" s="10">
        <v>943454976</v>
      </c>
      <c r="U13" s="10">
        <v>956164992</v>
      </c>
      <c r="V13" s="10">
        <v>969004992</v>
      </c>
      <c r="W13" s="10">
        <v>981235008</v>
      </c>
      <c r="X13" s="10">
        <v>993884992</v>
      </c>
      <c r="Y13" s="10">
        <v>1008630016</v>
      </c>
      <c r="Z13" s="10">
        <v>1023310016</v>
      </c>
      <c r="AA13" s="10">
        <v>1036825024</v>
      </c>
      <c r="AB13" s="10">
        <v>1051040000</v>
      </c>
      <c r="AC13" s="10">
        <v>1066790016</v>
      </c>
      <c r="AD13" s="10">
        <v>1084034944</v>
      </c>
      <c r="AE13" s="10">
        <v>1101629952</v>
      </c>
      <c r="AF13" s="10">
        <v>1118649984</v>
      </c>
      <c r="AG13" s="10">
        <v>1135185024</v>
      </c>
      <c r="AH13" s="10">
        <v>1150780032</v>
      </c>
      <c r="AI13" s="10">
        <v>1164969984</v>
      </c>
      <c r="AJ13" s="10">
        <v>1178439936</v>
      </c>
      <c r="AK13" s="10">
        <v>1191835008</v>
      </c>
      <c r="AL13" s="10">
        <v>1204855040</v>
      </c>
      <c r="AM13" s="10">
        <v>1217549952</v>
      </c>
      <c r="AN13" s="10">
        <v>1230075008</v>
      </c>
      <c r="AO13" s="10">
        <v>1241934976</v>
      </c>
      <c r="AP13" s="10">
        <v>1252734976</v>
      </c>
      <c r="AQ13" s="10">
        <v>1262644992</v>
      </c>
      <c r="AR13" s="10">
        <v>1271849984</v>
      </c>
      <c r="AS13" s="10">
        <v>1280400000</v>
      </c>
      <c r="AT13" s="10">
        <v>1288400000</v>
      </c>
      <c r="AU13" s="10">
        <v>1296075008</v>
      </c>
      <c r="AV13" s="10">
        <v>1303719936</v>
      </c>
      <c r="AW13" s="10">
        <v>1311020032</v>
      </c>
      <c r="AX13" s="10">
        <v>1317885056</v>
      </c>
      <c r="AY13" s="10">
        <v>1324654976</v>
      </c>
      <c r="AZ13" s="10">
        <v>1331260032</v>
      </c>
      <c r="BA13" s="10">
        <v>1337704960</v>
      </c>
      <c r="BB13" s="10">
        <v>1344130048</v>
      </c>
      <c r="BC13" s="10">
        <v>1350695040</v>
      </c>
      <c r="BD13" s="10">
        <v>1357379968</v>
      </c>
      <c r="BE13" s="10">
        <v>1364269952</v>
      </c>
      <c r="BF13" s="10">
        <v>1371219968</v>
      </c>
      <c r="BG13" s="10">
        <v>1378664960</v>
      </c>
      <c r="BH13" s="10">
        <v>1386395008</v>
      </c>
      <c r="BI13" s="10">
        <v>1392729984</v>
      </c>
      <c r="BJ13" s="10">
        <v>1397714944</v>
      </c>
    </row>
    <row r="14" spans="1:62" x14ac:dyDescent="0.45">
      <c r="A14" t="s">
        <v>26</v>
      </c>
      <c r="B14" t="s">
        <v>85</v>
      </c>
      <c r="C14" s="10">
        <v>10276477</v>
      </c>
      <c r="D14" s="10">
        <v>10483000</v>
      </c>
      <c r="E14" s="10">
        <v>10742000</v>
      </c>
      <c r="F14" s="10">
        <v>10950000</v>
      </c>
      <c r="G14" s="10">
        <v>11167000</v>
      </c>
      <c r="H14" s="10">
        <v>11388000</v>
      </c>
      <c r="I14" s="10">
        <v>11651000</v>
      </c>
      <c r="J14" s="10">
        <v>11799000</v>
      </c>
      <c r="K14" s="10">
        <v>12009000</v>
      </c>
      <c r="L14" s="10">
        <v>12263000</v>
      </c>
      <c r="M14" s="10">
        <v>12507000</v>
      </c>
      <c r="N14" s="10">
        <v>12937000</v>
      </c>
      <c r="O14" s="10">
        <v>13177000</v>
      </c>
      <c r="P14" s="10">
        <v>13380000</v>
      </c>
      <c r="Q14" s="10">
        <v>13723000</v>
      </c>
      <c r="R14" s="10">
        <v>13893000</v>
      </c>
      <c r="S14" s="10">
        <v>14033000</v>
      </c>
      <c r="T14" s="10">
        <v>14192000</v>
      </c>
      <c r="U14" s="10">
        <v>14358000</v>
      </c>
      <c r="V14" s="10">
        <v>14514000</v>
      </c>
      <c r="W14" s="10">
        <v>14692000</v>
      </c>
      <c r="X14" s="10">
        <v>14927000</v>
      </c>
      <c r="Y14" s="10">
        <v>15178000</v>
      </c>
      <c r="Z14" s="10">
        <v>15369000</v>
      </c>
      <c r="AA14" s="10">
        <v>15544000</v>
      </c>
      <c r="AB14" s="10">
        <v>15758000</v>
      </c>
      <c r="AC14" s="10">
        <v>16018400</v>
      </c>
      <c r="AD14" s="10">
        <v>16263900</v>
      </c>
      <c r="AE14" s="10">
        <v>16532200</v>
      </c>
      <c r="AF14" s="10">
        <v>16814400</v>
      </c>
      <c r="AG14" s="10">
        <v>17065100</v>
      </c>
      <c r="AH14" s="10">
        <v>17284000</v>
      </c>
      <c r="AI14" s="10">
        <v>17495000</v>
      </c>
      <c r="AJ14" s="10">
        <v>17667000</v>
      </c>
      <c r="AK14" s="10">
        <v>17855000</v>
      </c>
      <c r="AL14" s="10">
        <v>18072000</v>
      </c>
      <c r="AM14" s="10">
        <v>18311000</v>
      </c>
      <c r="AN14" s="10">
        <v>18517000</v>
      </c>
      <c r="AO14" s="10">
        <v>18711000</v>
      </c>
      <c r="AP14" s="10">
        <v>18926000</v>
      </c>
      <c r="AQ14" s="10">
        <v>19153000</v>
      </c>
      <c r="AR14" s="10">
        <v>19413000</v>
      </c>
      <c r="AS14" s="10">
        <v>19651400</v>
      </c>
      <c r="AT14" s="10">
        <v>19895400</v>
      </c>
      <c r="AU14" s="10">
        <v>20127400</v>
      </c>
      <c r="AV14" s="10">
        <v>20394800</v>
      </c>
      <c r="AW14" s="10">
        <v>20697900</v>
      </c>
      <c r="AX14" s="10">
        <v>20827600</v>
      </c>
      <c r="AY14" s="10">
        <v>21249200</v>
      </c>
      <c r="AZ14" s="10">
        <v>21691700</v>
      </c>
      <c r="BA14" s="10">
        <v>22031750</v>
      </c>
      <c r="BB14" s="10">
        <v>22340024</v>
      </c>
      <c r="BC14" s="10">
        <v>22733464</v>
      </c>
      <c r="BD14" s="10">
        <v>23128128</v>
      </c>
      <c r="BE14" s="10">
        <v>23475686</v>
      </c>
      <c r="BF14" s="10">
        <v>23815996</v>
      </c>
      <c r="BG14" s="10">
        <v>24190908</v>
      </c>
      <c r="BH14" s="10">
        <v>24601860</v>
      </c>
      <c r="BI14" s="10">
        <v>24982688</v>
      </c>
      <c r="BJ14" s="10">
        <v>25364308</v>
      </c>
    </row>
    <row r="15" spans="1:62" x14ac:dyDescent="0.45">
      <c r="A15" t="s">
        <v>26</v>
      </c>
      <c r="B15" t="s">
        <v>86</v>
      </c>
      <c r="C15" s="10">
        <v>7047539</v>
      </c>
      <c r="D15" s="10">
        <v>7086299</v>
      </c>
      <c r="E15" s="10">
        <v>7129864</v>
      </c>
      <c r="F15" s="10">
        <v>7175811</v>
      </c>
      <c r="G15" s="10">
        <v>7223801</v>
      </c>
      <c r="H15" s="10">
        <v>7270889</v>
      </c>
      <c r="I15" s="10">
        <v>7322066</v>
      </c>
      <c r="J15" s="10">
        <v>7376998</v>
      </c>
      <c r="K15" s="10">
        <v>7415403</v>
      </c>
      <c r="L15" s="10">
        <v>7441055</v>
      </c>
      <c r="M15" s="10">
        <v>7467086</v>
      </c>
      <c r="N15" s="10">
        <v>7500482</v>
      </c>
      <c r="O15" s="10">
        <v>7544201</v>
      </c>
      <c r="P15" s="10">
        <v>7586115</v>
      </c>
      <c r="Q15" s="10">
        <v>7599038</v>
      </c>
      <c r="R15" s="10">
        <v>7578903</v>
      </c>
      <c r="S15" s="10">
        <v>7565525</v>
      </c>
      <c r="T15" s="10">
        <v>7568430</v>
      </c>
      <c r="U15" s="10">
        <v>7562305</v>
      </c>
      <c r="V15" s="10">
        <v>7549425</v>
      </c>
      <c r="W15" s="10">
        <v>7549433</v>
      </c>
      <c r="X15" s="10">
        <v>7568710</v>
      </c>
      <c r="Y15" s="10">
        <v>7574140</v>
      </c>
      <c r="Z15" s="10">
        <v>7561910</v>
      </c>
      <c r="AA15" s="10">
        <v>7561434</v>
      </c>
      <c r="AB15" s="10">
        <v>7564985</v>
      </c>
      <c r="AC15" s="10">
        <v>7569794</v>
      </c>
      <c r="AD15" s="10">
        <v>7574586</v>
      </c>
      <c r="AE15" s="10">
        <v>7585317</v>
      </c>
      <c r="AF15" s="10">
        <v>7619567</v>
      </c>
      <c r="AG15" s="10">
        <v>7677850</v>
      </c>
      <c r="AH15" s="10">
        <v>7754891</v>
      </c>
      <c r="AI15" s="10">
        <v>7840709</v>
      </c>
      <c r="AJ15" s="10">
        <v>7905633</v>
      </c>
      <c r="AK15" s="10">
        <v>7936118</v>
      </c>
      <c r="AL15" s="10">
        <v>7948278</v>
      </c>
      <c r="AM15" s="10">
        <v>7959017</v>
      </c>
      <c r="AN15" s="10">
        <v>7968041</v>
      </c>
      <c r="AO15" s="10">
        <v>7976789</v>
      </c>
      <c r="AP15" s="10">
        <v>7992324</v>
      </c>
      <c r="AQ15" s="10">
        <v>8011566</v>
      </c>
      <c r="AR15" s="10">
        <v>8042293</v>
      </c>
      <c r="AS15" s="10">
        <v>8081957</v>
      </c>
      <c r="AT15" s="10">
        <v>8121423</v>
      </c>
      <c r="AU15" s="10">
        <v>8171966</v>
      </c>
      <c r="AV15" s="10">
        <v>8227829</v>
      </c>
      <c r="AW15" s="10">
        <v>8268641</v>
      </c>
      <c r="AX15" s="10">
        <v>8295487</v>
      </c>
      <c r="AY15" s="10">
        <v>8321496</v>
      </c>
      <c r="AZ15" s="10">
        <v>8343323</v>
      </c>
      <c r="BA15" s="10">
        <v>8363404</v>
      </c>
      <c r="BB15" s="10">
        <v>8391643</v>
      </c>
      <c r="BC15" s="10">
        <v>8429991</v>
      </c>
      <c r="BD15" s="10">
        <v>8479823</v>
      </c>
      <c r="BE15" s="10">
        <v>8546356</v>
      </c>
      <c r="BF15" s="10">
        <v>8642699</v>
      </c>
      <c r="BG15" s="10">
        <v>8736668</v>
      </c>
      <c r="BH15" s="10">
        <v>8797566</v>
      </c>
      <c r="BI15" s="10">
        <v>8840521</v>
      </c>
      <c r="BJ15" s="10">
        <v>8877067</v>
      </c>
    </row>
    <row r="16" spans="1:62" x14ac:dyDescent="0.45">
      <c r="A16" t="s">
        <v>26</v>
      </c>
      <c r="B16" t="s">
        <v>87</v>
      </c>
      <c r="C16" s="10">
        <v>9153489</v>
      </c>
      <c r="D16" s="10">
        <v>9183948</v>
      </c>
      <c r="E16" s="10">
        <v>9220578</v>
      </c>
      <c r="F16" s="10">
        <v>9289770</v>
      </c>
      <c r="G16" s="10">
        <v>9378113</v>
      </c>
      <c r="H16" s="10">
        <v>9463667</v>
      </c>
      <c r="I16" s="10">
        <v>9527807</v>
      </c>
      <c r="J16" s="10">
        <v>9580991</v>
      </c>
      <c r="K16" s="10">
        <v>9618756</v>
      </c>
      <c r="L16" s="10">
        <v>9646032</v>
      </c>
      <c r="M16" s="10">
        <v>9655549</v>
      </c>
      <c r="N16" s="10">
        <v>9673162</v>
      </c>
      <c r="O16" s="10">
        <v>9711115</v>
      </c>
      <c r="P16" s="10">
        <v>9741720</v>
      </c>
      <c r="Q16" s="10">
        <v>9772419</v>
      </c>
      <c r="R16" s="10">
        <v>9800700</v>
      </c>
      <c r="S16" s="10">
        <v>9818227</v>
      </c>
      <c r="T16" s="10">
        <v>9830358</v>
      </c>
      <c r="U16" s="10">
        <v>9839534</v>
      </c>
      <c r="V16" s="10">
        <v>9848382</v>
      </c>
      <c r="W16" s="10">
        <v>9859242</v>
      </c>
      <c r="X16" s="10">
        <v>9858982</v>
      </c>
      <c r="Y16" s="10">
        <v>9856303</v>
      </c>
      <c r="Z16" s="10">
        <v>9855520</v>
      </c>
      <c r="AA16" s="10">
        <v>9855372</v>
      </c>
      <c r="AB16" s="10">
        <v>9858308</v>
      </c>
      <c r="AC16" s="10">
        <v>9861823</v>
      </c>
      <c r="AD16" s="10">
        <v>9870234</v>
      </c>
      <c r="AE16" s="10">
        <v>9901664</v>
      </c>
      <c r="AF16" s="10">
        <v>9937697</v>
      </c>
      <c r="AG16" s="10">
        <v>9967379</v>
      </c>
      <c r="AH16" s="10">
        <v>10004486</v>
      </c>
      <c r="AI16" s="10">
        <v>10045158</v>
      </c>
      <c r="AJ16" s="10">
        <v>10084475</v>
      </c>
      <c r="AK16" s="10">
        <v>10115603</v>
      </c>
      <c r="AL16" s="10">
        <v>10136811</v>
      </c>
      <c r="AM16" s="10">
        <v>10156637</v>
      </c>
      <c r="AN16" s="10">
        <v>10181245</v>
      </c>
      <c r="AO16" s="10">
        <v>10203008</v>
      </c>
      <c r="AP16" s="10">
        <v>10226419</v>
      </c>
      <c r="AQ16" s="10">
        <v>10251250</v>
      </c>
      <c r="AR16" s="10">
        <v>10286570</v>
      </c>
      <c r="AS16" s="10">
        <v>10332785</v>
      </c>
      <c r="AT16" s="10">
        <v>10376133</v>
      </c>
      <c r="AU16" s="10">
        <v>10421137</v>
      </c>
      <c r="AV16" s="10">
        <v>10478617</v>
      </c>
      <c r="AW16" s="10">
        <v>10547958</v>
      </c>
      <c r="AX16" s="10">
        <v>10625700</v>
      </c>
      <c r="AY16" s="10">
        <v>10709973</v>
      </c>
      <c r="AZ16" s="10">
        <v>10796493</v>
      </c>
      <c r="BA16" s="10">
        <v>10895586</v>
      </c>
      <c r="BB16" s="10">
        <v>11038264</v>
      </c>
      <c r="BC16" s="10">
        <v>11106932</v>
      </c>
      <c r="BD16" s="10">
        <v>11159407</v>
      </c>
      <c r="BE16" s="10">
        <v>11209057</v>
      </c>
      <c r="BF16" s="10">
        <v>11274196</v>
      </c>
      <c r="BG16" s="10">
        <v>11331422</v>
      </c>
      <c r="BH16" s="10">
        <v>11375158</v>
      </c>
      <c r="BI16" s="10">
        <v>11427054</v>
      </c>
      <c r="BJ16" s="10">
        <v>11484055</v>
      </c>
    </row>
    <row r="17" spans="1:62" x14ac:dyDescent="0.45">
      <c r="A17" t="s">
        <v>26</v>
      </c>
      <c r="B17" t="s">
        <v>88</v>
      </c>
      <c r="C17" s="10">
        <v>4429634</v>
      </c>
      <c r="D17" s="10">
        <v>4461005</v>
      </c>
      <c r="E17" s="10">
        <v>4491443</v>
      </c>
      <c r="F17" s="10">
        <v>4523309</v>
      </c>
      <c r="G17" s="10">
        <v>4548543</v>
      </c>
      <c r="H17" s="10">
        <v>4563732</v>
      </c>
      <c r="I17" s="10">
        <v>4580869</v>
      </c>
      <c r="J17" s="10">
        <v>4605744</v>
      </c>
      <c r="K17" s="10">
        <v>4626469</v>
      </c>
      <c r="L17" s="10">
        <v>4623785</v>
      </c>
      <c r="M17" s="10">
        <v>4606307</v>
      </c>
      <c r="N17" s="10">
        <v>4612124</v>
      </c>
      <c r="O17" s="10">
        <v>4639657</v>
      </c>
      <c r="P17" s="10">
        <v>4666081</v>
      </c>
      <c r="Q17" s="10">
        <v>4690574</v>
      </c>
      <c r="R17" s="10">
        <v>4711440</v>
      </c>
      <c r="S17" s="10">
        <v>4725664</v>
      </c>
      <c r="T17" s="10">
        <v>4738902</v>
      </c>
      <c r="U17" s="10">
        <v>4752528</v>
      </c>
      <c r="V17" s="10">
        <v>4764690</v>
      </c>
      <c r="W17" s="10">
        <v>4779535</v>
      </c>
      <c r="X17" s="10">
        <v>4799964</v>
      </c>
      <c r="Y17" s="10">
        <v>4826933</v>
      </c>
      <c r="Z17" s="10">
        <v>4855787</v>
      </c>
      <c r="AA17" s="10">
        <v>4881803</v>
      </c>
      <c r="AB17" s="10">
        <v>4902206</v>
      </c>
      <c r="AC17" s="10">
        <v>4918154</v>
      </c>
      <c r="AD17" s="10">
        <v>4932123</v>
      </c>
      <c r="AE17" s="10">
        <v>4946481</v>
      </c>
      <c r="AF17" s="10">
        <v>4964371</v>
      </c>
      <c r="AG17" s="10">
        <v>4986431</v>
      </c>
      <c r="AH17" s="10">
        <v>5013740</v>
      </c>
      <c r="AI17" s="10">
        <v>5041992</v>
      </c>
      <c r="AJ17" s="10">
        <v>5066447</v>
      </c>
      <c r="AK17" s="10">
        <v>5088333</v>
      </c>
      <c r="AL17" s="10">
        <v>5107790</v>
      </c>
      <c r="AM17" s="10">
        <v>5124573</v>
      </c>
      <c r="AN17" s="10">
        <v>5139835</v>
      </c>
      <c r="AO17" s="10">
        <v>5153498</v>
      </c>
      <c r="AP17" s="10">
        <v>5165474</v>
      </c>
      <c r="AQ17" s="10">
        <v>5176209</v>
      </c>
      <c r="AR17" s="10">
        <v>5188008</v>
      </c>
      <c r="AS17" s="10">
        <v>5200598</v>
      </c>
      <c r="AT17" s="10">
        <v>5213014</v>
      </c>
      <c r="AU17" s="10">
        <v>5228172</v>
      </c>
      <c r="AV17" s="10">
        <v>5246096</v>
      </c>
      <c r="AW17" s="10">
        <v>5266268</v>
      </c>
      <c r="AX17" s="10">
        <v>5288720</v>
      </c>
      <c r="AY17" s="10">
        <v>5313399</v>
      </c>
      <c r="AZ17" s="10">
        <v>5338871</v>
      </c>
      <c r="BA17" s="10">
        <v>5363352</v>
      </c>
      <c r="BB17" s="10">
        <v>5388272</v>
      </c>
      <c r="BC17" s="10">
        <v>5413971</v>
      </c>
      <c r="BD17" s="10">
        <v>5438972</v>
      </c>
      <c r="BE17" s="10">
        <v>5461512</v>
      </c>
      <c r="BF17" s="10">
        <v>5479531</v>
      </c>
      <c r="BG17" s="10">
        <v>5495303</v>
      </c>
      <c r="BH17" s="10">
        <v>5508214</v>
      </c>
      <c r="BI17" s="10">
        <v>5515525</v>
      </c>
      <c r="BJ17" s="10">
        <v>5520314</v>
      </c>
    </row>
    <row r="18" spans="1:62" x14ac:dyDescent="0.45">
      <c r="A18" t="s">
        <v>26</v>
      </c>
      <c r="B18" t="s">
        <v>89</v>
      </c>
      <c r="C18" s="10">
        <v>46621668</v>
      </c>
      <c r="D18" s="10">
        <v>47240544</v>
      </c>
      <c r="E18" s="10">
        <v>47904876</v>
      </c>
      <c r="F18" s="10">
        <v>48582612</v>
      </c>
      <c r="G18" s="10">
        <v>49230596</v>
      </c>
      <c r="H18" s="10">
        <v>49818028</v>
      </c>
      <c r="I18" s="10">
        <v>50330264</v>
      </c>
      <c r="J18" s="10">
        <v>50775792</v>
      </c>
      <c r="K18" s="10">
        <v>51175508</v>
      </c>
      <c r="L18" s="10">
        <v>51561836</v>
      </c>
      <c r="M18" s="10">
        <v>51957736</v>
      </c>
      <c r="N18" s="10">
        <v>52371344</v>
      </c>
      <c r="O18" s="10">
        <v>52793136</v>
      </c>
      <c r="P18" s="10">
        <v>53207736</v>
      </c>
      <c r="Q18" s="10">
        <v>53592232</v>
      </c>
      <c r="R18" s="10">
        <v>53931392</v>
      </c>
      <c r="S18" s="10">
        <v>54220024</v>
      </c>
      <c r="T18" s="10">
        <v>54467704</v>
      </c>
      <c r="U18" s="10">
        <v>54691852</v>
      </c>
      <c r="V18" s="10">
        <v>54917120</v>
      </c>
      <c r="W18" s="10">
        <v>55161528</v>
      </c>
      <c r="X18" s="10">
        <v>55430296</v>
      </c>
      <c r="Y18" s="10">
        <v>55718932</v>
      </c>
      <c r="Z18" s="10">
        <v>56023768</v>
      </c>
      <c r="AA18" s="10">
        <v>56337664</v>
      </c>
      <c r="AB18" s="10">
        <v>56654696</v>
      </c>
      <c r="AC18" s="10">
        <v>56976124</v>
      </c>
      <c r="AD18" s="10">
        <v>57302664</v>
      </c>
      <c r="AE18" s="10">
        <v>57627104</v>
      </c>
      <c r="AF18" s="10">
        <v>57940212</v>
      </c>
      <c r="AG18" s="10">
        <v>58235696</v>
      </c>
      <c r="AH18" s="10">
        <v>58559312</v>
      </c>
      <c r="AI18" s="10">
        <v>58851216</v>
      </c>
      <c r="AJ18" s="10">
        <v>59106768</v>
      </c>
      <c r="AK18" s="10">
        <v>59327192</v>
      </c>
      <c r="AL18" s="10">
        <v>59541900</v>
      </c>
      <c r="AM18" s="10">
        <v>59753100</v>
      </c>
      <c r="AN18" s="10">
        <v>59964852</v>
      </c>
      <c r="AO18" s="10">
        <v>60186288</v>
      </c>
      <c r="AP18" s="10">
        <v>60496720</v>
      </c>
      <c r="AQ18" s="10">
        <v>60912500</v>
      </c>
      <c r="AR18" s="10">
        <v>61357432</v>
      </c>
      <c r="AS18" s="10">
        <v>61805268</v>
      </c>
      <c r="AT18" s="10">
        <v>62244888</v>
      </c>
      <c r="AU18" s="10">
        <v>62704896</v>
      </c>
      <c r="AV18" s="10">
        <v>63179352</v>
      </c>
      <c r="AW18" s="10">
        <v>63621380</v>
      </c>
      <c r="AX18" s="10">
        <v>64016224</v>
      </c>
      <c r="AY18" s="10">
        <v>64374984</v>
      </c>
      <c r="AZ18" s="10">
        <v>64707040</v>
      </c>
      <c r="BA18" s="10">
        <v>65027508</v>
      </c>
      <c r="BB18" s="10">
        <v>65342780</v>
      </c>
      <c r="BC18" s="10">
        <v>65659808</v>
      </c>
      <c r="BD18" s="10">
        <v>65998688</v>
      </c>
      <c r="BE18" s="10">
        <v>66312068</v>
      </c>
      <c r="BF18" s="10">
        <v>66548272</v>
      </c>
      <c r="BG18" s="10">
        <v>66724104</v>
      </c>
      <c r="BH18" s="10">
        <v>66864380</v>
      </c>
      <c r="BI18" s="10">
        <v>66965912</v>
      </c>
      <c r="BJ18" s="10">
        <v>67059888</v>
      </c>
    </row>
    <row r="19" spans="1:62" x14ac:dyDescent="0.45">
      <c r="A19" t="s">
        <v>26</v>
      </c>
      <c r="B19" t="s">
        <v>90</v>
      </c>
      <c r="C19" s="10">
        <v>8331725</v>
      </c>
      <c r="D19" s="10">
        <v>8398050</v>
      </c>
      <c r="E19" s="10">
        <v>8448233</v>
      </c>
      <c r="F19" s="10">
        <v>8479625</v>
      </c>
      <c r="G19" s="10">
        <v>8510429</v>
      </c>
      <c r="H19" s="10">
        <v>8550333</v>
      </c>
      <c r="I19" s="10">
        <v>8613651</v>
      </c>
      <c r="J19" s="10">
        <v>8684088</v>
      </c>
      <c r="K19" s="10">
        <v>8740765</v>
      </c>
      <c r="L19" s="10">
        <v>8772764</v>
      </c>
      <c r="M19" s="10">
        <v>8792806</v>
      </c>
      <c r="N19" s="10">
        <v>8831036</v>
      </c>
      <c r="O19" s="10">
        <v>8888628</v>
      </c>
      <c r="P19" s="10">
        <v>8929086</v>
      </c>
      <c r="Q19" s="10">
        <v>8962022</v>
      </c>
      <c r="R19" s="10">
        <v>9046541</v>
      </c>
      <c r="S19" s="10">
        <v>9188150</v>
      </c>
      <c r="T19" s="10">
        <v>9308479</v>
      </c>
      <c r="U19" s="10">
        <v>9429959</v>
      </c>
      <c r="V19" s="10">
        <v>9548258</v>
      </c>
      <c r="W19" s="10">
        <v>9642505</v>
      </c>
      <c r="X19" s="10">
        <v>9729350</v>
      </c>
      <c r="Y19" s="10">
        <v>9789513</v>
      </c>
      <c r="Z19" s="10">
        <v>9846627</v>
      </c>
      <c r="AA19" s="10">
        <v>9895801</v>
      </c>
      <c r="AB19" s="10">
        <v>9934300</v>
      </c>
      <c r="AC19" s="10">
        <v>9967213</v>
      </c>
      <c r="AD19" s="10">
        <v>10000595</v>
      </c>
      <c r="AE19" s="10">
        <v>10036983</v>
      </c>
      <c r="AF19" s="10">
        <v>10089498</v>
      </c>
      <c r="AG19" s="10">
        <v>10196792</v>
      </c>
      <c r="AH19" s="10">
        <v>10319927</v>
      </c>
      <c r="AI19" s="10">
        <v>10399061</v>
      </c>
      <c r="AJ19" s="10">
        <v>10460415</v>
      </c>
      <c r="AK19" s="10">
        <v>10512922</v>
      </c>
      <c r="AL19" s="10">
        <v>10562153</v>
      </c>
      <c r="AM19" s="10">
        <v>10608800</v>
      </c>
      <c r="AN19" s="10">
        <v>10661259</v>
      </c>
      <c r="AO19" s="10">
        <v>10720509</v>
      </c>
      <c r="AP19" s="10">
        <v>10761698</v>
      </c>
      <c r="AQ19" s="10">
        <v>10805808</v>
      </c>
      <c r="AR19" s="10">
        <v>10862132</v>
      </c>
      <c r="AS19" s="10">
        <v>10902022</v>
      </c>
      <c r="AT19" s="10">
        <v>10928070</v>
      </c>
      <c r="AU19" s="10">
        <v>10955141</v>
      </c>
      <c r="AV19" s="10">
        <v>10987314</v>
      </c>
      <c r="AW19" s="10">
        <v>11020362</v>
      </c>
      <c r="AX19" s="10">
        <v>11048473</v>
      </c>
      <c r="AY19" s="10">
        <v>11077841</v>
      </c>
      <c r="AZ19" s="10">
        <v>11107017</v>
      </c>
      <c r="BA19" s="10">
        <v>11121341</v>
      </c>
      <c r="BB19" s="10">
        <v>11104899</v>
      </c>
      <c r="BC19" s="10">
        <v>11045011</v>
      </c>
      <c r="BD19" s="10">
        <v>10965211</v>
      </c>
      <c r="BE19" s="10">
        <v>10892413</v>
      </c>
      <c r="BF19" s="10">
        <v>10820883</v>
      </c>
      <c r="BG19" s="10">
        <v>10775971</v>
      </c>
      <c r="BH19" s="10">
        <v>10754679</v>
      </c>
      <c r="BI19" s="10">
        <v>10732882</v>
      </c>
      <c r="BJ19" s="10">
        <v>10716322</v>
      </c>
    </row>
    <row r="20" spans="1:62" x14ac:dyDescent="0.45">
      <c r="A20" t="s">
        <v>26</v>
      </c>
      <c r="B20" t="s">
        <v>91</v>
      </c>
      <c r="C20" s="10">
        <v>2114020</v>
      </c>
      <c r="D20" s="10">
        <v>2185000</v>
      </c>
      <c r="E20" s="10">
        <v>2293000</v>
      </c>
      <c r="F20" s="10">
        <v>2379000</v>
      </c>
      <c r="G20" s="10">
        <v>2475000</v>
      </c>
      <c r="H20" s="10">
        <v>2563000</v>
      </c>
      <c r="I20" s="10">
        <v>2629000</v>
      </c>
      <c r="J20" s="10">
        <v>2745000</v>
      </c>
      <c r="K20" s="10">
        <v>2803000</v>
      </c>
      <c r="L20" s="10">
        <v>2877000</v>
      </c>
      <c r="M20" s="10">
        <v>2974000</v>
      </c>
      <c r="N20" s="10">
        <v>3069000</v>
      </c>
      <c r="O20" s="10">
        <v>3148000</v>
      </c>
      <c r="P20" s="10">
        <v>3278000</v>
      </c>
      <c r="Q20" s="10">
        <v>3377000</v>
      </c>
      <c r="R20" s="10">
        <v>3455000</v>
      </c>
      <c r="S20" s="10">
        <v>3533000</v>
      </c>
      <c r="T20" s="10">
        <v>3613000</v>
      </c>
      <c r="U20" s="10">
        <v>3690000</v>
      </c>
      <c r="V20" s="10">
        <v>3786000</v>
      </c>
      <c r="W20" s="10">
        <v>3878000</v>
      </c>
      <c r="X20" s="10">
        <v>3956000</v>
      </c>
      <c r="Y20" s="10">
        <v>4031000</v>
      </c>
      <c r="Z20" s="10">
        <v>4105000</v>
      </c>
      <c r="AA20" s="10">
        <v>4159000</v>
      </c>
      <c r="AB20" s="10">
        <v>4233000</v>
      </c>
      <c r="AC20" s="10">
        <v>4299000</v>
      </c>
      <c r="AD20" s="10">
        <v>4369000</v>
      </c>
      <c r="AE20" s="10">
        <v>4442000</v>
      </c>
      <c r="AF20" s="10">
        <v>4518000</v>
      </c>
      <c r="AG20" s="10">
        <v>4660000</v>
      </c>
      <c r="AH20" s="10">
        <v>4949000</v>
      </c>
      <c r="AI20" s="10">
        <v>5123000</v>
      </c>
      <c r="AJ20" s="10">
        <v>5261000</v>
      </c>
      <c r="AK20" s="10">
        <v>5399000</v>
      </c>
      <c r="AL20" s="10">
        <v>5545000</v>
      </c>
      <c r="AM20" s="10">
        <v>5692000</v>
      </c>
      <c r="AN20" s="10">
        <v>5836000</v>
      </c>
      <c r="AO20" s="10">
        <v>5971000</v>
      </c>
      <c r="AP20" s="10">
        <v>6125000</v>
      </c>
      <c r="AQ20" s="10">
        <v>6289000</v>
      </c>
      <c r="AR20" s="10">
        <v>6439000</v>
      </c>
      <c r="AS20" s="10">
        <v>6570000</v>
      </c>
      <c r="AT20" s="10">
        <v>6689700</v>
      </c>
      <c r="AU20" s="10">
        <v>6809000</v>
      </c>
      <c r="AV20" s="10">
        <v>6930100</v>
      </c>
      <c r="AW20" s="10">
        <v>7053700</v>
      </c>
      <c r="AX20" s="10">
        <v>7180100</v>
      </c>
      <c r="AY20" s="10">
        <v>7308800</v>
      </c>
      <c r="AZ20" s="10">
        <v>7485600</v>
      </c>
      <c r="BA20" s="10">
        <v>7623600</v>
      </c>
      <c r="BB20" s="10">
        <v>7765800</v>
      </c>
      <c r="BC20" s="10">
        <v>7910500</v>
      </c>
      <c r="BD20" s="10">
        <v>8059500</v>
      </c>
      <c r="BE20" s="10">
        <v>8215700</v>
      </c>
      <c r="BF20" s="10">
        <v>8380100</v>
      </c>
      <c r="BG20" s="10">
        <v>8546000</v>
      </c>
      <c r="BH20" s="10">
        <v>8713300</v>
      </c>
      <c r="BI20" s="10">
        <v>8882800</v>
      </c>
      <c r="BJ20" s="10">
        <v>9053300</v>
      </c>
    </row>
    <row r="21" spans="1:62" x14ac:dyDescent="0.45">
      <c r="A21" t="s">
        <v>26</v>
      </c>
      <c r="B21" t="s">
        <v>92</v>
      </c>
      <c r="C21" s="10">
        <v>50199700</v>
      </c>
      <c r="D21" s="10">
        <v>50536352</v>
      </c>
      <c r="E21" s="10">
        <v>50879448</v>
      </c>
      <c r="F21" s="10">
        <v>51252000</v>
      </c>
      <c r="G21" s="10">
        <v>51675352</v>
      </c>
      <c r="H21" s="10">
        <v>52112352</v>
      </c>
      <c r="I21" s="10">
        <v>52519000</v>
      </c>
      <c r="J21" s="10">
        <v>52900500</v>
      </c>
      <c r="K21" s="10">
        <v>53235752</v>
      </c>
      <c r="L21" s="10">
        <v>53537952</v>
      </c>
      <c r="M21" s="10">
        <v>53821848</v>
      </c>
      <c r="N21" s="10">
        <v>54073488</v>
      </c>
      <c r="O21" s="10">
        <v>54381344</v>
      </c>
      <c r="P21" s="10">
        <v>54751408</v>
      </c>
      <c r="Q21" s="10">
        <v>55110868</v>
      </c>
      <c r="R21" s="10">
        <v>55441000</v>
      </c>
      <c r="S21" s="10">
        <v>55718260</v>
      </c>
      <c r="T21" s="10">
        <v>55955412</v>
      </c>
      <c r="U21" s="10">
        <v>56155144</v>
      </c>
      <c r="V21" s="10">
        <v>56317748</v>
      </c>
      <c r="W21" s="10">
        <v>56433884</v>
      </c>
      <c r="X21" s="10">
        <v>56501676</v>
      </c>
      <c r="Y21" s="10">
        <v>56543548</v>
      </c>
      <c r="Z21" s="10">
        <v>56564072</v>
      </c>
      <c r="AA21" s="10">
        <v>56576720</v>
      </c>
      <c r="AB21" s="10">
        <v>56593072</v>
      </c>
      <c r="AC21" s="10">
        <v>56596156</v>
      </c>
      <c r="AD21" s="10">
        <v>56601932</v>
      </c>
      <c r="AE21" s="10">
        <v>56629288</v>
      </c>
      <c r="AF21" s="10">
        <v>56671780</v>
      </c>
      <c r="AG21" s="10">
        <v>56719240</v>
      </c>
      <c r="AH21" s="10">
        <v>56758520</v>
      </c>
      <c r="AI21" s="10">
        <v>56797088</v>
      </c>
      <c r="AJ21" s="10">
        <v>56831820</v>
      </c>
      <c r="AK21" s="10">
        <v>56843400</v>
      </c>
      <c r="AL21" s="10">
        <v>56844304</v>
      </c>
      <c r="AM21" s="10">
        <v>56860280</v>
      </c>
      <c r="AN21" s="10">
        <v>56890372</v>
      </c>
      <c r="AO21" s="10">
        <v>56906744</v>
      </c>
      <c r="AP21" s="10">
        <v>56916316</v>
      </c>
      <c r="AQ21" s="10">
        <v>56942108</v>
      </c>
      <c r="AR21" s="10">
        <v>56974100</v>
      </c>
      <c r="AS21" s="10">
        <v>57059008</v>
      </c>
      <c r="AT21" s="10">
        <v>57313204</v>
      </c>
      <c r="AU21" s="10">
        <v>57685328</v>
      </c>
      <c r="AV21" s="10">
        <v>57969484</v>
      </c>
      <c r="AW21" s="10">
        <v>58143980</v>
      </c>
      <c r="AX21" s="10">
        <v>58438312</v>
      </c>
      <c r="AY21" s="10">
        <v>58826732</v>
      </c>
      <c r="AZ21" s="10">
        <v>59095364</v>
      </c>
      <c r="BA21" s="10">
        <v>59277416</v>
      </c>
      <c r="BB21" s="10">
        <v>59379448</v>
      </c>
      <c r="BC21" s="10">
        <v>59539716</v>
      </c>
      <c r="BD21" s="10">
        <v>60233948</v>
      </c>
      <c r="BE21" s="10">
        <v>60789140</v>
      </c>
      <c r="BF21" s="10">
        <v>60730584</v>
      </c>
      <c r="BG21" s="10">
        <v>60627496</v>
      </c>
      <c r="BH21" s="10">
        <v>60536708</v>
      </c>
      <c r="BI21" s="10">
        <v>60421760</v>
      </c>
      <c r="BJ21" s="10">
        <v>60297396</v>
      </c>
    </row>
    <row r="22" spans="1:62" x14ac:dyDescent="0.45">
      <c r="A22" t="s">
        <v>26</v>
      </c>
      <c r="B22" t="s">
        <v>93</v>
      </c>
      <c r="C22" s="10">
        <v>92500576</v>
      </c>
      <c r="D22" s="10">
        <v>94943000</v>
      </c>
      <c r="E22" s="10">
        <v>95832000</v>
      </c>
      <c r="F22" s="10">
        <v>96812000</v>
      </c>
      <c r="G22" s="10">
        <v>97826000</v>
      </c>
      <c r="H22" s="10">
        <v>98883000</v>
      </c>
      <c r="I22" s="10">
        <v>99790000</v>
      </c>
      <c r="J22" s="10">
        <v>100725000</v>
      </c>
      <c r="K22" s="10">
        <v>101061000</v>
      </c>
      <c r="L22" s="10">
        <v>103172000</v>
      </c>
      <c r="M22" s="10">
        <v>104345000</v>
      </c>
      <c r="N22" s="10">
        <v>105697000</v>
      </c>
      <c r="O22" s="10">
        <v>107188000</v>
      </c>
      <c r="P22" s="10">
        <v>108079000</v>
      </c>
      <c r="Q22" s="10">
        <v>110162000</v>
      </c>
      <c r="R22" s="10">
        <v>111940000</v>
      </c>
      <c r="S22" s="10">
        <v>112771000</v>
      </c>
      <c r="T22" s="10">
        <v>113863000</v>
      </c>
      <c r="U22" s="10">
        <v>114898000</v>
      </c>
      <c r="V22" s="10">
        <v>115870000</v>
      </c>
      <c r="W22" s="10">
        <v>116782000</v>
      </c>
      <c r="X22" s="10">
        <v>117648000</v>
      </c>
      <c r="Y22" s="10">
        <v>118449000</v>
      </c>
      <c r="Z22" s="10">
        <v>119259000</v>
      </c>
      <c r="AA22" s="10">
        <v>120018000</v>
      </c>
      <c r="AB22" s="10">
        <v>120754000</v>
      </c>
      <c r="AC22" s="10">
        <v>121492000</v>
      </c>
      <c r="AD22" s="10">
        <v>122091000</v>
      </c>
      <c r="AE22" s="10">
        <v>122613000</v>
      </c>
      <c r="AF22" s="10">
        <v>123116000</v>
      </c>
      <c r="AG22" s="10">
        <v>123537000</v>
      </c>
      <c r="AH22" s="10">
        <v>123921000</v>
      </c>
      <c r="AI22" s="10">
        <v>124229000</v>
      </c>
      <c r="AJ22" s="10">
        <v>124536000</v>
      </c>
      <c r="AK22" s="10">
        <v>124961000</v>
      </c>
      <c r="AL22" s="10">
        <v>125439000</v>
      </c>
      <c r="AM22" s="10">
        <v>125757000</v>
      </c>
      <c r="AN22" s="10">
        <v>126057000</v>
      </c>
      <c r="AO22" s="10">
        <v>126400000</v>
      </c>
      <c r="AP22" s="10">
        <v>126631000</v>
      </c>
      <c r="AQ22" s="10">
        <v>126843000</v>
      </c>
      <c r="AR22" s="10">
        <v>127149000</v>
      </c>
      <c r="AS22" s="10">
        <v>127445000</v>
      </c>
      <c r="AT22" s="10">
        <v>127718000</v>
      </c>
      <c r="AU22" s="10">
        <v>127761000</v>
      </c>
      <c r="AV22" s="10">
        <v>127773000</v>
      </c>
      <c r="AW22" s="10">
        <v>127854000</v>
      </c>
      <c r="AX22" s="10">
        <v>128001000</v>
      </c>
      <c r="AY22" s="10">
        <v>128063000</v>
      </c>
      <c r="AZ22" s="10">
        <v>128047000</v>
      </c>
      <c r="BA22" s="10">
        <v>128070000</v>
      </c>
      <c r="BB22" s="10">
        <v>127833000</v>
      </c>
      <c r="BC22" s="10">
        <v>127629000</v>
      </c>
      <c r="BD22" s="10">
        <v>127445000</v>
      </c>
      <c r="BE22" s="10">
        <v>127276000</v>
      </c>
      <c r="BF22" s="10">
        <v>127141000</v>
      </c>
      <c r="BG22" s="10">
        <v>126994512</v>
      </c>
      <c r="BH22" s="10">
        <v>126785800</v>
      </c>
      <c r="BI22" s="10">
        <v>126529104</v>
      </c>
      <c r="BJ22" s="10">
        <v>126264928</v>
      </c>
    </row>
    <row r="23" spans="1:62" x14ac:dyDescent="0.45">
      <c r="A23" t="s">
        <v>26</v>
      </c>
      <c r="B23" t="s">
        <v>94</v>
      </c>
      <c r="C23" s="10">
        <v>313970</v>
      </c>
      <c r="D23" s="10">
        <v>316845</v>
      </c>
      <c r="E23" s="10">
        <v>320750</v>
      </c>
      <c r="F23" s="10">
        <v>324100</v>
      </c>
      <c r="G23" s="10">
        <v>327750</v>
      </c>
      <c r="H23" s="10">
        <v>331500</v>
      </c>
      <c r="I23" s="10">
        <v>333895</v>
      </c>
      <c r="J23" s="10">
        <v>334995</v>
      </c>
      <c r="K23" s="10">
        <v>335850</v>
      </c>
      <c r="L23" s="10">
        <v>337500</v>
      </c>
      <c r="M23" s="10">
        <v>339171</v>
      </c>
      <c r="N23" s="10">
        <v>342421</v>
      </c>
      <c r="O23" s="10">
        <v>346600</v>
      </c>
      <c r="P23" s="10">
        <v>350450</v>
      </c>
      <c r="Q23" s="10">
        <v>355050</v>
      </c>
      <c r="R23" s="10">
        <v>358950</v>
      </c>
      <c r="S23" s="10">
        <v>360731</v>
      </c>
      <c r="T23" s="10">
        <v>361358</v>
      </c>
      <c r="U23" s="10">
        <v>362007</v>
      </c>
      <c r="V23" s="10">
        <v>362856</v>
      </c>
      <c r="W23" s="10">
        <v>364150</v>
      </c>
      <c r="X23" s="10">
        <v>365225</v>
      </c>
      <c r="Y23" s="10">
        <v>365525</v>
      </c>
      <c r="Z23" s="10">
        <v>365622</v>
      </c>
      <c r="AA23" s="10">
        <v>365998</v>
      </c>
      <c r="AB23" s="10">
        <v>366706</v>
      </c>
      <c r="AC23" s="10">
        <v>368355</v>
      </c>
      <c r="AD23" s="10">
        <v>370750</v>
      </c>
      <c r="AE23" s="10">
        <v>373450</v>
      </c>
      <c r="AF23" s="10">
        <v>377100</v>
      </c>
      <c r="AG23" s="10">
        <v>381850</v>
      </c>
      <c r="AH23" s="10">
        <v>387000</v>
      </c>
      <c r="AI23" s="10">
        <v>392175</v>
      </c>
      <c r="AJ23" s="10">
        <v>397475</v>
      </c>
      <c r="AK23" s="10">
        <v>402925</v>
      </c>
      <c r="AL23" s="10">
        <v>408625</v>
      </c>
      <c r="AM23" s="10">
        <v>414225</v>
      </c>
      <c r="AN23" s="10">
        <v>419450</v>
      </c>
      <c r="AO23" s="10">
        <v>424700</v>
      </c>
      <c r="AP23" s="10">
        <v>430475</v>
      </c>
      <c r="AQ23" s="10">
        <v>436300</v>
      </c>
      <c r="AR23" s="10">
        <v>441525</v>
      </c>
      <c r="AS23" s="10">
        <v>446175</v>
      </c>
      <c r="AT23" s="10">
        <v>451630</v>
      </c>
      <c r="AU23" s="10">
        <v>458095</v>
      </c>
      <c r="AV23" s="10">
        <v>465158</v>
      </c>
      <c r="AW23" s="10">
        <v>472637</v>
      </c>
      <c r="AX23" s="10">
        <v>479993</v>
      </c>
      <c r="AY23" s="10">
        <v>488650</v>
      </c>
      <c r="AZ23" s="10">
        <v>497783</v>
      </c>
      <c r="BA23" s="10">
        <v>506953</v>
      </c>
      <c r="BB23" s="10">
        <v>518347</v>
      </c>
      <c r="BC23" s="10">
        <v>530946</v>
      </c>
      <c r="BD23" s="10">
        <v>543360</v>
      </c>
      <c r="BE23" s="10">
        <v>556319</v>
      </c>
      <c r="BF23" s="10">
        <v>569604</v>
      </c>
      <c r="BG23" s="10">
        <v>582014</v>
      </c>
      <c r="BH23" s="10">
        <v>596336</v>
      </c>
      <c r="BI23" s="10">
        <v>607950</v>
      </c>
      <c r="BJ23" s="10">
        <v>619896</v>
      </c>
    </row>
    <row r="24" spans="1:62" x14ac:dyDescent="0.45">
      <c r="A24" t="s">
        <v>26</v>
      </c>
      <c r="B24" t="s">
        <v>95</v>
      </c>
      <c r="C24" s="10">
        <v>11486631</v>
      </c>
      <c r="D24" s="10">
        <v>11638712</v>
      </c>
      <c r="E24" s="10">
        <v>11805689</v>
      </c>
      <c r="F24" s="10">
        <v>11965966</v>
      </c>
      <c r="G24" s="10">
        <v>12127120</v>
      </c>
      <c r="H24" s="10">
        <v>12294732</v>
      </c>
      <c r="I24" s="10">
        <v>12456251</v>
      </c>
      <c r="J24" s="10">
        <v>12598201</v>
      </c>
      <c r="K24" s="10">
        <v>12729721</v>
      </c>
      <c r="L24" s="10">
        <v>12877984</v>
      </c>
      <c r="M24" s="10">
        <v>13038526</v>
      </c>
      <c r="N24" s="10">
        <v>13194497</v>
      </c>
      <c r="O24" s="10">
        <v>13328593</v>
      </c>
      <c r="P24" s="10">
        <v>13439322</v>
      </c>
      <c r="Q24" s="10">
        <v>13545056</v>
      </c>
      <c r="R24" s="10">
        <v>13666335</v>
      </c>
      <c r="S24" s="10">
        <v>13774037</v>
      </c>
      <c r="T24" s="10">
        <v>13856185</v>
      </c>
      <c r="U24" s="10">
        <v>13941700</v>
      </c>
      <c r="V24" s="10">
        <v>14038270</v>
      </c>
      <c r="W24" s="10">
        <v>14149800</v>
      </c>
      <c r="X24" s="10">
        <v>14247208</v>
      </c>
      <c r="Y24" s="10">
        <v>14312690</v>
      </c>
      <c r="Z24" s="10">
        <v>14367070</v>
      </c>
      <c r="AA24" s="10">
        <v>14424211</v>
      </c>
      <c r="AB24" s="10">
        <v>14491632</v>
      </c>
      <c r="AC24" s="10">
        <v>14572278</v>
      </c>
      <c r="AD24" s="10">
        <v>14665037</v>
      </c>
      <c r="AE24" s="10">
        <v>14760094</v>
      </c>
      <c r="AF24" s="10">
        <v>14848907</v>
      </c>
      <c r="AG24" s="10">
        <v>14951510</v>
      </c>
      <c r="AH24" s="10">
        <v>15069798</v>
      </c>
      <c r="AI24" s="10">
        <v>15184166</v>
      </c>
      <c r="AJ24" s="10">
        <v>15290368</v>
      </c>
      <c r="AK24" s="10">
        <v>15382838</v>
      </c>
      <c r="AL24" s="10">
        <v>15459006</v>
      </c>
      <c r="AM24" s="10">
        <v>15530498</v>
      </c>
      <c r="AN24" s="10">
        <v>15610650</v>
      </c>
      <c r="AO24" s="10">
        <v>15707209</v>
      </c>
      <c r="AP24" s="10">
        <v>15812088</v>
      </c>
      <c r="AQ24" s="10">
        <v>15925513</v>
      </c>
      <c r="AR24" s="10">
        <v>16046180</v>
      </c>
      <c r="AS24" s="10">
        <v>16148929</v>
      </c>
      <c r="AT24" s="10">
        <v>16225302</v>
      </c>
      <c r="AU24" s="10">
        <v>16281779</v>
      </c>
      <c r="AV24" s="10">
        <v>16319868</v>
      </c>
      <c r="AW24" s="10">
        <v>16346101</v>
      </c>
      <c r="AX24" s="10">
        <v>16381696</v>
      </c>
      <c r="AY24" s="10">
        <v>16445593</v>
      </c>
      <c r="AZ24" s="10">
        <v>16530388</v>
      </c>
      <c r="BA24" s="10">
        <v>16615394</v>
      </c>
      <c r="BB24" s="10">
        <v>16693074</v>
      </c>
      <c r="BC24" s="10">
        <v>16754962</v>
      </c>
      <c r="BD24" s="10">
        <v>16804432</v>
      </c>
      <c r="BE24" s="10">
        <v>16865008</v>
      </c>
      <c r="BF24" s="10">
        <v>16939924</v>
      </c>
      <c r="BG24" s="10">
        <v>17030314</v>
      </c>
      <c r="BH24" s="10">
        <v>17131296</v>
      </c>
      <c r="BI24" s="10">
        <v>17231624</v>
      </c>
      <c r="BJ24" s="10">
        <v>17332850</v>
      </c>
    </row>
    <row r="25" spans="1:62" x14ac:dyDescent="0.45">
      <c r="A25" t="s">
        <v>26</v>
      </c>
      <c r="B25" t="s">
        <v>96</v>
      </c>
      <c r="C25" s="10">
        <v>3581239</v>
      </c>
      <c r="D25" s="10">
        <v>3609800</v>
      </c>
      <c r="E25" s="10">
        <v>3638918</v>
      </c>
      <c r="F25" s="10">
        <v>3666537</v>
      </c>
      <c r="G25" s="10">
        <v>3694339</v>
      </c>
      <c r="H25" s="10">
        <v>3723168</v>
      </c>
      <c r="I25" s="10">
        <v>3753012</v>
      </c>
      <c r="J25" s="10">
        <v>3784539</v>
      </c>
      <c r="K25" s="10">
        <v>3816486</v>
      </c>
      <c r="L25" s="10">
        <v>3847707</v>
      </c>
      <c r="M25" s="10">
        <v>3875763</v>
      </c>
      <c r="N25" s="10">
        <v>3903039</v>
      </c>
      <c r="O25" s="10">
        <v>3933004</v>
      </c>
      <c r="P25" s="10">
        <v>3960612</v>
      </c>
      <c r="Q25" s="10">
        <v>3985258</v>
      </c>
      <c r="R25" s="10">
        <v>4007313</v>
      </c>
      <c r="S25" s="10">
        <v>4026152</v>
      </c>
      <c r="T25" s="10">
        <v>4043205</v>
      </c>
      <c r="U25" s="10">
        <v>4058671</v>
      </c>
      <c r="V25" s="10">
        <v>4072517</v>
      </c>
      <c r="W25" s="10">
        <v>4085620</v>
      </c>
      <c r="X25" s="10">
        <v>4099702</v>
      </c>
      <c r="Y25" s="10">
        <v>4114787</v>
      </c>
      <c r="Z25" s="10">
        <v>4128432</v>
      </c>
      <c r="AA25" s="10">
        <v>4140099</v>
      </c>
      <c r="AB25" s="10">
        <v>4152516</v>
      </c>
      <c r="AC25" s="10">
        <v>4167354</v>
      </c>
      <c r="AD25" s="10">
        <v>4186905</v>
      </c>
      <c r="AE25" s="10">
        <v>4209488</v>
      </c>
      <c r="AF25" s="10">
        <v>4226901</v>
      </c>
      <c r="AG25" s="10">
        <v>4241473</v>
      </c>
      <c r="AH25" s="10">
        <v>4261732</v>
      </c>
      <c r="AI25" s="10">
        <v>4286401</v>
      </c>
      <c r="AJ25" s="10">
        <v>4311991</v>
      </c>
      <c r="AK25" s="10">
        <v>4336613</v>
      </c>
      <c r="AL25" s="10">
        <v>4359184</v>
      </c>
      <c r="AM25" s="10">
        <v>4381336</v>
      </c>
      <c r="AN25" s="10">
        <v>4405157</v>
      </c>
      <c r="AO25" s="10">
        <v>4431464</v>
      </c>
      <c r="AP25" s="10">
        <v>4461913</v>
      </c>
      <c r="AQ25" s="10">
        <v>4490967</v>
      </c>
      <c r="AR25" s="10">
        <v>4513751</v>
      </c>
      <c r="AS25" s="10">
        <v>4538159</v>
      </c>
      <c r="AT25" s="10">
        <v>4564855</v>
      </c>
      <c r="AU25" s="10">
        <v>4591910</v>
      </c>
      <c r="AV25" s="10">
        <v>4623291</v>
      </c>
      <c r="AW25" s="10">
        <v>4660677</v>
      </c>
      <c r="AX25" s="10">
        <v>4709153</v>
      </c>
      <c r="AY25" s="10">
        <v>4768212</v>
      </c>
      <c r="AZ25" s="10">
        <v>4828726</v>
      </c>
      <c r="BA25" s="10">
        <v>4889252</v>
      </c>
      <c r="BB25" s="10">
        <v>4953088</v>
      </c>
      <c r="BC25" s="10">
        <v>5018573</v>
      </c>
      <c r="BD25" s="10">
        <v>5079623</v>
      </c>
      <c r="BE25" s="10">
        <v>5137232</v>
      </c>
      <c r="BF25" s="10">
        <v>5188607</v>
      </c>
      <c r="BG25" s="10">
        <v>5234519</v>
      </c>
      <c r="BH25" s="10">
        <v>5276968</v>
      </c>
      <c r="BI25" s="10">
        <v>5311916</v>
      </c>
      <c r="BJ25" s="10">
        <v>5347896</v>
      </c>
    </row>
    <row r="26" spans="1:62" x14ac:dyDescent="0.45">
      <c r="A26" t="s">
        <v>26</v>
      </c>
      <c r="B26" t="s">
        <v>97</v>
      </c>
      <c r="C26" s="10">
        <v>8857716</v>
      </c>
      <c r="D26" s="10">
        <v>8929316</v>
      </c>
      <c r="E26" s="10">
        <v>8993985</v>
      </c>
      <c r="F26" s="10">
        <v>9030355</v>
      </c>
      <c r="G26" s="10">
        <v>9035365</v>
      </c>
      <c r="H26" s="10">
        <v>8998595</v>
      </c>
      <c r="I26" s="10">
        <v>8930990</v>
      </c>
      <c r="J26" s="10">
        <v>8874520</v>
      </c>
      <c r="K26" s="10">
        <v>8836650</v>
      </c>
      <c r="L26" s="10">
        <v>8757705</v>
      </c>
      <c r="M26" s="10">
        <v>8680431</v>
      </c>
      <c r="N26" s="10">
        <v>8643756</v>
      </c>
      <c r="O26" s="10">
        <v>8630430</v>
      </c>
      <c r="P26" s="10">
        <v>8633100</v>
      </c>
      <c r="Q26" s="10">
        <v>8754365</v>
      </c>
      <c r="R26" s="10">
        <v>9093470</v>
      </c>
      <c r="S26" s="10">
        <v>9355810</v>
      </c>
      <c r="T26" s="10">
        <v>9455675</v>
      </c>
      <c r="U26" s="10">
        <v>9558250</v>
      </c>
      <c r="V26" s="10">
        <v>9661265</v>
      </c>
      <c r="W26" s="10">
        <v>9766312</v>
      </c>
      <c r="X26" s="10">
        <v>9851362</v>
      </c>
      <c r="Y26" s="10">
        <v>9911771</v>
      </c>
      <c r="Z26" s="10">
        <v>9957865</v>
      </c>
      <c r="AA26" s="10">
        <v>9996232</v>
      </c>
      <c r="AB26" s="10">
        <v>10023613</v>
      </c>
      <c r="AC26" s="10">
        <v>10032734</v>
      </c>
      <c r="AD26" s="10">
        <v>10030031</v>
      </c>
      <c r="AE26" s="10">
        <v>10019610</v>
      </c>
      <c r="AF26" s="10">
        <v>10005000</v>
      </c>
      <c r="AG26" s="10">
        <v>9983218</v>
      </c>
      <c r="AH26" s="10">
        <v>9960235</v>
      </c>
      <c r="AI26" s="10">
        <v>9952494</v>
      </c>
      <c r="AJ26" s="10">
        <v>9964675</v>
      </c>
      <c r="AK26" s="10">
        <v>9991525</v>
      </c>
      <c r="AL26" s="10">
        <v>10026176</v>
      </c>
      <c r="AM26" s="10">
        <v>10063945</v>
      </c>
      <c r="AN26" s="10">
        <v>10108977</v>
      </c>
      <c r="AO26" s="10">
        <v>10160196</v>
      </c>
      <c r="AP26" s="10">
        <v>10217828</v>
      </c>
      <c r="AQ26" s="10">
        <v>10289898</v>
      </c>
      <c r="AR26" s="10">
        <v>10362722</v>
      </c>
      <c r="AS26" s="10">
        <v>10419631</v>
      </c>
      <c r="AT26" s="10">
        <v>10458821</v>
      </c>
      <c r="AU26" s="10">
        <v>10483861</v>
      </c>
      <c r="AV26" s="10">
        <v>10503330</v>
      </c>
      <c r="AW26" s="10">
        <v>10522288</v>
      </c>
      <c r="AX26" s="10">
        <v>10542964</v>
      </c>
      <c r="AY26" s="10">
        <v>10558177</v>
      </c>
      <c r="AZ26" s="10">
        <v>10568247</v>
      </c>
      <c r="BA26" s="10">
        <v>10573100</v>
      </c>
      <c r="BB26" s="10">
        <v>10557560</v>
      </c>
      <c r="BC26" s="10">
        <v>10514844</v>
      </c>
      <c r="BD26" s="10">
        <v>10457295</v>
      </c>
      <c r="BE26" s="10">
        <v>10401062</v>
      </c>
      <c r="BF26" s="10">
        <v>10358076</v>
      </c>
      <c r="BG26" s="10">
        <v>10325452</v>
      </c>
      <c r="BH26" s="10">
        <v>10300300</v>
      </c>
      <c r="BI26" s="10">
        <v>10283822</v>
      </c>
      <c r="BJ26" s="10">
        <v>10269417</v>
      </c>
    </row>
    <row r="27" spans="1:62" x14ac:dyDescent="0.45">
      <c r="A27" t="s">
        <v>26</v>
      </c>
      <c r="B27" t="s">
        <v>98</v>
      </c>
      <c r="C27" s="10">
        <v>1646400</v>
      </c>
      <c r="D27" s="10">
        <v>1702400</v>
      </c>
      <c r="E27" s="10">
        <v>1750200</v>
      </c>
      <c r="F27" s="10">
        <v>1795000</v>
      </c>
      <c r="G27" s="10">
        <v>1841600</v>
      </c>
      <c r="H27" s="10">
        <v>1886900</v>
      </c>
      <c r="I27" s="10">
        <v>1934400</v>
      </c>
      <c r="J27" s="10">
        <v>1977600</v>
      </c>
      <c r="K27" s="10">
        <v>2012000</v>
      </c>
      <c r="L27" s="10">
        <v>2042500</v>
      </c>
      <c r="M27" s="10">
        <v>2074507</v>
      </c>
      <c r="N27" s="10">
        <v>2112900</v>
      </c>
      <c r="O27" s="10">
        <v>2152400</v>
      </c>
      <c r="P27" s="10">
        <v>2193000</v>
      </c>
      <c r="Q27" s="10">
        <v>2229800</v>
      </c>
      <c r="R27" s="10">
        <v>2262600</v>
      </c>
      <c r="S27" s="10">
        <v>2293300</v>
      </c>
      <c r="T27" s="10">
        <v>2325300</v>
      </c>
      <c r="U27" s="10">
        <v>2353600</v>
      </c>
      <c r="V27" s="10">
        <v>2383500</v>
      </c>
      <c r="W27" s="10">
        <v>2413945</v>
      </c>
      <c r="X27" s="10">
        <v>2532835</v>
      </c>
      <c r="Y27" s="10">
        <v>2646466</v>
      </c>
      <c r="Z27" s="10">
        <v>2681061</v>
      </c>
      <c r="AA27" s="10">
        <v>2732221</v>
      </c>
      <c r="AB27" s="10">
        <v>2735957</v>
      </c>
      <c r="AC27" s="10">
        <v>2733373</v>
      </c>
      <c r="AD27" s="10">
        <v>2774789</v>
      </c>
      <c r="AE27" s="10">
        <v>2846108</v>
      </c>
      <c r="AF27" s="10">
        <v>2930901</v>
      </c>
      <c r="AG27" s="10">
        <v>3047132</v>
      </c>
      <c r="AH27" s="10">
        <v>3135083</v>
      </c>
      <c r="AI27" s="10">
        <v>3230698</v>
      </c>
      <c r="AJ27" s="10">
        <v>3313471</v>
      </c>
      <c r="AK27" s="10">
        <v>3419048</v>
      </c>
      <c r="AL27" s="10">
        <v>3524506</v>
      </c>
      <c r="AM27" s="10">
        <v>3670704</v>
      </c>
      <c r="AN27" s="10">
        <v>3796038</v>
      </c>
      <c r="AO27" s="10">
        <v>3927213</v>
      </c>
      <c r="AP27" s="10">
        <v>3958723</v>
      </c>
      <c r="AQ27" s="10">
        <v>4027887</v>
      </c>
      <c r="AR27" s="10">
        <v>4138012</v>
      </c>
      <c r="AS27" s="10">
        <v>4175950</v>
      </c>
      <c r="AT27" s="10">
        <v>4114826</v>
      </c>
      <c r="AU27" s="10">
        <v>4166664</v>
      </c>
      <c r="AV27" s="10">
        <v>4265762</v>
      </c>
      <c r="AW27" s="10">
        <v>4401365</v>
      </c>
      <c r="AX27" s="10">
        <v>4588599</v>
      </c>
      <c r="AY27" s="10">
        <v>4839396</v>
      </c>
      <c r="AZ27" s="10">
        <v>4987573</v>
      </c>
      <c r="BA27" s="10">
        <v>5076732</v>
      </c>
      <c r="BB27" s="10">
        <v>5183688</v>
      </c>
      <c r="BC27" s="10">
        <v>5312437</v>
      </c>
      <c r="BD27" s="10">
        <v>5399162</v>
      </c>
      <c r="BE27" s="10">
        <v>5469724</v>
      </c>
      <c r="BF27" s="10">
        <v>5535002</v>
      </c>
      <c r="BG27" s="10">
        <v>5607283</v>
      </c>
      <c r="BH27" s="10">
        <v>5612253</v>
      </c>
      <c r="BI27" s="10">
        <v>5638676</v>
      </c>
      <c r="BJ27" s="10">
        <v>5703569</v>
      </c>
    </row>
    <row r="28" spans="1:62" x14ac:dyDescent="0.45">
      <c r="A28" t="s">
        <v>26</v>
      </c>
      <c r="B28" t="s">
        <v>99</v>
      </c>
      <c r="C28" s="10">
        <v>25012374</v>
      </c>
      <c r="D28" s="10">
        <v>25765672</v>
      </c>
      <c r="E28" s="10">
        <v>26513030</v>
      </c>
      <c r="F28" s="10">
        <v>27261748</v>
      </c>
      <c r="G28" s="10">
        <v>27984156</v>
      </c>
      <c r="H28" s="10">
        <v>28704674</v>
      </c>
      <c r="I28" s="10">
        <v>29435572</v>
      </c>
      <c r="J28" s="10">
        <v>30130984</v>
      </c>
      <c r="K28" s="10">
        <v>30838302</v>
      </c>
      <c r="L28" s="10">
        <v>31544266</v>
      </c>
      <c r="M28" s="10">
        <v>32240828</v>
      </c>
      <c r="N28" s="10">
        <v>32882704</v>
      </c>
      <c r="O28" s="10">
        <v>33505406</v>
      </c>
      <c r="P28" s="10">
        <v>34103148</v>
      </c>
      <c r="Q28" s="10">
        <v>34692264</v>
      </c>
      <c r="R28" s="10">
        <v>35280724</v>
      </c>
      <c r="S28" s="10">
        <v>35848524</v>
      </c>
      <c r="T28" s="10">
        <v>36411796</v>
      </c>
      <c r="U28" s="10">
        <v>36969184</v>
      </c>
      <c r="V28" s="10">
        <v>37534236</v>
      </c>
      <c r="W28" s="10">
        <v>38123776</v>
      </c>
      <c r="X28" s="10">
        <v>38723248</v>
      </c>
      <c r="Y28" s="10">
        <v>39326352</v>
      </c>
      <c r="Z28" s="10">
        <v>39910404</v>
      </c>
      <c r="AA28" s="10">
        <v>40405956</v>
      </c>
      <c r="AB28" s="10">
        <v>40805744</v>
      </c>
      <c r="AC28" s="10">
        <v>41213672</v>
      </c>
      <c r="AD28" s="10">
        <v>41621688</v>
      </c>
      <c r="AE28" s="10">
        <v>42031248</v>
      </c>
      <c r="AF28" s="10">
        <v>42449040</v>
      </c>
      <c r="AG28" s="10">
        <v>42869284</v>
      </c>
      <c r="AH28" s="10">
        <v>43295704</v>
      </c>
      <c r="AI28" s="10">
        <v>43747960</v>
      </c>
      <c r="AJ28" s="10">
        <v>44194628</v>
      </c>
      <c r="AK28" s="10">
        <v>44641540</v>
      </c>
      <c r="AL28" s="10">
        <v>45092992</v>
      </c>
      <c r="AM28" s="10">
        <v>45524680</v>
      </c>
      <c r="AN28" s="10">
        <v>45953580</v>
      </c>
      <c r="AO28" s="10">
        <v>46286504</v>
      </c>
      <c r="AP28" s="10">
        <v>46616676</v>
      </c>
      <c r="AQ28" s="10">
        <v>47008112</v>
      </c>
      <c r="AR28" s="10">
        <v>47370164</v>
      </c>
      <c r="AS28" s="10">
        <v>47644736</v>
      </c>
      <c r="AT28" s="10">
        <v>47892328</v>
      </c>
      <c r="AU28" s="10">
        <v>48082520</v>
      </c>
      <c r="AV28" s="10">
        <v>48184560</v>
      </c>
      <c r="AW28" s="10">
        <v>48438292</v>
      </c>
      <c r="AX28" s="10">
        <v>48683640</v>
      </c>
      <c r="AY28" s="10">
        <v>49054708</v>
      </c>
      <c r="AZ28" s="10">
        <v>49307836</v>
      </c>
      <c r="BA28" s="10">
        <v>49554112</v>
      </c>
      <c r="BB28" s="10">
        <v>49936640</v>
      </c>
      <c r="BC28" s="10">
        <v>50199852</v>
      </c>
      <c r="BD28" s="10">
        <v>50428892</v>
      </c>
      <c r="BE28" s="10">
        <v>50746660</v>
      </c>
      <c r="BF28" s="10">
        <v>51014948</v>
      </c>
      <c r="BG28" s="10">
        <v>51217804</v>
      </c>
      <c r="BH28" s="10">
        <v>51361912</v>
      </c>
      <c r="BI28" s="10">
        <v>51606632</v>
      </c>
      <c r="BJ28" s="10">
        <v>51709096</v>
      </c>
    </row>
    <row r="29" spans="1:62" x14ac:dyDescent="0.45">
      <c r="A29" t="s">
        <v>26</v>
      </c>
      <c r="B29" t="s">
        <v>100</v>
      </c>
      <c r="C29" s="10">
        <v>30455000</v>
      </c>
      <c r="D29" s="10">
        <v>30739250</v>
      </c>
      <c r="E29" s="10">
        <v>31023366</v>
      </c>
      <c r="F29" s="10">
        <v>31296652</v>
      </c>
      <c r="G29" s="10">
        <v>31609196</v>
      </c>
      <c r="H29" s="10">
        <v>31954292</v>
      </c>
      <c r="I29" s="10">
        <v>32283194</v>
      </c>
      <c r="J29" s="10">
        <v>32682948</v>
      </c>
      <c r="K29" s="10">
        <v>33113134</v>
      </c>
      <c r="L29" s="10">
        <v>33441054</v>
      </c>
      <c r="M29" s="10">
        <v>33814532</v>
      </c>
      <c r="N29" s="10">
        <v>34224488</v>
      </c>
      <c r="O29" s="10">
        <v>34604468</v>
      </c>
      <c r="P29" s="10">
        <v>34988948</v>
      </c>
      <c r="Q29" s="10">
        <v>35373336</v>
      </c>
      <c r="R29" s="10">
        <v>35757900</v>
      </c>
      <c r="S29" s="10">
        <v>36137812</v>
      </c>
      <c r="T29" s="10">
        <v>36511640</v>
      </c>
      <c r="U29" s="10">
        <v>36864896</v>
      </c>
      <c r="V29" s="10">
        <v>37191328</v>
      </c>
      <c r="W29" s="10">
        <v>37491164</v>
      </c>
      <c r="X29" s="10">
        <v>37758632</v>
      </c>
      <c r="Y29" s="10">
        <v>37986012</v>
      </c>
      <c r="Z29" s="10">
        <v>38171524</v>
      </c>
      <c r="AA29" s="10">
        <v>38330364</v>
      </c>
      <c r="AB29" s="10">
        <v>38469512</v>
      </c>
      <c r="AC29" s="10">
        <v>38584624</v>
      </c>
      <c r="AD29" s="10">
        <v>38684816</v>
      </c>
      <c r="AE29" s="10">
        <v>38766940</v>
      </c>
      <c r="AF29" s="10">
        <v>38827764</v>
      </c>
      <c r="AG29" s="10">
        <v>38867320</v>
      </c>
      <c r="AH29" s="10">
        <v>38966376</v>
      </c>
      <c r="AI29" s="10">
        <v>39157684</v>
      </c>
      <c r="AJ29" s="10">
        <v>39361264</v>
      </c>
      <c r="AK29" s="10">
        <v>39549108</v>
      </c>
      <c r="AL29" s="10">
        <v>39724048</v>
      </c>
      <c r="AM29" s="10">
        <v>39889852</v>
      </c>
      <c r="AN29" s="10">
        <v>40057388</v>
      </c>
      <c r="AO29" s="10">
        <v>40223508</v>
      </c>
      <c r="AP29" s="10">
        <v>40386876</v>
      </c>
      <c r="AQ29" s="10">
        <v>40567864</v>
      </c>
      <c r="AR29" s="10">
        <v>40850412</v>
      </c>
      <c r="AS29" s="10">
        <v>41431560</v>
      </c>
      <c r="AT29" s="10">
        <v>42187644</v>
      </c>
      <c r="AU29" s="10">
        <v>42921896</v>
      </c>
      <c r="AV29" s="10">
        <v>43653156</v>
      </c>
      <c r="AW29" s="10">
        <v>44397320</v>
      </c>
      <c r="AX29" s="10">
        <v>45226804</v>
      </c>
      <c r="AY29" s="10">
        <v>45954104</v>
      </c>
      <c r="AZ29" s="10">
        <v>46362944</v>
      </c>
      <c r="BA29" s="10">
        <v>46576896</v>
      </c>
      <c r="BB29" s="10">
        <v>46742696</v>
      </c>
      <c r="BC29" s="10">
        <v>46773056</v>
      </c>
      <c r="BD29" s="10">
        <v>46620044</v>
      </c>
      <c r="BE29" s="10">
        <v>46480880</v>
      </c>
      <c r="BF29" s="10">
        <v>46444832</v>
      </c>
      <c r="BG29" s="10">
        <v>46484064</v>
      </c>
      <c r="BH29" s="10">
        <v>46593236</v>
      </c>
      <c r="BI29" s="10">
        <v>46797752</v>
      </c>
      <c r="BJ29" s="10">
        <v>47076780</v>
      </c>
    </row>
    <row r="30" spans="1:62" x14ac:dyDescent="0.45">
      <c r="A30" t="s">
        <v>26</v>
      </c>
      <c r="B30" t="s">
        <v>101</v>
      </c>
      <c r="C30" s="10">
        <v>7484656</v>
      </c>
      <c r="D30" s="10">
        <v>7519998</v>
      </c>
      <c r="E30" s="10">
        <v>7561588</v>
      </c>
      <c r="F30" s="10">
        <v>7604328</v>
      </c>
      <c r="G30" s="10">
        <v>7661354</v>
      </c>
      <c r="H30" s="10">
        <v>7733853</v>
      </c>
      <c r="I30" s="10">
        <v>7807797</v>
      </c>
      <c r="J30" s="10">
        <v>7867931</v>
      </c>
      <c r="K30" s="10">
        <v>7912273</v>
      </c>
      <c r="L30" s="10">
        <v>7968072</v>
      </c>
      <c r="M30" s="10">
        <v>8042801</v>
      </c>
      <c r="N30" s="10">
        <v>8098334</v>
      </c>
      <c r="O30" s="10">
        <v>8122300</v>
      </c>
      <c r="P30" s="10">
        <v>8136312</v>
      </c>
      <c r="Q30" s="10">
        <v>8159955</v>
      </c>
      <c r="R30" s="10">
        <v>8192437</v>
      </c>
      <c r="S30" s="10">
        <v>8222286</v>
      </c>
      <c r="T30" s="10">
        <v>8251540</v>
      </c>
      <c r="U30" s="10">
        <v>8275599</v>
      </c>
      <c r="V30" s="10">
        <v>8293678</v>
      </c>
      <c r="W30" s="10">
        <v>8310531</v>
      </c>
      <c r="X30" s="10">
        <v>8320503</v>
      </c>
      <c r="Y30" s="10">
        <v>8325263</v>
      </c>
      <c r="Z30" s="10">
        <v>8329033</v>
      </c>
      <c r="AA30" s="10">
        <v>8336605</v>
      </c>
      <c r="AB30" s="10">
        <v>8350386</v>
      </c>
      <c r="AC30" s="10">
        <v>8369829</v>
      </c>
      <c r="AD30" s="10">
        <v>8397804</v>
      </c>
      <c r="AE30" s="10">
        <v>8436489</v>
      </c>
      <c r="AF30" s="10">
        <v>8492964</v>
      </c>
      <c r="AG30" s="10">
        <v>8558835</v>
      </c>
      <c r="AH30" s="10">
        <v>8617375</v>
      </c>
      <c r="AI30" s="10">
        <v>8668067</v>
      </c>
      <c r="AJ30" s="10">
        <v>8718561</v>
      </c>
      <c r="AK30" s="10">
        <v>8780745</v>
      </c>
      <c r="AL30" s="10">
        <v>8826939</v>
      </c>
      <c r="AM30" s="10">
        <v>8840998</v>
      </c>
      <c r="AN30" s="10">
        <v>8846062</v>
      </c>
      <c r="AO30" s="10">
        <v>8850974</v>
      </c>
      <c r="AP30" s="10">
        <v>8857874</v>
      </c>
      <c r="AQ30" s="10">
        <v>8872109</v>
      </c>
      <c r="AR30" s="10">
        <v>8895960</v>
      </c>
      <c r="AS30" s="10">
        <v>8924958</v>
      </c>
      <c r="AT30" s="10">
        <v>8958229</v>
      </c>
      <c r="AU30" s="10">
        <v>8993531</v>
      </c>
      <c r="AV30" s="10">
        <v>9029572</v>
      </c>
      <c r="AW30" s="10">
        <v>9080505</v>
      </c>
      <c r="AX30" s="10">
        <v>9148092</v>
      </c>
      <c r="AY30" s="10">
        <v>9219637</v>
      </c>
      <c r="AZ30" s="10">
        <v>9298515</v>
      </c>
      <c r="BA30" s="10">
        <v>9378126</v>
      </c>
      <c r="BB30" s="10">
        <v>9449213</v>
      </c>
      <c r="BC30" s="10">
        <v>9519374</v>
      </c>
      <c r="BD30" s="10">
        <v>9600379</v>
      </c>
      <c r="BE30" s="10">
        <v>9696110</v>
      </c>
      <c r="BF30" s="10">
        <v>9799186</v>
      </c>
      <c r="BG30" s="10">
        <v>9923085</v>
      </c>
      <c r="BH30" s="10">
        <v>10057698</v>
      </c>
      <c r="BI30" s="10">
        <v>10175214</v>
      </c>
      <c r="BJ30" s="10">
        <v>10285453</v>
      </c>
    </row>
    <row r="31" spans="1:62" x14ac:dyDescent="0.45">
      <c r="A31" t="s">
        <v>26</v>
      </c>
      <c r="B31" t="s">
        <v>102</v>
      </c>
      <c r="C31" s="10">
        <v>52400000</v>
      </c>
      <c r="D31" s="10">
        <v>52800000</v>
      </c>
      <c r="E31" s="10">
        <v>53250000</v>
      </c>
      <c r="F31" s="10">
        <v>53650000</v>
      </c>
      <c r="G31" s="10">
        <v>54000000</v>
      </c>
      <c r="H31" s="10">
        <v>54348048</v>
      </c>
      <c r="I31" s="10">
        <v>54648500</v>
      </c>
      <c r="J31" s="10">
        <v>54943600</v>
      </c>
      <c r="K31" s="10">
        <v>55211700</v>
      </c>
      <c r="L31" s="10">
        <v>55441752</v>
      </c>
      <c r="M31" s="10">
        <v>55663248</v>
      </c>
      <c r="N31" s="10">
        <v>55896224</v>
      </c>
      <c r="O31" s="10">
        <v>56086064</v>
      </c>
      <c r="P31" s="10">
        <v>56194528</v>
      </c>
      <c r="Q31" s="10">
        <v>56229976</v>
      </c>
      <c r="R31" s="10">
        <v>56225800</v>
      </c>
      <c r="S31" s="10">
        <v>56211968</v>
      </c>
      <c r="T31" s="10">
        <v>56193492</v>
      </c>
      <c r="U31" s="10">
        <v>56196504</v>
      </c>
      <c r="V31" s="10">
        <v>56246952</v>
      </c>
      <c r="W31" s="10">
        <v>56314216</v>
      </c>
      <c r="X31" s="10">
        <v>56333828</v>
      </c>
      <c r="Y31" s="10">
        <v>56313640</v>
      </c>
      <c r="Z31" s="10">
        <v>56332848</v>
      </c>
      <c r="AA31" s="10">
        <v>56422072</v>
      </c>
      <c r="AB31" s="10">
        <v>56550268</v>
      </c>
      <c r="AC31" s="10">
        <v>56681396</v>
      </c>
      <c r="AD31" s="10">
        <v>56802048</v>
      </c>
      <c r="AE31" s="10">
        <v>56928328</v>
      </c>
      <c r="AF31" s="10">
        <v>57076712</v>
      </c>
      <c r="AG31" s="10">
        <v>57247584</v>
      </c>
      <c r="AH31" s="10">
        <v>57424896</v>
      </c>
      <c r="AI31" s="10">
        <v>57580400</v>
      </c>
      <c r="AJ31" s="10">
        <v>57718616</v>
      </c>
      <c r="AK31" s="10">
        <v>57865744</v>
      </c>
      <c r="AL31" s="10">
        <v>58019032</v>
      </c>
      <c r="AM31" s="10">
        <v>58166952</v>
      </c>
      <c r="AN31" s="10">
        <v>58316952</v>
      </c>
      <c r="AO31" s="10">
        <v>58487140</v>
      </c>
      <c r="AP31" s="10">
        <v>58682464</v>
      </c>
      <c r="AQ31" s="10">
        <v>58892512</v>
      </c>
      <c r="AR31" s="10">
        <v>59119672</v>
      </c>
      <c r="AS31" s="10">
        <v>59370480</v>
      </c>
      <c r="AT31" s="10">
        <v>59647576</v>
      </c>
      <c r="AU31" s="10">
        <v>59987904</v>
      </c>
      <c r="AV31" s="10">
        <v>60401208</v>
      </c>
      <c r="AW31" s="10">
        <v>60846820</v>
      </c>
      <c r="AX31" s="10">
        <v>61322464</v>
      </c>
      <c r="AY31" s="10">
        <v>61806996</v>
      </c>
      <c r="AZ31" s="10">
        <v>62276272</v>
      </c>
      <c r="BA31" s="10">
        <v>62766364</v>
      </c>
      <c r="BB31" s="10">
        <v>63258808</v>
      </c>
      <c r="BC31" s="10">
        <v>63700216</v>
      </c>
      <c r="BD31" s="10">
        <v>64128272</v>
      </c>
      <c r="BE31" s="10">
        <v>64602296</v>
      </c>
      <c r="BF31" s="10">
        <v>65116220</v>
      </c>
      <c r="BG31" s="10">
        <v>65611592</v>
      </c>
      <c r="BH31" s="10">
        <v>66058860</v>
      </c>
      <c r="BI31" s="10">
        <v>66460344</v>
      </c>
      <c r="BJ31" s="10">
        <v>66834404</v>
      </c>
    </row>
    <row r="32" spans="1:62" x14ac:dyDescent="0.45">
      <c r="A32" t="s">
        <v>26</v>
      </c>
      <c r="B32" t="s">
        <v>103</v>
      </c>
      <c r="C32" s="10">
        <v>180671008</v>
      </c>
      <c r="D32" s="10">
        <v>183691008</v>
      </c>
      <c r="E32" s="10">
        <v>186538000</v>
      </c>
      <c r="F32" s="10">
        <v>189242000</v>
      </c>
      <c r="G32" s="10">
        <v>191888992</v>
      </c>
      <c r="H32" s="10">
        <v>194303008</v>
      </c>
      <c r="I32" s="10">
        <v>196560000</v>
      </c>
      <c r="J32" s="10">
        <v>198712000</v>
      </c>
      <c r="K32" s="10">
        <v>200706000</v>
      </c>
      <c r="L32" s="10">
        <v>202676992</v>
      </c>
      <c r="M32" s="10">
        <v>205052000</v>
      </c>
      <c r="N32" s="10">
        <v>207660992</v>
      </c>
      <c r="O32" s="10">
        <v>209896000</v>
      </c>
      <c r="P32" s="10">
        <v>211908992</v>
      </c>
      <c r="Q32" s="10">
        <v>213854000</v>
      </c>
      <c r="R32" s="10">
        <v>215972992</v>
      </c>
      <c r="S32" s="10">
        <v>218035008</v>
      </c>
      <c r="T32" s="10">
        <v>220239008</v>
      </c>
      <c r="U32" s="10">
        <v>222584992</v>
      </c>
      <c r="V32" s="10">
        <v>225055008</v>
      </c>
      <c r="W32" s="10">
        <v>227224992</v>
      </c>
      <c r="X32" s="10">
        <v>229466000</v>
      </c>
      <c r="Y32" s="10">
        <v>231664000</v>
      </c>
      <c r="Z32" s="10">
        <v>233792000</v>
      </c>
      <c r="AA32" s="10">
        <v>235824992</v>
      </c>
      <c r="AB32" s="10">
        <v>237924000</v>
      </c>
      <c r="AC32" s="10">
        <v>240132992</v>
      </c>
      <c r="AD32" s="10">
        <v>242288992</v>
      </c>
      <c r="AE32" s="10">
        <v>244499008</v>
      </c>
      <c r="AF32" s="10">
        <v>246819008</v>
      </c>
      <c r="AG32" s="10">
        <v>249623008</v>
      </c>
      <c r="AH32" s="10">
        <v>252980992</v>
      </c>
      <c r="AI32" s="10">
        <v>256514000</v>
      </c>
      <c r="AJ32" s="10">
        <v>259919008</v>
      </c>
      <c r="AK32" s="10">
        <v>263126000</v>
      </c>
      <c r="AL32" s="10">
        <v>266278000</v>
      </c>
      <c r="AM32" s="10">
        <v>269393984</v>
      </c>
      <c r="AN32" s="10">
        <v>272656992</v>
      </c>
      <c r="AO32" s="10">
        <v>275854016</v>
      </c>
      <c r="AP32" s="10">
        <v>279040000</v>
      </c>
      <c r="AQ32" s="10">
        <v>282162400</v>
      </c>
      <c r="AR32" s="10">
        <v>284968960</v>
      </c>
      <c r="AS32" s="10">
        <v>287625184</v>
      </c>
      <c r="AT32" s="10">
        <v>290107936</v>
      </c>
      <c r="AU32" s="10">
        <v>292805312</v>
      </c>
      <c r="AV32" s="10">
        <v>295516608</v>
      </c>
      <c r="AW32" s="10">
        <v>298379904</v>
      </c>
      <c r="AX32" s="10">
        <v>301231200</v>
      </c>
      <c r="AY32" s="10">
        <v>304093952</v>
      </c>
      <c r="AZ32" s="10">
        <v>306771520</v>
      </c>
      <c r="BA32" s="10">
        <v>309321664</v>
      </c>
      <c r="BB32" s="10">
        <v>311556864</v>
      </c>
      <c r="BC32" s="10">
        <v>313830976</v>
      </c>
      <c r="BD32" s="10">
        <v>315993728</v>
      </c>
      <c r="BE32" s="10">
        <v>318300992</v>
      </c>
      <c r="BF32" s="10">
        <v>320635168</v>
      </c>
      <c r="BG32" s="10">
        <v>322941312</v>
      </c>
      <c r="BH32" s="10">
        <v>324985536</v>
      </c>
      <c r="BI32" s="10">
        <v>326687488</v>
      </c>
      <c r="BJ32" s="10">
        <v>328239520</v>
      </c>
    </row>
    <row r="33" spans="1:62" x14ac:dyDescent="0.45">
      <c r="A33" t="s">
        <v>27</v>
      </c>
      <c r="B33" t="s">
        <v>104</v>
      </c>
      <c r="C33" s="10">
        <v>109534</v>
      </c>
      <c r="D33" s="10">
        <v>115121</v>
      </c>
      <c r="E33" s="10">
        <v>121091</v>
      </c>
      <c r="F33" s="10">
        <v>127339</v>
      </c>
      <c r="G33" s="10">
        <v>133709</v>
      </c>
      <c r="H33" s="10">
        <v>140059</v>
      </c>
      <c r="I33" s="10">
        <v>146382</v>
      </c>
      <c r="J33" s="10">
        <v>152620</v>
      </c>
      <c r="K33" s="10">
        <v>158648</v>
      </c>
      <c r="L33" s="10">
        <v>164268</v>
      </c>
      <c r="M33" s="10">
        <v>169377</v>
      </c>
      <c r="N33" s="10">
        <v>173889</v>
      </c>
      <c r="O33" s="10">
        <v>177866</v>
      </c>
      <c r="P33" s="10">
        <v>181517</v>
      </c>
      <c r="Q33" s="10">
        <v>185120</v>
      </c>
      <c r="R33" s="10">
        <v>188896</v>
      </c>
      <c r="S33" s="10">
        <v>192909</v>
      </c>
      <c r="T33" s="10">
        <v>197101</v>
      </c>
      <c r="U33" s="10">
        <v>201478</v>
      </c>
      <c r="V33" s="10">
        <v>205984</v>
      </c>
      <c r="W33" s="10">
        <v>210591</v>
      </c>
      <c r="X33" s="10">
        <v>215326</v>
      </c>
      <c r="Y33" s="10">
        <v>220184</v>
      </c>
      <c r="Z33" s="10">
        <v>225084</v>
      </c>
      <c r="AA33" s="10">
        <v>229923</v>
      </c>
      <c r="AB33" s="10">
        <v>234578</v>
      </c>
      <c r="AC33" s="10">
        <v>239017</v>
      </c>
      <c r="AD33" s="10">
        <v>243271</v>
      </c>
      <c r="AE33" s="10">
        <v>247451</v>
      </c>
      <c r="AF33" s="10">
        <v>251733</v>
      </c>
      <c r="AG33" s="10">
        <v>256223</v>
      </c>
      <c r="AH33" s="10">
        <v>261008</v>
      </c>
      <c r="AI33" s="10">
        <v>266029</v>
      </c>
      <c r="AJ33" s="10">
        <v>271069</v>
      </c>
      <c r="AK33" s="10">
        <v>275846</v>
      </c>
      <c r="AL33" s="10">
        <v>280184</v>
      </c>
      <c r="AM33" s="10">
        <v>283978</v>
      </c>
      <c r="AN33" s="10">
        <v>287358</v>
      </c>
      <c r="AO33" s="10">
        <v>290597</v>
      </c>
      <c r="AP33" s="10">
        <v>294062</v>
      </c>
      <c r="AQ33" s="10">
        <v>298051</v>
      </c>
      <c r="AR33" s="10">
        <v>302618</v>
      </c>
      <c r="AS33" s="10">
        <v>307660</v>
      </c>
      <c r="AT33" s="10">
        <v>313129</v>
      </c>
      <c r="AU33" s="10">
        <v>318894</v>
      </c>
      <c r="AV33" s="10">
        <v>324859</v>
      </c>
      <c r="AW33" s="10">
        <v>331033</v>
      </c>
      <c r="AX33" s="10">
        <v>337389</v>
      </c>
      <c r="AY33" s="10">
        <v>343681</v>
      </c>
      <c r="AZ33" s="10">
        <v>349604</v>
      </c>
      <c r="BA33" s="10">
        <v>354942</v>
      </c>
      <c r="BB33" s="10">
        <v>359577</v>
      </c>
      <c r="BC33" s="10">
        <v>363584</v>
      </c>
      <c r="BD33" s="10">
        <v>367168</v>
      </c>
      <c r="BE33" s="10">
        <v>370633</v>
      </c>
      <c r="BF33" s="10">
        <v>374206</v>
      </c>
      <c r="BG33" s="10">
        <v>377931</v>
      </c>
      <c r="BH33" s="10">
        <v>381761</v>
      </c>
      <c r="BI33" s="10">
        <v>385640</v>
      </c>
      <c r="BJ33" s="10">
        <v>389482</v>
      </c>
    </row>
    <row r="34" spans="1:62" x14ac:dyDescent="0.45">
      <c r="A34" t="s">
        <v>27</v>
      </c>
      <c r="B34" t="s">
        <v>105</v>
      </c>
      <c r="C34" s="10">
        <v>48013504</v>
      </c>
      <c r="D34" s="10">
        <v>49362844</v>
      </c>
      <c r="E34" s="10">
        <v>50752156</v>
      </c>
      <c r="F34" s="10">
        <v>52202008</v>
      </c>
      <c r="G34" s="10">
        <v>53741716</v>
      </c>
      <c r="H34" s="10">
        <v>55385112</v>
      </c>
      <c r="I34" s="10">
        <v>57157656</v>
      </c>
      <c r="J34" s="10">
        <v>59034248</v>
      </c>
      <c r="K34" s="10">
        <v>60918456</v>
      </c>
      <c r="L34" s="10">
        <v>62679764</v>
      </c>
      <c r="M34" s="10">
        <v>64232480</v>
      </c>
      <c r="N34" s="10">
        <v>65531632</v>
      </c>
      <c r="O34" s="10">
        <v>66625704</v>
      </c>
      <c r="P34" s="10">
        <v>67637528</v>
      </c>
      <c r="Q34" s="10">
        <v>68742232</v>
      </c>
      <c r="R34" s="10">
        <v>70066304</v>
      </c>
      <c r="S34" s="10">
        <v>71652384</v>
      </c>
      <c r="T34" s="10">
        <v>73463584</v>
      </c>
      <c r="U34" s="10">
        <v>75450032</v>
      </c>
      <c r="V34" s="10">
        <v>77529048</v>
      </c>
      <c r="W34" s="10">
        <v>79639488</v>
      </c>
      <c r="X34" s="10">
        <v>81767512</v>
      </c>
      <c r="Y34" s="10">
        <v>83932128</v>
      </c>
      <c r="Z34" s="10">
        <v>86142496</v>
      </c>
      <c r="AA34" s="10">
        <v>88416520</v>
      </c>
      <c r="AB34" s="10">
        <v>90764184</v>
      </c>
      <c r="AC34" s="10">
        <v>93187600</v>
      </c>
      <c r="AD34" s="10">
        <v>95671160</v>
      </c>
      <c r="AE34" s="10">
        <v>98186352</v>
      </c>
      <c r="AF34" s="10">
        <v>100695496</v>
      </c>
      <c r="AG34" s="10">
        <v>103171952</v>
      </c>
      <c r="AH34" s="10">
        <v>105599128</v>
      </c>
      <c r="AI34" s="10">
        <v>107983704</v>
      </c>
      <c r="AJ34" s="10">
        <v>110350640</v>
      </c>
      <c r="AK34" s="10">
        <v>112737680</v>
      </c>
      <c r="AL34" s="10">
        <v>115169928</v>
      </c>
      <c r="AM34" s="10">
        <v>117649936</v>
      </c>
      <c r="AN34" s="10">
        <v>120160560</v>
      </c>
      <c r="AO34" s="10">
        <v>122682816</v>
      </c>
      <c r="AP34" s="10">
        <v>125189648</v>
      </c>
      <c r="AQ34" s="10">
        <v>127657856</v>
      </c>
      <c r="AR34" s="10">
        <v>130088704</v>
      </c>
      <c r="AS34" s="10">
        <v>132478088</v>
      </c>
      <c r="AT34" s="10">
        <v>134791600</v>
      </c>
      <c r="AU34" s="10">
        <v>136986432</v>
      </c>
      <c r="AV34" s="10">
        <v>139035504</v>
      </c>
      <c r="AW34" s="10">
        <v>140921168</v>
      </c>
      <c r="AX34" s="10">
        <v>142660384</v>
      </c>
      <c r="AY34" s="10">
        <v>144304160</v>
      </c>
      <c r="AZ34" s="10">
        <v>145924800</v>
      </c>
      <c r="BA34" s="10">
        <v>147575424</v>
      </c>
      <c r="BB34" s="10">
        <v>149273776</v>
      </c>
      <c r="BC34" s="10">
        <v>151007808</v>
      </c>
      <c r="BD34" s="10">
        <v>152764672</v>
      </c>
      <c r="BE34" s="10">
        <v>154520160</v>
      </c>
      <c r="BF34" s="10">
        <v>156256272</v>
      </c>
      <c r="BG34" s="10">
        <v>157970848</v>
      </c>
      <c r="BH34" s="10">
        <v>159670592</v>
      </c>
      <c r="BI34" s="10">
        <v>161356032</v>
      </c>
      <c r="BJ34" s="10">
        <v>163046160</v>
      </c>
    </row>
    <row r="35" spans="1:62" x14ac:dyDescent="0.45">
      <c r="A35" t="s">
        <v>27</v>
      </c>
      <c r="B35" t="s">
        <v>106</v>
      </c>
      <c r="C35" s="10">
        <v>92064</v>
      </c>
      <c r="D35" s="10">
        <v>94703</v>
      </c>
      <c r="E35" s="10">
        <v>97384</v>
      </c>
      <c r="F35" s="10">
        <v>100164</v>
      </c>
      <c r="G35" s="10">
        <v>103069</v>
      </c>
      <c r="H35" s="10">
        <v>106119</v>
      </c>
      <c r="I35" s="10">
        <v>109347</v>
      </c>
      <c r="J35" s="10">
        <v>112692</v>
      </c>
      <c r="K35" s="10">
        <v>116061</v>
      </c>
      <c r="L35" s="10">
        <v>119261</v>
      </c>
      <c r="M35" s="10">
        <v>122182</v>
      </c>
      <c r="N35" s="10">
        <v>124793</v>
      </c>
      <c r="O35" s="10">
        <v>127150</v>
      </c>
      <c r="P35" s="10">
        <v>129294</v>
      </c>
      <c r="Q35" s="10">
        <v>131307</v>
      </c>
      <c r="R35" s="10">
        <v>133260</v>
      </c>
      <c r="S35" s="10">
        <v>135147</v>
      </c>
      <c r="T35" s="10">
        <v>136989</v>
      </c>
      <c r="U35" s="10">
        <v>138965</v>
      </c>
      <c r="V35" s="10">
        <v>141305</v>
      </c>
      <c r="W35" s="10">
        <v>144155</v>
      </c>
      <c r="X35" s="10">
        <v>147566</v>
      </c>
      <c r="Y35" s="10">
        <v>151500</v>
      </c>
      <c r="Z35" s="10">
        <v>155822</v>
      </c>
      <c r="AA35" s="10">
        <v>160347</v>
      </c>
      <c r="AB35" s="10">
        <v>164921</v>
      </c>
      <c r="AC35" s="10">
        <v>169568</v>
      </c>
      <c r="AD35" s="10">
        <v>174320</v>
      </c>
      <c r="AE35" s="10">
        <v>179028</v>
      </c>
      <c r="AF35" s="10">
        <v>183469</v>
      </c>
      <c r="AG35" s="10">
        <v>187552</v>
      </c>
      <c r="AH35" s="10">
        <v>191128</v>
      </c>
      <c r="AI35" s="10">
        <v>194324</v>
      </c>
      <c r="AJ35" s="10">
        <v>197622</v>
      </c>
      <c r="AK35" s="10">
        <v>201680</v>
      </c>
      <c r="AL35" s="10">
        <v>206963</v>
      </c>
      <c r="AM35" s="10">
        <v>213664</v>
      </c>
      <c r="AN35" s="10">
        <v>221580</v>
      </c>
      <c r="AO35" s="10">
        <v>230244</v>
      </c>
      <c r="AP35" s="10">
        <v>238988</v>
      </c>
      <c r="AQ35" s="10">
        <v>247315</v>
      </c>
      <c r="AR35" s="10">
        <v>255063</v>
      </c>
      <c r="AS35" s="10">
        <v>262378</v>
      </c>
      <c r="AT35" s="10">
        <v>269425</v>
      </c>
      <c r="AU35" s="10">
        <v>276504</v>
      </c>
      <c r="AV35" s="10">
        <v>283800</v>
      </c>
      <c r="AW35" s="10">
        <v>291329</v>
      </c>
      <c r="AX35" s="10">
        <v>299025</v>
      </c>
      <c r="AY35" s="10">
        <v>306823</v>
      </c>
      <c r="AZ35" s="10">
        <v>314655</v>
      </c>
      <c r="BA35" s="10">
        <v>322464</v>
      </c>
      <c r="BB35" s="10">
        <v>330237</v>
      </c>
      <c r="BC35" s="10">
        <v>338000</v>
      </c>
      <c r="BD35" s="10">
        <v>345715</v>
      </c>
      <c r="BE35" s="10">
        <v>353366</v>
      </c>
      <c r="BF35" s="10">
        <v>360933</v>
      </c>
      <c r="BG35" s="10">
        <v>368400</v>
      </c>
      <c r="BH35" s="10">
        <v>375769</v>
      </c>
      <c r="BI35" s="10">
        <v>383071</v>
      </c>
      <c r="BJ35" s="10">
        <v>390353</v>
      </c>
    </row>
    <row r="36" spans="1:62" x14ac:dyDescent="0.45">
      <c r="A36" t="s">
        <v>27</v>
      </c>
      <c r="B36" t="s">
        <v>107</v>
      </c>
      <c r="C36" s="10">
        <v>2431622</v>
      </c>
      <c r="D36" s="10">
        <v>2465867</v>
      </c>
      <c r="E36" s="10">
        <v>2502896</v>
      </c>
      <c r="F36" s="10">
        <v>2542859</v>
      </c>
      <c r="G36" s="10">
        <v>2585965</v>
      </c>
      <c r="H36" s="10">
        <v>2632356</v>
      </c>
      <c r="I36" s="10">
        <v>2682159</v>
      </c>
      <c r="J36" s="10">
        <v>2735307</v>
      </c>
      <c r="K36" s="10">
        <v>2791590</v>
      </c>
      <c r="L36" s="10">
        <v>2850661</v>
      </c>
      <c r="M36" s="10">
        <v>2912340</v>
      </c>
      <c r="N36" s="10">
        <v>2976572</v>
      </c>
      <c r="O36" s="10">
        <v>3043567</v>
      </c>
      <c r="P36" s="10">
        <v>3113675</v>
      </c>
      <c r="Q36" s="10">
        <v>3187412</v>
      </c>
      <c r="R36" s="10">
        <v>3265165</v>
      </c>
      <c r="S36" s="10">
        <v>3347173</v>
      </c>
      <c r="T36" s="10">
        <v>3433439</v>
      </c>
      <c r="U36" s="10">
        <v>3523938</v>
      </c>
      <c r="V36" s="10">
        <v>3618526</v>
      </c>
      <c r="W36" s="10">
        <v>3717165</v>
      </c>
      <c r="X36" s="10">
        <v>3820128</v>
      </c>
      <c r="Y36" s="10">
        <v>3927714</v>
      </c>
      <c r="Z36" s="10">
        <v>4039949</v>
      </c>
      <c r="AA36" s="10">
        <v>4156819</v>
      </c>
      <c r="AB36" s="10">
        <v>4278501</v>
      </c>
      <c r="AC36" s="10">
        <v>4404506</v>
      </c>
      <c r="AD36" s="10">
        <v>4535263</v>
      </c>
      <c r="AE36" s="10">
        <v>4672852</v>
      </c>
      <c r="AF36" s="10">
        <v>4820016</v>
      </c>
      <c r="AG36" s="10">
        <v>4978496</v>
      </c>
      <c r="AH36" s="10">
        <v>5149499</v>
      </c>
      <c r="AI36" s="10">
        <v>5331803</v>
      </c>
      <c r="AJ36" s="10">
        <v>5521763</v>
      </c>
      <c r="AK36" s="10">
        <v>5714220</v>
      </c>
      <c r="AL36" s="10">
        <v>5905558</v>
      </c>
      <c r="AM36" s="10">
        <v>6094259</v>
      </c>
      <c r="AN36" s="10">
        <v>6281639</v>
      </c>
      <c r="AO36" s="10">
        <v>6470265</v>
      </c>
      <c r="AP36" s="10">
        <v>6664098</v>
      </c>
      <c r="AQ36" s="10">
        <v>6865951</v>
      </c>
      <c r="AR36" s="10">
        <v>7076733</v>
      </c>
      <c r="AS36" s="10">
        <v>7295394</v>
      </c>
      <c r="AT36" s="10">
        <v>7520555</v>
      </c>
      <c r="AU36" s="10">
        <v>7750004</v>
      </c>
      <c r="AV36" s="10">
        <v>7982225</v>
      </c>
      <c r="AW36" s="10">
        <v>8216897</v>
      </c>
      <c r="AX36" s="10">
        <v>8454793</v>
      </c>
      <c r="AY36" s="10">
        <v>8696921</v>
      </c>
      <c r="AZ36" s="10">
        <v>8944708</v>
      </c>
      <c r="BA36" s="10">
        <v>9199259</v>
      </c>
      <c r="BB36" s="10">
        <v>9460830</v>
      </c>
      <c r="BC36" s="10">
        <v>9729248</v>
      </c>
      <c r="BD36" s="10">
        <v>10004588</v>
      </c>
      <c r="BE36" s="10">
        <v>10286842</v>
      </c>
      <c r="BF36" s="10">
        <v>10575952</v>
      </c>
      <c r="BG36" s="10">
        <v>10872067</v>
      </c>
      <c r="BH36" s="10">
        <v>11175204</v>
      </c>
      <c r="BI36" s="10">
        <v>11485048</v>
      </c>
      <c r="BJ36" s="10">
        <v>11801151</v>
      </c>
    </row>
    <row r="37" spans="1:62" x14ac:dyDescent="0.45">
      <c r="A37" t="s">
        <v>27</v>
      </c>
      <c r="B37" t="s">
        <v>108</v>
      </c>
      <c r="C37" s="10">
        <v>3656955</v>
      </c>
      <c r="D37" s="10">
        <v>3728964</v>
      </c>
      <c r="E37" s="10">
        <v>3802990</v>
      </c>
      <c r="F37" s="10">
        <v>3879192</v>
      </c>
      <c r="G37" s="10">
        <v>3957757</v>
      </c>
      <c r="H37" s="10">
        <v>4038872</v>
      </c>
      <c r="I37" s="10">
        <v>4122517</v>
      </c>
      <c r="J37" s="10">
        <v>4208676</v>
      </c>
      <c r="K37" s="10">
        <v>4297517</v>
      </c>
      <c r="L37" s="10">
        <v>4389246</v>
      </c>
      <c r="M37" s="10">
        <v>4484004</v>
      </c>
      <c r="N37" s="10">
        <v>4581740</v>
      </c>
      <c r="O37" s="10">
        <v>4682390</v>
      </c>
      <c r="P37" s="10">
        <v>4785923</v>
      </c>
      <c r="Q37" s="10">
        <v>4892293</v>
      </c>
      <c r="R37" s="10">
        <v>5001419</v>
      </c>
      <c r="S37" s="10">
        <v>5113456</v>
      </c>
      <c r="T37" s="10">
        <v>5228252</v>
      </c>
      <c r="U37" s="10">
        <v>5344939</v>
      </c>
      <c r="V37" s="10">
        <v>5462419</v>
      </c>
      <c r="W37" s="10">
        <v>5579935</v>
      </c>
      <c r="X37" s="10">
        <v>5697096</v>
      </c>
      <c r="Y37" s="10">
        <v>5814345</v>
      </c>
      <c r="Z37" s="10">
        <v>5932810</v>
      </c>
      <c r="AA37" s="10">
        <v>6054123</v>
      </c>
      <c r="AB37" s="10">
        <v>6179460</v>
      </c>
      <c r="AC37" s="10">
        <v>6309130</v>
      </c>
      <c r="AD37" s="10">
        <v>6442831</v>
      </c>
      <c r="AE37" s="10">
        <v>6580312</v>
      </c>
      <c r="AF37" s="10">
        <v>6721115</v>
      </c>
      <c r="AG37" s="10">
        <v>6864842</v>
      </c>
      <c r="AH37" s="10">
        <v>7011453</v>
      </c>
      <c r="AI37" s="10">
        <v>7160920</v>
      </c>
      <c r="AJ37" s="10">
        <v>7312850</v>
      </c>
      <c r="AK37" s="10">
        <v>7466793</v>
      </c>
      <c r="AL37" s="10">
        <v>7622338</v>
      </c>
      <c r="AM37" s="10">
        <v>7779267</v>
      </c>
      <c r="AN37" s="10">
        <v>7937458</v>
      </c>
      <c r="AO37" s="10">
        <v>8096761</v>
      </c>
      <c r="AP37" s="10">
        <v>8257066</v>
      </c>
      <c r="AQ37" s="10">
        <v>8418264</v>
      </c>
      <c r="AR37" s="10">
        <v>8580235</v>
      </c>
      <c r="AS37" s="10">
        <v>8742814</v>
      </c>
      <c r="AT37" s="10">
        <v>8905823</v>
      </c>
      <c r="AU37" s="10">
        <v>9069039</v>
      </c>
      <c r="AV37" s="10">
        <v>9232306</v>
      </c>
      <c r="AW37" s="10">
        <v>9395446</v>
      </c>
      <c r="AX37" s="10">
        <v>9558439</v>
      </c>
      <c r="AY37" s="10">
        <v>9721454</v>
      </c>
      <c r="AZ37" s="10">
        <v>9884781</v>
      </c>
      <c r="BA37" s="10">
        <v>10048590</v>
      </c>
      <c r="BB37" s="10">
        <v>10212954</v>
      </c>
      <c r="BC37" s="10">
        <v>10377676</v>
      </c>
      <c r="BD37" s="10">
        <v>10542376</v>
      </c>
      <c r="BE37" s="10">
        <v>10706517</v>
      </c>
      <c r="BF37" s="10">
        <v>10869730</v>
      </c>
      <c r="BG37" s="10">
        <v>11031813</v>
      </c>
      <c r="BH37" s="10">
        <v>11192854</v>
      </c>
      <c r="BI37" s="10">
        <v>11353142</v>
      </c>
      <c r="BJ37" s="10">
        <v>11513100</v>
      </c>
    </row>
    <row r="38" spans="1:62" x14ac:dyDescent="0.45">
      <c r="A38" t="s">
        <v>27</v>
      </c>
      <c r="B38" t="s">
        <v>109</v>
      </c>
      <c r="C38" s="10">
        <v>502745</v>
      </c>
      <c r="D38" s="10">
        <v>512685</v>
      </c>
      <c r="E38" s="10">
        <v>523778</v>
      </c>
      <c r="F38" s="10">
        <v>535685</v>
      </c>
      <c r="G38" s="10">
        <v>547873</v>
      </c>
      <c r="H38" s="10">
        <v>559994</v>
      </c>
      <c r="I38" s="10">
        <v>571964</v>
      </c>
      <c r="J38" s="10">
        <v>584092</v>
      </c>
      <c r="K38" s="10">
        <v>596947</v>
      </c>
      <c r="L38" s="10">
        <v>611300</v>
      </c>
      <c r="M38" s="10">
        <v>627715</v>
      </c>
      <c r="N38" s="10">
        <v>646347</v>
      </c>
      <c r="O38" s="10">
        <v>667092</v>
      </c>
      <c r="P38" s="10">
        <v>689912</v>
      </c>
      <c r="Q38" s="10">
        <v>714712</v>
      </c>
      <c r="R38" s="10">
        <v>741355</v>
      </c>
      <c r="S38" s="10">
        <v>769979</v>
      </c>
      <c r="T38" s="10">
        <v>800529</v>
      </c>
      <c r="U38" s="10">
        <v>832467</v>
      </c>
      <c r="V38" s="10">
        <v>865075</v>
      </c>
      <c r="W38" s="10">
        <v>897868</v>
      </c>
      <c r="X38" s="10">
        <v>930408</v>
      </c>
      <c r="Y38" s="10">
        <v>962875</v>
      </c>
      <c r="Z38" s="10">
        <v>996130</v>
      </c>
      <c r="AA38" s="10">
        <v>1031439</v>
      </c>
      <c r="AB38" s="10">
        <v>1069582</v>
      </c>
      <c r="AC38" s="10">
        <v>1110943</v>
      </c>
      <c r="AD38" s="10">
        <v>1154906</v>
      </c>
      <c r="AE38" s="10">
        <v>1200067</v>
      </c>
      <c r="AF38" s="10">
        <v>1244484</v>
      </c>
      <c r="AG38" s="10">
        <v>1286756</v>
      </c>
      <c r="AH38" s="10">
        <v>1326322</v>
      </c>
      <c r="AI38" s="10">
        <v>1363554</v>
      </c>
      <c r="AJ38" s="10">
        <v>1399110</v>
      </c>
      <c r="AK38" s="10">
        <v>1434059</v>
      </c>
      <c r="AL38" s="10">
        <v>1469174</v>
      </c>
      <c r="AM38" s="10">
        <v>1504730</v>
      </c>
      <c r="AN38" s="10">
        <v>1540425</v>
      </c>
      <c r="AO38" s="10">
        <v>1575824</v>
      </c>
      <c r="AP38" s="10">
        <v>1610264</v>
      </c>
      <c r="AQ38" s="10">
        <v>1643334</v>
      </c>
      <c r="AR38" s="10">
        <v>1674678</v>
      </c>
      <c r="AS38" s="10">
        <v>1704642</v>
      </c>
      <c r="AT38" s="10">
        <v>1734398</v>
      </c>
      <c r="AU38" s="10">
        <v>1765527</v>
      </c>
      <c r="AV38" s="10">
        <v>1799078</v>
      </c>
      <c r="AW38" s="10">
        <v>1835908</v>
      </c>
      <c r="AX38" s="10">
        <v>1875459</v>
      </c>
      <c r="AY38" s="10">
        <v>1915639</v>
      </c>
      <c r="AZ38" s="10">
        <v>1953498</v>
      </c>
      <c r="BA38" s="10">
        <v>1987105</v>
      </c>
      <c r="BB38" s="10">
        <v>2015402</v>
      </c>
      <c r="BC38" s="10">
        <v>2039551</v>
      </c>
      <c r="BD38" s="10">
        <v>2062536</v>
      </c>
      <c r="BE38" s="10">
        <v>2088614</v>
      </c>
      <c r="BF38" s="10">
        <v>2120716</v>
      </c>
      <c r="BG38" s="10">
        <v>2159944</v>
      </c>
      <c r="BH38" s="10">
        <v>2205128</v>
      </c>
      <c r="BI38" s="10">
        <v>2254126</v>
      </c>
      <c r="BJ38" s="10">
        <v>2303697</v>
      </c>
    </row>
    <row r="39" spans="1:62" x14ac:dyDescent="0.45">
      <c r="A39" t="s">
        <v>27</v>
      </c>
      <c r="B39" t="s">
        <v>110</v>
      </c>
      <c r="C39" s="10">
        <v>72179224</v>
      </c>
      <c r="D39" s="10">
        <v>74311344</v>
      </c>
      <c r="E39" s="10">
        <v>76514328</v>
      </c>
      <c r="F39" s="10">
        <v>78772656</v>
      </c>
      <c r="G39" s="10">
        <v>81064568</v>
      </c>
      <c r="H39" s="10">
        <v>83373528</v>
      </c>
      <c r="I39" s="10">
        <v>85696504</v>
      </c>
      <c r="J39" s="10">
        <v>88035816</v>
      </c>
      <c r="K39" s="10">
        <v>90387080</v>
      </c>
      <c r="L39" s="10">
        <v>92746616</v>
      </c>
      <c r="M39" s="10">
        <v>95113264</v>
      </c>
      <c r="N39" s="10">
        <v>97482920</v>
      </c>
      <c r="O39" s="10">
        <v>99859384</v>
      </c>
      <c r="P39" s="10">
        <v>102259496</v>
      </c>
      <c r="Q39" s="10">
        <v>104706200</v>
      </c>
      <c r="R39" s="10">
        <v>107216208</v>
      </c>
      <c r="S39" s="10">
        <v>109790936</v>
      </c>
      <c r="T39" s="10">
        <v>112425392</v>
      </c>
      <c r="U39" s="10">
        <v>115121152</v>
      </c>
      <c r="V39" s="10">
        <v>117878408</v>
      </c>
      <c r="W39" s="10">
        <v>120694008</v>
      </c>
      <c r="X39" s="10">
        <v>123570328</v>
      </c>
      <c r="Y39" s="10">
        <v>126498312</v>
      </c>
      <c r="Z39" s="10">
        <v>129448816</v>
      </c>
      <c r="AA39" s="10">
        <v>132383568</v>
      </c>
      <c r="AB39" s="10">
        <v>135274080</v>
      </c>
      <c r="AC39" s="10">
        <v>138108912</v>
      </c>
      <c r="AD39" s="10">
        <v>140891600</v>
      </c>
      <c r="AE39" s="10">
        <v>143627504</v>
      </c>
      <c r="AF39" s="10">
        <v>146328304</v>
      </c>
      <c r="AG39" s="10">
        <v>149003216</v>
      </c>
      <c r="AH39" s="10">
        <v>151648016</v>
      </c>
      <c r="AI39" s="10">
        <v>154259376</v>
      </c>
      <c r="AJ39" s="10">
        <v>156849072</v>
      </c>
      <c r="AK39" s="10">
        <v>159432720</v>
      </c>
      <c r="AL39" s="10">
        <v>162019904</v>
      </c>
      <c r="AM39" s="10">
        <v>164614688</v>
      </c>
      <c r="AN39" s="10">
        <v>167209040</v>
      </c>
      <c r="AO39" s="10">
        <v>169785248</v>
      </c>
      <c r="AP39" s="10">
        <v>172318672</v>
      </c>
      <c r="AQ39" s="10">
        <v>174790336</v>
      </c>
      <c r="AR39" s="10">
        <v>177196048</v>
      </c>
      <c r="AS39" s="10">
        <v>179537520</v>
      </c>
      <c r="AT39" s="10">
        <v>181809248</v>
      </c>
      <c r="AU39" s="10">
        <v>184006480</v>
      </c>
      <c r="AV39" s="10">
        <v>186127104</v>
      </c>
      <c r="AW39" s="10">
        <v>188167360</v>
      </c>
      <c r="AX39" s="10">
        <v>190130448</v>
      </c>
      <c r="AY39" s="10">
        <v>192030368</v>
      </c>
      <c r="AZ39" s="10">
        <v>193886512</v>
      </c>
      <c r="BA39" s="10">
        <v>195713632</v>
      </c>
      <c r="BB39" s="10">
        <v>197514528</v>
      </c>
      <c r="BC39" s="10">
        <v>199287296</v>
      </c>
      <c r="BD39" s="10">
        <v>201035904</v>
      </c>
      <c r="BE39" s="10">
        <v>202763728</v>
      </c>
      <c r="BF39" s="10">
        <v>204471776</v>
      </c>
      <c r="BG39" s="10">
        <v>206163056</v>
      </c>
      <c r="BH39" s="10">
        <v>207833824</v>
      </c>
      <c r="BI39" s="10">
        <v>209469328</v>
      </c>
      <c r="BJ39" s="10">
        <v>211049520</v>
      </c>
    </row>
    <row r="40" spans="1:62" x14ac:dyDescent="0.45">
      <c r="A40" t="s">
        <v>27</v>
      </c>
      <c r="B40" t="s">
        <v>111</v>
      </c>
      <c r="C40" s="10">
        <v>4829288</v>
      </c>
      <c r="D40" s="10">
        <v>4894580</v>
      </c>
      <c r="E40" s="10">
        <v>4960326</v>
      </c>
      <c r="F40" s="10">
        <v>5027821</v>
      </c>
      <c r="G40" s="10">
        <v>5098890</v>
      </c>
      <c r="H40" s="10">
        <v>5174870</v>
      </c>
      <c r="I40" s="10">
        <v>5256363</v>
      </c>
      <c r="J40" s="10">
        <v>5343019</v>
      </c>
      <c r="K40" s="10">
        <v>5434041</v>
      </c>
      <c r="L40" s="10">
        <v>5528174</v>
      </c>
      <c r="M40" s="10">
        <v>5624600</v>
      </c>
      <c r="N40" s="10">
        <v>5723381</v>
      </c>
      <c r="O40" s="10">
        <v>5825173</v>
      </c>
      <c r="P40" s="10">
        <v>5930483</v>
      </c>
      <c r="Q40" s="10">
        <v>6040041</v>
      </c>
      <c r="R40" s="10">
        <v>6154545</v>
      </c>
      <c r="S40" s="10">
        <v>6274037</v>
      </c>
      <c r="T40" s="10">
        <v>6398935</v>
      </c>
      <c r="U40" s="10">
        <v>6530819</v>
      </c>
      <c r="V40" s="10">
        <v>6671656</v>
      </c>
      <c r="W40" s="10">
        <v>6822843</v>
      </c>
      <c r="X40" s="10">
        <v>6985160</v>
      </c>
      <c r="Y40" s="10">
        <v>7158255</v>
      </c>
      <c r="Z40" s="10">
        <v>7340905</v>
      </c>
      <c r="AA40" s="10">
        <v>7531242</v>
      </c>
      <c r="AB40" s="10">
        <v>7727907</v>
      </c>
      <c r="AC40" s="10">
        <v>7930694</v>
      </c>
      <c r="AD40" s="10">
        <v>8140073</v>
      </c>
      <c r="AE40" s="10">
        <v>8356305</v>
      </c>
      <c r="AF40" s="10">
        <v>8579823</v>
      </c>
      <c r="AG40" s="10">
        <v>8811034</v>
      </c>
      <c r="AH40" s="10">
        <v>9050084</v>
      </c>
      <c r="AI40" s="10">
        <v>9297113</v>
      </c>
      <c r="AJ40" s="10">
        <v>9552476</v>
      </c>
      <c r="AK40" s="10">
        <v>9816588</v>
      </c>
      <c r="AL40" s="10">
        <v>10089878</v>
      </c>
      <c r="AM40" s="10">
        <v>10372745</v>
      </c>
      <c r="AN40" s="10">
        <v>10665546</v>
      </c>
      <c r="AO40" s="10">
        <v>10968724</v>
      </c>
      <c r="AP40" s="10">
        <v>11282701</v>
      </c>
      <c r="AQ40" s="10">
        <v>11607942</v>
      </c>
      <c r="AR40" s="10">
        <v>11944587</v>
      </c>
      <c r="AS40" s="10">
        <v>12293100</v>
      </c>
      <c r="AT40" s="10">
        <v>12654621</v>
      </c>
      <c r="AU40" s="10">
        <v>13030569</v>
      </c>
      <c r="AV40" s="10">
        <v>13421930</v>
      </c>
      <c r="AW40" s="10">
        <v>13829176</v>
      </c>
      <c r="AX40" s="10">
        <v>14252021</v>
      </c>
      <c r="AY40" s="10">
        <v>14689725</v>
      </c>
      <c r="AZ40" s="10">
        <v>15141098</v>
      </c>
      <c r="BA40" s="10">
        <v>15605217</v>
      </c>
      <c r="BB40" s="10">
        <v>16081911</v>
      </c>
      <c r="BC40" s="10">
        <v>16571246</v>
      </c>
      <c r="BD40" s="10">
        <v>17072776</v>
      </c>
      <c r="BE40" s="10">
        <v>17586016</v>
      </c>
      <c r="BF40" s="10">
        <v>18110624</v>
      </c>
      <c r="BG40" s="10">
        <v>18646378</v>
      </c>
      <c r="BH40" s="10">
        <v>19193284</v>
      </c>
      <c r="BI40" s="10">
        <v>19751536</v>
      </c>
      <c r="BJ40" s="10">
        <v>20321378</v>
      </c>
    </row>
    <row r="41" spans="1:62" x14ac:dyDescent="0.45">
      <c r="A41" t="s">
        <v>27</v>
      </c>
      <c r="B41" t="s">
        <v>112</v>
      </c>
      <c r="C41" s="10">
        <v>2797932</v>
      </c>
      <c r="D41" s="10">
        <v>2852438</v>
      </c>
      <c r="E41" s="10">
        <v>2907321</v>
      </c>
      <c r="F41" s="10">
        <v>2964427</v>
      </c>
      <c r="G41" s="10">
        <v>3026290</v>
      </c>
      <c r="H41" s="10">
        <v>3094379</v>
      </c>
      <c r="I41" s="10">
        <v>3170490</v>
      </c>
      <c r="J41" s="10">
        <v>3253218</v>
      </c>
      <c r="K41" s="10">
        <v>3336927</v>
      </c>
      <c r="L41" s="10">
        <v>3413904</v>
      </c>
      <c r="M41" s="10">
        <v>3479074</v>
      </c>
      <c r="N41" s="10">
        <v>3529997</v>
      </c>
      <c r="O41" s="10">
        <v>3569666</v>
      </c>
      <c r="P41" s="10">
        <v>3605126</v>
      </c>
      <c r="Q41" s="10">
        <v>3646431</v>
      </c>
      <c r="R41" s="10">
        <v>3700880</v>
      </c>
      <c r="S41" s="10">
        <v>3770871</v>
      </c>
      <c r="T41" s="10">
        <v>3854445</v>
      </c>
      <c r="U41" s="10">
        <v>3949266</v>
      </c>
      <c r="V41" s="10">
        <v>4051234</v>
      </c>
      <c r="W41" s="10">
        <v>4157298</v>
      </c>
      <c r="X41" s="10">
        <v>4266520</v>
      </c>
      <c r="Y41" s="10">
        <v>4379724</v>
      </c>
      <c r="Z41" s="10">
        <v>4497533</v>
      </c>
      <c r="AA41" s="10">
        <v>4621103</v>
      </c>
      <c r="AB41" s="10">
        <v>4750837</v>
      </c>
      <c r="AC41" s="10">
        <v>4886743</v>
      </c>
      <c r="AD41" s="10">
        <v>5027138</v>
      </c>
      <c r="AE41" s="10">
        <v>5168698</v>
      </c>
      <c r="AF41" s="10">
        <v>5307069</v>
      </c>
      <c r="AG41" s="10">
        <v>5438957</v>
      </c>
      <c r="AH41" s="10">
        <v>5564926</v>
      </c>
      <c r="AI41" s="10">
        <v>5685565</v>
      </c>
      <c r="AJ41" s="10">
        <v>5798053</v>
      </c>
      <c r="AK41" s="10">
        <v>5898967</v>
      </c>
      <c r="AL41" s="10">
        <v>5987043</v>
      </c>
      <c r="AM41" s="10">
        <v>6060111</v>
      </c>
      <c r="AN41" s="10">
        <v>6122130</v>
      </c>
      <c r="AO41" s="10">
        <v>6185562</v>
      </c>
      <c r="AP41" s="10">
        <v>6267124</v>
      </c>
      <c r="AQ41" s="10">
        <v>6378871</v>
      </c>
      <c r="AR41" s="10">
        <v>6525545</v>
      </c>
      <c r="AS41" s="10">
        <v>6704113</v>
      </c>
      <c r="AT41" s="10">
        <v>6909154</v>
      </c>
      <c r="AU41" s="10">
        <v>7131693</v>
      </c>
      <c r="AV41" s="10">
        <v>7364862</v>
      </c>
      <c r="AW41" s="10">
        <v>7607849</v>
      </c>
      <c r="AX41" s="10">
        <v>7862214</v>
      </c>
      <c r="AY41" s="10">
        <v>8126102</v>
      </c>
      <c r="AZ41" s="10">
        <v>8397668</v>
      </c>
      <c r="BA41" s="10">
        <v>8675602</v>
      </c>
      <c r="BB41" s="10">
        <v>8958406</v>
      </c>
      <c r="BC41" s="10">
        <v>9245988</v>
      </c>
      <c r="BD41" s="10">
        <v>9540289</v>
      </c>
      <c r="BE41" s="10">
        <v>9844297</v>
      </c>
      <c r="BF41" s="10">
        <v>10160030</v>
      </c>
      <c r="BG41" s="10">
        <v>10487998</v>
      </c>
      <c r="BH41" s="10">
        <v>10827024</v>
      </c>
      <c r="BI41" s="10">
        <v>11175378</v>
      </c>
      <c r="BJ41" s="10">
        <v>11530580</v>
      </c>
    </row>
    <row r="42" spans="1:62" x14ac:dyDescent="0.45">
      <c r="A42" t="s">
        <v>27</v>
      </c>
      <c r="B42" t="s">
        <v>113</v>
      </c>
      <c r="C42" s="10">
        <v>5176918</v>
      </c>
      <c r="D42" s="10">
        <v>5285017</v>
      </c>
      <c r="E42" s="10">
        <v>5398729</v>
      </c>
      <c r="F42" s="10">
        <v>5518104</v>
      </c>
      <c r="G42" s="10">
        <v>5643036</v>
      </c>
      <c r="H42" s="10">
        <v>5773543</v>
      </c>
      <c r="I42" s="10">
        <v>5909882</v>
      </c>
      <c r="J42" s="10">
        <v>6052420</v>
      </c>
      <c r="K42" s="10">
        <v>6201413</v>
      </c>
      <c r="L42" s="10">
        <v>6357092</v>
      </c>
      <c r="M42" s="10">
        <v>6519762</v>
      </c>
      <c r="N42" s="10">
        <v>6689662</v>
      </c>
      <c r="O42" s="10">
        <v>6867178</v>
      </c>
      <c r="P42" s="10">
        <v>7052849</v>
      </c>
      <c r="Q42" s="10">
        <v>7247287</v>
      </c>
      <c r="R42" s="10">
        <v>7451054</v>
      </c>
      <c r="S42" s="10">
        <v>7664406</v>
      </c>
      <c r="T42" s="10">
        <v>7887560</v>
      </c>
      <c r="U42" s="10">
        <v>8121084</v>
      </c>
      <c r="V42" s="10">
        <v>8365567</v>
      </c>
      <c r="W42" s="10">
        <v>8621406</v>
      </c>
      <c r="X42" s="10">
        <v>8888535</v>
      </c>
      <c r="Y42" s="10">
        <v>9166816</v>
      </c>
      <c r="Z42" s="10">
        <v>9456494</v>
      </c>
      <c r="AA42" s="10">
        <v>9757841</v>
      </c>
      <c r="AB42" s="10">
        <v>10070806</v>
      </c>
      <c r="AC42" s="10">
        <v>10395480</v>
      </c>
      <c r="AD42" s="10">
        <v>10731064</v>
      </c>
      <c r="AE42" s="10">
        <v>11075422</v>
      </c>
      <c r="AF42" s="10">
        <v>11425800</v>
      </c>
      <c r="AG42" s="10">
        <v>11780088</v>
      </c>
      <c r="AH42" s="10">
        <v>12137912</v>
      </c>
      <c r="AI42" s="10">
        <v>12499499</v>
      </c>
      <c r="AJ42" s="10">
        <v>12864090</v>
      </c>
      <c r="AK42" s="10">
        <v>13230984</v>
      </c>
      <c r="AL42" s="10">
        <v>13599988</v>
      </c>
      <c r="AM42" s="10">
        <v>13970813</v>
      </c>
      <c r="AN42" s="10">
        <v>14344449</v>
      </c>
      <c r="AO42" s="10">
        <v>14723768</v>
      </c>
      <c r="AP42" s="10">
        <v>15112592</v>
      </c>
      <c r="AQ42" s="10">
        <v>15513945</v>
      </c>
      <c r="AR42" s="10">
        <v>15928910</v>
      </c>
      <c r="AS42" s="10">
        <v>16357602</v>
      </c>
      <c r="AT42" s="10">
        <v>16800864</v>
      </c>
      <c r="AU42" s="10">
        <v>17259322</v>
      </c>
      <c r="AV42" s="10">
        <v>17733410</v>
      </c>
      <c r="AW42" s="10">
        <v>18223674</v>
      </c>
      <c r="AX42" s="10">
        <v>18730282</v>
      </c>
      <c r="AY42" s="10">
        <v>19252666</v>
      </c>
      <c r="AZ42" s="10">
        <v>19789920</v>
      </c>
      <c r="BA42" s="10">
        <v>20341240</v>
      </c>
      <c r="BB42" s="10">
        <v>20906388</v>
      </c>
      <c r="BC42" s="10">
        <v>21485266</v>
      </c>
      <c r="BD42" s="10">
        <v>22077298</v>
      </c>
      <c r="BE42" s="10">
        <v>22681858</v>
      </c>
      <c r="BF42" s="10">
        <v>23298368</v>
      </c>
      <c r="BG42" s="10">
        <v>23926540</v>
      </c>
      <c r="BH42" s="10">
        <v>24566044</v>
      </c>
      <c r="BI42" s="10">
        <v>25216236</v>
      </c>
      <c r="BJ42" s="10">
        <v>25876380</v>
      </c>
    </row>
    <row r="43" spans="1:62" x14ac:dyDescent="0.45">
      <c r="A43" t="s">
        <v>27</v>
      </c>
      <c r="B43" t="s">
        <v>114</v>
      </c>
      <c r="C43" s="10">
        <v>1501668</v>
      </c>
      <c r="D43" s="10">
        <v>1526066</v>
      </c>
      <c r="E43" s="10">
        <v>1551910</v>
      </c>
      <c r="F43" s="10">
        <v>1579370</v>
      </c>
      <c r="G43" s="10">
        <v>1608616</v>
      </c>
      <c r="H43" s="10">
        <v>1639706</v>
      </c>
      <c r="I43" s="10">
        <v>1673019</v>
      </c>
      <c r="J43" s="10">
        <v>1708302</v>
      </c>
      <c r="K43" s="10">
        <v>1744194</v>
      </c>
      <c r="L43" s="10">
        <v>1778861</v>
      </c>
      <c r="M43" s="10">
        <v>1811144</v>
      </c>
      <c r="N43" s="10">
        <v>1840518</v>
      </c>
      <c r="O43" s="10">
        <v>1867782</v>
      </c>
      <c r="P43" s="10">
        <v>1894853</v>
      </c>
      <c r="Q43" s="10">
        <v>1924388</v>
      </c>
      <c r="R43" s="10">
        <v>1958367</v>
      </c>
      <c r="S43" s="10">
        <v>1997014</v>
      </c>
      <c r="T43" s="10">
        <v>2039919</v>
      </c>
      <c r="U43" s="10">
        <v>2087663</v>
      </c>
      <c r="V43" s="10">
        <v>2140777</v>
      </c>
      <c r="W43" s="10">
        <v>2199356</v>
      </c>
      <c r="X43" s="10">
        <v>2264442</v>
      </c>
      <c r="Y43" s="10">
        <v>2335333</v>
      </c>
      <c r="Z43" s="10">
        <v>2408317</v>
      </c>
      <c r="AA43" s="10">
        <v>2478382</v>
      </c>
      <c r="AB43" s="10">
        <v>2542169</v>
      </c>
      <c r="AC43" s="10">
        <v>2597761</v>
      </c>
      <c r="AD43" s="10">
        <v>2646840</v>
      </c>
      <c r="AE43" s="10">
        <v>2693973</v>
      </c>
      <c r="AF43" s="10">
        <v>2745734</v>
      </c>
      <c r="AG43" s="10">
        <v>2806734</v>
      </c>
      <c r="AH43" s="10">
        <v>2878509</v>
      </c>
      <c r="AI43" s="10">
        <v>2959236</v>
      </c>
      <c r="AJ43" s="10">
        <v>3046149</v>
      </c>
      <c r="AK43" s="10">
        <v>3135015</v>
      </c>
      <c r="AL43" s="10">
        <v>3222656</v>
      </c>
      <c r="AM43" s="10">
        <v>3308233</v>
      </c>
      <c r="AN43" s="10">
        <v>3392436</v>
      </c>
      <c r="AO43" s="10">
        <v>3475492</v>
      </c>
      <c r="AP43" s="10">
        <v>3558014</v>
      </c>
      <c r="AQ43" s="10">
        <v>3640427</v>
      </c>
      <c r="AR43" s="10">
        <v>3722018</v>
      </c>
      <c r="AS43" s="10">
        <v>3802128</v>
      </c>
      <c r="AT43" s="10">
        <v>3881181</v>
      </c>
      <c r="AU43" s="10">
        <v>3959875</v>
      </c>
      <c r="AV43" s="10">
        <v>4038382</v>
      </c>
      <c r="AW43" s="10">
        <v>4118069</v>
      </c>
      <c r="AX43" s="10">
        <v>4198010</v>
      </c>
      <c r="AY43" s="10">
        <v>4273366</v>
      </c>
      <c r="AZ43" s="10">
        <v>4337625</v>
      </c>
      <c r="BA43" s="10">
        <v>4386768</v>
      </c>
      <c r="BB43" s="10">
        <v>4418636</v>
      </c>
      <c r="BC43" s="10">
        <v>4436415</v>
      </c>
      <c r="BD43" s="10">
        <v>4447942</v>
      </c>
      <c r="BE43" s="10">
        <v>4464175</v>
      </c>
      <c r="BF43" s="10">
        <v>4493170</v>
      </c>
      <c r="BG43" s="10">
        <v>4537687</v>
      </c>
      <c r="BH43" s="10">
        <v>4596028</v>
      </c>
      <c r="BI43" s="10">
        <v>4666377</v>
      </c>
      <c r="BJ43" s="10">
        <v>4745185</v>
      </c>
    </row>
    <row r="44" spans="1:62" x14ac:dyDescent="0.45">
      <c r="A44" t="s">
        <v>27</v>
      </c>
      <c r="B44" t="s">
        <v>115</v>
      </c>
      <c r="C44" s="10">
        <v>3001609</v>
      </c>
      <c r="D44" s="10">
        <v>3060368</v>
      </c>
      <c r="E44" s="10">
        <v>3121236</v>
      </c>
      <c r="F44" s="10">
        <v>3183572</v>
      </c>
      <c r="G44" s="10">
        <v>3246523</v>
      </c>
      <c r="H44" s="10">
        <v>3309586</v>
      </c>
      <c r="I44" s="10">
        <v>3372189</v>
      </c>
      <c r="J44" s="10">
        <v>3434825</v>
      </c>
      <c r="K44" s="10">
        <v>3499362</v>
      </c>
      <c r="L44" s="10">
        <v>3568398</v>
      </c>
      <c r="M44" s="10">
        <v>3643604</v>
      </c>
      <c r="N44" s="10">
        <v>3726189</v>
      </c>
      <c r="O44" s="10">
        <v>3815260</v>
      </c>
      <c r="P44" s="10">
        <v>3907889</v>
      </c>
      <c r="Q44" s="10">
        <v>3999921</v>
      </c>
      <c r="R44" s="10">
        <v>4088564</v>
      </c>
      <c r="S44" s="10">
        <v>4173135</v>
      </c>
      <c r="T44" s="10">
        <v>4255248</v>
      </c>
      <c r="U44" s="10">
        <v>4337291</v>
      </c>
      <c r="V44" s="10">
        <v>4422745</v>
      </c>
      <c r="W44" s="10">
        <v>4514430</v>
      </c>
      <c r="X44" s="10">
        <v>4612849</v>
      </c>
      <c r="Y44" s="10">
        <v>4718162</v>
      </c>
      <c r="Z44" s="10">
        <v>4832321</v>
      </c>
      <c r="AA44" s="10">
        <v>4957558</v>
      </c>
      <c r="AB44" s="10">
        <v>5095401</v>
      </c>
      <c r="AC44" s="10">
        <v>5247283</v>
      </c>
      <c r="AD44" s="10">
        <v>5412847</v>
      </c>
      <c r="AE44" s="10">
        <v>5589626</v>
      </c>
      <c r="AF44" s="10">
        <v>5773920</v>
      </c>
      <c r="AG44" s="10">
        <v>5963252</v>
      </c>
      <c r="AH44" s="10">
        <v>6157079</v>
      </c>
      <c r="AI44" s="10">
        <v>6356748</v>
      </c>
      <c r="AJ44" s="10">
        <v>6563922</v>
      </c>
      <c r="AK44" s="10">
        <v>6781053</v>
      </c>
      <c r="AL44" s="10">
        <v>7010145</v>
      </c>
      <c r="AM44" s="10">
        <v>7250975</v>
      </c>
      <c r="AN44" s="10">
        <v>7503493</v>
      </c>
      <c r="AO44" s="10">
        <v>7770048</v>
      </c>
      <c r="AP44" s="10">
        <v>8053536</v>
      </c>
      <c r="AQ44" s="10">
        <v>8355654</v>
      </c>
      <c r="AR44" s="10">
        <v>8678051</v>
      </c>
      <c r="AS44" s="10">
        <v>9019233</v>
      </c>
      <c r="AT44" s="10">
        <v>9373916</v>
      </c>
      <c r="AU44" s="10">
        <v>9734767</v>
      </c>
      <c r="AV44" s="10">
        <v>10096633</v>
      </c>
      <c r="AW44" s="10">
        <v>10457124</v>
      </c>
      <c r="AX44" s="10">
        <v>10818024</v>
      </c>
      <c r="AY44" s="10">
        <v>11183588</v>
      </c>
      <c r="AZ44" s="10">
        <v>11560147</v>
      </c>
      <c r="BA44" s="10">
        <v>11952136</v>
      </c>
      <c r="BB44" s="10">
        <v>12360989</v>
      </c>
      <c r="BC44" s="10">
        <v>12784750</v>
      </c>
      <c r="BD44" s="10">
        <v>13220424</v>
      </c>
      <c r="BE44" s="10">
        <v>13663559</v>
      </c>
      <c r="BF44" s="10">
        <v>14110975</v>
      </c>
      <c r="BG44" s="10">
        <v>14561666</v>
      </c>
      <c r="BH44" s="10">
        <v>15016773</v>
      </c>
      <c r="BI44" s="10">
        <v>15477751</v>
      </c>
      <c r="BJ44" s="10">
        <v>15946876</v>
      </c>
    </row>
    <row r="45" spans="1:62" x14ac:dyDescent="0.45">
      <c r="A45" t="s">
        <v>27</v>
      </c>
      <c r="B45" t="s">
        <v>116</v>
      </c>
      <c r="C45" s="10">
        <v>8132990</v>
      </c>
      <c r="D45" s="10">
        <v>8303811</v>
      </c>
      <c r="E45" s="10">
        <v>8476897</v>
      </c>
      <c r="F45" s="10">
        <v>8650387</v>
      </c>
      <c r="G45" s="10">
        <v>8821858</v>
      </c>
      <c r="H45" s="10">
        <v>8989621</v>
      </c>
      <c r="I45" s="10">
        <v>9152844</v>
      </c>
      <c r="J45" s="10">
        <v>9312095</v>
      </c>
      <c r="K45" s="10">
        <v>9468845</v>
      </c>
      <c r="L45" s="10">
        <v>9625312</v>
      </c>
      <c r="M45" s="10">
        <v>9783134</v>
      </c>
      <c r="N45" s="10">
        <v>9942727</v>
      </c>
      <c r="O45" s="10">
        <v>10103674</v>
      </c>
      <c r="P45" s="10">
        <v>10265829</v>
      </c>
      <c r="Q45" s="10">
        <v>10428798</v>
      </c>
      <c r="R45" s="10">
        <v>10592307</v>
      </c>
      <c r="S45" s="10">
        <v>10756878</v>
      </c>
      <c r="T45" s="10">
        <v>10922779</v>
      </c>
      <c r="U45" s="10">
        <v>11089165</v>
      </c>
      <c r="V45" s="10">
        <v>11254877</v>
      </c>
      <c r="W45" s="10">
        <v>11419348</v>
      </c>
      <c r="X45" s="10">
        <v>11582014</v>
      </c>
      <c r="Y45" s="10">
        <v>11743911</v>
      </c>
      <c r="Z45" s="10">
        <v>11907960</v>
      </c>
      <c r="AA45" s="10">
        <v>12078135</v>
      </c>
      <c r="AB45" s="10">
        <v>12257236</v>
      </c>
      <c r="AC45" s="10">
        <v>12445823</v>
      </c>
      <c r="AD45" s="10">
        <v>12642924</v>
      </c>
      <c r="AE45" s="10">
        <v>12847708</v>
      </c>
      <c r="AF45" s="10">
        <v>13058758</v>
      </c>
      <c r="AG45" s="10">
        <v>13274623</v>
      </c>
      <c r="AH45" s="10">
        <v>13495258</v>
      </c>
      <c r="AI45" s="10">
        <v>13719819</v>
      </c>
      <c r="AJ45" s="10">
        <v>13944937</v>
      </c>
      <c r="AK45" s="10">
        <v>14166340</v>
      </c>
      <c r="AL45" s="10">
        <v>14380866</v>
      </c>
      <c r="AM45" s="10">
        <v>14587370</v>
      </c>
      <c r="AN45" s="10">
        <v>14786220</v>
      </c>
      <c r="AO45" s="10">
        <v>14977733</v>
      </c>
      <c r="AP45" s="10">
        <v>15162800</v>
      </c>
      <c r="AQ45" s="10">
        <v>15342353</v>
      </c>
      <c r="AR45" s="10">
        <v>15516113</v>
      </c>
      <c r="AS45" s="10">
        <v>15684409</v>
      </c>
      <c r="AT45" s="10">
        <v>15849652</v>
      </c>
      <c r="AU45" s="10">
        <v>16014971</v>
      </c>
      <c r="AV45" s="10">
        <v>16182721</v>
      </c>
      <c r="AW45" s="10">
        <v>16354504</v>
      </c>
      <c r="AX45" s="10">
        <v>16530195</v>
      </c>
      <c r="AY45" s="10">
        <v>16708258</v>
      </c>
      <c r="AZ45" s="10">
        <v>16886186</v>
      </c>
      <c r="BA45" s="10">
        <v>17062536</v>
      </c>
      <c r="BB45" s="10">
        <v>17233576</v>
      </c>
      <c r="BC45" s="10">
        <v>17400348</v>
      </c>
      <c r="BD45" s="10">
        <v>17571508</v>
      </c>
      <c r="BE45" s="10">
        <v>17758960</v>
      </c>
      <c r="BF45" s="10">
        <v>17969352</v>
      </c>
      <c r="BG45" s="10">
        <v>18209068</v>
      </c>
      <c r="BH45" s="10">
        <v>18470440</v>
      </c>
      <c r="BI45" s="10">
        <v>18729160</v>
      </c>
      <c r="BJ45" s="10">
        <v>18952038</v>
      </c>
    </row>
    <row r="46" spans="1:62" x14ac:dyDescent="0.45">
      <c r="A46" t="s">
        <v>27</v>
      </c>
      <c r="B46" t="s">
        <v>117</v>
      </c>
      <c r="C46" s="10">
        <v>16057724</v>
      </c>
      <c r="D46" s="10">
        <v>16567811</v>
      </c>
      <c r="E46" s="10">
        <v>17092918</v>
      </c>
      <c r="F46" s="10">
        <v>17629980</v>
      </c>
      <c r="G46" s="10">
        <v>18175184</v>
      </c>
      <c r="H46" s="10">
        <v>18725244</v>
      </c>
      <c r="I46" s="10">
        <v>19279740</v>
      </c>
      <c r="J46" s="10">
        <v>19837510</v>
      </c>
      <c r="K46" s="10">
        <v>20393700</v>
      </c>
      <c r="L46" s="10">
        <v>20942456</v>
      </c>
      <c r="M46" s="10">
        <v>21480064</v>
      </c>
      <c r="N46" s="10">
        <v>22003980</v>
      </c>
      <c r="O46" s="10">
        <v>22516424</v>
      </c>
      <c r="P46" s="10">
        <v>23024516</v>
      </c>
      <c r="Q46" s="10">
        <v>23538386</v>
      </c>
      <c r="R46" s="10">
        <v>24065508</v>
      </c>
      <c r="S46" s="10">
        <v>24608112</v>
      </c>
      <c r="T46" s="10">
        <v>25164544</v>
      </c>
      <c r="U46" s="10">
        <v>25733672</v>
      </c>
      <c r="V46" s="10">
        <v>26312994</v>
      </c>
      <c r="W46" s="10">
        <v>26900506</v>
      </c>
      <c r="X46" s="10">
        <v>27496616</v>
      </c>
      <c r="Y46" s="10">
        <v>28101820</v>
      </c>
      <c r="Z46" s="10">
        <v>28714190</v>
      </c>
      <c r="AA46" s="10">
        <v>29331238</v>
      </c>
      <c r="AB46" s="10">
        <v>29951200</v>
      </c>
      <c r="AC46" s="10">
        <v>30572478</v>
      </c>
      <c r="AD46" s="10">
        <v>31195412</v>
      </c>
      <c r="AE46" s="10">
        <v>31822524</v>
      </c>
      <c r="AF46" s="10">
        <v>32457500</v>
      </c>
      <c r="AG46" s="10">
        <v>33102576</v>
      </c>
      <c r="AH46" s="10">
        <v>33758336</v>
      </c>
      <c r="AI46" s="10">
        <v>34422568</v>
      </c>
      <c r="AJ46" s="10">
        <v>35091276</v>
      </c>
      <c r="AK46" s="10">
        <v>35758980</v>
      </c>
      <c r="AL46" s="10">
        <v>36421440</v>
      </c>
      <c r="AM46" s="10">
        <v>37076388</v>
      </c>
      <c r="AN46" s="10">
        <v>37723800</v>
      </c>
      <c r="AO46" s="10">
        <v>38364308</v>
      </c>
      <c r="AP46" s="10">
        <v>38999472</v>
      </c>
      <c r="AQ46" s="10">
        <v>39629968</v>
      </c>
      <c r="AR46" s="10">
        <v>40255968</v>
      </c>
      <c r="AS46" s="10">
        <v>40875360</v>
      </c>
      <c r="AT46" s="10">
        <v>41483868</v>
      </c>
      <c r="AU46" s="10">
        <v>42075956</v>
      </c>
      <c r="AV46" s="10">
        <v>42647724</v>
      </c>
      <c r="AW46" s="10">
        <v>43200896</v>
      </c>
      <c r="AX46" s="10">
        <v>43737516</v>
      </c>
      <c r="AY46" s="10">
        <v>44254976</v>
      </c>
      <c r="AZ46" s="10">
        <v>44750056</v>
      </c>
      <c r="BA46" s="10">
        <v>45222700</v>
      </c>
      <c r="BB46" s="10">
        <v>45663100</v>
      </c>
      <c r="BC46" s="10">
        <v>46076848</v>
      </c>
      <c r="BD46" s="10">
        <v>46497268</v>
      </c>
      <c r="BE46" s="10">
        <v>46969208</v>
      </c>
      <c r="BF46" s="10">
        <v>47520668</v>
      </c>
      <c r="BG46" s="10">
        <v>48171392</v>
      </c>
      <c r="BH46" s="10">
        <v>48901064</v>
      </c>
      <c r="BI46" s="10">
        <v>49648684</v>
      </c>
      <c r="BJ46" s="10">
        <v>50339444</v>
      </c>
    </row>
    <row r="47" spans="1:62" x14ac:dyDescent="0.45">
      <c r="A47" t="s">
        <v>27</v>
      </c>
      <c r="B47" t="s">
        <v>118</v>
      </c>
      <c r="C47" s="10">
        <v>15248251</v>
      </c>
      <c r="D47" s="10">
        <v>15637699</v>
      </c>
      <c r="E47" s="10">
        <v>16041190</v>
      </c>
      <c r="F47" s="10">
        <v>16461830</v>
      </c>
      <c r="G47" s="10">
        <v>16903832</v>
      </c>
      <c r="H47" s="10">
        <v>17369884</v>
      </c>
      <c r="I47" s="10">
        <v>17862048</v>
      </c>
      <c r="J47" s="10">
        <v>18378624</v>
      </c>
      <c r="K47" s="10">
        <v>18913878</v>
      </c>
      <c r="L47" s="10">
        <v>19459816</v>
      </c>
      <c r="M47" s="10">
        <v>20011036</v>
      </c>
      <c r="N47" s="10">
        <v>20564068</v>
      </c>
      <c r="O47" s="10">
        <v>21121364</v>
      </c>
      <c r="P47" s="10">
        <v>21690444</v>
      </c>
      <c r="Q47" s="10">
        <v>22282136</v>
      </c>
      <c r="R47" s="10">
        <v>22903580</v>
      </c>
      <c r="S47" s="10">
        <v>23560464</v>
      </c>
      <c r="T47" s="10">
        <v>24249130</v>
      </c>
      <c r="U47" s="10">
        <v>24956384</v>
      </c>
      <c r="V47" s="10">
        <v>25663592</v>
      </c>
      <c r="W47" s="10">
        <v>26358908</v>
      </c>
      <c r="X47" s="10">
        <v>27040322</v>
      </c>
      <c r="Y47" s="10">
        <v>27717292</v>
      </c>
      <c r="Z47" s="10">
        <v>28403852</v>
      </c>
      <c r="AA47" s="10">
        <v>29119672</v>
      </c>
      <c r="AB47" s="10">
        <v>29881228</v>
      </c>
      <c r="AC47" s="10">
        <v>30683868</v>
      </c>
      <c r="AD47" s="10">
        <v>31528708</v>
      </c>
      <c r="AE47" s="10">
        <v>32443780</v>
      </c>
      <c r="AF47" s="10">
        <v>33464764</v>
      </c>
      <c r="AG47" s="10">
        <v>34612024</v>
      </c>
      <c r="AH47" s="10">
        <v>35908244</v>
      </c>
      <c r="AI47" s="10">
        <v>37333912</v>
      </c>
      <c r="AJ47" s="10">
        <v>38815832</v>
      </c>
      <c r="AK47" s="10">
        <v>40252976</v>
      </c>
      <c r="AL47" s="10">
        <v>41576232</v>
      </c>
      <c r="AM47" s="10">
        <v>42757244</v>
      </c>
      <c r="AN47" s="10">
        <v>43827180</v>
      </c>
      <c r="AO47" s="10">
        <v>44849968</v>
      </c>
      <c r="AP47" s="10">
        <v>45919612</v>
      </c>
      <c r="AQ47" s="10">
        <v>47105824</v>
      </c>
      <c r="AR47" s="10">
        <v>48428544</v>
      </c>
      <c r="AS47" s="10">
        <v>49871664</v>
      </c>
      <c r="AT47" s="10">
        <v>51425580</v>
      </c>
      <c r="AU47" s="10">
        <v>53068880</v>
      </c>
      <c r="AV47" s="10">
        <v>54785904</v>
      </c>
      <c r="AW47" s="10">
        <v>56578036</v>
      </c>
      <c r="AX47" s="10">
        <v>58453684</v>
      </c>
      <c r="AY47" s="10">
        <v>60411196</v>
      </c>
      <c r="AZ47" s="10">
        <v>62448576</v>
      </c>
      <c r="BA47" s="10">
        <v>64563856</v>
      </c>
      <c r="BB47" s="10">
        <v>66755152</v>
      </c>
      <c r="BC47" s="10">
        <v>69020744</v>
      </c>
      <c r="BD47" s="10">
        <v>71358808</v>
      </c>
      <c r="BE47" s="10">
        <v>73767448</v>
      </c>
      <c r="BF47" s="10">
        <v>76244544</v>
      </c>
      <c r="BG47" s="10">
        <v>78789128</v>
      </c>
      <c r="BH47" s="10">
        <v>81398768</v>
      </c>
      <c r="BI47" s="10">
        <v>84068088</v>
      </c>
      <c r="BJ47" s="10">
        <v>86790568</v>
      </c>
    </row>
    <row r="48" spans="1:62" x14ac:dyDescent="0.45">
      <c r="A48" t="s">
        <v>27</v>
      </c>
      <c r="B48" t="s">
        <v>119</v>
      </c>
      <c r="C48" s="10">
        <v>1018253</v>
      </c>
      <c r="D48" s="10">
        <v>1043116</v>
      </c>
      <c r="E48" s="10">
        <v>1069238</v>
      </c>
      <c r="F48" s="10">
        <v>1096638</v>
      </c>
      <c r="G48" s="10">
        <v>1125352</v>
      </c>
      <c r="H48" s="10">
        <v>1155392</v>
      </c>
      <c r="I48" s="10">
        <v>1186785</v>
      </c>
      <c r="J48" s="10">
        <v>1219541</v>
      </c>
      <c r="K48" s="10">
        <v>1253760</v>
      </c>
      <c r="L48" s="10">
        <v>1289522</v>
      </c>
      <c r="M48" s="10">
        <v>1326885</v>
      </c>
      <c r="N48" s="10">
        <v>1365899</v>
      </c>
      <c r="O48" s="10">
        <v>1406522</v>
      </c>
      <c r="P48" s="10">
        <v>1448637</v>
      </c>
      <c r="Q48" s="10">
        <v>1492055</v>
      </c>
      <c r="R48" s="10">
        <v>1536654</v>
      </c>
      <c r="S48" s="10">
        <v>1582358</v>
      </c>
      <c r="T48" s="10">
        <v>1629209</v>
      </c>
      <c r="U48" s="10">
        <v>1677332</v>
      </c>
      <c r="V48" s="10">
        <v>1726866</v>
      </c>
      <c r="W48" s="10">
        <v>1777934</v>
      </c>
      <c r="X48" s="10">
        <v>1830632</v>
      </c>
      <c r="Y48" s="10">
        <v>1884875</v>
      </c>
      <c r="Z48" s="10">
        <v>1940443</v>
      </c>
      <c r="AA48" s="10">
        <v>1996995</v>
      </c>
      <c r="AB48" s="10">
        <v>2054312</v>
      </c>
      <c r="AC48" s="10">
        <v>2112361</v>
      </c>
      <c r="AD48" s="10">
        <v>2171321</v>
      </c>
      <c r="AE48" s="10">
        <v>2231465</v>
      </c>
      <c r="AF48" s="10">
        <v>2293166</v>
      </c>
      <c r="AG48" s="10">
        <v>2356737</v>
      </c>
      <c r="AH48" s="10">
        <v>2422305</v>
      </c>
      <c r="AI48" s="10">
        <v>2489952</v>
      </c>
      <c r="AJ48" s="10">
        <v>2559873</v>
      </c>
      <c r="AK48" s="10">
        <v>2632345</v>
      </c>
      <c r="AL48" s="10">
        <v>2707537</v>
      </c>
      <c r="AM48" s="10">
        <v>2785810</v>
      </c>
      <c r="AN48" s="10">
        <v>2867280</v>
      </c>
      <c r="AO48" s="10">
        <v>2951647</v>
      </c>
      <c r="AP48" s="10">
        <v>3038433</v>
      </c>
      <c r="AQ48" s="10">
        <v>3127411</v>
      </c>
      <c r="AR48" s="10">
        <v>3217933</v>
      </c>
      <c r="AS48" s="10">
        <v>3310387</v>
      </c>
      <c r="AT48" s="10">
        <v>3406922</v>
      </c>
      <c r="AU48" s="10">
        <v>3510468</v>
      </c>
      <c r="AV48" s="10">
        <v>3622775</v>
      </c>
      <c r="AW48" s="10">
        <v>3745141</v>
      </c>
      <c r="AX48" s="10">
        <v>3876119</v>
      </c>
      <c r="AY48" s="10">
        <v>4011486</v>
      </c>
      <c r="AZ48" s="10">
        <v>4145391</v>
      </c>
      <c r="BA48" s="10">
        <v>4273731</v>
      </c>
      <c r="BB48" s="10">
        <v>4394844</v>
      </c>
      <c r="BC48" s="10">
        <v>4510198</v>
      </c>
      <c r="BD48" s="10">
        <v>4622761</v>
      </c>
      <c r="BE48" s="10">
        <v>4736974</v>
      </c>
      <c r="BF48" s="10">
        <v>4856095</v>
      </c>
      <c r="BG48" s="10">
        <v>4980999</v>
      </c>
      <c r="BH48" s="10">
        <v>5110702</v>
      </c>
      <c r="BI48" s="10">
        <v>5244363</v>
      </c>
      <c r="BJ48" s="10">
        <v>5380508</v>
      </c>
    </row>
    <row r="49" spans="1:62" x14ac:dyDescent="0.45">
      <c r="A49" t="s">
        <v>27</v>
      </c>
      <c r="B49" t="s">
        <v>120</v>
      </c>
      <c r="C49" s="10">
        <v>1330782</v>
      </c>
      <c r="D49" s="10">
        <v>1381183</v>
      </c>
      <c r="E49" s="10">
        <v>1433335</v>
      </c>
      <c r="F49" s="10">
        <v>1486553</v>
      </c>
      <c r="G49" s="10">
        <v>1539941</v>
      </c>
      <c r="H49" s="10">
        <v>1592841</v>
      </c>
      <c r="I49" s="10">
        <v>1645083</v>
      </c>
      <c r="J49" s="10">
        <v>1696732</v>
      </c>
      <c r="K49" s="10">
        <v>1747694</v>
      </c>
      <c r="L49" s="10">
        <v>1797893</v>
      </c>
      <c r="M49" s="10">
        <v>1847394</v>
      </c>
      <c r="N49" s="10">
        <v>1896077</v>
      </c>
      <c r="O49" s="10">
        <v>1944169</v>
      </c>
      <c r="P49" s="10">
        <v>1992514</v>
      </c>
      <c r="Q49" s="10">
        <v>2042241</v>
      </c>
      <c r="R49" s="10">
        <v>2094188</v>
      </c>
      <c r="S49" s="10">
        <v>2148677</v>
      </c>
      <c r="T49" s="10">
        <v>2205615</v>
      </c>
      <c r="U49" s="10">
        <v>2264946</v>
      </c>
      <c r="V49" s="10">
        <v>2326464</v>
      </c>
      <c r="W49" s="10">
        <v>2389977</v>
      </c>
      <c r="X49" s="10">
        <v>2455588</v>
      </c>
      <c r="Y49" s="10">
        <v>2523354</v>
      </c>
      <c r="Z49" s="10">
        <v>2593020</v>
      </c>
      <c r="AA49" s="10">
        <v>2664223</v>
      </c>
      <c r="AB49" s="10">
        <v>2736712</v>
      </c>
      <c r="AC49" s="10">
        <v>2810242</v>
      </c>
      <c r="AD49" s="10">
        <v>2884851</v>
      </c>
      <c r="AE49" s="10">
        <v>2960929</v>
      </c>
      <c r="AF49" s="10">
        <v>3039013</v>
      </c>
      <c r="AG49" s="10">
        <v>3119433</v>
      </c>
      <c r="AH49" s="10">
        <v>3202085</v>
      </c>
      <c r="AI49" s="10">
        <v>3286520</v>
      </c>
      <c r="AJ49" s="10">
        <v>3372298</v>
      </c>
      <c r="AK49" s="10">
        <v>3458834</v>
      </c>
      <c r="AL49" s="10">
        <v>3545534</v>
      </c>
      <c r="AM49" s="10">
        <v>3632362</v>
      </c>
      <c r="AN49" s="10">
        <v>3718949</v>
      </c>
      <c r="AO49" s="10">
        <v>3803887</v>
      </c>
      <c r="AP49" s="10">
        <v>3885430</v>
      </c>
      <c r="AQ49" s="10">
        <v>3962372</v>
      </c>
      <c r="AR49" s="10">
        <v>4034074</v>
      </c>
      <c r="AS49" s="10">
        <v>4100925</v>
      </c>
      <c r="AT49" s="10">
        <v>4164053</v>
      </c>
      <c r="AU49" s="10">
        <v>4225155</v>
      </c>
      <c r="AV49" s="10">
        <v>4285502</v>
      </c>
      <c r="AW49" s="10">
        <v>4345412</v>
      </c>
      <c r="AX49" s="10">
        <v>4404628</v>
      </c>
      <c r="AY49" s="10">
        <v>4463125</v>
      </c>
      <c r="AZ49" s="10">
        <v>4520740</v>
      </c>
      <c r="BA49" s="10">
        <v>4577378</v>
      </c>
      <c r="BB49" s="10">
        <v>4633086</v>
      </c>
      <c r="BC49" s="10">
        <v>4688000</v>
      </c>
      <c r="BD49" s="10">
        <v>4742107</v>
      </c>
      <c r="BE49" s="10">
        <v>4795396</v>
      </c>
      <c r="BF49" s="10">
        <v>4847804</v>
      </c>
      <c r="BG49" s="10">
        <v>4899345</v>
      </c>
      <c r="BH49" s="10">
        <v>4949954</v>
      </c>
      <c r="BI49" s="10">
        <v>4999441</v>
      </c>
      <c r="BJ49" s="10">
        <v>5047561</v>
      </c>
    </row>
    <row r="50" spans="1:62" x14ac:dyDescent="0.45">
      <c r="A50" t="s">
        <v>27</v>
      </c>
      <c r="B50" t="s">
        <v>121</v>
      </c>
      <c r="C50" s="10">
        <v>3503553</v>
      </c>
      <c r="D50" s="10">
        <v>3631553</v>
      </c>
      <c r="E50" s="10">
        <v>3770766</v>
      </c>
      <c r="F50" s="10">
        <v>3918628</v>
      </c>
      <c r="G50" s="10">
        <v>4071411</v>
      </c>
      <c r="H50" s="10">
        <v>4226844</v>
      </c>
      <c r="I50" s="10">
        <v>4383728</v>
      </c>
      <c r="J50" s="10">
        <v>4544164</v>
      </c>
      <c r="K50" s="10">
        <v>4713135</v>
      </c>
      <c r="L50" s="10">
        <v>4897472</v>
      </c>
      <c r="M50" s="10">
        <v>5102064</v>
      </c>
      <c r="N50" s="10">
        <v>5328744</v>
      </c>
      <c r="O50" s="10">
        <v>5576038</v>
      </c>
      <c r="P50" s="10">
        <v>5841506</v>
      </c>
      <c r="Q50" s="10">
        <v>6121285</v>
      </c>
      <c r="R50" s="10">
        <v>6412403</v>
      </c>
      <c r="S50" s="10">
        <v>6713950</v>
      </c>
      <c r="T50" s="10">
        <v>7026496</v>
      </c>
      <c r="U50" s="10">
        <v>7350270</v>
      </c>
      <c r="V50" s="10">
        <v>7685918</v>
      </c>
      <c r="W50" s="10">
        <v>8033650</v>
      </c>
      <c r="X50" s="10">
        <v>8393691</v>
      </c>
      <c r="Y50" s="10">
        <v>8764989</v>
      </c>
      <c r="Z50" s="10">
        <v>9144931</v>
      </c>
      <c r="AA50" s="10">
        <v>9530107</v>
      </c>
      <c r="AB50" s="10">
        <v>9918196</v>
      </c>
      <c r="AC50" s="10">
        <v>10307281</v>
      </c>
      <c r="AD50" s="10">
        <v>10698194</v>
      </c>
      <c r="AE50" s="10">
        <v>11094748</v>
      </c>
      <c r="AF50" s="10">
        <v>11502449</v>
      </c>
      <c r="AG50" s="10">
        <v>11924877</v>
      </c>
      <c r="AH50" s="10">
        <v>12362407</v>
      </c>
      <c r="AI50" s="10">
        <v>12812421</v>
      </c>
      <c r="AJ50" s="10">
        <v>13271643</v>
      </c>
      <c r="AK50" s="10">
        <v>13735433</v>
      </c>
      <c r="AL50" s="10">
        <v>14199762</v>
      </c>
      <c r="AM50" s="10">
        <v>14665127</v>
      </c>
      <c r="AN50" s="10">
        <v>15130663</v>
      </c>
      <c r="AO50" s="10">
        <v>15589414</v>
      </c>
      <c r="AP50" s="10">
        <v>16032573</v>
      </c>
      <c r="AQ50" s="10">
        <v>16454668</v>
      </c>
      <c r="AR50" s="10">
        <v>16853026</v>
      </c>
      <c r="AS50" s="10">
        <v>17231540</v>
      </c>
      <c r="AT50" s="10">
        <v>17599610</v>
      </c>
      <c r="AU50" s="10">
        <v>17970494</v>
      </c>
      <c r="AV50" s="10">
        <v>18354514</v>
      </c>
      <c r="AW50" s="10">
        <v>18754916</v>
      </c>
      <c r="AX50" s="10">
        <v>19171236</v>
      </c>
      <c r="AY50" s="10">
        <v>19605568</v>
      </c>
      <c r="AZ50" s="10">
        <v>20059148</v>
      </c>
      <c r="BA50" s="10">
        <v>20532950</v>
      </c>
      <c r="BB50" s="10">
        <v>21028656</v>
      </c>
      <c r="BC50" s="10">
        <v>21547188</v>
      </c>
      <c r="BD50" s="10">
        <v>22087504</v>
      </c>
      <c r="BE50" s="10">
        <v>22647684</v>
      </c>
      <c r="BF50" s="10">
        <v>23226144</v>
      </c>
      <c r="BG50" s="10">
        <v>23822714</v>
      </c>
      <c r="BH50" s="10">
        <v>24437468</v>
      </c>
      <c r="BI50" s="10">
        <v>25069228</v>
      </c>
      <c r="BJ50" s="10">
        <v>25716544</v>
      </c>
    </row>
    <row r="51" spans="1:62" x14ac:dyDescent="0.45">
      <c r="A51" t="s">
        <v>27</v>
      </c>
      <c r="B51" t="s">
        <v>122</v>
      </c>
      <c r="C51" s="10">
        <v>3294224</v>
      </c>
      <c r="D51" s="10">
        <v>3406280</v>
      </c>
      <c r="E51" s="10">
        <v>3521018</v>
      </c>
      <c r="F51" s="10">
        <v>3638109</v>
      </c>
      <c r="G51" s="10">
        <v>3757132</v>
      </c>
      <c r="H51" s="10">
        <v>3877765</v>
      </c>
      <c r="I51" s="10">
        <v>3999796</v>
      </c>
      <c r="J51" s="10">
        <v>4123092</v>
      </c>
      <c r="K51" s="10">
        <v>4247558</v>
      </c>
      <c r="L51" s="10">
        <v>4373124</v>
      </c>
      <c r="M51" s="10">
        <v>4499720</v>
      </c>
      <c r="N51" s="10">
        <v>4627210</v>
      </c>
      <c r="O51" s="10">
        <v>4755459</v>
      </c>
      <c r="P51" s="10">
        <v>4884461</v>
      </c>
      <c r="Q51" s="10">
        <v>5014189</v>
      </c>
      <c r="R51" s="10">
        <v>5144637</v>
      </c>
      <c r="S51" s="10">
        <v>5275770</v>
      </c>
      <c r="T51" s="10">
        <v>5407500</v>
      </c>
      <c r="U51" s="10">
        <v>5539590</v>
      </c>
      <c r="V51" s="10">
        <v>5671797</v>
      </c>
      <c r="W51" s="10">
        <v>5803927</v>
      </c>
      <c r="X51" s="10">
        <v>5935909</v>
      </c>
      <c r="Y51" s="10">
        <v>6067770</v>
      </c>
      <c r="Z51" s="10">
        <v>6199661</v>
      </c>
      <c r="AA51" s="10">
        <v>6331764</v>
      </c>
      <c r="AB51" s="10">
        <v>6464229</v>
      </c>
      <c r="AC51" s="10">
        <v>6596962</v>
      </c>
      <c r="AD51" s="10">
        <v>6729933</v>
      </c>
      <c r="AE51" s="10">
        <v>6863441</v>
      </c>
      <c r="AF51" s="10">
        <v>6997888</v>
      </c>
      <c r="AG51" s="10">
        <v>7133494</v>
      </c>
      <c r="AH51" s="10">
        <v>7270409</v>
      </c>
      <c r="AI51" s="10">
        <v>7408342</v>
      </c>
      <c r="AJ51" s="10">
        <v>7546463</v>
      </c>
      <c r="AK51" s="10">
        <v>7683707</v>
      </c>
      <c r="AL51" s="10">
        <v>7819247</v>
      </c>
      <c r="AM51" s="10">
        <v>7952763</v>
      </c>
      <c r="AN51" s="10">
        <v>8084407</v>
      </c>
      <c r="AO51" s="10">
        <v>8214426</v>
      </c>
      <c r="AP51" s="10">
        <v>8343283</v>
      </c>
      <c r="AQ51" s="10">
        <v>8471321</v>
      </c>
      <c r="AR51" s="10">
        <v>8598601</v>
      </c>
      <c r="AS51" s="10">
        <v>8724975</v>
      </c>
      <c r="AT51" s="10">
        <v>8850317</v>
      </c>
      <c r="AU51" s="10">
        <v>8974444</v>
      </c>
      <c r="AV51" s="10">
        <v>9097257</v>
      </c>
      <c r="AW51" s="10">
        <v>9218686</v>
      </c>
      <c r="AX51" s="10">
        <v>9338861</v>
      </c>
      <c r="AY51" s="10">
        <v>9458075</v>
      </c>
      <c r="AZ51" s="10">
        <v>9576737</v>
      </c>
      <c r="BA51" s="10">
        <v>9695121</v>
      </c>
      <c r="BB51" s="10">
        <v>9813210</v>
      </c>
      <c r="BC51" s="10">
        <v>9930911</v>
      </c>
      <c r="BD51" s="10">
        <v>10048224</v>
      </c>
      <c r="BE51" s="10">
        <v>10165178</v>
      </c>
      <c r="BF51" s="10">
        <v>10281680</v>
      </c>
      <c r="BG51" s="10">
        <v>10397743</v>
      </c>
      <c r="BH51" s="10">
        <v>10513131</v>
      </c>
      <c r="BI51" s="10">
        <v>10627165</v>
      </c>
      <c r="BJ51" s="10">
        <v>10738958</v>
      </c>
    </row>
    <row r="52" spans="1:62" x14ac:dyDescent="0.45">
      <c r="A52" t="s">
        <v>27</v>
      </c>
      <c r="B52" t="s">
        <v>123</v>
      </c>
      <c r="C52" s="10">
        <v>4543666</v>
      </c>
      <c r="D52" s="10">
        <v>4674172</v>
      </c>
      <c r="E52" s="10">
        <v>4809201</v>
      </c>
      <c r="F52" s="10">
        <v>4948986</v>
      </c>
      <c r="G52" s="10">
        <v>5093854</v>
      </c>
      <c r="H52" s="10">
        <v>5243977</v>
      </c>
      <c r="I52" s="10">
        <v>5399422</v>
      </c>
      <c r="J52" s="10">
        <v>5560012</v>
      </c>
      <c r="K52" s="10">
        <v>5725459</v>
      </c>
      <c r="L52" s="10">
        <v>5895367</v>
      </c>
      <c r="M52" s="10">
        <v>6069376</v>
      </c>
      <c r="N52" s="10">
        <v>6247418</v>
      </c>
      <c r="O52" s="10">
        <v>6429379</v>
      </c>
      <c r="P52" s="10">
        <v>6614843</v>
      </c>
      <c r="Q52" s="10">
        <v>6803280</v>
      </c>
      <c r="R52" s="10">
        <v>6994334</v>
      </c>
      <c r="S52" s="10">
        <v>7187787</v>
      </c>
      <c r="T52" s="10">
        <v>7383724</v>
      </c>
      <c r="U52" s="10">
        <v>7582353</v>
      </c>
      <c r="V52" s="10">
        <v>7784072</v>
      </c>
      <c r="W52" s="10">
        <v>7989186</v>
      </c>
      <c r="X52" s="10">
        <v>8197652</v>
      </c>
      <c r="Y52" s="10">
        <v>8409397</v>
      </c>
      <c r="Z52" s="10">
        <v>8624594</v>
      </c>
      <c r="AA52" s="10">
        <v>8843462</v>
      </c>
      <c r="AB52" s="10">
        <v>9066109</v>
      </c>
      <c r="AC52" s="10">
        <v>9292474</v>
      </c>
      <c r="AD52" s="10">
        <v>9522360</v>
      </c>
      <c r="AE52" s="10">
        <v>9755579</v>
      </c>
      <c r="AF52" s="10">
        <v>9991870</v>
      </c>
      <c r="AG52" s="10">
        <v>10230934</v>
      </c>
      <c r="AH52" s="10">
        <v>10472475</v>
      </c>
      <c r="AI52" s="10">
        <v>10716129</v>
      </c>
      <c r="AJ52" s="10">
        <v>10961466</v>
      </c>
      <c r="AK52" s="10">
        <v>11208001</v>
      </c>
      <c r="AL52" s="10">
        <v>11455204</v>
      </c>
      <c r="AM52" s="10">
        <v>11703174</v>
      </c>
      <c r="AN52" s="10">
        <v>11951452</v>
      </c>
      <c r="AO52" s="10">
        <v>12198449</v>
      </c>
      <c r="AP52" s="10">
        <v>12442115</v>
      </c>
      <c r="AQ52" s="10">
        <v>12681123</v>
      </c>
      <c r="AR52" s="10">
        <v>12914667</v>
      </c>
      <c r="AS52" s="10">
        <v>13143465</v>
      </c>
      <c r="AT52" s="10">
        <v>13369678</v>
      </c>
      <c r="AU52" s="10">
        <v>13596388</v>
      </c>
      <c r="AV52" s="10">
        <v>13825847</v>
      </c>
      <c r="AW52" s="10">
        <v>14059384</v>
      </c>
      <c r="AX52" s="10">
        <v>14296557</v>
      </c>
      <c r="AY52" s="10">
        <v>14535739</v>
      </c>
      <c r="AZ52" s="10">
        <v>14774424</v>
      </c>
      <c r="BA52" s="10">
        <v>15011117</v>
      </c>
      <c r="BB52" s="10">
        <v>15243883</v>
      </c>
      <c r="BC52" s="10">
        <v>15474102</v>
      </c>
      <c r="BD52" s="10">
        <v>15707474</v>
      </c>
      <c r="BE52" s="10">
        <v>15951838</v>
      </c>
      <c r="BF52" s="10">
        <v>16212020</v>
      </c>
      <c r="BG52" s="10">
        <v>16491115</v>
      </c>
      <c r="BH52" s="10">
        <v>16785360</v>
      </c>
      <c r="BI52" s="10">
        <v>17084356</v>
      </c>
      <c r="BJ52" s="10">
        <v>17373662</v>
      </c>
    </row>
    <row r="53" spans="1:62" x14ac:dyDescent="0.45">
      <c r="A53" t="s">
        <v>27</v>
      </c>
      <c r="B53" t="s">
        <v>124</v>
      </c>
      <c r="C53" s="10">
        <v>393481</v>
      </c>
      <c r="D53" s="10">
        <v>407249</v>
      </c>
      <c r="E53" s="10">
        <v>421665</v>
      </c>
      <c r="F53" s="10">
        <v>436293</v>
      </c>
      <c r="G53" s="10">
        <v>450542</v>
      </c>
      <c r="H53" s="10">
        <v>463968</v>
      </c>
      <c r="I53" s="10">
        <v>476404</v>
      </c>
      <c r="J53" s="10">
        <v>487981</v>
      </c>
      <c r="K53" s="10">
        <v>498940</v>
      </c>
      <c r="L53" s="10">
        <v>509704</v>
      </c>
      <c r="M53" s="10">
        <v>520562</v>
      </c>
      <c r="N53" s="10">
        <v>531635</v>
      </c>
      <c r="O53" s="10">
        <v>542844</v>
      </c>
      <c r="P53" s="10">
        <v>554138</v>
      </c>
      <c r="Q53" s="10">
        <v>565415</v>
      </c>
      <c r="R53" s="10">
        <v>576626</v>
      </c>
      <c r="S53" s="10">
        <v>587557</v>
      </c>
      <c r="T53" s="10">
        <v>598296</v>
      </c>
      <c r="U53" s="10">
        <v>609383</v>
      </c>
      <c r="V53" s="10">
        <v>621585</v>
      </c>
      <c r="W53" s="10">
        <v>635307</v>
      </c>
      <c r="X53" s="10">
        <v>651021</v>
      </c>
      <c r="Y53" s="10">
        <v>668280</v>
      </c>
      <c r="Z53" s="10">
        <v>685497</v>
      </c>
      <c r="AA53" s="10">
        <v>700483</v>
      </c>
      <c r="AB53" s="10">
        <v>711775</v>
      </c>
      <c r="AC53" s="10">
        <v>718639</v>
      </c>
      <c r="AD53" s="10">
        <v>721783</v>
      </c>
      <c r="AE53" s="10">
        <v>722930</v>
      </c>
      <c r="AF53" s="10">
        <v>724594</v>
      </c>
      <c r="AG53" s="10">
        <v>728573</v>
      </c>
      <c r="AH53" s="10">
        <v>735401</v>
      </c>
      <c r="AI53" s="10">
        <v>744469</v>
      </c>
      <c r="AJ53" s="10">
        <v>754963</v>
      </c>
      <c r="AK53" s="10">
        <v>765609</v>
      </c>
      <c r="AL53" s="10">
        <v>775425</v>
      </c>
      <c r="AM53" s="10">
        <v>784386</v>
      </c>
      <c r="AN53" s="10">
        <v>792736</v>
      </c>
      <c r="AO53" s="10">
        <v>800157</v>
      </c>
      <c r="AP53" s="10">
        <v>806303</v>
      </c>
      <c r="AQ53" s="10">
        <v>811006</v>
      </c>
      <c r="AR53" s="10">
        <v>813925</v>
      </c>
      <c r="AS53" s="10">
        <v>815257</v>
      </c>
      <c r="AT53" s="10">
        <v>816076</v>
      </c>
      <c r="AU53" s="10">
        <v>817860</v>
      </c>
      <c r="AV53" s="10">
        <v>821604</v>
      </c>
      <c r="AW53" s="10">
        <v>827870</v>
      </c>
      <c r="AX53" s="10">
        <v>836190</v>
      </c>
      <c r="AY53" s="10">
        <v>845361</v>
      </c>
      <c r="AZ53" s="10">
        <v>853637</v>
      </c>
      <c r="BA53" s="10">
        <v>859818</v>
      </c>
      <c r="BB53" s="10">
        <v>863449</v>
      </c>
      <c r="BC53" s="10">
        <v>865069</v>
      </c>
      <c r="BD53" s="10">
        <v>865608</v>
      </c>
      <c r="BE53" s="10">
        <v>866453</v>
      </c>
      <c r="BF53" s="10">
        <v>868627</v>
      </c>
      <c r="BG53" s="10">
        <v>872399</v>
      </c>
      <c r="BH53" s="10">
        <v>877459</v>
      </c>
      <c r="BI53" s="10">
        <v>883483</v>
      </c>
      <c r="BJ53" s="10">
        <v>889953</v>
      </c>
    </row>
    <row r="54" spans="1:62" x14ac:dyDescent="0.45">
      <c r="A54" t="s">
        <v>27</v>
      </c>
      <c r="B54" t="s">
        <v>125</v>
      </c>
      <c r="C54" s="10">
        <v>500928</v>
      </c>
      <c r="D54" s="10">
        <v>505799</v>
      </c>
      <c r="E54" s="10">
        <v>511287</v>
      </c>
      <c r="F54" s="10">
        <v>517580</v>
      </c>
      <c r="G54" s="10">
        <v>524895</v>
      </c>
      <c r="H54" s="10">
        <v>533361</v>
      </c>
      <c r="I54" s="10">
        <v>543112</v>
      </c>
      <c r="J54" s="10">
        <v>554059</v>
      </c>
      <c r="K54" s="10">
        <v>565766</v>
      </c>
      <c r="L54" s="10">
        <v>577646</v>
      </c>
      <c r="M54" s="10">
        <v>589314</v>
      </c>
      <c r="N54" s="10">
        <v>600613</v>
      </c>
      <c r="O54" s="10">
        <v>611704</v>
      </c>
      <c r="P54" s="10">
        <v>622920</v>
      </c>
      <c r="Q54" s="10">
        <v>634742</v>
      </c>
      <c r="R54" s="10">
        <v>647536</v>
      </c>
      <c r="S54" s="10">
        <v>661402</v>
      </c>
      <c r="T54" s="10">
        <v>676255</v>
      </c>
      <c r="U54" s="10">
        <v>692077</v>
      </c>
      <c r="V54" s="10">
        <v>708788</v>
      </c>
      <c r="W54" s="10">
        <v>726328</v>
      </c>
      <c r="X54" s="10">
        <v>744696</v>
      </c>
      <c r="Y54" s="10">
        <v>763930</v>
      </c>
      <c r="Z54" s="10">
        <v>784061</v>
      </c>
      <c r="AA54" s="10">
        <v>805115</v>
      </c>
      <c r="AB54" s="10">
        <v>827108</v>
      </c>
      <c r="AC54" s="10">
        <v>850048</v>
      </c>
      <c r="AD54" s="10">
        <v>873867</v>
      </c>
      <c r="AE54" s="10">
        <v>898469</v>
      </c>
      <c r="AF54" s="10">
        <v>923711</v>
      </c>
      <c r="AG54" s="10">
        <v>949488</v>
      </c>
      <c r="AH54" s="10">
        <v>975783</v>
      </c>
      <c r="AI54" s="10">
        <v>1002579</v>
      </c>
      <c r="AJ54" s="10">
        <v>1029778</v>
      </c>
      <c r="AK54" s="10">
        <v>1057255</v>
      </c>
      <c r="AL54" s="10">
        <v>1084946</v>
      </c>
      <c r="AM54" s="10">
        <v>1112955</v>
      </c>
      <c r="AN54" s="10">
        <v>1141338</v>
      </c>
      <c r="AO54" s="10">
        <v>1170061</v>
      </c>
      <c r="AP54" s="10">
        <v>1199052</v>
      </c>
      <c r="AQ54" s="10">
        <v>1228360</v>
      </c>
      <c r="AR54" s="10">
        <v>1258003</v>
      </c>
      <c r="AS54" s="10">
        <v>1288315</v>
      </c>
      <c r="AT54" s="10">
        <v>1319953</v>
      </c>
      <c r="AU54" s="10">
        <v>1353795</v>
      </c>
      <c r="AV54" s="10">
        <v>1390549</v>
      </c>
      <c r="AW54" s="10">
        <v>1430152</v>
      </c>
      <c r="AX54" s="10">
        <v>1472575</v>
      </c>
      <c r="AY54" s="10">
        <v>1518540</v>
      </c>
      <c r="AZ54" s="10">
        <v>1568928</v>
      </c>
      <c r="BA54" s="10">
        <v>1624140</v>
      </c>
      <c r="BB54" s="10">
        <v>1684635</v>
      </c>
      <c r="BC54" s="10">
        <v>1749682</v>
      </c>
      <c r="BD54" s="10">
        <v>1817071</v>
      </c>
      <c r="BE54" s="10">
        <v>1883800</v>
      </c>
      <c r="BF54" s="10">
        <v>1947686</v>
      </c>
      <c r="BG54" s="10">
        <v>2007873</v>
      </c>
      <c r="BH54" s="10">
        <v>2064823</v>
      </c>
      <c r="BI54" s="10">
        <v>2119275</v>
      </c>
      <c r="BJ54" s="10">
        <v>2172579</v>
      </c>
    </row>
    <row r="55" spans="1:62" x14ac:dyDescent="0.45">
      <c r="A55" t="s">
        <v>27</v>
      </c>
      <c r="B55" t="s">
        <v>126</v>
      </c>
      <c r="C55" s="10">
        <v>6635230</v>
      </c>
      <c r="D55" s="10">
        <v>6848295</v>
      </c>
      <c r="E55" s="10">
        <v>7071971</v>
      </c>
      <c r="F55" s="10">
        <v>7300116</v>
      </c>
      <c r="G55" s="10">
        <v>7524472</v>
      </c>
      <c r="H55" s="10">
        <v>7739473</v>
      </c>
      <c r="I55" s="10">
        <v>7941412</v>
      </c>
      <c r="J55" s="10">
        <v>8132803</v>
      </c>
      <c r="K55" s="10">
        <v>8321770</v>
      </c>
      <c r="L55" s="10">
        <v>8520015</v>
      </c>
      <c r="M55" s="10">
        <v>8735495</v>
      </c>
      <c r="N55" s="10">
        <v>8973244</v>
      </c>
      <c r="O55" s="10">
        <v>9229631</v>
      </c>
      <c r="P55" s="10">
        <v>9493556</v>
      </c>
      <c r="Q55" s="10">
        <v>9749104</v>
      </c>
      <c r="R55" s="10">
        <v>9985946</v>
      </c>
      <c r="S55" s="10">
        <v>10199165</v>
      </c>
      <c r="T55" s="10">
        <v>10395452</v>
      </c>
      <c r="U55" s="10">
        <v>10590261</v>
      </c>
      <c r="V55" s="10">
        <v>10805314</v>
      </c>
      <c r="W55" s="10">
        <v>11056116</v>
      </c>
      <c r="X55" s="10">
        <v>11348289</v>
      </c>
      <c r="Y55" s="10">
        <v>11676823</v>
      </c>
      <c r="Z55" s="10">
        <v>12033575</v>
      </c>
      <c r="AA55" s="10">
        <v>12405660</v>
      </c>
      <c r="AB55" s="10">
        <v>12783613</v>
      </c>
      <c r="AC55" s="10">
        <v>13164837</v>
      </c>
      <c r="AD55" s="10">
        <v>13552021</v>
      </c>
      <c r="AE55" s="10">
        <v>13947042</v>
      </c>
      <c r="AF55" s="10">
        <v>14353410</v>
      </c>
      <c r="AG55" s="10">
        <v>14773277</v>
      </c>
      <c r="AH55" s="10">
        <v>15207367</v>
      </c>
      <c r="AI55" s="10">
        <v>15653336</v>
      </c>
      <c r="AJ55" s="10">
        <v>16106765</v>
      </c>
      <c r="AK55" s="10">
        <v>16561674</v>
      </c>
      <c r="AL55" s="10">
        <v>17014056</v>
      </c>
      <c r="AM55" s="10">
        <v>17462496</v>
      </c>
      <c r="AN55" s="10">
        <v>17908984</v>
      </c>
      <c r="AO55" s="10">
        <v>18357156</v>
      </c>
      <c r="AP55" s="10">
        <v>18812360</v>
      </c>
      <c r="AQ55" s="10">
        <v>19278856</v>
      </c>
      <c r="AR55" s="10">
        <v>19756928</v>
      </c>
      <c r="AS55" s="10">
        <v>20246380</v>
      </c>
      <c r="AT55" s="10">
        <v>20750300</v>
      </c>
      <c r="AU55" s="10">
        <v>21272324</v>
      </c>
      <c r="AV55" s="10">
        <v>21814642</v>
      </c>
      <c r="AW55" s="10">
        <v>22379056</v>
      </c>
      <c r="AX55" s="10">
        <v>22963946</v>
      </c>
      <c r="AY55" s="10">
        <v>23563824</v>
      </c>
      <c r="AZ55" s="10">
        <v>24170940</v>
      </c>
      <c r="BA55" s="10">
        <v>24779620</v>
      </c>
      <c r="BB55" s="10">
        <v>25387710</v>
      </c>
      <c r="BC55" s="10">
        <v>25996448</v>
      </c>
      <c r="BD55" s="10">
        <v>26607642</v>
      </c>
      <c r="BE55" s="10">
        <v>27224472</v>
      </c>
      <c r="BF55" s="10">
        <v>27849204</v>
      </c>
      <c r="BG55" s="10">
        <v>28481946</v>
      </c>
      <c r="BH55" s="10">
        <v>29121472</v>
      </c>
      <c r="BI55" s="10">
        <v>29767108</v>
      </c>
      <c r="BJ55" s="10">
        <v>30417856</v>
      </c>
    </row>
    <row r="56" spans="1:62" x14ac:dyDescent="0.45">
      <c r="A56" t="s">
        <v>27</v>
      </c>
      <c r="B56" t="s">
        <v>127</v>
      </c>
      <c r="C56" s="10">
        <v>4128880</v>
      </c>
      <c r="D56" s="10">
        <v>4251911</v>
      </c>
      <c r="E56" s="10">
        <v>4378604</v>
      </c>
      <c r="F56" s="10">
        <v>4508444</v>
      </c>
      <c r="G56" s="10">
        <v>4640795</v>
      </c>
      <c r="H56" s="10">
        <v>4774984</v>
      </c>
      <c r="I56" s="10">
        <v>4910790</v>
      </c>
      <c r="J56" s="10">
        <v>5047435</v>
      </c>
      <c r="K56" s="10">
        <v>5184095</v>
      </c>
      <c r="L56" s="10">
        <v>5320100</v>
      </c>
      <c r="M56" s="10">
        <v>5455197</v>
      </c>
      <c r="N56" s="10">
        <v>5589563</v>
      </c>
      <c r="O56" s="10">
        <v>5723759</v>
      </c>
      <c r="P56" s="10">
        <v>5858466</v>
      </c>
      <c r="Q56" s="10">
        <v>5994300</v>
      </c>
      <c r="R56" s="10">
        <v>6131151</v>
      </c>
      <c r="S56" s="10">
        <v>6269983</v>
      </c>
      <c r="T56" s="10">
        <v>6412667</v>
      </c>
      <c r="U56" s="10">
        <v>6561919</v>
      </c>
      <c r="V56" s="10">
        <v>6720582</v>
      </c>
      <c r="W56" s="10">
        <v>6890346</v>
      </c>
      <c r="X56" s="10">
        <v>7071186</v>
      </c>
      <c r="Y56" s="10">
        <v>7262658</v>
      </c>
      <c r="Z56" s="10">
        <v>7462585</v>
      </c>
      <c r="AA56" s="10">
        <v>7669863</v>
      </c>
      <c r="AB56" s="10">
        <v>7884034</v>
      </c>
      <c r="AC56" s="10">
        <v>8104921</v>
      </c>
      <c r="AD56" s="10">
        <v>8332446</v>
      </c>
      <c r="AE56" s="10">
        <v>8566331</v>
      </c>
      <c r="AF56" s="10">
        <v>8805995</v>
      </c>
      <c r="AG56" s="10">
        <v>9050115</v>
      </c>
      <c r="AH56" s="10">
        <v>9296814</v>
      </c>
      <c r="AI56" s="10">
        <v>9544055</v>
      </c>
      <c r="AJ56" s="10">
        <v>9790619</v>
      </c>
      <c r="AK56" s="10">
        <v>10037522</v>
      </c>
      <c r="AL56" s="10">
        <v>10286786</v>
      </c>
      <c r="AM56" s="10">
        <v>10536942</v>
      </c>
      <c r="AN56" s="10">
        <v>10788362</v>
      </c>
      <c r="AO56" s="10">
        <v>11046215</v>
      </c>
      <c r="AP56" s="10">
        <v>11311078</v>
      </c>
      <c r="AQ56" s="10">
        <v>11589761</v>
      </c>
      <c r="AR56" s="10">
        <v>11871565</v>
      </c>
      <c r="AS56" s="10">
        <v>12147518</v>
      </c>
      <c r="AT56" s="10">
        <v>12415334</v>
      </c>
      <c r="AU56" s="10">
        <v>12682108</v>
      </c>
      <c r="AV56" s="10">
        <v>12948292</v>
      </c>
      <c r="AW56" s="10">
        <v>13213330</v>
      </c>
      <c r="AX56" s="10">
        <v>13477017</v>
      </c>
      <c r="AY56" s="10">
        <v>13739299</v>
      </c>
      <c r="AZ56" s="10">
        <v>14000190</v>
      </c>
      <c r="BA56" s="10">
        <v>14259687</v>
      </c>
      <c r="BB56" s="10">
        <v>14521515</v>
      </c>
      <c r="BC56" s="10">
        <v>14781942</v>
      </c>
      <c r="BD56" s="10">
        <v>15043981</v>
      </c>
      <c r="BE56" s="10">
        <v>15306316</v>
      </c>
      <c r="BF56" s="10">
        <v>15567419</v>
      </c>
      <c r="BG56" s="10">
        <v>15827690</v>
      </c>
      <c r="BH56" s="10">
        <v>16087418</v>
      </c>
      <c r="BI56" s="10">
        <v>16346950</v>
      </c>
      <c r="BJ56" s="10">
        <v>16604026</v>
      </c>
    </row>
    <row r="57" spans="1:62" x14ac:dyDescent="0.45">
      <c r="A57" t="s">
        <v>27</v>
      </c>
      <c r="B57" t="s">
        <v>128</v>
      </c>
      <c r="C57" s="10">
        <v>571819</v>
      </c>
      <c r="D57" s="10">
        <v>589274</v>
      </c>
      <c r="E57" s="10">
        <v>606285</v>
      </c>
      <c r="F57" s="10">
        <v>622575</v>
      </c>
      <c r="G57" s="10">
        <v>637845</v>
      </c>
      <c r="H57" s="10">
        <v>651868</v>
      </c>
      <c r="I57" s="10">
        <v>664521</v>
      </c>
      <c r="J57" s="10">
        <v>675871</v>
      </c>
      <c r="K57" s="10">
        <v>686146</v>
      </c>
      <c r="L57" s="10">
        <v>695745</v>
      </c>
      <c r="M57" s="10">
        <v>704934</v>
      </c>
      <c r="N57" s="10">
        <v>713684</v>
      </c>
      <c r="O57" s="10">
        <v>721948</v>
      </c>
      <c r="P57" s="10">
        <v>729916</v>
      </c>
      <c r="Q57" s="10">
        <v>737847</v>
      </c>
      <c r="R57" s="10">
        <v>745841</v>
      </c>
      <c r="S57" s="10">
        <v>754101</v>
      </c>
      <c r="T57" s="10">
        <v>762424</v>
      </c>
      <c r="U57" s="10">
        <v>770125</v>
      </c>
      <c r="V57" s="10">
        <v>776254</v>
      </c>
      <c r="W57" s="10">
        <v>780153</v>
      </c>
      <c r="X57" s="10">
        <v>781732</v>
      </c>
      <c r="Y57" s="10">
        <v>781246</v>
      </c>
      <c r="Z57" s="10">
        <v>778948</v>
      </c>
      <c r="AA57" s="10">
        <v>775219</v>
      </c>
      <c r="AB57" s="10">
        <v>770435</v>
      </c>
      <c r="AC57" s="10">
        <v>764446</v>
      </c>
      <c r="AD57" s="10">
        <v>757448</v>
      </c>
      <c r="AE57" s="10">
        <v>750639</v>
      </c>
      <c r="AF57" s="10">
        <v>745585</v>
      </c>
      <c r="AG57" s="10">
        <v>743309</v>
      </c>
      <c r="AH57" s="10">
        <v>744474</v>
      </c>
      <c r="AI57" s="10">
        <v>748602</v>
      </c>
      <c r="AJ57" s="10">
        <v>754144</v>
      </c>
      <c r="AK57" s="10">
        <v>758896</v>
      </c>
      <c r="AL57" s="10">
        <v>761291</v>
      </c>
      <c r="AM57" s="10">
        <v>760795</v>
      </c>
      <c r="AN57" s="10">
        <v>757970</v>
      </c>
      <c r="AO57" s="10">
        <v>753778</v>
      </c>
      <c r="AP57" s="10">
        <v>749674</v>
      </c>
      <c r="AQ57" s="10">
        <v>746715</v>
      </c>
      <c r="AR57" s="10">
        <v>745206</v>
      </c>
      <c r="AS57" s="10">
        <v>744789</v>
      </c>
      <c r="AT57" s="10">
        <v>745143</v>
      </c>
      <c r="AU57" s="10">
        <v>745737</v>
      </c>
      <c r="AV57" s="10">
        <v>746163</v>
      </c>
      <c r="AW57" s="10">
        <v>746343</v>
      </c>
      <c r="AX57" s="10">
        <v>746474</v>
      </c>
      <c r="AY57" s="10">
        <v>746817</v>
      </c>
      <c r="AZ57" s="10">
        <v>747718</v>
      </c>
      <c r="BA57" s="10">
        <v>749436</v>
      </c>
      <c r="BB57" s="10">
        <v>752028</v>
      </c>
      <c r="BC57" s="10">
        <v>755399</v>
      </c>
      <c r="BD57" s="10">
        <v>759285</v>
      </c>
      <c r="BE57" s="10">
        <v>763380</v>
      </c>
      <c r="BF57" s="10">
        <v>767432</v>
      </c>
      <c r="BG57" s="10">
        <v>771366</v>
      </c>
      <c r="BH57" s="10">
        <v>775221</v>
      </c>
      <c r="BI57" s="10">
        <v>779004</v>
      </c>
      <c r="BJ57" s="10">
        <v>782766</v>
      </c>
    </row>
    <row r="58" spans="1:62" x14ac:dyDescent="0.45">
      <c r="A58" t="s">
        <v>27</v>
      </c>
      <c r="B58" t="s">
        <v>129</v>
      </c>
      <c r="C58" s="10">
        <v>3866159</v>
      </c>
      <c r="D58" s="10">
        <v>3941944</v>
      </c>
      <c r="E58" s="10">
        <v>4019173</v>
      </c>
      <c r="F58" s="10">
        <v>4097755</v>
      </c>
      <c r="G58" s="10">
        <v>4177637</v>
      </c>
      <c r="H58" s="10">
        <v>4258732</v>
      </c>
      <c r="I58" s="10">
        <v>4341318</v>
      </c>
      <c r="J58" s="10">
        <v>4425303</v>
      </c>
      <c r="K58" s="10">
        <v>4509813</v>
      </c>
      <c r="L58" s="10">
        <v>4593669</v>
      </c>
      <c r="M58" s="10">
        <v>4676230</v>
      </c>
      <c r="N58" s="10">
        <v>4757182</v>
      </c>
      <c r="O58" s="10">
        <v>4837332</v>
      </c>
      <c r="P58" s="10">
        <v>4918625</v>
      </c>
      <c r="Q58" s="10">
        <v>5003710</v>
      </c>
      <c r="R58" s="10">
        <v>5094577</v>
      </c>
      <c r="S58" s="10">
        <v>5191632</v>
      </c>
      <c r="T58" s="10">
        <v>5294619</v>
      </c>
      <c r="U58" s="10">
        <v>5404019</v>
      </c>
      <c r="V58" s="10">
        <v>5520187</v>
      </c>
      <c r="W58" s="10">
        <v>5643173</v>
      </c>
      <c r="X58" s="10">
        <v>5773366</v>
      </c>
      <c r="Y58" s="10">
        <v>5910227</v>
      </c>
      <c r="Z58" s="10">
        <v>6051622</v>
      </c>
      <c r="AA58" s="10">
        <v>6194687</v>
      </c>
      <c r="AB58" s="10">
        <v>6337273</v>
      </c>
      <c r="AC58" s="10">
        <v>6478541</v>
      </c>
      <c r="AD58" s="10">
        <v>6618744</v>
      </c>
      <c r="AE58" s="10">
        <v>6758223</v>
      </c>
      <c r="AF58" s="10">
        <v>6897755</v>
      </c>
      <c r="AG58" s="10">
        <v>7037917</v>
      </c>
      <c r="AH58" s="10">
        <v>7178607</v>
      </c>
      <c r="AI58" s="10">
        <v>7319493</v>
      </c>
      <c r="AJ58" s="10">
        <v>7460689</v>
      </c>
      <c r="AK58" s="10">
        <v>7602320</v>
      </c>
      <c r="AL58" s="10">
        <v>7744503</v>
      </c>
      <c r="AM58" s="10">
        <v>7887304</v>
      </c>
      <c r="AN58" s="10">
        <v>8030726</v>
      </c>
      <c r="AO58" s="10">
        <v>8174680</v>
      </c>
      <c r="AP58" s="10">
        <v>8319057</v>
      </c>
      <c r="AQ58" s="10">
        <v>8463806</v>
      </c>
      <c r="AR58" s="10">
        <v>8608819</v>
      </c>
      <c r="AS58" s="10">
        <v>8754150</v>
      </c>
      <c r="AT58" s="10">
        <v>8900104</v>
      </c>
      <c r="AU58" s="10">
        <v>9047077</v>
      </c>
      <c r="AV58" s="10">
        <v>9195288</v>
      </c>
      <c r="AW58" s="10">
        <v>9344785</v>
      </c>
      <c r="AX58" s="10">
        <v>9495328</v>
      </c>
      <c r="AY58" s="10">
        <v>9646580</v>
      </c>
      <c r="AZ58" s="10">
        <v>9798046</v>
      </c>
      <c r="BA58" s="10">
        <v>9949322</v>
      </c>
      <c r="BB58" s="10">
        <v>10100320</v>
      </c>
      <c r="BC58" s="10">
        <v>10250930</v>
      </c>
      <c r="BD58" s="10">
        <v>10400673</v>
      </c>
      <c r="BE58" s="10">
        <v>10549008</v>
      </c>
      <c r="BF58" s="10">
        <v>10695542</v>
      </c>
      <c r="BG58" s="10">
        <v>10839970</v>
      </c>
      <c r="BH58" s="10">
        <v>10982366</v>
      </c>
      <c r="BI58" s="10">
        <v>11123176</v>
      </c>
      <c r="BJ58" s="10">
        <v>11263077</v>
      </c>
    </row>
    <row r="59" spans="1:62" x14ac:dyDescent="0.45">
      <c r="A59" t="s">
        <v>27</v>
      </c>
      <c r="B59" t="s">
        <v>130</v>
      </c>
      <c r="C59" s="10">
        <v>2038632</v>
      </c>
      <c r="D59" s="10">
        <v>2096409</v>
      </c>
      <c r="E59" s="10">
        <v>2155647</v>
      </c>
      <c r="F59" s="10">
        <v>2216704</v>
      </c>
      <c r="G59" s="10">
        <v>2280048</v>
      </c>
      <c r="H59" s="10">
        <v>2346015</v>
      </c>
      <c r="I59" s="10">
        <v>2414803</v>
      </c>
      <c r="J59" s="10">
        <v>2486415</v>
      </c>
      <c r="K59" s="10">
        <v>2560727</v>
      </c>
      <c r="L59" s="10">
        <v>2637513</v>
      </c>
      <c r="M59" s="10">
        <v>2716654</v>
      </c>
      <c r="N59" s="10">
        <v>2798123</v>
      </c>
      <c r="O59" s="10">
        <v>2882113</v>
      </c>
      <c r="P59" s="10">
        <v>2968989</v>
      </c>
      <c r="Q59" s="10">
        <v>3059239</v>
      </c>
      <c r="R59" s="10">
        <v>3153253</v>
      </c>
      <c r="S59" s="10">
        <v>3251145</v>
      </c>
      <c r="T59" s="10">
        <v>3352825</v>
      </c>
      <c r="U59" s="10">
        <v>3458095</v>
      </c>
      <c r="V59" s="10">
        <v>3566654</v>
      </c>
      <c r="W59" s="10">
        <v>3678279</v>
      </c>
      <c r="X59" s="10">
        <v>3792919</v>
      </c>
      <c r="Y59" s="10">
        <v>3910640</v>
      </c>
      <c r="Z59" s="10">
        <v>4031325</v>
      </c>
      <c r="AA59" s="10">
        <v>4154860</v>
      </c>
      <c r="AB59" s="10">
        <v>4281161</v>
      </c>
      <c r="AC59" s="10">
        <v>4410269</v>
      </c>
      <c r="AD59" s="10">
        <v>4542214</v>
      </c>
      <c r="AE59" s="10">
        <v>4677024</v>
      </c>
      <c r="AF59" s="10">
        <v>4814702</v>
      </c>
      <c r="AG59" s="10">
        <v>4955303</v>
      </c>
      <c r="AH59" s="10">
        <v>5098591</v>
      </c>
      <c r="AI59" s="10">
        <v>5244678</v>
      </c>
      <c r="AJ59" s="10">
        <v>5394412</v>
      </c>
      <c r="AK59" s="10">
        <v>5548960</v>
      </c>
      <c r="AL59" s="10">
        <v>5709014</v>
      </c>
      <c r="AM59" s="10">
        <v>5874809</v>
      </c>
      <c r="AN59" s="10">
        <v>6045699</v>
      </c>
      <c r="AO59" s="10">
        <v>6220406</v>
      </c>
      <c r="AP59" s="10">
        <v>6397151</v>
      </c>
      <c r="AQ59" s="10">
        <v>6574509</v>
      </c>
      <c r="AR59" s="10">
        <v>6751912</v>
      </c>
      <c r="AS59" s="10">
        <v>6929265</v>
      </c>
      <c r="AT59" s="10">
        <v>7106319</v>
      </c>
      <c r="AU59" s="10">
        <v>7282953</v>
      </c>
      <c r="AV59" s="10">
        <v>7458985</v>
      </c>
      <c r="AW59" s="10">
        <v>7634298</v>
      </c>
      <c r="AX59" s="10">
        <v>7808518</v>
      </c>
      <c r="AY59" s="10">
        <v>7980955</v>
      </c>
      <c r="AZ59" s="10">
        <v>8150775</v>
      </c>
      <c r="BA59" s="10">
        <v>8317470</v>
      </c>
      <c r="BB59" s="10">
        <v>8480671</v>
      </c>
      <c r="BC59" s="10">
        <v>8640691</v>
      </c>
      <c r="BD59" s="10">
        <v>8798521</v>
      </c>
      <c r="BE59" s="10">
        <v>8955589</v>
      </c>
      <c r="BF59" s="10">
        <v>9112916</v>
      </c>
      <c r="BG59" s="10">
        <v>9270795</v>
      </c>
      <c r="BH59" s="10">
        <v>9429013</v>
      </c>
      <c r="BI59" s="10">
        <v>9587522</v>
      </c>
      <c r="BJ59" s="10">
        <v>9746117</v>
      </c>
    </row>
    <row r="60" spans="1:62" x14ac:dyDescent="0.45">
      <c r="A60" t="s">
        <v>27</v>
      </c>
      <c r="B60" t="s">
        <v>131</v>
      </c>
      <c r="C60" s="10">
        <v>450547680</v>
      </c>
      <c r="D60" s="10">
        <v>459642176</v>
      </c>
      <c r="E60" s="10">
        <v>469077184</v>
      </c>
      <c r="F60" s="10">
        <v>478825600</v>
      </c>
      <c r="G60" s="10">
        <v>488848128</v>
      </c>
      <c r="H60" s="10">
        <v>499123328</v>
      </c>
      <c r="I60" s="10">
        <v>509631488</v>
      </c>
      <c r="J60" s="10">
        <v>520400576</v>
      </c>
      <c r="K60" s="10">
        <v>531513824</v>
      </c>
      <c r="L60" s="10">
        <v>543084352</v>
      </c>
      <c r="M60" s="10">
        <v>555189760</v>
      </c>
      <c r="N60" s="10">
        <v>567868032</v>
      </c>
      <c r="O60" s="10">
        <v>581087232</v>
      </c>
      <c r="P60" s="10">
        <v>594770112</v>
      </c>
      <c r="Q60" s="10">
        <v>608802624</v>
      </c>
      <c r="R60" s="10">
        <v>623102912</v>
      </c>
      <c r="S60" s="10">
        <v>637630080</v>
      </c>
      <c r="T60" s="10">
        <v>652408768</v>
      </c>
      <c r="U60" s="10">
        <v>667499776</v>
      </c>
      <c r="V60" s="10">
        <v>682995328</v>
      </c>
      <c r="W60" s="10">
        <v>698952832</v>
      </c>
      <c r="X60" s="10">
        <v>715385024</v>
      </c>
      <c r="Y60" s="10">
        <v>732239488</v>
      </c>
      <c r="Z60" s="10">
        <v>749428928</v>
      </c>
      <c r="AA60" s="10">
        <v>766833408</v>
      </c>
      <c r="AB60" s="10">
        <v>784360000</v>
      </c>
      <c r="AC60" s="10">
        <v>801975232</v>
      </c>
      <c r="AD60" s="10">
        <v>819682112</v>
      </c>
      <c r="AE60" s="10">
        <v>837468928</v>
      </c>
      <c r="AF60" s="10">
        <v>855334656</v>
      </c>
      <c r="AG60" s="10">
        <v>873277824</v>
      </c>
      <c r="AH60" s="10">
        <v>891273216</v>
      </c>
      <c r="AI60" s="10">
        <v>909307008</v>
      </c>
      <c r="AJ60" s="10">
        <v>927403840</v>
      </c>
      <c r="AK60" s="10">
        <v>945601856</v>
      </c>
      <c r="AL60" s="10">
        <v>963922560</v>
      </c>
      <c r="AM60" s="10">
        <v>982365248</v>
      </c>
      <c r="AN60" s="10">
        <v>1000900032</v>
      </c>
      <c r="AO60" s="10">
        <v>1019483584</v>
      </c>
      <c r="AP60" s="10">
        <v>1038058176</v>
      </c>
      <c r="AQ60" s="10">
        <v>1056575552</v>
      </c>
      <c r="AR60" s="10">
        <v>1075000064</v>
      </c>
      <c r="AS60" s="10">
        <v>1093317248</v>
      </c>
      <c r="AT60" s="10">
        <v>1111523200</v>
      </c>
      <c r="AU60" s="10">
        <v>1129623424</v>
      </c>
      <c r="AV60" s="10">
        <v>1147609984</v>
      </c>
      <c r="AW60" s="10">
        <v>1165486336</v>
      </c>
      <c r="AX60" s="10">
        <v>1183209472</v>
      </c>
      <c r="AY60" s="10">
        <v>1200669824</v>
      </c>
      <c r="AZ60" s="10">
        <v>1217726208</v>
      </c>
      <c r="BA60" s="10">
        <v>1234281216</v>
      </c>
      <c r="BB60" s="10">
        <v>1250288768</v>
      </c>
      <c r="BC60" s="10">
        <v>1265782784</v>
      </c>
      <c r="BD60" s="10">
        <v>1280846080</v>
      </c>
      <c r="BE60" s="10">
        <v>1295604224</v>
      </c>
      <c r="BF60" s="10">
        <v>1310152448</v>
      </c>
      <c r="BG60" s="10">
        <v>1324509568</v>
      </c>
      <c r="BH60" s="10">
        <v>1338658816</v>
      </c>
      <c r="BI60" s="10">
        <v>1352617344</v>
      </c>
      <c r="BJ60" s="10">
        <v>1366417792</v>
      </c>
    </row>
    <row r="61" spans="1:62" x14ac:dyDescent="0.45">
      <c r="A61" t="s">
        <v>27</v>
      </c>
      <c r="B61" t="s">
        <v>132</v>
      </c>
      <c r="C61" s="10">
        <v>8120080</v>
      </c>
      <c r="D61" s="10">
        <v>8377696</v>
      </c>
      <c r="E61" s="10">
        <v>8647011</v>
      </c>
      <c r="F61" s="10">
        <v>8928511</v>
      </c>
      <c r="G61" s="10">
        <v>9222692</v>
      </c>
      <c r="H61" s="10">
        <v>9530173</v>
      </c>
      <c r="I61" s="10">
        <v>9851444</v>
      </c>
      <c r="J61" s="10">
        <v>10187478</v>
      </c>
      <c r="K61" s="10">
        <v>10539894</v>
      </c>
      <c r="L61" s="10">
        <v>10910675</v>
      </c>
      <c r="M61" s="10">
        <v>11301394</v>
      </c>
      <c r="N61" s="10">
        <v>11713048</v>
      </c>
      <c r="O61" s="10">
        <v>12146068</v>
      </c>
      <c r="P61" s="10">
        <v>12600797</v>
      </c>
      <c r="Q61" s="10">
        <v>13077341</v>
      </c>
      <c r="R61" s="10">
        <v>13575907</v>
      </c>
      <c r="S61" s="10">
        <v>14096263</v>
      </c>
      <c r="T61" s="10">
        <v>14638890</v>
      </c>
      <c r="U61" s="10">
        <v>15205374</v>
      </c>
      <c r="V61" s="10">
        <v>15797776</v>
      </c>
      <c r="W61" s="10">
        <v>16417197</v>
      </c>
      <c r="X61" s="10">
        <v>17063876</v>
      </c>
      <c r="Y61" s="10">
        <v>17736326</v>
      </c>
      <c r="Z61" s="10">
        <v>18431760</v>
      </c>
      <c r="AA61" s="10">
        <v>19146400</v>
      </c>
      <c r="AB61" s="10">
        <v>19877084</v>
      </c>
      <c r="AC61" s="10">
        <v>20622560</v>
      </c>
      <c r="AD61" s="10">
        <v>21382112</v>
      </c>
      <c r="AE61" s="10">
        <v>22153676</v>
      </c>
      <c r="AF61" s="10">
        <v>22935092</v>
      </c>
      <c r="AG61" s="10">
        <v>23724580</v>
      </c>
      <c r="AH61" s="10">
        <v>24521704</v>
      </c>
      <c r="AI61" s="10">
        <v>25326078</v>
      </c>
      <c r="AJ61" s="10">
        <v>26136216</v>
      </c>
      <c r="AK61" s="10">
        <v>26950512</v>
      </c>
      <c r="AL61" s="10">
        <v>27768296</v>
      </c>
      <c r="AM61" s="10">
        <v>28589452</v>
      </c>
      <c r="AN61" s="10">
        <v>29415660</v>
      </c>
      <c r="AO61" s="10">
        <v>30250488</v>
      </c>
      <c r="AP61" s="10">
        <v>31098756</v>
      </c>
      <c r="AQ61" s="10">
        <v>31964556</v>
      </c>
      <c r="AR61" s="10">
        <v>32848564</v>
      </c>
      <c r="AS61" s="10">
        <v>33751740</v>
      </c>
      <c r="AT61" s="10">
        <v>34678780</v>
      </c>
      <c r="AU61" s="10">
        <v>35635272</v>
      </c>
      <c r="AV61" s="10">
        <v>36624896</v>
      </c>
      <c r="AW61" s="10">
        <v>37649032</v>
      </c>
      <c r="AX61" s="10">
        <v>38705932</v>
      </c>
      <c r="AY61" s="10">
        <v>39791980</v>
      </c>
      <c r="AZ61" s="10">
        <v>40901792</v>
      </c>
      <c r="BA61" s="10">
        <v>42030676</v>
      </c>
      <c r="BB61" s="10">
        <v>43178256</v>
      </c>
      <c r="BC61" s="10">
        <v>44343408</v>
      </c>
      <c r="BD61" s="10">
        <v>45519888</v>
      </c>
      <c r="BE61" s="10">
        <v>46699980</v>
      </c>
      <c r="BF61" s="10">
        <v>47878336</v>
      </c>
      <c r="BG61" s="10">
        <v>49051688</v>
      </c>
      <c r="BH61" s="10">
        <v>50221472</v>
      </c>
      <c r="BI61" s="10">
        <v>51393008</v>
      </c>
      <c r="BJ61" s="10">
        <v>52573972</v>
      </c>
    </row>
    <row r="62" spans="1:62" x14ac:dyDescent="0.45">
      <c r="A62" t="s">
        <v>27</v>
      </c>
      <c r="B62" t="s">
        <v>133</v>
      </c>
      <c r="C62" s="10">
        <v>837270</v>
      </c>
      <c r="D62" s="10">
        <v>852890</v>
      </c>
      <c r="E62" s="10">
        <v>869136</v>
      </c>
      <c r="F62" s="10">
        <v>886057</v>
      </c>
      <c r="G62" s="10">
        <v>903763</v>
      </c>
      <c r="H62" s="10">
        <v>922306</v>
      </c>
      <c r="I62" s="10">
        <v>941794</v>
      </c>
      <c r="J62" s="10">
        <v>962273</v>
      </c>
      <c r="K62" s="10">
        <v>983685</v>
      </c>
      <c r="L62" s="10">
        <v>1005909</v>
      </c>
      <c r="M62" s="10">
        <v>1028926</v>
      </c>
      <c r="N62" s="10">
        <v>1052614</v>
      </c>
      <c r="O62" s="10">
        <v>1077095</v>
      </c>
      <c r="P62" s="10">
        <v>1102878</v>
      </c>
      <c r="Q62" s="10">
        <v>1130635</v>
      </c>
      <c r="R62" s="10">
        <v>1160792</v>
      </c>
      <c r="S62" s="10">
        <v>1193521</v>
      </c>
      <c r="T62" s="10">
        <v>1228536</v>
      </c>
      <c r="U62" s="10">
        <v>1265202</v>
      </c>
      <c r="V62" s="10">
        <v>1302667</v>
      </c>
      <c r="W62" s="10">
        <v>1340255</v>
      </c>
      <c r="X62" s="10">
        <v>1377799</v>
      </c>
      <c r="Y62" s="10">
        <v>1415367</v>
      </c>
      <c r="Z62" s="10">
        <v>1452728</v>
      </c>
      <c r="AA62" s="10">
        <v>1489691</v>
      </c>
      <c r="AB62" s="10">
        <v>1526131</v>
      </c>
      <c r="AC62" s="10">
        <v>1561692</v>
      </c>
      <c r="AD62" s="10">
        <v>1596394</v>
      </c>
      <c r="AE62" s="10">
        <v>1630996</v>
      </c>
      <c r="AF62" s="10">
        <v>1666563</v>
      </c>
      <c r="AG62" s="10">
        <v>1703747</v>
      </c>
      <c r="AH62" s="10">
        <v>1742539</v>
      </c>
      <c r="AI62" s="10">
        <v>1782285</v>
      </c>
      <c r="AJ62" s="10">
        <v>1822236</v>
      </c>
      <c r="AK62" s="10">
        <v>1861324</v>
      </c>
      <c r="AL62" s="10">
        <v>1898598</v>
      </c>
      <c r="AM62" s="10">
        <v>1934291</v>
      </c>
      <c r="AN62" s="10">
        <v>1968044</v>
      </c>
      <c r="AO62" s="10">
        <v>1997516</v>
      </c>
      <c r="AP62" s="10">
        <v>2019731</v>
      </c>
      <c r="AQ62" s="10">
        <v>2032804</v>
      </c>
      <c r="AR62" s="10">
        <v>2035740</v>
      </c>
      <c r="AS62" s="10">
        <v>2029829</v>
      </c>
      <c r="AT62" s="10">
        <v>2018348</v>
      </c>
      <c r="AU62" s="10">
        <v>2005940</v>
      </c>
      <c r="AV62" s="10">
        <v>1996114</v>
      </c>
      <c r="AW62" s="10">
        <v>1989939</v>
      </c>
      <c r="AX62" s="10">
        <v>1986922</v>
      </c>
      <c r="AY62" s="10">
        <v>1987129</v>
      </c>
      <c r="AZ62" s="10">
        <v>1990131</v>
      </c>
      <c r="BA62" s="10">
        <v>1995581</v>
      </c>
      <c r="BB62" s="10">
        <v>2003787</v>
      </c>
      <c r="BC62" s="10">
        <v>2014990</v>
      </c>
      <c r="BD62" s="10">
        <v>2028519</v>
      </c>
      <c r="BE62" s="10">
        <v>2043437</v>
      </c>
      <c r="BF62" s="10">
        <v>2059021</v>
      </c>
      <c r="BG62" s="10">
        <v>2075001</v>
      </c>
      <c r="BH62" s="10">
        <v>2091412</v>
      </c>
      <c r="BI62" s="10">
        <v>2108132</v>
      </c>
      <c r="BJ62" s="10">
        <v>2125268</v>
      </c>
    </row>
    <row r="63" spans="1:62" x14ac:dyDescent="0.45">
      <c r="A63" t="s">
        <v>27</v>
      </c>
      <c r="B63" t="s">
        <v>134</v>
      </c>
      <c r="C63" s="10">
        <v>5099373</v>
      </c>
      <c r="D63" s="10">
        <v>5223568</v>
      </c>
      <c r="E63" s="10">
        <v>5352503</v>
      </c>
      <c r="F63" s="10">
        <v>5486319</v>
      </c>
      <c r="G63" s="10">
        <v>5625164</v>
      </c>
      <c r="H63" s="10">
        <v>5769218</v>
      </c>
      <c r="I63" s="10">
        <v>5918595</v>
      </c>
      <c r="J63" s="10">
        <v>6073526</v>
      </c>
      <c r="K63" s="10">
        <v>6234465</v>
      </c>
      <c r="L63" s="10">
        <v>6401921</v>
      </c>
      <c r="M63" s="10">
        <v>6576305</v>
      </c>
      <c r="N63" s="10">
        <v>6757850</v>
      </c>
      <c r="O63" s="10">
        <v>6946620</v>
      </c>
      <c r="P63" s="10">
        <v>7142627</v>
      </c>
      <c r="Q63" s="10">
        <v>7345780</v>
      </c>
      <c r="R63" s="10">
        <v>7556026</v>
      </c>
      <c r="S63" s="10">
        <v>7773449</v>
      </c>
      <c r="T63" s="10">
        <v>7998164</v>
      </c>
      <c r="U63" s="10">
        <v>8230218</v>
      </c>
      <c r="V63" s="10">
        <v>8469672</v>
      </c>
      <c r="W63" s="10">
        <v>8716553</v>
      </c>
      <c r="X63" s="10">
        <v>8971345</v>
      </c>
      <c r="Y63" s="10">
        <v>9234129</v>
      </c>
      <c r="Z63" s="10">
        <v>9504281</v>
      </c>
      <c r="AA63" s="10">
        <v>9780872</v>
      </c>
      <c r="AB63" s="10">
        <v>10063495</v>
      </c>
      <c r="AC63" s="10">
        <v>10352120</v>
      </c>
      <c r="AD63" s="10">
        <v>10647754</v>
      </c>
      <c r="AE63" s="10">
        <v>10952395</v>
      </c>
      <c r="AF63" s="10">
        <v>11268658</v>
      </c>
      <c r="AG63" s="10">
        <v>11598633</v>
      </c>
      <c r="AH63" s="10">
        <v>11942819</v>
      </c>
      <c r="AI63" s="10">
        <v>12301336</v>
      </c>
      <c r="AJ63" s="10">
        <v>12675460</v>
      </c>
      <c r="AK63" s="10">
        <v>13066543</v>
      </c>
      <c r="AL63" s="10">
        <v>13475400</v>
      </c>
      <c r="AM63" s="10">
        <v>13902688</v>
      </c>
      <c r="AN63" s="10">
        <v>14347854</v>
      </c>
      <c r="AO63" s="10">
        <v>14808791</v>
      </c>
      <c r="AP63" s="10">
        <v>15282521</v>
      </c>
      <c r="AQ63" s="10">
        <v>15766806</v>
      </c>
      <c r="AR63" s="10">
        <v>16260932</v>
      </c>
      <c r="AS63" s="10">
        <v>16765117</v>
      </c>
      <c r="AT63" s="10">
        <v>17279140</v>
      </c>
      <c r="AU63" s="10">
        <v>17802996</v>
      </c>
      <c r="AV63" s="10">
        <v>18336724</v>
      </c>
      <c r="AW63" s="10">
        <v>18880268</v>
      </c>
      <c r="AX63" s="10">
        <v>19433530</v>
      </c>
      <c r="AY63" s="10">
        <v>19996472</v>
      </c>
      <c r="AZ63" s="10">
        <v>20569116</v>
      </c>
      <c r="BA63" s="10">
        <v>21151640</v>
      </c>
      <c r="BB63" s="10">
        <v>21743968</v>
      </c>
      <c r="BC63" s="10">
        <v>22346640</v>
      </c>
      <c r="BD63" s="10">
        <v>22961252</v>
      </c>
      <c r="BE63" s="10">
        <v>23589888</v>
      </c>
      <c r="BF63" s="10">
        <v>24234088</v>
      </c>
      <c r="BG63" s="10">
        <v>24894380</v>
      </c>
      <c r="BH63" s="10">
        <v>25570540</v>
      </c>
      <c r="BI63" s="10">
        <v>26262368</v>
      </c>
      <c r="BJ63" s="10">
        <v>26969308</v>
      </c>
    </row>
    <row r="64" spans="1:62" x14ac:dyDescent="0.45">
      <c r="A64" t="s">
        <v>27</v>
      </c>
      <c r="B64" t="s">
        <v>135</v>
      </c>
      <c r="C64" s="10">
        <v>3659984</v>
      </c>
      <c r="D64" s="10">
        <v>3747753</v>
      </c>
      <c r="E64" s="10">
        <v>3839043</v>
      </c>
      <c r="F64" s="10">
        <v>3933908</v>
      </c>
      <c r="G64" s="10">
        <v>4032371</v>
      </c>
      <c r="H64" s="10">
        <v>4134460</v>
      </c>
      <c r="I64" s="10">
        <v>4240429</v>
      </c>
      <c r="J64" s="10">
        <v>4350452</v>
      </c>
      <c r="K64" s="10">
        <v>4464423</v>
      </c>
      <c r="L64" s="10">
        <v>4582198</v>
      </c>
      <c r="M64" s="10">
        <v>4703782</v>
      </c>
      <c r="N64" s="10">
        <v>4829090</v>
      </c>
      <c r="O64" s="10">
        <v>4958549</v>
      </c>
      <c r="P64" s="10">
        <v>5093363</v>
      </c>
      <c r="Q64" s="10">
        <v>5235073</v>
      </c>
      <c r="R64" s="10">
        <v>5384795</v>
      </c>
      <c r="S64" s="10">
        <v>5545651</v>
      </c>
      <c r="T64" s="10">
        <v>5717953</v>
      </c>
      <c r="U64" s="10">
        <v>5896865</v>
      </c>
      <c r="V64" s="10">
        <v>6075495</v>
      </c>
      <c r="W64" s="10">
        <v>6250440</v>
      </c>
      <c r="X64" s="10">
        <v>6412384</v>
      </c>
      <c r="Y64" s="10">
        <v>6565985</v>
      </c>
      <c r="Z64" s="10">
        <v>6737924</v>
      </c>
      <c r="AA64" s="10">
        <v>6964607</v>
      </c>
      <c r="AB64" s="10">
        <v>7268267</v>
      </c>
      <c r="AC64" s="10">
        <v>7666391</v>
      </c>
      <c r="AD64" s="10">
        <v>8141146</v>
      </c>
      <c r="AE64" s="10">
        <v>8636690</v>
      </c>
      <c r="AF64" s="10">
        <v>9075572</v>
      </c>
      <c r="AG64" s="10">
        <v>9404500</v>
      </c>
      <c r="AH64" s="10">
        <v>9600355</v>
      </c>
      <c r="AI64" s="10">
        <v>9685973</v>
      </c>
      <c r="AJ64" s="10">
        <v>9710331</v>
      </c>
      <c r="AK64" s="10">
        <v>9745690</v>
      </c>
      <c r="AL64" s="10">
        <v>9844415</v>
      </c>
      <c r="AM64" s="10">
        <v>10022789</v>
      </c>
      <c r="AN64" s="10">
        <v>10264906</v>
      </c>
      <c r="AO64" s="10">
        <v>10552338</v>
      </c>
      <c r="AP64" s="10">
        <v>10854322</v>
      </c>
      <c r="AQ64" s="10">
        <v>11148758</v>
      </c>
      <c r="AR64" s="10">
        <v>11432000</v>
      </c>
      <c r="AS64" s="10">
        <v>11713664</v>
      </c>
      <c r="AT64" s="10">
        <v>12000181</v>
      </c>
      <c r="AU64" s="10">
        <v>12301838</v>
      </c>
      <c r="AV64" s="10">
        <v>12625952</v>
      </c>
      <c r="AW64" s="10">
        <v>12973699</v>
      </c>
      <c r="AX64" s="10">
        <v>13341806</v>
      </c>
      <c r="AY64" s="10">
        <v>13727890</v>
      </c>
      <c r="AZ64" s="10">
        <v>14128155</v>
      </c>
      <c r="BA64" s="10">
        <v>14539612</v>
      </c>
      <c r="BB64" s="10">
        <v>14962112</v>
      </c>
      <c r="BC64" s="10">
        <v>15396005</v>
      </c>
      <c r="BD64" s="10">
        <v>15839269</v>
      </c>
      <c r="BE64" s="10">
        <v>16289540</v>
      </c>
      <c r="BF64" s="10">
        <v>16745303</v>
      </c>
      <c r="BG64" s="10">
        <v>17205288</v>
      </c>
      <c r="BH64" s="10">
        <v>17670260</v>
      </c>
      <c r="BI64" s="10">
        <v>18143316</v>
      </c>
      <c r="BJ64" s="10">
        <v>18628748</v>
      </c>
    </row>
    <row r="65" spans="1:62" x14ac:dyDescent="0.45">
      <c r="A65" t="s">
        <v>27</v>
      </c>
      <c r="B65" t="s">
        <v>136</v>
      </c>
      <c r="C65" s="10">
        <v>8156347</v>
      </c>
      <c r="D65" s="10">
        <v>8417824</v>
      </c>
      <c r="E65" s="10">
        <v>8692342</v>
      </c>
      <c r="F65" s="10">
        <v>8973788</v>
      </c>
      <c r="G65" s="10">
        <v>9253842</v>
      </c>
      <c r="H65" s="10">
        <v>9526558</v>
      </c>
      <c r="I65" s="10">
        <v>9790084</v>
      </c>
      <c r="J65" s="10">
        <v>10046325</v>
      </c>
      <c r="K65" s="10">
        <v>10297983</v>
      </c>
      <c r="L65" s="10">
        <v>10549399</v>
      </c>
      <c r="M65" s="10">
        <v>10804131</v>
      </c>
      <c r="N65" s="10">
        <v>11062433</v>
      </c>
      <c r="O65" s="10">
        <v>11324277</v>
      </c>
      <c r="P65" s="10">
        <v>11592638</v>
      </c>
      <c r="Q65" s="10">
        <v>11871104</v>
      </c>
      <c r="R65" s="10">
        <v>12162187</v>
      </c>
      <c r="S65" s="10">
        <v>12468689</v>
      </c>
      <c r="T65" s="10">
        <v>12790312</v>
      </c>
      <c r="U65" s="10">
        <v>13122839</v>
      </c>
      <c r="V65" s="10">
        <v>13460031</v>
      </c>
      <c r="W65" s="10">
        <v>13798085</v>
      </c>
      <c r="X65" s="10">
        <v>14134058</v>
      </c>
      <c r="Y65" s="10">
        <v>14471211</v>
      </c>
      <c r="Z65" s="10">
        <v>14819424</v>
      </c>
      <c r="AA65" s="10">
        <v>15192298</v>
      </c>
      <c r="AB65" s="10">
        <v>15598927</v>
      </c>
      <c r="AC65" s="10">
        <v>16043731</v>
      </c>
      <c r="AD65" s="10">
        <v>16522000</v>
      </c>
      <c r="AE65" s="10">
        <v>17022464</v>
      </c>
      <c r="AF65" s="10">
        <v>17528960</v>
      </c>
      <c r="AG65" s="10">
        <v>18029824</v>
      </c>
      <c r="AH65" s="10">
        <v>18519936</v>
      </c>
      <c r="AI65" s="10">
        <v>19002656</v>
      </c>
      <c r="AJ65" s="10">
        <v>19484898</v>
      </c>
      <c r="AK65" s="10">
        <v>19977500</v>
      </c>
      <c r="AL65" s="10">
        <v>20487608</v>
      </c>
      <c r="AM65" s="10">
        <v>21017612</v>
      </c>
      <c r="AN65" s="10">
        <v>21562792</v>
      </c>
      <c r="AO65" s="10">
        <v>22114654</v>
      </c>
      <c r="AP65" s="10">
        <v>22661298</v>
      </c>
      <c r="AQ65" s="10">
        <v>23194256</v>
      </c>
      <c r="AR65" s="10">
        <v>23709120</v>
      </c>
      <c r="AS65" s="10">
        <v>24208392</v>
      </c>
      <c r="AT65" s="10">
        <v>24698820</v>
      </c>
      <c r="AU65" s="10">
        <v>25190652</v>
      </c>
      <c r="AV65" s="10">
        <v>25690612</v>
      </c>
      <c r="AW65" s="10">
        <v>26201960</v>
      </c>
      <c r="AX65" s="10">
        <v>26720370</v>
      </c>
      <c r="AY65" s="10">
        <v>27236006</v>
      </c>
      <c r="AZ65" s="10">
        <v>27735040</v>
      </c>
      <c r="BA65" s="10">
        <v>28208036</v>
      </c>
      <c r="BB65" s="10">
        <v>28650956</v>
      </c>
      <c r="BC65" s="10">
        <v>29068160</v>
      </c>
      <c r="BD65" s="10">
        <v>29468872</v>
      </c>
      <c r="BE65" s="10">
        <v>29866560</v>
      </c>
      <c r="BF65" s="10">
        <v>30270962</v>
      </c>
      <c r="BG65" s="10">
        <v>30684804</v>
      </c>
      <c r="BH65" s="10">
        <v>31105028</v>
      </c>
      <c r="BI65" s="10">
        <v>31528584</v>
      </c>
      <c r="BJ65" s="10">
        <v>31949776</v>
      </c>
    </row>
    <row r="66" spans="1:62" x14ac:dyDescent="0.45">
      <c r="A66" t="s">
        <v>27</v>
      </c>
      <c r="B66" t="s">
        <v>137</v>
      </c>
      <c r="C66" s="10">
        <v>37771860</v>
      </c>
      <c r="D66" s="10">
        <v>38966056</v>
      </c>
      <c r="E66" s="10">
        <v>40195320</v>
      </c>
      <c r="F66" s="10">
        <v>41462368</v>
      </c>
      <c r="G66" s="10">
        <v>42771080</v>
      </c>
      <c r="H66" s="10">
        <v>44123852</v>
      </c>
      <c r="I66" s="10">
        <v>45519736</v>
      </c>
      <c r="J66" s="10">
        <v>46956208</v>
      </c>
      <c r="K66" s="10">
        <v>48431972</v>
      </c>
      <c r="L66" s="10">
        <v>49945280</v>
      </c>
      <c r="M66" s="10">
        <v>51493564</v>
      </c>
      <c r="N66" s="10">
        <v>53076372</v>
      </c>
      <c r="O66" s="10">
        <v>54689944</v>
      </c>
      <c r="P66" s="10">
        <v>56324304</v>
      </c>
      <c r="Q66" s="10">
        <v>57966804</v>
      </c>
      <c r="R66" s="10">
        <v>59607952</v>
      </c>
      <c r="S66" s="10">
        <v>61242192</v>
      </c>
      <c r="T66" s="10">
        <v>62869904</v>
      </c>
      <c r="U66" s="10">
        <v>64494868</v>
      </c>
      <c r="V66" s="10">
        <v>66123896</v>
      </c>
      <c r="W66" s="10">
        <v>67761376</v>
      </c>
      <c r="X66" s="10">
        <v>69407624</v>
      </c>
      <c r="Y66" s="10">
        <v>71058656</v>
      </c>
      <c r="Z66" s="10">
        <v>72709296</v>
      </c>
      <c r="AA66" s="10">
        <v>74352632</v>
      </c>
      <c r="AB66" s="10">
        <v>75983488</v>
      </c>
      <c r="AC66" s="10">
        <v>77599096</v>
      </c>
      <c r="AD66" s="10">
        <v>79200080</v>
      </c>
      <c r="AE66" s="10">
        <v>80788720</v>
      </c>
      <c r="AF66" s="10">
        <v>82368928</v>
      </c>
      <c r="AG66" s="10">
        <v>83943136</v>
      </c>
      <c r="AH66" s="10">
        <v>85512624</v>
      </c>
      <c r="AI66" s="10">
        <v>87075136</v>
      </c>
      <c r="AJ66" s="10">
        <v>88625440</v>
      </c>
      <c r="AK66" s="10">
        <v>90156400</v>
      </c>
      <c r="AL66" s="10">
        <v>91663288</v>
      </c>
      <c r="AM66" s="10">
        <v>93147040</v>
      </c>
      <c r="AN66" s="10">
        <v>94611000</v>
      </c>
      <c r="AO66" s="10">
        <v>96056320</v>
      </c>
      <c r="AP66" s="10">
        <v>97484832</v>
      </c>
      <c r="AQ66" s="10">
        <v>98899848</v>
      </c>
      <c r="AR66" s="10">
        <v>100298152</v>
      </c>
      <c r="AS66" s="10">
        <v>101684760</v>
      </c>
      <c r="AT66" s="10">
        <v>103081024</v>
      </c>
      <c r="AU66" s="10">
        <v>104514928</v>
      </c>
      <c r="AV66" s="10">
        <v>106005200</v>
      </c>
      <c r="AW66" s="10">
        <v>107560152</v>
      </c>
      <c r="AX66" s="10">
        <v>109170504</v>
      </c>
      <c r="AY66" s="10">
        <v>110815272</v>
      </c>
      <c r="AZ66" s="10">
        <v>112463888</v>
      </c>
      <c r="BA66" s="10">
        <v>114092960</v>
      </c>
      <c r="BB66" s="10">
        <v>115695472</v>
      </c>
      <c r="BC66" s="10">
        <v>117274152</v>
      </c>
      <c r="BD66" s="10">
        <v>118827160</v>
      </c>
      <c r="BE66" s="10">
        <v>120355128</v>
      </c>
      <c r="BF66" s="10">
        <v>121858256</v>
      </c>
      <c r="BG66" s="10">
        <v>123333376</v>
      </c>
      <c r="BH66" s="10">
        <v>124777328</v>
      </c>
      <c r="BI66" s="10">
        <v>126190784</v>
      </c>
      <c r="BJ66" s="10">
        <v>127575528</v>
      </c>
    </row>
    <row r="67" spans="1:62" x14ac:dyDescent="0.45">
      <c r="A67" t="s">
        <v>27</v>
      </c>
      <c r="B67" t="s">
        <v>138</v>
      </c>
      <c r="C67" s="10">
        <v>10105050</v>
      </c>
      <c r="D67" s="10">
        <v>10267264</v>
      </c>
      <c r="E67" s="10">
        <v>10433145</v>
      </c>
      <c r="F67" s="10">
        <v>10604621</v>
      </c>
      <c r="G67" s="10">
        <v>10783967</v>
      </c>
      <c r="H67" s="10">
        <v>10972912</v>
      </c>
      <c r="I67" s="10">
        <v>11172529</v>
      </c>
      <c r="J67" s="10">
        <v>11382967</v>
      </c>
      <c r="K67" s="10">
        <v>11603928</v>
      </c>
      <c r="L67" s="10">
        <v>11834654</v>
      </c>
      <c r="M67" s="10">
        <v>12074626</v>
      </c>
      <c r="N67" s="10">
        <v>12323982</v>
      </c>
      <c r="O67" s="10">
        <v>12583140</v>
      </c>
      <c r="P67" s="10">
        <v>12852206</v>
      </c>
      <c r="Q67" s="10">
        <v>13131260</v>
      </c>
      <c r="R67" s="10">
        <v>13420369</v>
      </c>
      <c r="S67" s="10">
        <v>13719471</v>
      </c>
      <c r="T67" s="10">
        <v>14028536</v>
      </c>
      <c r="U67" s="10">
        <v>14347641</v>
      </c>
      <c r="V67" s="10">
        <v>14676929</v>
      </c>
      <c r="W67" s="10">
        <v>15016402</v>
      </c>
      <c r="X67" s="10">
        <v>15367230</v>
      </c>
      <c r="Y67" s="10">
        <v>15729431</v>
      </c>
      <c r="Z67" s="10">
        <v>16100617</v>
      </c>
      <c r="AA67" s="10">
        <v>16477473</v>
      </c>
      <c r="AB67" s="10">
        <v>16858310</v>
      </c>
      <c r="AC67" s="10">
        <v>17239672</v>
      </c>
      <c r="AD67" s="10">
        <v>17623692</v>
      </c>
      <c r="AE67" s="10">
        <v>18020752</v>
      </c>
      <c r="AF67" s="10">
        <v>18445028</v>
      </c>
      <c r="AG67" s="10">
        <v>18905478</v>
      </c>
      <c r="AH67" s="10">
        <v>19405504</v>
      </c>
      <c r="AI67" s="10">
        <v>19938320</v>
      </c>
      <c r="AJ67" s="10">
        <v>20489976</v>
      </c>
      <c r="AK67" s="10">
        <v>21040904</v>
      </c>
      <c r="AL67" s="10">
        <v>21576072</v>
      </c>
      <c r="AM67" s="10">
        <v>22090352</v>
      </c>
      <c r="AN67" s="10">
        <v>22584776</v>
      </c>
      <c r="AO67" s="10">
        <v>23057884</v>
      </c>
      <c r="AP67" s="10">
        <v>23509964</v>
      </c>
      <c r="AQ67" s="10">
        <v>23941110</v>
      </c>
      <c r="AR67" s="10">
        <v>24347106</v>
      </c>
      <c r="AS67" s="10">
        <v>24725628</v>
      </c>
      <c r="AT67" s="10">
        <v>25080872</v>
      </c>
      <c r="AU67" s="10">
        <v>25419344</v>
      </c>
      <c r="AV67" s="10">
        <v>25744500</v>
      </c>
      <c r="AW67" s="10">
        <v>26066692</v>
      </c>
      <c r="AX67" s="10">
        <v>26382580</v>
      </c>
      <c r="AY67" s="10">
        <v>26666576</v>
      </c>
      <c r="AZ67" s="10">
        <v>26883536</v>
      </c>
      <c r="BA67" s="10">
        <v>27013212</v>
      </c>
      <c r="BB67" s="10">
        <v>27041436</v>
      </c>
      <c r="BC67" s="10">
        <v>26989862</v>
      </c>
      <c r="BD67" s="10">
        <v>26917906</v>
      </c>
      <c r="BE67" s="10">
        <v>26906926</v>
      </c>
      <c r="BF67" s="10">
        <v>27015032</v>
      </c>
      <c r="BG67" s="10">
        <v>27261132</v>
      </c>
      <c r="BH67" s="10">
        <v>27627124</v>
      </c>
      <c r="BI67" s="10">
        <v>28087872</v>
      </c>
      <c r="BJ67" s="10">
        <v>28608710</v>
      </c>
    </row>
    <row r="68" spans="1:62" x14ac:dyDescent="0.45">
      <c r="A68" t="s">
        <v>27</v>
      </c>
      <c r="B68" t="s">
        <v>139</v>
      </c>
      <c r="C68" s="10">
        <v>1773129</v>
      </c>
      <c r="D68" s="10">
        <v>1829778</v>
      </c>
      <c r="E68" s="10">
        <v>1887425</v>
      </c>
      <c r="F68" s="10">
        <v>1946234</v>
      </c>
      <c r="G68" s="10">
        <v>2006481</v>
      </c>
      <c r="H68" s="10">
        <v>2068381</v>
      </c>
      <c r="I68" s="10">
        <v>2131976</v>
      </c>
      <c r="J68" s="10">
        <v>2197298</v>
      </c>
      <c r="K68" s="10">
        <v>2264623</v>
      </c>
      <c r="L68" s="10">
        <v>2334279</v>
      </c>
      <c r="M68" s="10">
        <v>2406513</v>
      </c>
      <c r="N68" s="10">
        <v>2481341</v>
      </c>
      <c r="O68" s="10">
        <v>2558699</v>
      </c>
      <c r="P68" s="10">
        <v>2638699</v>
      </c>
      <c r="Q68" s="10">
        <v>2721415</v>
      </c>
      <c r="R68" s="10">
        <v>2806857</v>
      </c>
      <c r="S68" s="10">
        <v>2894972</v>
      </c>
      <c r="T68" s="10">
        <v>2985489</v>
      </c>
      <c r="U68" s="10">
        <v>3077866</v>
      </c>
      <c r="V68" s="10">
        <v>3171408</v>
      </c>
      <c r="W68" s="10">
        <v>3265519</v>
      </c>
      <c r="X68" s="10">
        <v>3360140</v>
      </c>
      <c r="Y68" s="10">
        <v>3455123</v>
      </c>
      <c r="Z68" s="10">
        <v>3549711</v>
      </c>
      <c r="AA68" s="10">
        <v>3642976</v>
      </c>
      <c r="AB68" s="10">
        <v>3734341</v>
      </c>
      <c r="AC68" s="10">
        <v>3823130</v>
      </c>
      <c r="AD68" s="10">
        <v>3909671</v>
      </c>
      <c r="AE68" s="10">
        <v>3995533</v>
      </c>
      <c r="AF68" s="10">
        <v>4082958</v>
      </c>
      <c r="AG68" s="10">
        <v>4173434</v>
      </c>
      <c r="AH68" s="10">
        <v>4267568</v>
      </c>
      <c r="AI68" s="10">
        <v>4364512</v>
      </c>
      <c r="AJ68" s="10">
        <v>4462497</v>
      </c>
      <c r="AK68" s="10">
        <v>4559006</v>
      </c>
      <c r="AL68" s="10">
        <v>4652185</v>
      </c>
      <c r="AM68" s="10">
        <v>4741578</v>
      </c>
      <c r="AN68" s="10">
        <v>4827661</v>
      </c>
      <c r="AO68" s="10">
        <v>4910647</v>
      </c>
      <c r="AP68" s="10">
        <v>4991040</v>
      </c>
      <c r="AQ68" s="10">
        <v>5069302</v>
      </c>
      <c r="AR68" s="10">
        <v>5145366</v>
      </c>
      <c r="AS68" s="10">
        <v>5219328</v>
      </c>
      <c r="AT68" s="10">
        <v>5292118</v>
      </c>
      <c r="AU68" s="10">
        <v>5364935</v>
      </c>
      <c r="AV68" s="10">
        <v>5438690</v>
      </c>
      <c r="AW68" s="10">
        <v>5513763</v>
      </c>
      <c r="AX68" s="10">
        <v>5590055</v>
      </c>
      <c r="AY68" s="10">
        <v>5667432</v>
      </c>
      <c r="AZ68" s="10">
        <v>5745526</v>
      </c>
      <c r="BA68" s="10">
        <v>5824065</v>
      </c>
      <c r="BB68" s="10">
        <v>5903039</v>
      </c>
      <c r="BC68" s="10">
        <v>5982526</v>
      </c>
      <c r="BD68" s="10">
        <v>6062454</v>
      </c>
      <c r="BE68" s="10">
        <v>6142733</v>
      </c>
      <c r="BF68" s="10">
        <v>6223240</v>
      </c>
      <c r="BG68" s="10">
        <v>6303974</v>
      </c>
      <c r="BH68" s="10">
        <v>6384855</v>
      </c>
      <c r="BI68" s="10">
        <v>6465513</v>
      </c>
      <c r="BJ68" s="10">
        <v>6545502</v>
      </c>
    </row>
    <row r="69" spans="1:62" x14ac:dyDescent="0.45">
      <c r="A69" t="s">
        <v>27</v>
      </c>
      <c r="B69" t="s">
        <v>140</v>
      </c>
      <c r="C69" s="10">
        <v>3388764</v>
      </c>
      <c r="D69" s="10">
        <v>3486326</v>
      </c>
      <c r="E69" s="10">
        <v>3588228</v>
      </c>
      <c r="F69" s="10">
        <v>3693980</v>
      </c>
      <c r="G69" s="10">
        <v>3802803</v>
      </c>
      <c r="H69" s="10">
        <v>3914117</v>
      </c>
      <c r="I69" s="10">
        <v>4027963</v>
      </c>
      <c r="J69" s="10">
        <v>4144592</v>
      </c>
      <c r="K69" s="10">
        <v>4263927</v>
      </c>
      <c r="L69" s="10">
        <v>4385927</v>
      </c>
      <c r="M69" s="10">
        <v>4510644</v>
      </c>
      <c r="N69" s="10">
        <v>4637988</v>
      </c>
      <c r="O69" s="10">
        <v>4768227</v>
      </c>
      <c r="P69" s="10">
        <v>4902151</v>
      </c>
      <c r="Q69" s="10">
        <v>5040798</v>
      </c>
      <c r="R69" s="10">
        <v>5184941</v>
      </c>
      <c r="S69" s="10">
        <v>5335085</v>
      </c>
      <c r="T69" s="10">
        <v>5491153</v>
      </c>
      <c r="U69" s="10">
        <v>5652652</v>
      </c>
      <c r="V69" s="10">
        <v>5818763</v>
      </c>
      <c r="W69" s="10">
        <v>5989004</v>
      </c>
      <c r="X69" s="10">
        <v>6163705</v>
      </c>
      <c r="Y69" s="10">
        <v>6343523</v>
      </c>
      <c r="Z69" s="10">
        <v>6528641</v>
      </c>
      <c r="AA69" s="10">
        <v>6719309</v>
      </c>
      <c r="AB69" s="10">
        <v>6915997</v>
      </c>
      <c r="AC69" s="10">
        <v>7118883</v>
      </c>
      <c r="AD69" s="10">
        <v>7328943</v>
      </c>
      <c r="AE69" s="10">
        <v>7548433</v>
      </c>
      <c r="AF69" s="10">
        <v>7780245</v>
      </c>
      <c r="AG69" s="10">
        <v>8026591</v>
      </c>
      <c r="AH69" s="10">
        <v>8288735</v>
      </c>
      <c r="AI69" s="10">
        <v>8566770</v>
      </c>
      <c r="AJ69" s="10">
        <v>8860287</v>
      </c>
      <c r="AK69" s="10">
        <v>9168312</v>
      </c>
      <c r="AL69" s="10">
        <v>9490288</v>
      </c>
      <c r="AM69" s="10">
        <v>9826598</v>
      </c>
      <c r="AN69" s="10">
        <v>10178201</v>
      </c>
      <c r="AO69" s="10">
        <v>10545716</v>
      </c>
      <c r="AP69" s="10">
        <v>10929918</v>
      </c>
      <c r="AQ69" s="10">
        <v>11331557</v>
      </c>
      <c r="AR69" s="10">
        <v>11751365</v>
      </c>
      <c r="AS69" s="10">
        <v>12189983</v>
      </c>
      <c r="AT69" s="10">
        <v>12647984</v>
      </c>
      <c r="AU69" s="10">
        <v>13125916</v>
      </c>
      <c r="AV69" s="10">
        <v>13624467</v>
      </c>
      <c r="AW69" s="10">
        <v>14143971</v>
      </c>
      <c r="AX69" s="10">
        <v>14685399</v>
      </c>
      <c r="AY69" s="10">
        <v>15250908</v>
      </c>
      <c r="AZ69" s="10">
        <v>15843133</v>
      </c>
      <c r="BA69" s="10">
        <v>16464025</v>
      </c>
      <c r="BB69" s="10">
        <v>17114760</v>
      </c>
      <c r="BC69" s="10">
        <v>17795192</v>
      </c>
      <c r="BD69" s="10">
        <v>18504256</v>
      </c>
      <c r="BE69" s="10">
        <v>19240156</v>
      </c>
      <c r="BF69" s="10">
        <v>20001664</v>
      </c>
      <c r="BG69" s="10">
        <v>20788838</v>
      </c>
      <c r="BH69" s="10">
        <v>21602472</v>
      </c>
      <c r="BI69" s="10">
        <v>22442948</v>
      </c>
      <c r="BJ69" s="10">
        <v>23310716</v>
      </c>
    </row>
    <row r="70" spans="1:62" x14ac:dyDescent="0.45">
      <c r="A70" t="s">
        <v>27</v>
      </c>
      <c r="B70" t="s">
        <v>141</v>
      </c>
      <c r="C70" s="10">
        <v>45138456</v>
      </c>
      <c r="D70" s="10">
        <v>46063564</v>
      </c>
      <c r="E70" s="10">
        <v>47029824</v>
      </c>
      <c r="F70" s="10">
        <v>48032936</v>
      </c>
      <c r="G70" s="10">
        <v>49066760</v>
      </c>
      <c r="H70" s="10">
        <v>50127920</v>
      </c>
      <c r="I70" s="10">
        <v>51217972</v>
      </c>
      <c r="J70" s="10">
        <v>52342232</v>
      </c>
      <c r="K70" s="10">
        <v>53506196</v>
      </c>
      <c r="L70" s="10">
        <v>54717040</v>
      </c>
      <c r="M70" s="10">
        <v>55982144</v>
      </c>
      <c r="N70" s="10">
        <v>57296984</v>
      </c>
      <c r="O70" s="10">
        <v>58665808</v>
      </c>
      <c r="P70" s="10">
        <v>60114624</v>
      </c>
      <c r="Q70" s="10">
        <v>61677176</v>
      </c>
      <c r="R70" s="10">
        <v>63374296</v>
      </c>
      <c r="S70" s="10">
        <v>65221376</v>
      </c>
      <c r="T70" s="10">
        <v>67203128</v>
      </c>
      <c r="U70" s="10">
        <v>69271920</v>
      </c>
      <c r="V70" s="10">
        <v>71361128</v>
      </c>
      <c r="W70" s="10">
        <v>73423632</v>
      </c>
      <c r="X70" s="10">
        <v>75440504</v>
      </c>
      <c r="Y70" s="10">
        <v>77427544</v>
      </c>
      <c r="Z70" s="10">
        <v>79414840</v>
      </c>
      <c r="AA70" s="10">
        <v>81448752</v>
      </c>
      <c r="AB70" s="10">
        <v>83562784</v>
      </c>
      <c r="AC70" s="10">
        <v>85766400</v>
      </c>
      <c r="AD70" s="10">
        <v>88048032</v>
      </c>
      <c r="AE70" s="10">
        <v>90395272</v>
      </c>
      <c r="AF70" s="10">
        <v>92788024</v>
      </c>
      <c r="AG70" s="10">
        <v>95212448</v>
      </c>
      <c r="AH70" s="10">
        <v>97667632</v>
      </c>
      <c r="AI70" s="10">
        <v>100161712</v>
      </c>
      <c r="AJ70" s="10">
        <v>102700752</v>
      </c>
      <c r="AK70" s="10">
        <v>105293696</v>
      </c>
      <c r="AL70" s="10">
        <v>107948336</v>
      </c>
      <c r="AM70" s="10">
        <v>110668792</v>
      </c>
      <c r="AN70" s="10">
        <v>113457664</v>
      </c>
      <c r="AO70" s="10">
        <v>116319760</v>
      </c>
      <c r="AP70" s="10">
        <v>119260064</v>
      </c>
      <c r="AQ70" s="10">
        <v>122283848</v>
      </c>
      <c r="AR70" s="10">
        <v>125394048</v>
      </c>
      <c r="AS70" s="10">
        <v>128596080</v>
      </c>
      <c r="AT70" s="10">
        <v>131900632</v>
      </c>
      <c r="AU70" s="10">
        <v>135320416</v>
      </c>
      <c r="AV70" s="10">
        <v>138865024</v>
      </c>
      <c r="AW70" s="10">
        <v>142538304</v>
      </c>
      <c r="AX70" s="10">
        <v>146339984</v>
      </c>
      <c r="AY70" s="10">
        <v>150269616</v>
      </c>
      <c r="AZ70" s="10">
        <v>154324928</v>
      </c>
      <c r="BA70" s="10">
        <v>158503200</v>
      </c>
      <c r="BB70" s="10">
        <v>162805072</v>
      </c>
      <c r="BC70" s="10">
        <v>167228768</v>
      </c>
      <c r="BD70" s="10">
        <v>171765776</v>
      </c>
      <c r="BE70" s="10">
        <v>176404896</v>
      </c>
      <c r="BF70" s="10">
        <v>181137440</v>
      </c>
      <c r="BG70" s="10">
        <v>185960288</v>
      </c>
      <c r="BH70" s="10">
        <v>190873312</v>
      </c>
      <c r="BI70" s="10">
        <v>195874736</v>
      </c>
      <c r="BJ70" s="10">
        <v>200963600</v>
      </c>
    </row>
    <row r="71" spans="1:62" x14ac:dyDescent="0.45">
      <c r="A71" t="s">
        <v>27</v>
      </c>
      <c r="B71" t="s">
        <v>142</v>
      </c>
      <c r="C71" s="10">
        <v>44988688</v>
      </c>
      <c r="D71" s="10">
        <v>46065232</v>
      </c>
      <c r="E71" s="10">
        <v>47198880</v>
      </c>
      <c r="F71" s="10">
        <v>48387300</v>
      </c>
      <c r="G71" s="10">
        <v>49627624</v>
      </c>
      <c r="H71" s="10">
        <v>50917976</v>
      </c>
      <c r="I71" s="10">
        <v>52260188</v>
      </c>
      <c r="J71" s="10">
        <v>53655788</v>
      </c>
      <c r="K71" s="10">
        <v>55102684</v>
      </c>
      <c r="L71" s="10">
        <v>56598144</v>
      </c>
      <c r="M71" s="10">
        <v>58142060</v>
      </c>
      <c r="N71" s="10">
        <v>59734480</v>
      </c>
      <c r="O71" s="10">
        <v>61381988</v>
      </c>
      <c r="P71" s="10">
        <v>63099408</v>
      </c>
      <c r="Q71" s="10">
        <v>64906000</v>
      </c>
      <c r="R71" s="10">
        <v>66816876</v>
      </c>
      <c r="S71" s="10">
        <v>68834328</v>
      </c>
      <c r="T71" s="10">
        <v>70958168</v>
      </c>
      <c r="U71" s="10">
        <v>73197256</v>
      </c>
      <c r="V71" s="10">
        <v>75561128</v>
      </c>
      <c r="W71" s="10">
        <v>78054344</v>
      </c>
      <c r="X71" s="10">
        <v>80680456</v>
      </c>
      <c r="Y71" s="10">
        <v>83431608</v>
      </c>
      <c r="Z71" s="10">
        <v>86285936</v>
      </c>
      <c r="AA71" s="10">
        <v>89213704</v>
      </c>
      <c r="AB71" s="10">
        <v>92191512</v>
      </c>
      <c r="AC71" s="10">
        <v>95215376</v>
      </c>
      <c r="AD71" s="10">
        <v>98285752</v>
      </c>
      <c r="AE71" s="10">
        <v>101389600</v>
      </c>
      <c r="AF71" s="10">
        <v>104512880</v>
      </c>
      <c r="AG71" s="10">
        <v>107647920</v>
      </c>
      <c r="AH71" s="10">
        <v>110778648</v>
      </c>
      <c r="AI71" s="10">
        <v>113911128</v>
      </c>
      <c r="AJ71" s="10">
        <v>117086688</v>
      </c>
      <c r="AK71" s="10">
        <v>120362760</v>
      </c>
      <c r="AL71" s="10">
        <v>123776840</v>
      </c>
      <c r="AM71" s="10">
        <v>127349288</v>
      </c>
      <c r="AN71" s="10">
        <v>131057432</v>
      </c>
      <c r="AO71" s="10">
        <v>134843232</v>
      </c>
      <c r="AP71" s="10">
        <v>138624624</v>
      </c>
      <c r="AQ71" s="10">
        <v>142343584</v>
      </c>
      <c r="AR71" s="10">
        <v>145978400</v>
      </c>
      <c r="AS71" s="10">
        <v>149549696</v>
      </c>
      <c r="AT71" s="10">
        <v>153093376</v>
      </c>
      <c r="AU71" s="10">
        <v>156664704</v>
      </c>
      <c r="AV71" s="10">
        <v>160304000</v>
      </c>
      <c r="AW71" s="10">
        <v>164022624</v>
      </c>
      <c r="AX71" s="10">
        <v>167808112</v>
      </c>
      <c r="AY71" s="10">
        <v>171648992</v>
      </c>
      <c r="AZ71" s="10">
        <v>175525616</v>
      </c>
      <c r="BA71" s="10">
        <v>179424640</v>
      </c>
      <c r="BB71" s="10">
        <v>183340592</v>
      </c>
      <c r="BC71" s="10">
        <v>187281472</v>
      </c>
      <c r="BD71" s="10">
        <v>191262912</v>
      </c>
      <c r="BE71" s="10">
        <v>195306832</v>
      </c>
      <c r="BF71" s="10">
        <v>199426960</v>
      </c>
      <c r="BG71" s="10">
        <v>203627280</v>
      </c>
      <c r="BH71" s="10">
        <v>207896688</v>
      </c>
      <c r="BI71" s="10">
        <v>212215024</v>
      </c>
      <c r="BJ71" s="10">
        <v>216565312</v>
      </c>
    </row>
    <row r="72" spans="1:62" x14ac:dyDescent="0.45">
      <c r="A72" t="s">
        <v>27</v>
      </c>
      <c r="B72" t="s">
        <v>143</v>
      </c>
      <c r="C72" s="10">
        <v>1132997</v>
      </c>
      <c r="D72" s="10">
        <v>1167113</v>
      </c>
      <c r="E72" s="10">
        <v>1202449</v>
      </c>
      <c r="F72" s="10">
        <v>1238889</v>
      </c>
      <c r="G72" s="10">
        <v>1276331</v>
      </c>
      <c r="H72" s="10">
        <v>1314677</v>
      </c>
      <c r="I72" s="10">
        <v>1353842</v>
      </c>
      <c r="J72" s="10">
        <v>1393825</v>
      </c>
      <c r="K72" s="10">
        <v>1434669</v>
      </c>
      <c r="L72" s="10">
        <v>1476481</v>
      </c>
      <c r="M72" s="10">
        <v>1519285</v>
      </c>
      <c r="N72" s="10">
        <v>1563093</v>
      </c>
      <c r="O72" s="10">
        <v>1607796</v>
      </c>
      <c r="P72" s="10">
        <v>1653212</v>
      </c>
      <c r="Q72" s="10">
        <v>1699054</v>
      </c>
      <c r="R72" s="10">
        <v>1745138</v>
      </c>
      <c r="S72" s="10">
        <v>1791380</v>
      </c>
      <c r="T72" s="10">
        <v>1837800</v>
      </c>
      <c r="U72" s="10">
        <v>1884424</v>
      </c>
      <c r="V72" s="10">
        <v>1931304</v>
      </c>
      <c r="W72" s="10">
        <v>1978487</v>
      </c>
      <c r="X72" s="10">
        <v>2025971</v>
      </c>
      <c r="Y72" s="10">
        <v>2073757</v>
      </c>
      <c r="Z72" s="10">
        <v>2121860</v>
      </c>
      <c r="AA72" s="10">
        <v>2170325</v>
      </c>
      <c r="AB72" s="10">
        <v>2219201</v>
      </c>
      <c r="AC72" s="10">
        <v>2268500</v>
      </c>
      <c r="AD72" s="10">
        <v>2318264</v>
      </c>
      <c r="AE72" s="10">
        <v>2368551</v>
      </c>
      <c r="AF72" s="10">
        <v>2419426</v>
      </c>
      <c r="AG72" s="10">
        <v>2470947</v>
      </c>
      <c r="AH72" s="10">
        <v>2523118</v>
      </c>
      <c r="AI72" s="10">
        <v>2575954</v>
      </c>
      <c r="AJ72" s="10">
        <v>2629580</v>
      </c>
      <c r="AK72" s="10">
        <v>2684116</v>
      </c>
      <c r="AL72" s="10">
        <v>2739668</v>
      </c>
      <c r="AM72" s="10">
        <v>2796291</v>
      </c>
      <c r="AN72" s="10">
        <v>2853913</v>
      </c>
      <c r="AO72" s="10">
        <v>2912316</v>
      </c>
      <c r="AP72" s="10">
        <v>2971196</v>
      </c>
      <c r="AQ72" s="10">
        <v>3030328</v>
      </c>
      <c r="AR72" s="10">
        <v>3089648</v>
      </c>
      <c r="AS72" s="10">
        <v>3149188</v>
      </c>
      <c r="AT72" s="10">
        <v>3209048</v>
      </c>
      <c r="AU72" s="10">
        <v>3269356</v>
      </c>
      <c r="AV72" s="10">
        <v>3330217</v>
      </c>
      <c r="AW72" s="10">
        <v>3391666</v>
      </c>
      <c r="AX72" s="10">
        <v>3453675</v>
      </c>
      <c r="AY72" s="10">
        <v>3516204</v>
      </c>
      <c r="AZ72" s="10">
        <v>3579215</v>
      </c>
      <c r="BA72" s="10">
        <v>3642687</v>
      </c>
      <c r="BB72" s="10">
        <v>3706483</v>
      </c>
      <c r="BC72" s="10">
        <v>3770624</v>
      </c>
      <c r="BD72" s="10">
        <v>3835437</v>
      </c>
      <c r="BE72" s="10">
        <v>3901315</v>
      </c>
      <c r="BF72" s="10">
        <v>3968487</v>
      </c>
      <c r="BG72" s="10">
        <v>4037078</v>
      </c>
      <c r="BH72" s="10">
        <v>4106771</v>
      </c>
      <c r="BI72" s="10">
        <v>4176873</v>
      </c>
      <c r="BJ72" s="10">
        <v>4246439</v>
      </c>
    </row>
    <row r="73" spans="1:62" x14ac:dyDescent="0.45">
      <c r="A73" t="s">
        <v>27</v>
      </c>
      <c r="B73" t="s">
        <v>144</v>
      </c>
      <c r="C73" s="10">
        <v>2255859</v>
      </c>
      <c r="D73" s="10">
        <v>2297059</v>
      </c>
      <c r="E73" s="10">
        <v>2340352</v>
      </c>
      <c r="F73" s="10">
        <v>2385946</v>
      </c>
      <c r="G73" s="10">
        <v>2434223</v>
      </c>
      <c r="H73" s="10">
        <v>2485437</v>
      </c>
      <c r="I73" s="10">
        <v>2539674</v>
      </c>
      <c r="J73" s="10">
        <v>2596820</v>
      </c>
      <c r="K73" s="10">
        <v>2656633</v>
      </c>
      <c r="L73" s="10">
        <v>2718811</v>
      </c>
      <c r="M73" s="10">
        <v>2783121</v>
      </c>
      <c r="N73" s="10">
        <v>2849532</v>
      </c>
      <c r="O73" s="10">
        <v>2918139</v>
      </c>
      <c r="P73" s="10">
        <v>2989202</v>
      </c>
      <c r="Q73" s="10">
        <v>3063049</v>
      </c>
      <c r="R73" s="10">
        <v>3139945</v>
      </c>
      <c r="S73" s="10">
        <v>3219829</v>
      </c>
      <c r="T73" s="10">
        <v>3302633</v>
      </c>
      <c r="U73" s="10">
        <v>3388618</v>
      </c>
      <c r="V73" s="10">
        <v>3478100</v>
      </c>
      <c r="W73" s="10">
        <v>3571205</v>
      </c>
      <c r="X73" s="10">
        <v>3668104</v>
      </c>
      <c r="Y73" s="10">
        <v>3768483</v>
      </c>
      <c r="Z73" s="10">
        <v>3871492</v>
      </c>
      <c r="AA73" s="10">
        <v>3975956</v>
      </c>
      <c r="AB73" s="10">
        <v>4081030</v>
      </c>
      <c r="AC73" s="10">
        <v>4186499</v>
      </c>
      <c r="AD73" s="10">
        <v>4292563</v>
      </c>
      <c r="AE73" s="10">
        <v>4399324</v>
      </c>
      <c r="AF73" s="10">
        <v>4506991</v>
      </c>
      <c r="AG73" s="10">
        <v>4615839</v>
      </c>
      <c r="AH73" s="10">
        <v>4725547</v>
      </c>
      <c r="AI73" s="10">
        <v>4836217</v>
      </c>
      <c r="AJ73" s="10">
        <v>4949051</v>
      </c>
      <c r="AK73" s="10">
        <v>5065661</v>
      </c>
      <c r="AL73" s="10">
        <v>5187060</v>
      </c>
      <c r="AM73" s="10">
        <v>5314248</v>
      </c>
      <c r="AN73" s="10">
        <v>5446641</v>
      </c>
      <c r="AO73" s="10">
        <v>5581762</v>
      </c>
      <c r="AP73" s="10">
        <v>5716161</v>
      </c>
      <c r="AQ73" s="10">
        <v>5847586</v>
      </c>
      <c r="AR73" s="10">
        <v>5974629</v>
      </c>
      <c r="AS73" s="10">
        <v>6098621</v>
      </c>
      <c r="AT73" s="10">
        <v>6223377</v>
      </c>
      <c r="AU73" s="10">
        <v>6354245</v>
      </c>
      <c r="AV73" s="10">
        <v>6494903</v>
      </c>
      <c r="AW73" s="10">
        <v>6646895</v>
      </c>
      <c r="AX73" s="10">
        <v>6808514</v>
      </c>
      <c r="AY73" s="10">
        <v>6976201</v>
      </c>
      <c r="AZ73" s="10">
        <v>7144776</v>
      </c>
      <c r="BA73" s="10">
        <v>7310507</v>
      </c>
      <c r="BB73" s="10">
        <v>7472200</v>
      </c>
      <c r="BC73" s="10">
        <v>7631002</v>
      </c>
      <c r="BD73" s="10">
        <v>7788379</v>
      </c>
      <c r="BE73" s="10">
        <v>7946731</v>
      </c>
      <c r="BF73" s="10">
        <v>8107775</v>
      </c>
      <c r="BG73" s="10">
        <v>8271760</v>
      </c>
      <c r="BH73" s="10">
        <v>8438029</v>
      </c>
      <c r="BI73" s="10">
        <v>8606316</v>
      </c>
      <c r="BJ73" s="10">
        <v>8776109</v>
      </c>
    </row>
    <row r="74" spans="1:62" x14ac:dyDescent="0.45">
      <c r="A74" t="s">
        <v>27</v>
      </c>
      <c r="B74" t="s">
        <v>145</v>
      </c>
      <c r="C74" s="10">
        <v>10155015</v>
      </c>
      <c r="D74" s="10">
        <v>10446620</v>
      </c>
      <c r="E74" s="10">
        <v>10749466</v>
      </c>
      <c r="F74" s="10">
        <v>11062300</v>
      </c>
      <c r="G74" s="10">
        <v>11383373</v>
      </c>
      <c r="H74" s="10">
        <v>11711392</v>
      </c>
      <c r="I74" s="10">
        <v>12045787</v>
      </c>
      <c r="J74" s="10">
        <v>12386879</v>
      </c>
      <c r="K74" s="10">
        <v>12735486</v>
      </c>
      <c r="L74" s="10">
        <v>13092852</v>
      </c>
      <c r="M74" s="10">
        <v>13459794</v>
      </c>
      <c r="N74" s="10">
        <v>13836367</v>
      </c>
      <c r="O74" s="10">
        <v>14221961</v>
      </c>
      <c r="P74" s="10">
        <v>14615845</v>
      </c>
      <c r="Q74" s="10">
        <v>15017055</v>
      </c>
      <c r="R74" s="10">
        <v>15424744</v>
      </c>
      <c r="S74" s="10">
        <v>15838572</v>
      </c>
      <c r="T74" s="10">
        <v>16258321</v>
      </c>
      <c r="U74" s="10">
        <v>16683456</v>
      </c>
      <c r="V74" s="10">
        <v>17113388</v>
      </c>
      <c r="W74" s="10">
        <v>17547610</v>
      </c>
      <c r="X74" s="10">
        <v>17985392</v>
      </c>
      <c r="Y74" s="10">
        <v>18426416</v>
      </c>
      <c r="Z74" s="10">
        <v>18870992</v>
      </c>
      <c r="AA74" s="10">
        <v>19319746</v>
      </c>
      <c r="AB74" s="10">
        <v>19772872</v>
      </c>
      <c r="AC74" s="10">
        <v>20230384</v>
      </c>
      <c r="AD74" s="10">
        <v>20691284</v>
      </c>
      <c r="AE74" s="10">
        <v>21153460</v>
      </c>
      <c r="AF74" s="10">
        <v>21614192</v>
      </c>
      <c r="AG74" s="10">
        <v>22071432</v>
      </c>
      <c r="AH74" s="10">
        <v>22522378</v>
      </c>
      <c r="AI74" s="10">
        <v>22966818</v>
      </c>
      <c r="AJ74" s="10">
        <v>23408132</v>
      </c>
      <c r="AK74" s="10">
        <v>23851408</v>
      </c>
      <c r="AL74" s="10">
        <v>24299160</v>
      </c>
      <c r="AM74" s="10">
        <v>24753824</v>
      </c>
      <c r="AN74" s="10">
        <v>25210954</v>
      </c>
      <c r="AO74" s="10">
        <v>25658062</v>
      </c>
      <c r="AP74" s="10">
        <v>26078292</v>
      </c>
      <c r="AQ74" s="10">
        <v>26459944</v>
      </c>
      <c r="AR74" s="10">
        <v>26799284</v>
      </c>
      <c r="AS74" s="10">
        <v>27100968</v>
      </c>
      <c r="AT74" s="10">
        <v>27372226</v>
      </c>
      <c r="AU74" s="10">
        <v>27624212</v>
      </c>
      <c r="AV74" s="10">
        <v>27866144</v>
      </c>
      <c r="AW74" s="10">
        <v>28102056</v>
      </c>
      <c r="AX74" s="10">
        <v>28333052</v>
      </c>
      <c r="AY74" s="10">
        <v>28562316</v>
      </c>
      <c r="AZ74" s="10">
        <v>28792656</v>
      </c>
      <c r="BA74" s="10">
        <v>29027674</v>
      </c>
      <c r="BB74" s="10">
        <v>29264318</v>
      </c>
      <c r="BC74" s="10">
        <v>29506788</v>
      </c>
      <c r="BD74" s="10">
        <v>29773988</v>
      </c>
      <c r="BE74" s="10">
        <v>30090360</v>
      </c>
      <c r="BF74" s="10">
        <v>30470734</v>
      </c>
      <c r="BG74" s="10">
        <v>30926032</v>
      </c>
      <c r="BH74" s="10">
        <v>31444296</v>
      </c>
      <c r="BI74" s="10">
        <v>31989256</v>
      </c>
      <c r="BJ74" s="10">
        <v>32510452</v>
      </c>
    </row>
    <row r="75" spans="1:62" x14ac:dyDescent="0.45">
      <c r="A75" t="s">
        <v>27</v>
      </c>
      <c r="B75" t="s">
        <v>146</v>
      </c>
      <c r="C75" s="10">
        <v>26269734</v>
      </c>
      <c r="D75" s="10">
        <v>27161048</v>
      </c>
      <c r="E75" s="10">
        <v>28077340</v>
      </c>
      <c r="F75" s="10">
        <v>29012624</v>
      </c>
      <c r="G75" s="10">
        <v>29958688</v>
      </c>
      <c r="H75" s="10">
        <v>30909988</v>
      </c>
      <c r="I75" s="10">
        <v>31864182</v>
      </c>
      <c r="J75" s="10">
        <v>32823968</v>
      </c>
      <c r="K75" s="10">
        <v>33795192</v>
      </c>
      <c r="L75" s="10">
        <v>34786304</v>
      </c>
      <c r="M75" s="10">
        <v>35803592</v>
      </c>
      <c r="N75" s="10">
        <v>36849676</v>
      </c>
      <c r="O75" s="10">
        <v>37923396</v>
      </c>
      <c r="P75" s="10">
        <v>39022768</v>
      </c>
      <c r="Q75" s="10">
        <v>40144248</v>
      </c>
      <c r="R75" s="10">
        <v>41285744</v>
      </c>
      <c r="S75" s="10">
        <v>42446652</v>
      </c>
      <c r="T75" s="10">
        <v>43629412</v>
      </c>
      <c r="U75" s="10">
        <v>44838484</v>
      </c>
      <c r="V75" s="10">
        <v>46079848</v>
      </c>
      <c r="W75" s="10">
        <v>47357744</v>
      </c>
      <c r="X75" s="10">
        <v>48672840</v>
      </c>
      <c r="Y75" s="10">
        <v>50023564</v>
      </c>
      <c r="Z75" s="10">
        <v>51408912</v>
      </c>
      <c r="AA75" s="10">
        <v>52827040</v>
      </c>
      <c r="AB75" s="10">
        <v>54275824</v>
      </c>
      <c r="AC75" s="10">
        <v>55755356</v>
      </c>
      <c r="AD75" s="10">
        <v>57263836</v>
      </c>
      <c r="AE75" s="10">
        <v>58795000</v>
      </c>
      <c r="AF75" s="10">
        <v>60340768</v>
      </c>
      <c r="AG75" s="10">
        <v>61895160</v>
      </c>
      <c r="AH75" s="10">
        <v>63454784</v>
      </c>
      <c r="AI75" s="10">
        <v>65020116</v>
      </c>
      <c r="AJ75" s="10">
        <v>66593904</v>
      </c>
      <c r="AK75" s="10">
        <v>68180856</v>
      </c>
      <c r="AL75" s="10">
        <v>69784088</v>
      </c>
      <c r="AM75" s="10">
        <v>71401752</v>
      </c>
      <c r="AN75" s="10">
        <v>73030880</v>
      </c>
      <c r="AO75" s="10">
        <v>74672016</v>
      </c>
      <c r="AP75" s="10">
        <v>76325928</v>
      </c>
      <c r="AQ75" s="10">
        <v>77991752</v>
      </c>
      <c r="AR75" s="10">
        <v>79672872</v>
      </c>
      <c r="AS75" s="10">
        <v>81365256</v>
      </c>
      <c r="AT75" s="10">
        <v>83051968</v>
      </c>
      <c r="AU75" s="10">
        <v>84710544</v>
      </c>
      <c r="AV75" s="10">
        <v>86326248</v>
      </c>
      <c r="AW75" s="10">
        <v>87888672</v>
      </c>
      <c r="AX75" s="10">
        <v>89405480</v>
      </c>
      <c r="AY75" s="10">
        <v>90901968</v>
      </c>
      <c r="AZ75" s="10">
        <v>92414160</v>
      </c>
      <c r="BA75" s="10">
        <v>93966784</v>
      </c>
      <c r="BB75" s="10">
        <v>95570048</v>
      </c>
      <c r="BC75" s="10">
        <v>97212640</v>
      </c>
      <c r="BD75" s="10">
        <v>98871552</v>
      </c>
      <c r="BE75" s="10">
        <v>100513136</v>
      </c>
      <c r="BF75" s="10">
        <v>102113216</v>
      </c>
      <c r="BG75" s="10">
        <v>103663928</v>
      </c>
      <c r="BH75" s="10">
        <v>105173264</v>
      </c>
      <c r="BI75" s="10">
        <v>106651920</v>
      </c>
      <c r="BJ75" s="10">
        <v>108116616</v>
      </c>
    </row>
    <row r="76" spans="1:62" x14ac:dyDescent="0.45">
      <c r="A76" t="s">
        <v>27</v>
      </c>
      <c r="B76" t="s">
        <v>147</v>
      </c>
      <c r="C76" s="10">
        <v>2358000</v>
      </c>
      <c r="D76" s="10">
        <v>2399722</v>
      </c>
      <c r="E76" s="10">
        <v>2450322</v>
      </c>
      <c r="F76" s="10">
        <v>2504530</v>
      </c>
      <c r="G76" s="10">
        <v>2554066</v>
      </c>
      <c r="H76" s="10">
        <v>2594000</v>
      </c>
      <c r="I76" s="10">
        <v>2624995</v>
      </c>
      <c r="J76" s="10">
        <v>2645674</v>
      </c>
      <c r="K76" s="10">
        <v>2662064</v>
      </c>
      <c r="L76" s="10">
        <v>2684150</v>
      </c>
      <c r="M76" s="10">
        <v>2718000</v>
      </c>
      <c r="N76" s="10">
        <v>2762190</v>
      </c>
      <c r="O76" s="10">
        <v>2817256</v>
      </c>
      <c r="P76" s="10">
        <v>2878786</v>
      </c>
      <c r="Q76" s="10">
        <v>2939299</v>
      </c>
      <c r="R76" s="10">
        <v>2994000</v>
      </c>
      <c r="S76" s="10">
        <v>3043854</v>
      </c>
      <c r="T76" s="10">
        <v>3088690</v>
      </c>
      <c r="U76" s="10">
        <v>3129421</v>
      </c>
      <c r="V76" s="10">
        <v>3168088</v>
      </c>
      <c r="W76" s="10">
        <v>3206000</v>
      </c>
      <c r="X76" s="10">
        <v>3242552</v>
      </c>
      <c r="Y76" s="10">
        <v>3277453</v>
      </c>
      <c r="Z76" s="10">
        <v>3311138</v>
      </c>
      <c r="AA76" s="10">
        <v>3344190</v>
      </c>
      <c r="AB76" s="10">
        <v>3377000</v>
      </c>
      <c r="AC76" s="10">
        <v>3409554</v>
      </c>
      <c r="AD76" s="10">
        <v>3441850</v>
      </c>
      <c r="AE76" s="10">
        <v>3473898</v>
      </c>
      <c r="AF76" s="10">
        <v>3505650</v>
      </c>
      <c r="AG76" s="10">
        <v>3537000</v>
      </c>
      <c r="AH76" s="10">
        <v>3562110</v>
      </c>
      <c r="AI76" s="10">
        <v>3585176</v>
      </c>
      <c r="AJ76" s="10">
        <v>3615497</v>
      </c>
      <c r="AK76" s="10">
        <v>3649237</v>
      </c>
      <c r="AL76" s="10">
        <v>3683103</v>
      </c>
      <c r="AM76" s="10">
        <v>3724655</v>
      </c>
      <c r="AN76" s="10">
        <v>3759430</v>
      </c>
      <c r="AO76" s="10">
        <v>3781101</v>
      </c>
      <c r="AP76" s="10">
        <v>3800081</v>
      </c>
      <c r="AQ76" s="10">
        <v>3810605</v>
      </c>
      <c r="AR76" s="10">
        <v>3818774</v>
      </c>
      <c r="AS76" s="10">
        <v>3823701</v>
      </c>
      <c r="AT76" s="10">
        <v>3826095</v>
      </c>
      <c r="AU76" s="10">
        <v>3826878</v>
      </c>
      <c r="AV76" s="10">
        <v>3821362</v>
      </c>
      <c r="AW76" s="10">
        <v>3805214</v>
      </c>
      <c r="AX76" s="10">
        <v>3782995</v>
      </c>
      <c r="AY76" s="10">
        <v>3760866</v>
      </c>
      <c r="AZ76" s="10">
        <v>3740410</v>
      </c>
      <c r="BA76" s="10">
        <v>3721525</v>
      </c>
      <c r="BB76" s="10">
        <v>3678732</v>
      </c>
      <c r="BC76" s="10">
        <v>3634488</v>
      </c>
      <c r="BD76" s="10">
        <v>3593077</v>
      </c>
      <c r="BE76" s="10">
        <v>3534874</v>
      </c>
      <c r="BF76" s="10">
        <v>3473232</v>
      </c>
      <c r="BG76" s="10">
        <v>3406672</v>
      </c>
      <c r="BH76" s="10">
        <v>3325286</v>
      </c>
      <c r="BI76" s="10">
        <v>3193354</v>
      </c>
      <c r="BJ76" s="10">
        <v>3193694</v>
      </c>
    </row>
    <row r="77" spans="1:62" x14ac:dyDescent="0.45">
      <c r="A77" t="s">
        <v>27</v>
      </c>
      <c r="B77" t="s">
        <v>148</v>
      </c>
      <c r="C77" s="10">
        <v>2935582</v>
      </c>
      <c r="D77" s="10">
        <v>2998325</v>
      </c>
      <c r="E77" s="10">
        <v>3052936</v>
      </c>
      <c r="F77" s="10">
        <v>3105419</v>
      </c>
      <c r="G77" s="10">
        <v>3164263</v>
      </c>
      <c r="H77" s="10">
        <v>3235531</v>
      </c>
      <c r="I77" s="10">
        <v>3321679</v>
      </c>
      <c r="J77" s="10">
        <v>3420895</v>
      </c>
      <c r="K77" s="10">
        <v>3529843</v>
      </c>
      <c r="L77" s="10">
        <v>3643237</v>
      </c>
      <c r="M77" s="10">
        <v>3757358</v>
      </c>
      <c r="N77" s="10">
        <v>3871439</v>
      </c>
      <c r="O77" s="10">
        <v>3987224</v>
      </c>
      <c r="P77" s="10">
        <v>4106407</v>
      </c>
      <c r="Q77" s="10">
        <v>4231578</v>
      </c>
      <c r="R77" s="10">
        <v>4364706</v>
      </c>
      <c r="S77" s="10">
        <v>4506109</v>
      </c>
      <c r="T77" s="10">
        <v>4655383</v>
      </c>
      <c r="U77" s="10">
        <v>4812872</v>
      </c>
      <c r="V77" s="10">
        <v>4978817</v>
      </c>
      <c r="W77" s="10">
        <v>5153312</v>
      </c>
      <c r="X77" s="10">
        <v>5329252</v>
      </c>
      <c r="Y77" s="10">
        <v>5504842</v>
      </c>
      <c r="Z77" s="10">
        <v>5690980</v>
      </c>
      <c r="AA77" s="10">
        <v>5902843</v>
      </c>
      <c r="AB77" s="10">
        <v>6146891</v>
      </c>
      <c r="AC77" s="10">
        <v>6443751</v>
      </c>
      <c r="AD77" s="10">
        <v>6779983</v>
      </c>
      <c r="AE77" s="10">
        <v>7088191</v>
      </c>
      <c r="AF77" s="10">
        <v>7276985</v>
      </c>
      <c r="AG77" s="10">
        <v>7288882</v>
      </c>
      <c r="AH77" s="10">
        <v>7083935</v>
      </c>
      <c r="AI77" s="10">
        <v>6702244</v>
      </c>
      <c r="AJ77" s="10">
        <v>6263757</v>
      </c>
      <c r="AK77" s="10">
        <v>5936261</v>
      </c>
      <c r="AL77" s="10">
        <v>5836495</v>
      </c>
      <c r="AM77" s="10">
        <v>6013107</v>
      </c>
      <c r="AN77" s="10">
        <v>6419901</v>
      </c>
      <c r="AO77" s="10">
        <v>6962802</v>
      </c>
      <c r="AP77" s="10">
        <v>7501234</v>
      </c>
      <c r="AQ77" s="10">
        <v>7933681</v>
      </c>
      <c r="AR77" s="10">
        <v>8231156</v>
      </c>
      <c r="AS77" s="10">
        <v>8427060</v>
      </c>
      <c r="AT77" s="10">
        <v>8557161</v>
      </c>
      <c r="AU77" s="10">
        <v>8680524</v>
      </c>
      <c r="AV77" s="10">
        <v>8840215</v>
      </c>
      <c r="AW77" s="10">
        <v>9043337</v>
      </c>
      <c r="AX77" s="10">
        <v>9273757</v>
      </c>
      <c r="AY77" s="10">
        <v>9524534</v>
      </c>
      <c r="AZ77" s="10">
        <v>9782770</v>
      </c>
      <c r="BA77" s="10">
        <v>10039338</v>
      </c>
      <c r="BB77" s="10">
        <v>10293331</v>
      </c>
      <c r="BC77" s="10">
        <v>10549678</v>
      </c>
      <c r="BD77" s="10">
        <v>10811543</v>
      </c>
      <c r="BE77" s="10">
        <v>11083635</v>
      </c>
      <c r="BF77" s="10">
        <v>11369071</v>
      </c>
      <c r="BG77" s="10">
        <v>11668818</v>
      </c>
      <c r="BH77" s="10">
        <v>11980937</v>
      </c>
      <c r="BI77" s="10">
        <v>12301939</v>
      </c>
      <c r="BJ77" s="10">
        <v>12626950</v>
      </c>
    </row>
    <row r="78" spans="1:62" x14ac:dyDescent="0.45">
      <c r="A78" t="s">
        <v>27</v>
      </c>
      <c r="B78" t="s">
        <v>149</v>
      </c>
      <c r="C78" s="10">
        <v>3206749</v>
      </c>
      <c r="D78" s="10">
        <v>3295278</v>
      </c>
      <c r="E78" s="10">
        <v>3386806</v>
      </c>
      <c r="F78" s="10">
        <v>3481654</v>
      </c>
      <c r="G78" s="10">
        <v>3580239</v>
      </c>
      <c r="H78" s="10">
        <v>3682876</v>
      </c>
      <c r="I78" s="10">
        <v>3789383</v>
      </c>
      <c r="J78" s="10">
        <v>3899644</v>
      </c>
      <c r="K78" s="10">
        <v>4014103</v>
      </c>
      <c r="L78" s="10">
        <v>4133322</v>
      </c>
      <c r="M78" s="10">
        <v>4257505</v>
      </c>
      <c r="N78" s="10">
        <v>4387540</v>
      </c>
      <c r="O78" s="10">
        <v>4522893</v>
      </c>
      <c r="P78" s="10">
        <v>4660725</v>
      </c>
      <c r="Q78" s="10">
        <v>4797187</v>
      </c>
      <c r="R78" s="10">
        <v>4929846</v>
      </c>
      <c r="S78" s="10">
        <v>5057378</v>
      </c>
      <c r="T78" s="10">
        <v>5181514</v>
      </c>
      <c r="U78" s="10">
        <v>5306681</v>
      </c>
      <c r="V78" s="10">
        <v>5439066</v>
      </c>
      <c r="W78" s="10">
        <v>5583165</v>
      </c>
      <c r="X78" s="10">
        <v>5740444</v>
      </c>
      <c r="Y78" s="10">
        <v>5909739</v>
      </c>
      <c r="Z78" s="10">
        <v>6089572</v>
      </c>
      <c r="AA78" s="10">
        <v>6277424</v>
      </c>
      <c r="AB78" s="10">
        <v>6471327</v>
      </c>
      <c r="AC78" s="10">
        <v>6670663</v>
      </c>
      <c r="AD78" s="10">
        <v>6875754</v>
      </c>
      <c r="AE78" s="10">
        <v>7086627</v>
      </c>
      <c r="AF78" s="10">
        <v>7303517</v>
      </c>
      <c r="AG78" s="10">
        <v>7526307</v>
      </c>
      <c r="AH78" s="10">
        <v>7755496</v>
      </c>
      <c r="AI78" s="10">
        <v>7990096</v>
      </c>
      <c r="AJ78" s="10">
        <v>8226760</v>
      </c>
      <c r="AK78" s="10">
        <v>8461068</v>
      </c>
      <c r="AL78" s="10">
        <v>8690164</v>
      </c>
      <c r="AM78" s="10">
        <v>8912861</v>
      </c>
      <c r="AN78" s="10">
        <v>9130877</v>
      </c>
      <c r="AO78" s="10">
        <v>9347774</v>
      </c>
      <c r="AP78" s="10">
        <v>9568722</v>
      </c>
      <c r="AQ78" s="10">
        <v>9797734</v>
      </c>
      <c r="AR78" s="10">
        <v>10036104</v>
      </c>
      <c r="AS78" s="10">
        <v>10283699</v>
      </c>
      <c r="AT78" s="10">
        <v>10541467</v>
      </c>
      <c r="AU78" s="10">
        <v>10810083</v>
      </c>
      <c r="AV78" s="10">
        <v>11090116</v>
      </c>
      <c r="AW78" s="10">
        <v>11382268</v>
      </c>
      <c r="AX78" s="10">
        <v>11687080</v>
      </c>
      <c r="AY78" s="10">
        <v>12004701</v>
      </c>
      <c r="AZ78" s="10">
        <v>12335084</v>
      </c>
      <c r="BA78" s="10">
        <v>12678148</v>
      </c>
      <c r="BB78" s="10">
        <v>13033809</v>
      </c>
      <c r="BC78" s="10">
        <v>13401991</v>
      </c>
      <c r="BD78" s="10">
        <v>13782420</v>
      </c>
      <c r="BE78" s="10">
        <v>14174731</v>
      </c>
      <c r="BF78" s="10">
        <v>14578459</v>
      </c>
      <c r="BG78" s="10">
        <v>14993528</v>
      </c>
      <c r="BH78" s="10">
        <v>15419381</v>
      </c>
      <c r="BI78" s="10">
        <v>15854360</v>
      </c>
      <c r="BJ78" s="10">
        <v>16296364</v>
      </c>
    </row>
    <row r="79" spans="1:62" x14ac:dyDescent="0.45">
      <c r="A79" t="s">
        <v>27</v>
      </c>
      <c r="B79" t="s">
        <v>150</v>
      </c>
      <c r="C79" s="10">
        <v>41700</v>
      </c>
      <c r="D79" s="10">
        <v>42889</v>
      </c>
      <c r="E79" s="10">
        <v>44042</v>
      </c>
      <c r="F79" s="10">
        <v>45176</v>
      </c>
      <c r="G79" s="10">
        <v>46322</v>
      </c>
      <c r="H79" s="10">
        <v>47500</v>
      </c>
      <c r="I79" s="10">
        <v>48699</v>
      </c>
      <c r="J79" s="10">
        <v>49911</v>
      </c>
      <c r="K79" s="10">
        <v>51134</v>
      </c>
      <c r="L79" s="10">
        <v>52365</v>
      </c>
      <c r="M79" s="10">
        <v>53600</v>
      </c>
      <c r="N79" s="10">
        <v>54695</v>
      </c>
      <c r="O79" s="10">
        <v>56029</v>
      </c>
      <c r="P79" s="10">
        <v>56892</v>
      </c>
      <c r="Q79" s="10">
        <v>57937</v>
      </c>
      <c r="R79" s="10">
        <v>59292</v>
      </c>
      <c r="S79" s="10">
        <v>60504</v>
      </c>
      <c r="T79" s="10">
        <v>61786</v>
      </c>
      <c r="U79" s="10">
        <v>62150</v>
      </c>
      <c r="V79" s="10">
        <v>62686</v>
      </c>
      <c r="W79" s="10">
        <v>63261</v>
      </c>
      <c r="X79" s="10">
        <v>64035</v>
      </c>
      <c r="Y79" s="10">
        <v>64413</v>
      </c>
      <c r="Z79" s="10">
        <v>64335</v>
      </c>
      <c r="AA79" s="10">
        <v>64717</v>
      </c>
      <c r="AB79" s="10">
        <v>65244</v>
      </c>
      <c r="AC79" s="10">
        <v>65652</v>
      </c>
      <c r="AD79" s="10">
        <v>68499</v>
      </c>
      <c r="AE79" s="10">
        <v>68755</v>
      </c>
      <c r="AF79" s="10">
        <v>69167</v>
      </c>
      <c r="AG79" s="10">
        <v>69507</v>
      </c>
      <c r="AH79" s="10">
        <v>70439</v>
      </c>
      <c r="AI79" s="10">
        <v>70763</v>
      </c>
      <c r="AJ79" s="10">
        <v>72253</v>
      </c>
      <c r="AK79" s="10">
        <v>74205</v>
      </c>
      <c r="AL79" s="10">
        <v>75304</v>
      </c>
      <c r="AM79" s="10">
        <v>76417</v>
      </c>
      <c r="AN79" s="10">
        <v>77319</v>
      </c>
      <c r="AO79" s="10">
        <v>78846</v>
      </c>
      <c r="AP79" s="10">
        <v>80410</v>
      </c>
      <c r="AQ79" s="10">
        <v>81131</v>
      </c>
      <c r="AR79" s="10">
        <v>81202</v>
      </c>
      <c r="AS79" s="10">
        <v>83723</v>
      </c>
      <c r="AT79" s="10">
        <v>82781</v>
      </c>
      <c r="AU79" s="10">
        <v>82475</v>
      </c>
      <c r="AV79" s="10">
        <v>82858</v>
      </c>
      <c r="AW79" s="10">
        <v>84600</v>
      </c>
      <c r="AX79" s="10">
        <v>85033</v>
      </c>
      <c r="AY79" s="10">
        <v>86956</v>
      </c>
      <c r="AZ79" s="10">
        <v>87298</v>
      </c>
      <c r="BA79" s="10">
        <v>89770</v>
      </c>
      <c r="BB79" s="10">
        <v>87441</v>
      </c>
      <c r="BC79" s="10">
        <v>88303</v>
      </c>
      <c r="BD79" s="10">
        <v>89949</v>
      </c>
      <c r="BE79" s="10">
        <v>91359</v>
      </c>
      <c r="BF79" s="10">
        <v>93419</v>
      </c>
      <c r="BG79" s="10">
        <v>94677</v>
      </c>
      <c r="BH79" s="10">
        <v>95843</v>
      </c>
      <c r="BI79" s="10">
        <v>96762</v>
      </c>
      <c r="BJ79" s="10">
        <v>97625</v>
      </c>
    </row>
    <row r="80" spans="1:62" x14ac:dyDescent="0.45">
      <c r="A80" t="s">
        <v>27</v>
      </c>
      <c r="B80" t="s">
        <v>151</v>
      </c>
      <c r="C80" s="10">
        <v>2317636</v>
      </c>
      <c r="D80" s="10">
        <v>2352363</v>
      </c>
      <c r="E80" s="10">
        <v>2388769</v>
      </c>
      <c r="F80" s="10">
        <v>2426857</v>
      </c>
      <c r="G80" s="10">
        <v>2466667</v>
      </c>
      <c r="H80" s="10">
        <v>2508219</v>
      </c>
      <c r="I80" s="10">
        <v>2551578</v>
      </c>
      <c r="J80" s="10">
        <v>2596805</v>
      </c>
      <c r="K80" s="10">
        <v>2644020</v>
      </c>
      <c r="L80" s="10">
        <v>2693348</v>
      </c>
      <c r="M80" s="10">
        <v>2744891</v>
      </c>
      <c r="N80" s="10">
        <v>2798724</v>
      </c>
      <c r="O80" s="10">
        <v>2854872</v>
      </c>
      <c r="P80" s="10">
        <v>2913344</v>
      </c>
      <c r="Q80" s="10">
        <v>2974104</v>
      </c>
      <c r="R80" s="10">
        <v>3037154</v>
      </c>
      <c r="S80" s="10">
        <v>3102592</v>
      </c>
      <c r="T80" s="10">
        <v>3170508</v>
      </c>
      <c r="U80" s="10">
        <v>3240839</v>
      </c>
      <c r="V80" s="10">
        <v>3313504</v>
      </c>
      <c r="W80" s="10">
        <v>3388495</v>
      </c>
      <c r="X80" s="10">
        <v>3464106</v>
      </c>
      <c r="Y80" s="10">
        <v>3540170</v>
      </c>
      <c r="Z80" s="10">
        <v>3619847</v>
      </c>
      <c r="AA80" s="10">
        <v>3707510</v>
      </c>
      <c r="AB80" s="10">
        <v>3805311</v>
      </c>
      <c r="AC80" s="10">
        <v>3916685</v>
      </c>
      <c r="AD80" s="10">
        <v>4038144</v>
      </c>
      <c r="AE80" s="10">
        <v>4156634</v>
      </c>
      <c r="AF80" s="10">
        <v>4254444</v>
      </c>
      <c r="AG80" s="10">
        <v>4319762</v>
      </c>
      <c r="AH80" s="10">
        <v>4348660</v>
      </c>
      <c r="AI80" s="10">
        <v>4347724</v>
      </c>
      <c r="AJ80" s="10">
        <v>4328957</v>
      </c>
      <c r="AK80" s="10">
        <v>4309775</v>
      </c>
      <c r="AL80" s="10">
        <v>4303957</v>
      </c>
      <c r="AM80" s="10">
        <v>4312666</v>
      </c>
      <c r="AN80" s="10">
        <v>4335301</v>
      </c>
      <c r="AO80" s="10">
        <v>4381483</v>
      </c>
      <c r="AP80" s="10">
        <v>4462378</v>
      </c>
      <c r="AQ80" s="10">
        <v>4584571</v>
      </c>
      <c r="AR80" s="10">
        <v>4754072</v>
      </c>
      <c r="AS80" s="10">
        <v>4965766</v>
      </c>
      <c r="AT80" s="10">
        <v>5201070</v>
      </c>
      <c r="AU80" s="10">
        <v>5433991</v>
      </c>
      <c r="AV80" s="10">
        <v>5645624</v>
      </c>
      <c r="AW80" s="10">
        <v>5829237</v>
      </c>
      <c r="AX80" s="10">
        <v>5989633</v>
      </c>
      <c r="AY80" s="10">
        <v>6133603</v>
      </c>
      <c r="AZ80" s="10">
        <v>6272734</v>
      </c>
      <c r="BA80" s="10">
        <v>6415634</v>
      </c>
      <c r="BB80" s="10">
        <v>6563240</v>
      </c>
      <c r="BC80" s="10">
        <v>6712581</v>
      </c>
      <c r="BD80" s="10">
        <v>6863980</v>
      </c>
      <c r="BE80" s="10">
        <v>7017144</v>
      </c>
      <c r="BF80" s="10">
        <v>7171914</v>
      </c>
      <c r="BG80" s="10">
        <v>7328838</v>
      </c>
      <c r="BH80" s="10">
        <v>7488431</v>
      </c>
      <c r="BI80" s="10">
        <v>7650154</v>
      </c>
      <c r="BJ80" s="10">
        <v>7813215</v>
      </c>
    </row>
    <row r="81" spans="1:62" x14ac:dyDescent="0.45">
      <c r="A81" t="s">
        <v>27</v>
      </c>
      <c r="B81" t="s">
        <v>152</v>
      </c>
      <c r="C81" s="10">
        <v>17099840</v>
      </c>
      <c r="D81" s="10">
        <v>17524532</v>
      </c>
      <c r="E81" s="10">
        <v>17965724</v>
      </c>
      <c r="F81" s="10">
        <v>18423160</v>
      </c>
      <c r="G81" s="10">
        <v>18896308</v>
      </c>
      <c r="H81" s="10">
        <v>19384840</v>
      </c>
      <c r="I81" s="10">
        <v>19888250</v>
      </c>
      <c r="J81" s="10">
        <v>20406864</v>
      </c>
      <c r="K81" s="10">
        <v>20942144</v>
      </c>
      <c r="L81" s="10">
        <v>21496076</v>
      </c>
      <c r="M81" s="10">
        <v>22069776</v>
      </c>
      <c r="N81" s="10">
        <v>22665272</v>
      </c>
      <c r="O81" s="10">
        <v>23281508</v>
      </c>
      <c r="P81" s="10">
        <v>23913100</v>
      </c>
      <c r="Q81" s="10">
        <v>24552540</v>
      </c>
      <c r="R81" s="10">
        <v>25195188</v>
      </c>
      <c r="S81" s="10">
        <v>25836888</v>
      </c>
      <c r="T81" s="10">
        <v>26480912</v>
      </c>
      <c r="U81" s="10">
        <v>27138964</v>
      </c>
      <c r="V81" s="10">
        <v>27827320</v>
      </c>
      <c r="W81" s="10">
        <v>28556768</v>
      </c>
      <c r="X81" s="10">
        <v>29333104</v>
      </c>
      <c r="Y81" s="10">
        <v>30150448</v>
      </c>
      <c r="Z81" s="10">
        <v>30993758</v>
      </c>
      <c r="AA81" s="10">
        <v>31841592</v>
      </c>
      <c r="AB81" s="10">
        <v>32678874</v>
      </c>
      <c r="AC81" s="10">
        <v>33495952</v>
      </c>
      <c r="AD81" s="10">
        <v>34297728</v>
      </c>
      <c r="AE81" s="10">
        <v>35100908</v>
      </c>
      <c r="AF81" s="10">
        <v>35930048</v>
      </c>
      <c r="AG81" s="10">
        <v>36800508</v>
      </c>
      <c r="AH81" s="10">
        <v>37718952</v>
      </c>
      <c r="AI81" s="10">
        <v>38672608</v>
      </c>
      <c r="AJ81" s="10">
        <v>39633752</v>
      </c>
      <c r="AK81" s="10">
        <v>40564060</v>
      </c>
      <c r="AL81" s="10">
        <v>41435760</v>
      </c>
      <c r="AM81" s="10">
        <v>42241012</v>
      </c>
      <c r="AN81" s="10">
        <v>42987460</v>
      </c>
      <c r="AO81" s="10">
        <v>43682260</v>
      </c>
      <c r="AP81" s="10">
        <v>44338544</v>
      </c>
      <c r="AQ81" s="10">
        <v>44967708</v>
      </c>
      <c r="AR81" s="10">
        <v>45571272</v>
      </c>
      <c r="AS81" s="10">
        <v>46150912</v>
      </c>
      <c r="AT81" s="10">
        <v>46719196</v>
      </c>
      <c r="AU81" s="10">
        <v>47291608</v>
      </c>
      <c r="AV81" s="10">
        <v>47880600</v>
      </c>
      <c r="AW81" s="10">
        <v>48489460</v>
      </c>
      <c r="AX81" s="10">
        <v>49119760</v>
      </c>
      <c r="AY81" s="10">
        <v>49779472</v>
      </c>
      <c r="AZ81" s="10">
        <v>50477012</v>
      </c>
      <c r="BA81" s="10">
        <v>51216964</v>
      </c>
      <c r="BB81" s="10">
        <v>52004172</v>
      </c>
      <c r="BC81" s="10">
        <v>52834004</v>
      </c>
      <c r="BD81" s="10">
        <v>53689236</v>
      </c>
      <c r="BE81" s="10">
        <v>54545992</v>
      </c>
      <c r="BF81" s="10">
        <v>55386368</v>
      </c>
      <c r="BG81" s="10">
        <v>56203656</v>
      </c>
      <c r="BH81" s="10">
        <v>57000452</v>
      </c>
      <c r="BI81" s="10">
        <v>57779624</v>
      </c>
      <c r="BJ81" s="10">
        <v>58558272</v>
      </c>
    </row>
    <row r="82" spans="1:62" x14ac:dyDescent="0.45">
      <c r="A82" t="s">
        <v>27</v>
      </c>
      <c r="B82" t="s">
        <v>153</v>
      </c>
      <c r="C82" s="10">
        <v>7544491</v>
      </c>
      <c r="D82" s="10">
        <v>7769482</v>
      </c>
      <c r="E82" s="10">
        <v>8004121</v>
      </c>
      <c r="F82" s="10">
        <v>8248812</v>
      </c>
      <c r="G82" s="10">
        <v>8503994</v>
      </c>
      <c r="H82" s="10">
        <v>8770097</v>
      </c>
      <c r="I82" s="10">
        <v>9047798</v>
      </c>
      <c r="J82" s="10">
        <v>9337657</v>
      </c>
      <c r="K82" s="10">
        <v>9639840</v>
      </c>
      <c r="L82" s="10">
        <v>9954410</v>
      </c>
      <c r="M82" s="10">
        <v>10281700</v>
      </c>
      <c r="N82" s="10">
        <v>10621472</v>
      </c>
      <c r="O82" s="10">
        <v>10974622</v>
      </c>
      <c r="P82" s="10">
        <v>11343926</v>
      </c>
      <c r="Q82" s="10">
        <v>11732958</v>
      </c>
      <c r="R82" s="10">
        <v>12144135</v>
      </c>
      <c r="S82" s="10">
        <v>12578407</v>
      </c>
      <c r="T82" s="10">
        <v>13034625</v>
      </c>
      <c r="U82" s="10">
        <v>13510421</v>
      </c>
      <c r="V82" s="10">
        <v>14002303</v>
      </c>
      <c r="W82" s="10">
        <v>14507468</v>
      </c>
      <c r="X82" s="10">
        <v>15027248</v>
      </c>
      <c r="Y82" s="10">
        <v>15562125</v>
      </c>
      <c r="Z82" s="10">
        <v>16107620</v>
      </c>
      <c r="AA82" s="10">
        <v>16657959</v>
      </c>
      <c r="AB82" s="10">
        <v>17210188</v>
      </c>
      <c r="AC82" s="10">
        <v>17757492</v>
      </c>
      <c r="AD82" s="10">
        <v>18303436</v>
      </c>
      <c r="AE82" s="10">
        <v>18867560</v>
      </c>
      <c r="AF82" s="10">
        <v>19476648</v>
      </c>
      <c r="AG82" s="10">
        <v>20147590</v>
      </c>
      <c r="AH82" s="10">
        <v>20891440</v>
      </c>
      <c r="AI82" s="10">
        <v>21696244</v>
      </c>
      <c r="AJ82" s="10">
        <v>22527834</v>
      </c>
      <c r="AK82" s="10">
        <v>23338464</v>
      </c>
      <c r="AL82" s="10">
        <v>24094748</v>
      </c>
      <c r="AM82" s="10">
        <v>24782384</v>
      </c>
      <c r="AN82" s="10">
        <v>25413916</v>
      </c>
      <c r="AO82" s="10">
        <v>26015520</v>
      </c>
      <c r="AP82" s="10">
        <v>26626520</v>
      </c>
      <c r="AQ82" s="10">
        <v>27275016</v>
      </c>
      <c r="AR82" s="10">
        <v>27971082</v>
      </c>
      <c r="AS82" s="10">
        <v>28704778</v>
      </c>
      <c r="AT82" s="10">
        <v>29460520</v>
      </c>
      <c r="AU82" s="10">
        <v>30214192</v>
      </c>
      <c r="AV82" s="10">
        <v>30949516</v>
      </c>
      <c r="AW82" s="10">
        <v>31661824</v>
      </c>
      <c r="AX82" s="10">
        <v>32360620</v>
      </c>
      <c r="AY82" s="10">
        <v>33060836</v>
      </c>
      <c r="AZ82" s="10">
        <v>33783788</v>
      </c>
      <c r="BA82" s="10">
        <v>34545012</v>
      </c>
      <c r="BB82" s="10">
        <v>35349680</v>
      </c>
      <c r="BC82" s="10">
        <v>36193784</v>
      </c>
      <c r="BD82" s="10">
        <v>37072552</v>
      </c>
      <c r="BE82" s="10">
        <v>37977656</v>
      </c>
      <c r="BF82" s="10">
        <v>38902952</v>
      </c>
      <c r="BG82" s="10">
        <v>39847440</v>
      </c>
      <c r="BH82" s="10">
        <v>40813396</v>
      </c>
      <c r="BI82" s="10">
        <v>41801532</v>
      </c>
      <c r="BJ82" s="10">
        <v>42813240</v>
      </c>
    </row>
    <row r="83" spans="1:62" x14ac:dyDescent="0.45">
      <c r="A83" t="s">
        <v>27</v>
      </c>
      <c r="B83" t="s">
        <v>154</v>
      </c>
      <c r="C83" s="10">
        <v>287871</v>
      </c>
      <c r="D83" s="10">
        <v>295916</v>
      </c>
      <c r="E83" s="10">
        <v>303895</v>
      </c>
      <c r="F83" s="10">
        <v>311947</v>
      </c>
      <c r="G83" s="10">
        <v>320270</v>
      </c>
      <c r="H83" s="10">
        <v>328936</v>
      </c>
      <c r="I83" s="10">
        <v>338158</v>
      </c>
      <c r="J83" s="10">
        <v>347660</v>
      </c>
      <c r="K83" s="10">
        <v>356550</v>
      </c>
      <c r="L83" s="10">
        <v>363575</v>
      </c>
      <c r="M83" s="10">
        <v>367931</v>
      </c>
      <c r="N83" s="10">
        <v>369236</v>
      </c>
      <c r="O83" s="10">
        <v>367907</v>
      </c>
      <c r="P83" s="10">
        <v>364915</v>
      </c>
      <c r="Q83" s="10">
        <v>361667</v>
      </c>
      <c r="R83" s="10">
        <v>359226</v>
      </c>
      <c r="S83" s="10">
        <v>357953</v>
      </c>
      <c r="T83" s="10">
        <v>357659</v>
      </c>
      <c r="U83" s="10">
        <v>358099</v>
      </c>
      <c r="V83" s="10">
        <v>358818</v>
      </c>
      <c r="W83" s="10">
        <v>359519</v>
      </c>
      <c r="X83" s="10">
        <v>360143</v>
      </c>
      <c r="Y83" s="10">
        <v>360920</v>
      </c>
      <c r="Z83" s="10">
        <v>362276</v>
      </c>
      <c r="AA83" s="10">
        <v>364733</v>
      </c>
      <c r="AB83" s="10">
        <v>368638</v>
      </c>
      <c r="AC83" s="10">
        <v>374140</v>
      </c>
      <c r="AD83" s="10">
        <v>381037</v>
      </c>
      <c r="AE83" s="10">
        <v>388881</v>
      </c>
      <c r="AF83" s="10">
        <v>397085</v>
      </c>
      <c r="AG83" s="10">
        <v>405168</v>
      </c>
      <c r="AH83" s="10">
        <v>413005</v>
      </c>
      <c r="AI83" s="10">
        <v>420655</v>
      </c>
      <c r="AJ83" s="10">
        <v>428030</v>
      </c>
      <c r="AK83" s="10">
        <v>435105</v>
      </c>
      <c r="AL83" s="10">
        <v>441851</v>
      </c>
      <c r="AM83" s="10">
        <v>448213</v>
      </c>
      <c r="AN83" s="10">
        <v>454161</v>
      </c>
      <c r="AO83" s="10">
        <v>459831</v>
      </c>
      <c r="AP83" s="10">
        <v>465385</v>
      </c>
      <c r="AQ83" s="10">
        <v>470949</v>
      </c>
      <c r="AR83" s="10">
        <v>476579</v>
      </c>
      <c r="AS83" s="10">
        <v>482235</v>
      </c>
      <c r="AT83" s="10">
        <v>487942</v>
      </c>
      <c r="AU83" s="10">
        <v>493679</v>
      </c>
      <c r="AV83" s="10">
        <v>499464</v>
      </c>
      <c r="AW83" s="10">
        <v>505295</v>
      </c>
      <c r="AX83" s="10">
        <v>511181</v>
      </c>
      <c r="AY83" s="10">
        <v>517123</v>
      </c>
      <c r="AZ83" s="10">
        <v>523111</v>
      </c>
      <c r="BA83" s="10">
        <v>529131</v>
      </c>
      <c r="BB83" s="10">
        <v>535179</v>
      </c>
      <c r="BC83" s="10">
        <v>541245</v>
      </c>
      <c r="BD83" s="10">
        <v>547291</v>
      </c>
      <c r="BE83" s="10">
        <v>553273</v>
      </c>
      <c r="BF83" s="10">
        <v>559143</v>
      </c>
      <c r="BG83" s="10">
        <v>564888</v>
      </c>
      <c r="BH83" s="10">
        <v>570496</v>
      </c>
      <c r="BI83" s="10">
        <v>575991</v>
      </c>
      <c r="BJ83" s="10">
        <v>581372</v>
      </c>
    </row>
    <row r="84" spans="1:62" x14ac:dyDescent="0.45">
      <c r="A84" t="s">
        <v>27</v>
      </c>
      <c r="B84" t="s">
        <v>155</v>
      </c>
      <c r="C84" s="10">
        <v>27397208</v>
      </c>
      <c r="D84" s="10">
        <v>28224188</v>
      </c>
      <c r="E84" s="10">
        <v>29080938</v>
      </c>
      <c r="F84" s="10">
        <v>29966864</v>
      </c>
      <c r="G84" s="10">
        <v>30881138</v>
      </c>
      <c r="H84" s="10">
        <v>31822660</v>
      </c>
      <c r="I84" s="10">
        <v>32789130</v>
      </c>
      <c r="J84" s="10">
        <v>33778800</v>
      </c>
      <c r="K84" s="10">
        <v>34791408</v>
      </c>
      <c r="L84" s="10">
        <v>35827092</v>
      </c>
      <c r="M84" s="10">
        <v>36884536</v>
      </c>
      <c r="N84" s="10">
        <v>37963280</v>
      </c>
      <c r="O84" s="10">
        <v>39058604</v>
      </c>
      <c r="P84" s="10">
        <v>40159584</v>
      </c>
      <c r="Q84" s="10">
        <v>41252324</v>
      </c>
      <c r="R84" s="10">
        <v>42326312</v>
      </c>
      <c r="S84" s="10">
        <v>43377272</v>
      </c>
      <c r="T84" s="10">
        <v>44405904</v>
      </c>
      <c r="U84" s="10">
        <v>45413080</v>
      </c>
      <c r="V84" s="10">
        <v>46401752</v>
      </c>
      <c r="W84" s="10">
        <v>47374472</v>
      </c>
      <c r="X84" s="10">
        <v>48326272</v>
      </c>
      <c r="Y84" s="10">
        <v>49255900</v>
      </c>
      <c r="Z84" s="10">
        <v>50173924</v>
      </c>
      <c r="AA84" s="10">
        <v>51094868</v>
      </c>
      <c r="AB84" s="10">
        <v>52026900</v>
      </c>
      <c r="AC84" s="10">
        <v>52980096</v>
      </c>
      <c r="AD84" s="10">
        <v>53945880</v>
      </c>
      <c r="AE84" s="10">
        <v>54891520</v>
      </c>
      <c r="AF84" s="10">
        <v>55772168</v>
      </c>
      <c r="AG84" s="10">
        <v>56558184</v>
      </c>
      <c r="AH84" s="10">
        <v>57232464</v>
      </c>
      <c r="AI84" s="10">
        <v>57811020</v>
      </c>
      <c r="AJ84" s="10">
        <v>58337772</v>
      </c>
      <c r="AK84" s="10">
        <v>58875268</v>
      </c>
      <c r="AL84" s="10">
        <v>59467272</v>
      </c>
      <c r="AM84" s="10">
        <v>60130184</v>
      </c>
      <c r="AN84" s="10">
        <v>60846584</v>
      </c>
      <c r="AO84" s="10">
        <v>61585104</v>
      </c>
      <c r="AP84" s="10">
        <v>62298572</v>
      </c>
      <c r="AQ84" s="10">
        <v>62952640</v>
      </c>
      <c r="AR84" s="10">
        <v>63539196</v>
      </c>
      <c r="AS84" s="10">
        <v>64069088</v>
      </c>
      <c r="AT84" s="10">
        <v>64549864</v>
      </c>
      <c r="AU84" s="10">
        <v>64995300</v>
      </c>
      <c r="AV84" s="10">
        <v>65416188</v>
      </c>
      <c r="AW84" s="10">
        <v>65812536</v>
      </c>
      <c r="AX84" s="10">
        <v>66182068</v>
      </c>
      <c r="AY84" s="10">
        <v>66530984</v>
      </c>
      <c r="AZ84" s="10">
        <v>66866840</v>
      </c>
      <c r="BA84" s="10">
        <v>67195024</v>
      </c>
      <c r="BB84" s="10">
        <v>67518384</v>
      </c>
      <c r="BC84" s="10">
        <v>67835960</v>
      </c>
      <c r="BD84" s="10">
        <v>68144504</v>
      </c>
      <c r="BE84" s="10">
        <v>68438728</v>
      </c>
      <c r="BF84" s="10">
        <v>68714512</v>
      </c>
      <c r="BG84" s="10">
        <v>68971328</v>
      </c>
      <c r="BH84" s="10">
        <v>69209856</v>
      </c>
      <c r="BI84" s="10">
        <v>69428528</v>
      </c>
      <c r="BJ84" s="10">
        <v>69625584</v>
      </c>
    </row>
    <row r="85" spans="1:62" x14ac:dyDescent="0.45">
      <c r="A85" t="s">
        <v>27</v>
      </c>
      <c r="B85" t="s">
        <v>156</v>
      </c>
      <c r="C85" s="10">
        <v>1580513</v>
      </c>
      <c r="D85" s="10">
        <v>1597526</v>
      </c>
      <c r="E85" s="10">
        <v>1612755</v>
      </c>
      <c r="F85" s="10">
        <v>1631764</v>
      </c>
      <c r="G85" s="10">
        <v>1662073</v>
      </c>
      <c r="H85" s="10">
        <v>1708630</v>
      </c>
      <c r="I85" s="10">
        <v>1774029</v>
      </c>
      <c r="J85" s="10">
        <v>1855442</v>
      </c>
      <c r="K85" s="10">
        <v>1945780</v>
      </c>
      <c r="L85" s="10">
        <v>2034907</v>
      </c>
      <c r="M85" s="10">
        <v>2115522</v>
      </c>
      <c r="N85" s="10">
        <v>2185662</v>
      </c>
      <c r="O85" s="10">
        <v>2247582</v>
      </c>
      <c r="P85" s="10">
        <v>2303345</v>
      </c>
      <c r="Q85" s="10">
        <v>2356622</v>
      </c>
      <c r="R85" s="10">
        <v>2410446</v>
      </c>
      <c r="S85" s="10">
        <v>2464423</v>
      </c>
      <c r="T85" s="10">
        <v>2518457</v>
      </c>
      <c r="U85" s="10">
        <v>2576292</v>
      </c>
      <c r="V85" s="10">
        <v>2642696</v>
      </c>
      <c r="W85" s="10">
        <v>2720839</v>
      </c>
      <c r="X85" s="10">
        <v>2812307</v>
      </c>
      <c r="Y85" s="10">
        <v>2915620</v>
      </c>
      <c r="Z85" s="10">
        <v>3026973</v>
      </c>
      <c r="AA85" s="10">
        <v>3140846</v>
      </c>
      <c r="AB85" s="10">
        <v>3252994</v>
      </c>
      <c r="AC85" s="10">
        <v>3363042</v>
      </c>
      <c r="AD85" s="10">
        <v>3471739</v>
      </c>
      <c r="AE85" s="10">
        <v>3577468</v>
      </c>
      <c r="AF85" s="10">
        <v>3678567</v>
      </c>
      <c r="AG85" s="10">
        <v>3774312</v>
      </c>
      <c r="AH85" s="10">
        <v>3862992</v>
      </c>
      <c r="AI85" s="10">
        <v>3945905</v>
      </c>
      <c r="AJ85" s="10">
        <v>4029053</v>
      </c>
      <c r="AK85" s="10">
        <v>4120616</v>
      </c>
      <c r="AL85" s="10">
        <v>4226291</v>
      </c>
      <c r="AM85" s="10">
        <v>4348805</v>
      </c>
      <c r="AN85" s="10">
        <v>4485951</v>
      </c>
      <c r="AO85" s="10">
        <v>4632446</v>
      </c>
      <c r="AP85" s="10">
        <v>4780448</v>
      </c>
      <c r="AQ85" s="10">
        <v>4924402</v>
      </c>
      <c r="AR85" s="10">
        <v>5062567</v>
      </c>
      <c r="AS85" s="10">
        <v>5197031</v>
      </c>
      <c r="AT85" s="10">
        <v>5330639</v>
      </c>
      <c r="AU85" s="10">
        <v>5467766</v>
      </c>
      <c r="AV85" s="10">
        <v>5611640</v>
      </c>
      <c r="AW85" s="10">
        <v>5762880</v>
      </c>
      <c r="AX85" s="10">
        <v>5920359</v>
      </c>
      <c r="AY85" s="10">
        <v>6083420</v>
      </c>
      <c r="AZ85" s="10">
        <v>6250835</v>
      </c>
      <c r="BA85" s="10">
        <v>6421679</v>
      </c>
      <c r="BB85" s="10">
        <v>6595943</v>
      </c>
      <c r="BC85" s="10">
        <v>6773807</v>
      </c>
      <c r="BD85" s="10">
        <v>6954721</v>
      </c>
      <c r="BE85" s="10">
        <v>7137997</v>
      </c>
      <c r="BF85" s="10">
        <v>7323158</v>
      </c>
      <c r="BG85" s="10">
        <v>7509952</v>
      </c>
      <c r="BH85" s="10">
        <v>7698475</v>
      </c>
      <c r="BI85" s="10">
        <v>7889094</v>
      </c>
      <c r="BJ85" s="10">
        <v>8082366</v>
      </c>
    </row>
    <row r="86" spans="1:62" x14ac:dyDescent="0.45">
      <c r="A86" t="s">
        <v>27</v>
      </c>
      <c r="B86" t="s">
        <v>157</v>
      </c>
      <c r="C86" s="10">
        <v>847979</v>
      </c>
      <c r="D86" s="10">
        <v>864818</v>
      </c>
      <c r="E86" s="10">
        <v>879441</v>
      </c>
      <c r="F86" s="10">
        <v>891944</v>
      </c>
      <c r="G86" s="10">
        <v>902613</v>
      </c>
      <c r="H86" s="10">
        <v>911737</v>
      </c>
      <c r="I86" s="10">
        <v>919217</v>
      </c>
      <c r="J86" s="10">
        <v>925235</v>
      </c>
      <c r="K86" s="10">
        <v>930795</v>
      </c>
      <c r="L86" s="10">
        <v>937186</v>
      </c>
      <c r="M86" s="10">
        <v>945360</v>
      </c>
      <c r="N86" s="10">
        <v>955741</v>
      </c>
      <c r="O86" s="10">
        <v>968136</v>
      </c>
      <c r="P86" s="10">
        <v>982010</v>
      </c>
      <c r="Q86" s="10">
        <v>996493</v>
      </c>
      <c r="R86" s="10">
        <v>1010936</v>
      </c>
      <c r="S86" s="10">
        <v>1025107</v>
      </c>
      <c r="T86" s="10">
        <v>1039212</v>
      </c>
      <c r="U86" s="10">
        <v>1053558</v>
      </c>
      <c r="V86" s="10">
        <v>1068640</v>
      </c>
      <c r="W86" s="10">
        <v>1084744</v>
      </c>
      <c r="X86" s="10">
        <v>1101983</v>
      </c>
      <c r="Y86" s="10">
        <v>1120020</v>
      </c>
      <c r="Z86" s="10">
        <v>1138071</v>
      </c>
      <c r="AA86" s="10">
        <v>1155074</v>
      </c>
      <c r="AB86" s="10">
        <v>1170285</v>
      </c>
      <c r="AC86" s="10">
        <v>1183381</v>
      </c>
      <c r="AD86" s="10">
        <v>1194541</v>
      </c>
      <c r="AE86" s="10">
        <v>1204153</v>
      </c>
      <c r="AF86" s="10">
        <v>1212857</v>
      </c>
      <c r="AG86" s="10">
        <v>1221116</v>
      </c>
      <c r="AH86" s="10">
        <v>1229103</v>
      </c>
      <c r="AI86" s="10">
        <v>1236683</v>
      </c>
      <c r="AJ86" s="10">
        <v>1243616</v>
      </c>
      <c r="AK86" s="10">
        <v>1249520</v>
      </c>
      <c r="AL86" s="10">
        <v>1254200</v>
      </c>
      <c r="AM86" s="10">
        <v>1257549</v>
      </c>
      <c r="AN86" s="10">
        <v>1259848</v>
      </c>
      <c r="AO86" s="10">
        <v>1261695</v>
      </c>
      <c r="AP86" s="10">
        <v>1263933</v>
      </c>
      <c r="AQ86" s="10">
        <v>1267153</v>
      </c>
      <c r="AR86" s="10">
        <v>1271632</v>
      </c>
      <c r="AS86" s="10">
        <v>1277213</v>
      </c>
      <c r="AT86" s="10">
        <v>1283559</v>
      </c>
      <c r="AU86" s="10">
        <v>1290123</v>
      </c>
      <c r="AV86" s="10">
        <v>1296502</v>
      </c>
      <c r="AW86" s="10">
        <v>1302561</v>
      </c>
      <c r="AX86" s="10">
        <v>1308451</v>
      </c>
      <c r="AY86" s="10">
        <v>1314443</v>
      </c>
      <c r="AZ86" s="10">
        <v>1320930</v>
      </c>
      <c r="BA86" s="10">
        <v>1328147</v>
      </c>
      <c r="BB86" s="10">
        <v>1336178</v>
      </c>
      <c r="BC86" s="10">
        <v>1344817</v>
      </c>
      <c r="BD86" s="10">
        <v>1353700</v>
      </c>
      <c r="BE86" s="10">
        <v>1362342</v>
      </c>
      <c r="BF86" s="10">
        <v>1370328</v>
      </c>
      <c r="BG86" s="10">
        <v>1377564</v>
      </c>
      <c r="BH86" s="10">
        <v>1384072</v>
      </c>
      <c r="BI86" s="10">
        <v>1389858</v>
      </c>
      <c r="BJ86" s="10">
        <v>1394973</v>
      </c>
    </row>
    <row r="87" spans="1:62" x14ac:dyDescent="0.45">
      <c r="A87" t="s">
        <v>27</v>
      </c>
      <c r="B87" t="s">
        <v>158</v>
      </c>
      <c r="C87" s="10">
        <v>27472344</v>
      </c>
      <c r="D87" s="10">
        <v>28146910</v>
      </c>
      <c r="E87" s="10">
        <v>28832828</v>
      </c>
      <c r="F87" s="10">
        <v>29531364</v>
      </c>
      <c r="G87" s="10">
        <v>30244260</v>
      </c>
      <c r="H87" s="10">
        <v>30972994</v>
      </c>
      <c r="I87" s="10">
        <v>31717508</v>
      </c>
      <c r="J87" s="10">
        <v>32477992</v>
      </c>
      <c r="K87" s="10">
        <v>33256464</v>
      </c>
      <c r="L87" s="10">
        <v>34055392</v>
      </c>
      <c r="M87" s="10">
        <v>34876304</v>
      </c>
      <c r="N87" s="10">
        <v>35720600</v>
      </c>
      <c r="O87" s="10">
        <v>36587260</v>
      </c>
      <c r="P87" s="10">
        <v>37472336</v>
      </c>
      <c r="Q87" s="10">
        <v>38370284</v>
      </c>
      <c r="R87" s="10">
        <v>39277256</v>
      </c>
      <c r="S87" s="10">
        <v>40189568</v>
      </c>
      <c r="T87" s="10">
        <v>41108296</v>
      </c>
      <c r="U87" s="10">
        <v>42039992</v>
      </c>
      <c r="V87" s="10">
        <v>42994040</v>
      </c>
      <c r="W87" s="10">
        <v>43975972</v>
      </c>
      <c r="X87" s="10">
        <v>44988416</v>
      </c>
      <c r="Y87" s="10">
        <v>46025412</v>
      </c>
      <c r="Z87" s="10">
        <v>47073472</v>
      </c>
      <c r="AA87" s="10">
        <v>48114156</v>
      </c>
      <c r="AB87" s="10">
        <v>49133936</v>
      </c>
      <c r="AC87" s="10">
        <v>50128540</v>
      </c>
      <c r="AD87" s="10">
        <v>51100924</v>
      </c>
      <c r="AE87" s="10">
        <v>52053764</v>
      </c>
      <c r="AF87" s="10">
        <v>52992488</v>
      </c>
      <c r="AG87" s="10">
        <v>53921760</v>
      </c>
      <c r="AH87" s="10">
        <v>54840592</v>
      </c>
      <c r="AI87" s="10">
        <v>55748948</v>
      </c>
      <c r="AJ87" s="10">
        <v>56653804</v>
      </c>
      <c r="AK87" s="10">
        <v>57564204</v>
      </c>
      <c r="AL87" s="10">
        <v>58486456</v>
      </c>
      <c r="AM87" s="10">
        <v>59423280</v>
      </c>
      <c r="AN87" s="10">
        <v>60372568</v>
      </c>
      <c r="AO87" s="10">
        <v>61329676</v>
      </c>
      <c r="AP87" s="10">
        <v>62287396</v>
      </c>
      <c r="AQ87" s="10">
        <v>63240192</v>
      </c>
      <c r="AR87" s="10">
        <v>64192244</v>
      </c>
      <c r="AS87" s="10">
        <v>65145368</v>
      </c>
      <c r="AT87" s="10">
        <v>66089400</v>
      </c>
      <c r="AU87" s="10">
        <v>67010928</v>
      </c>
      <c r="AV87" s="10">
        <v>67903472</v>
      </c>
      <c r="AW87" s="10">
        <v>68756808</v>
      </c>
      <c r="AX87" s="10">
        <v>69581848</v>
      </c>
      <c r="AY87" s="10">
        <v>70418608</v>
      </c>
      <c r="AZ87" s="10">
        <v>71321400</v>
      </c>
      <c r="BA87" s="10">
        <v>72326992</v>
      </c>
      <c r="BB87" s="10">
        <v>73443864</v>
      </c>
      <c r="BC87" s="10">
        <v>74653016</v>
      </c>
      <c r="BD87" s="10">
        <v>75928560</v>
      </c>
      <c r="BE87" s="10">
        <v>77231904</v>
      </c>
      <c r="BF87" s="10">
        <v>78529408</v>
      </c>
      <c r="BG87" s="10">
        <v>79821728</v>
      </c>
      <c r="BH87" s="10">
        <v>81101888</v>
      </c>
      <c r="BI87" s="10">
        <v>82319728</v>
      </c>
      <c r="BJ87" s="10">
        <v>83429616</v>
      </c>
    </row>
    <row r="88" spans="1:62" x14ac:dyDescent="0.45">
      <c r="A88" t="s">
        <v>27</v>
      </c>
      <c r="B88" t="s">
        <v>159</v>
      </c>
      <c r="C88" s="10">
        <v>2538643</v>
      </c>
      <c r="D88" s="10">
        <v>2571681</v>
      </c>
      <c r="E88" s="10">
        <v>2603882</v>
      </c>
      <c r="F88" s="10">
        <v>2635126</v>
      </c>
      <c r="G88" s="10">
        <v>2665388</v>
      </c>
      <c r="H88" s="10">
        <v>2694536</v>
      </c>
      <c r="I88" s="10">
        <v>2722875</v>
      </c>
      <c r="J88" s="10">
        <v>2750086</v>
      </c>
      <c r="K88" s="10">
        <v>2774759</v>
      </c>
      <c r="L88" s="10">
        <v>2795042</v>
      </c>
      <c r="M88" s="10">
        <v>2809793</v>
      </c>
      <c r="N88" s="10">
        <v>2818281</v>
      </c>
      <c r="O88" s="10">
        <v>2821461</v>
      </c>
      <c r="P88" s="10">
        <v>2822117</v>
      </c>
      <c r="Q88" s="10">
        <v>2824095</v>
      </c>
      <c r="R88" s="10">
        <v>2830176</v>
      </c>
      <c r="S88" s="10">
        <v>2841372</v>
      </c>
      <c r="T88" s="10">
        <v>2856958</v>
      </c>
      <c r="U88" s="10">
        <v>2875728</v>
      </c>
      <c r="V88" s="10">
        <v>2895688</v>
      </c>
      <c r="W88" s="10">
        <v>2915389</v>
      </c>
      <c r="X88" s="10">
        <v>2934613</v>
      </c>
      <c r="Y88" s="10">
        <v>2953852</v>
      </c>
      <c r="Z88" s="10">
        <v>2973036</v>
      </c>
      <c r="AA88" s="10">
        <v>2992246</v>
      </c>
      <c r="AB88" s="10">
        <v>3011519</v>
      </c>
      <c r="AC88" s="10">
        <v>3030649</v>
      </c>
      <c r="AD88" s="10">
        <v>3049581</v>
      </c>
      <c r="AE88" s="10">
        <v>3068705</v>
      </c>
      <c r="AF88" s="10">
        <v>3088595</v>
      </c>
      <c r="AG88" s="10">
        <v>3109601</v>
      </c>
      <c r="AH88" s="10">
        <v>3131660</v>
      </c>
      <c r="AI88" s="10">
        <v>3154464</v>
      </c>
      <c r="AJ88" s="10">
        <v>3177745</v>
      </c>
      <c r="AK88" s="10">
        <v>3201151</v>
      </c>
      <c r="AL88" s="10">
        <v>3224281</v>
      </c>
      <c r="AM88" s="10">
        <v>3247381</v>
      </c>
      <c r="AN88" s="10">
        <v>3270164</v>
      </c>
      <c r="AO88" s="10">
        <v>3291053</v>
      </c>
      <c r="AP88" s="10">
        <v>3308012</v>
      </c>
      <c r="AQ88" s="10">
        <v>3319736</v>
      </c>
      <c r="AR88" s="10">
        <v>3325473</v>
      </c>
      <c r="AS88" s="10">
        <v>3326040</v>
      </c>
      <c r="AT88" s="10">
        <v>3323668</v>
      </c>
      <c r="AU88" s="10">
        <v>3321476</v>
      </c>
      <c r="AV88" s="10">
        <v>3321803</v>
      </c>
      <c r="AW88" s="10">
        <v>3325401</v>
      </c>
      <c r="AX88" s="10">
        <v>3331749</v>
      </c>
      <c r="AY88" s="10">
        <v>3340221</v>
      </c>
      <c r="AZ88" s="10">
        <v>3349676</v>
      </c>
      <c r="BA88" s="10">
        <v>3359275</v>
      </c>
      <c r="BB88" s="10">
        <v>3368934</v>
      </c>
      <c r="BC88" s="10">
        <v>3378974</v>
      </c>
      <c r="BD88" s="10">
        <v>3389439</v>
      </c>
      <c r="BE88" s="10">
        <v>3400434</v>
      </c>
      <c r="BF88" s="10">
        <v>3412009</v>
      </c>
      <c r="BG88" s="10">
        <v>3424132</v>
      </c>
      <c r="BH88" s="10">
        <v>3436646</v>
      </c>
      <c r="BI88" s="10">
        <v>3449299</v>
      </c>
      <c r="BJ88" s="10">
        <v>3461734</v>
      </c>
    </row>
    <row r="89" spans="1:62" x14ac:dyDescent="0.45">
      <c r="A89" t="s">
        <v>27</v>
      </c>
      <c r="B89" t="s">
        <v>160</v>
      </c>
      <c r="C89" s="10">
        <v>3070776</v>
      </c>
      <c r="D89" s="10">
        <v>3164329</v>
      </c>
      <c r="E89" s="10">
        <v>3260650</v>
      </c>
      <c r="F89" s="10">
        <v>3360104</v>
      </c>
      <c r="G89" s="10">
        <v>3463213</v>
      </c>
      <c r="H89" s="10">
        <v>3570464</v>
      </c>
      <c r="I89" s="10">
        <v>3681955</v>
      </c>
      <c r="J89" s="10">
        <v>3797873</v>
      </c>
      <c r="K89" s="10">
        <v>3918872</v>
      </c>
      <c r="L89" s="10">
        <v>4045740</v>
      </c>
      <c r="M89" s="10">
        <v>4179067</v>
      </c>
      <c r="N89" s="10">
        <v>4319224</v>
      </c>
      <c r="O89" s="10">
        <v>4466174</v>
      </c>
      <c r="P89" s="10">
        <v>4619546</v>
      </c>
      <c r="Q89" s="10">
        <v>4778724</v>
      </c>
      <c r="R89" s="10">
        <v>4943283</v>
      </c>
      <c r="S89" s="10">
        <v>5112823</v>
      </c>
      <c r="T89" s="10">
        <v>5287548</v>
      </c>
      <c r="U89" s="10">
        <v>5468262</v>
      </c>
      <c r="V89" s="10">
        <v>5656139</v>
      </c>
      <c r="W89" s="10">
        <v>5851825</v>
      </c>
      <c r="X89" s="10">
        <v>6055366</v>
      </c>
      <c r="Y89" s="10">
        <v>6265864</v>
      </c>
      <c r="Z89" s="10">
        <v>6481916</v>
      </c>
      <c r="AA89" s="10">
        <v>6701540</v>
      </c>
      <c r="AB89" s="10">
        <v>6923149</v>
      </c>
      <c r="AC89" s="10">
        <v>7146969</v>
      </c>
      <c r="AD89" s="10">
        <v>7372837</v>
      </c>
      <c r="AE89" s="10">
        <v>7598275</v>
      </c>
      <c r="AF89" s="10">
        <v>7820205</v>
      </c>
      <c r="AG89" s="10">
        <v>8036845</v>
      </c>
      <c r="AH89" s="10">
        <v>8246656</v>
      </c>
      <c r="AI89" s="10">
        <v>8451347</v>
      </c>
      <c r="AJ89" s="10">
        <v>8656486</v>
      </c>
      <c r="AK89" s="10">
        <v>8869740</v>
      </c>
      <c r="AL89" s="10">
        <v>9096607</v>
      </c>
      <c r="AM89" s="10">
        <v>9339733</v>
      </c>
      <c r="AN89" s="10">
        <v>9597609</v>
      </c>
      <c r="AO89" s="10">
        <v>9866476</v>
      </c>
      <c r="AP89" s="10">
        <v>10140561</v>
      </c>
      <c r="AQ89" s="10">
        <v>10415944</v>
      </c>
      <c r="AR89" s="10">
        <v>10692193</v>
      </c>
      <c r="AS89" s="10">
        <v>10971698</v>
      </c>
      <c r="AT89" s="10">
        <v>11256743</v>
      </c>
      <c r="AU89" s="10">
        <v>11550642</v>
      </c>
      <c r="AV89" s="10">
        <v>11856247</v>
      </c>
      <c r="AW89" s="10">
        <v>12173514</v>
      </c>
      <c r="AX89" s="10">
        <v>12502958</v>
      </c>
      <c r="AY89" s="10">
        <v>12848530</v>
      </c>
      <c r="AZ89" s="10">
        <v>13215139</v>
      </c>
      <c r="BA89" s="10">
        <v>13605984</v>
      </c>
      <c r="BB89" s="10">
        <v>14023193</v>
      </c>
      <c r="BC89" s="10">
        <v>14465121</v>
      </c>
      <c r="BD89" s="10">
        <v>14926504</v>
      </c>
      <c r="BE89" s="10">
        <v>15399753</v>
      </c>
      <c r="BF89" s="10">
        <v>15879361</v>
      </c>
      <c r="BG89" s="10">
        <v>16363507</v>
      </c>
      <c r="BH89" s="10">
        <v>16853688</v>
      </c>
      <c r="BI89" s="10">
        <v>17351822</v>
      </c>
      <c r="BJ89" s="10">
        <v>17861030</v>
      </c>
    </row>
    <row r="90" spans="1:62" x14ac:dyDescent="0.45">
      <c r="A90" t="s">
        <v>27</v>
      </c>
      <c r="B90" t="s">
        <v>161</v>
      </c>
      <c r="C90" s="10">
        <v>3776681</v>
      </c>
      <c r="D90" s="10">
        <v>3905034</v>
      </c>
      <c r="E90" s="10">
        <v>4039201</v>
      </c>
      <c r="F90" s="10">
        <v>4178726</v>
      </c>
      <c r="G90" s="10">
        <v>4322861</v>
      </c>
      <c r="H90" s="10">
        <v>4471177</v>
      </c>
      <c r="I90" s="10">
        <v>4623351</v>
      </c>
      <c r="J90" s="10">
        <v>4779827</v>
      </c>
      <c r="K90" s="10">
        <v>4941906</v>
      </c>
      <c r="L90" s="10">
        <v>5111337</v>
      </c>
      <c r="M90" s="10">
        <v>5289303</v>
      </c>
      <c r="N90" s="10">
        <v>5476982</v>
      </c>
      <c r="O90" s="10">
        <v>5673911</v>
      </c>
      <c r="P90" s="10">
        <v>5877726</v>
      </c>
      <c r="Q90" s="10">
        <v>6085074</v>
      </c>
      <c r="R90" s="10">
        <v>6293875</v>
      </c>
      <c r="S90" s="10">
        <v>6502569</v>
      </c>
      <c r="T90" s="10">
        <v>6712827</v>
      </c>
      <c r="U90" s="10">
        <v>6929664</v>
      </c>
      <c r="V90" s="10">
        <v>7160023</v>
      </c>
      <c r="W90" s="10">
        <v>7408624</v>
      </c>
      <c r="X90" s="10">
        <v>7675591</v>
      </c>
      <c r="Y90" s="10">
        <v>7958241</v>
      </c>
      <c r="Z90" s="10">
        <v>8254747</v>
      </c>
      <c r="AA90" s="10">
        <v>8562249</v>
      </c>
      <c r="AB90" s="10">
        <v>8877489</v>
      </c>
      <c r="AC90" s="10">
        <v>9200149</v>
      </c>
      <c r="AD90" s="10">
        <v>9527203</v>
      </c>
      <c r="AE90" s="10">
        <v>9849125</v>
      </c>
      <c r="AF90" s="10">
        <v>10153852</v>
      </c>
      <c r="AG90" s="10">
        <v>10432421</v>
      </c>
      <c r="AH90" s="10">
        <v>10680995</v>
      </c>
      <c r="AI90" s="10">
        <v>10900502</v>
      </c>
      <c r="AJ90" s="10">
        <v>11092766</v>
      </c>
      <c r="AK90" s="10">
        <v>11261744</v>
      </c>
      <c r="AL90" s="10">
        <v>11410714</v>
      </c>
      <c r="AM90" s="10">
        <v>11541217</v>
      </c>
      <c r="AN90" s="10">
        <v>11653242</v>
      </c>
      <c r="AO90" s="10">
        <v>11747072</v>
      </c>
      <c r="AP90" s="10">
        <v>11822719</v>
      </c>
      <c r="AQ90" s="10">
        <v>11881477</v>
      </c>
      <c r="AR90" s="10">
        <v>11923914</v>
      </c>
      <c r="AS90" s="10">
        <v>11954290</v>
      </c>
      <c r="AT90" s="10">
        <v>11982224</v>
      </c>
      <c r="AU90" s="10">
        <v>12019912</v>
      </c>
      <c r="AV90" s="10">
        <v>12076699</v>
      </c>
      <c r="AW90" s="10">
        <v>12155491</v>
      </c>
      <c r="AX90" s="10">
        <v>12255922</v>
      </c>
      <c r="AY90" s="10">
        <v>12379549</v>
      </c>
      <c r="AZ90" s="10">
        <v>12526968</v>
      </c>
      <c r="BA90" s="10">
        <v>12697723</v>
      </c>
      <c r="BB90" s="10">
        <v>12894316</v>
      </c>
      <c r="BC90" s="10">
        <v>13115131</v>
      </c>
      <c r="BD90" s="10">
        <v>13350356</v>
      </c>
      <c r="BE90" s="10">
        <v>13586681</v>
      </c>
      <c r="BF90" s="10">
        <v>13814629</v>
      </c>
      <c r="BG90" s="10">
        <v>14030390</v>
      </c>
      <c r="BH90" s="10">
        <v>14236745</v>
      </c>
      <c r="BI90" s="10">
        <v>14439018</v>
      </c>
      <c r="BJ90" s="10">
        <v>14645468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AA0DA-3446-4B50-AC05-297F08F1834C}">
  <sheetPr codeName="Sheet3"/>
  <dimension ref="A1:CG90"/>
  <sheetViews>
    <sheetView workbookViewId="0">
      <pane xSplit="2" ySplit="12" topLeftCell="AZ13" activePane="bottomRight" state="frozen"/>
      <selection pane="topRight" activeCell="C1" sqref="C1"/>
      <selection pane="bottomLeft" activeCell="A13" sqref="A13"/>
      <selection pane="bottomRight" activeCell="BJ1" sqref="BJ1"/>
    </sheetView>
  </sheetViews>
  <sheetFormatPr defaultRowHeight="14.25" x14ac:dyDescent="0.45"/>
  <cols>
    <col min="1" max="1" width="24.265625" customWidth="1"/>
    <col min="2" max="2" width="21.59765625" bestFit="1" customWidth="1"/>
    <col min="3" max="22" width="16.9296875" bestFit="1" customWidth="1"/>
    <col min="23" max="62" width="17.9296875" bestFit="1" customWidth="1"/>
    <col min="63" max="63" width="8.73046875" bestFit="1" customWidth="1"/>
    <col min="64" max="64" width="11.73046875" bestFit="1" customWidth="1"/>
    <col min="65" max="75" width="11.59765625" bestFit="1" customWidth="1"/>
    <col min="76" max="77" width="11.73046875" bestFit="1" customWidth="1"/>
    <col min="78" max="81" width="11.59765625" bestFit="1" customWidth="1"/>
    <col min="82" max="91" width="11.73046875" bestFit="1" customWidth="1"/>
    <col min="92" max="110" width="11.59765625" bestFit="1" customWidth="1"/>
    <col min="111" max="146" width="11.73046875" bestFit="1" customWidth="1"/>
    <col min="147" max="149" width="11.59765625" bestFit="1" customWidth="1"/>
    <col min="150" max="153" width="11.73046875" bestFit="1" customWidth="1"/>
    <col min="154" max="155" width="11.59765625" bestFit="1" customWidth="1"/>
  </cols>
  <sheetData>
    <row r="1" spans="1:85" x14ac:dyDescent="0.45">
      <c r="B1" t="s">
        <v>27</v>
      </c>
      <c r="C1" s="11">
        <f>SUMIF($A$14:$A$90,$B1,C$14:C$90)</f>
        <v>145912389081</v>
      </c>
      <c r="D1" s="11">
        <f t="shared" ref="D1:AY2" si="0">SUMIF($A$14:$A$90,$B1,D$14:D$90)</f>
        <v>147801382010</v>
      </c>
      <c r="E1" s="11">
        <f t="shared" si="0"/>
        <v>159929834849</v>
      </c>
      <c r="F1" s="11">
        <f t="shared" si="0"/>
        <v>179793640645</v>
      </c>
      <c r="G1" s="11">
        <f t="shared" si="0"/>
        <v>194403622468</v>
      </c>
      <c r="H1" s="11">
        <f t="shared" si="0"/>
        <v>208333333521</v>
      </c>
      <c r="I1" s="11">
        <f t="shared" si="0"/>
        <v>212889788243</v>
      </c>
      <c r="J1" s="11">
        <f t="shared" si="0"/>
        <v>227794355293</v>
      </c>
      <c r="K1" s="11">
        <f t="shared" si="0"/>
        <v>244289214435</v>
      </c>
      <c r="L1" s="11">
        <f t="shared" si="0"/>
        <v>272444783232</v>
      </c>
      <c r="M1" s="11">
        <f t="shared" si="0"/>
        <v>295223471860</v>
      </c>
      <c r="N1" s="11">
        <f t="shared" si="0"/>
        <v>317764298740</v>
      </c>
      <c r="O1" s="11">
        <f t="shared" si="0"/>
        <v>351949334284</v>
      </c>
      <c r="P1" s="11">
        <f t="shared" si="0"/>
        <v>440314169304</v>
      </c>
      <c r="Q1" s="11">
        <f t="shared" si="0"/>
        <v>559962613852</v>
      </c>
      <c r="R1" s="11">
        <f t="shared" si="0"/>
        <v>623649340032</v>
      </c>
      <c r="S1" s="11">
        <f t="shared" si="0"/>
        <v>682456611452</v>
      </c>
      <c r="T1" s="11">
        <f t="shared" si="0"/>
        <v>761029115088</v>
      </c>
      <c r="U1" s="11">
        <f t="shared" si="0"/>
        <v>872425263616</v>
      </c>
      <c r="V1" s="11">
        <f t="shared" si="0"/>
        <v>1043591392424</v>
      </c>
      <c r="W1" s="11">
        <f t="shared" si="0"/>
        <v>1239186689072</v>
      </c>
      <c r="X1" s="11">
        <f t="shared" si="0"/>
        <v>1471517764368</v>
      </c>
      <c r="Y1" s="11">
        <f t="shared" si="0"/>
        <v>1380037286256</v>
      </c>
      <c r="Z1" s="11">
        <f t="shared" si="0"/>
        <v>1229984960672</v>
      </c>
      <c r="AA1" s="11">
        <f t="shared" si="0"/>
        <v>1232251851040</v>
      </c>
      <c r="AB1" s="11">
        <f t="shared" si="0"/>
        <v>1253749786800</v>
      </c>
      <c r="AC1" s="11">
        <f t="shared" si="0"/>
        <v>1266139345008</v>
      </c>
      <c r="AD1" s="11">
        <f t="shared" si="0"/>
        <v>1409411657216</v>
      </c>
      <c r="AE1" s="11">
        <f t="shared" si="0"/>
        <v>1537029355936</v>
      </c>
      <c r="AF1" s="11">
        <f t="shared" si="0"/>
        <v>1722601083072</v>
      </c>
      <c r="AG1" s="11">
        <f t="shared" si="0"/>
        <v>1945157529696</v>
      </c>
      <c r="AH1" s="11">
        <f t="shared" si="0"/>
        <v>2141065382240</v>
      </c>
      <c r="AI1" s="11">
        <f t="shared" si="0"/>
        <v>2080614294368</v>
      </c>
      <c r="AJ1" s="11">
        <f t="shared" si="0"/>
        <v>2300464285440</v>
      </c>
      <c r="AK1" s="11">
        <f t="shared" si="0"/>
        <v>2530590690816</v>
      </c>
      <c r="AL1" s="11">
        <f t="shared" si="0"/>
        <v>2793225049472</v>
      </c>
      <c r="AM1" s="11">
        <f t="shared" si="0"/>
        <v>3042474791296</v>
      </c>
      <c r="AN1" s="11">
        <f t="shared" si="0"/>
        <v>3213334508032</v>
      </c>
      <c r="AO1" s="11">
        <f t="shared" si="0"/>
        <v>3221335171840</v>
      </c>
      <c r="AP1" s="11">
        <f t="shared" si="0"/>
        <v>3057572145600</v>
      </c>
      <c r="AQ1" s="11">
        <f t="shared" si="0"/>
        <v>3330665685248</v>
      </c>
      <c r="AR1" s="11">
        <f t="shared" si="0"/>
        <v>3202739511232</v>
      </c>
      <c r="AS1" s="11">
        <f t="shared" si="0"/>
        <v>3295317594368</v>
      </c>
      <c r="AT1" s="11">
        <f t="shared" si="0"/>
        <v>3622123760704</v>
      </c>
      <c r="AU1" s="11">
        <f t="shared" si="0"/>
        <v>4229233275264</v>
      </c>
      <c r="AV1" s="11">
        <f t="shared" si="0"/>
        <v>5015567037504</v>
      </c>
      <c r="AW1" s="11">
        <f t="shared" si="0"/>
        <v>5801783146560</v>
      </c>
      <c r="AX1" s="11">
        <f t="shared" si="0"/>
        <v>6919243241792</v>
      </c>
      <c r="AY1" s="11">
        <f t="shared" si="0"/>
        <v>7684460041984</v>
      </c>
      <c r="AZ1" s="11">
        <f t="shared" ref="AY1:BJ2" si="1">SUMIF($A$14:$A$90,$B1,AZ$14:AZ$90)</f>
        <v>7367048989632</v>
      </c>
      <c r="BA1" s="11">
        <f t="shared" si="1"/>
        <v>9066043917824</v>
      </c>
      <c r="BB1" s="11">
        <f t="shared" si="1"/>
        <v>10245588401792</v>
      </c>
      <c r="BC1" s="11">
        <f t="shared" si="1"/>
        <v>10400885893440</v>
      </c>
      <c r="BD1" s="11">
        <f t="shared" si="1"/>
        <v>10810007105280</v>
      </c>
      <c r="BE1" s="11">
        <f t="shared" si="1"/>
        <v>11121052034944</v>
      </c>
      <c r="BF1" s="11">
        <f t="shared" si="1"/>
        <v>10103201765120</v>
      </c>
      <c r="BG1" s="11">
        <f t="shared" si="1"/>
        <v>10152431583872</v>
      </c>
      <c r="BH1" s="11">
        <f t="shared" si="1"/>
        <v>11140912240000</v>
      </c>
      <c r="BI1" s="11">
        <f t="shared" si="1"/>
        <v>11302836297600</v>
      </c>
      <c r="BJ1" s="11">
        <f t="shared" si="1"/>
        <v>11529196083200</v>
      </c>
      <c r="BK1" s="11"/>
      <c r="BL1" s="11"/>
      <c r="BM1" s="11"/>
      <c r="BN1" s="11"/>
      <c r="BO1" s="11"/>
      <c r="BP1" s="11"/>
      <c r="BQ1" s="11"/>
      <c r="BR1" s="11"/>
      <c r="BS1" s="11"/>
      <c r="BT1" s="11"/>
      <c r="BU1" s="11"/>
      <c r="BV1" s="11"/>
      <c r="BW1" s="11"/>
      <c r="BX1" s="11"/>
      <c r="BY1" s="11"/>
      <c r="BZ1" s="11"/>
      <c r="CA1" s="11"/>
      <c r="CB1" s="11"/>
      <c r="CC1" s="11"/>
      <c r="CD1" s="11"/>
      <c r="CE1" s="11"/>
      <c r="CF1" s="11"/>
      <c r="CG1" s="11"/>
    </row>
    <row r="2" spans="1:85" x14ac:dyDescent="0.45">
      <c r="B2" t="s">
        <v>26</v>
      </c>
      <c r="C2" s="11">
        <f>SUMIF($A$14:$A$90,$B2,C$14:C$90)</f>
        <v>866333730560</v>
      </c>
      <c r="D2" s="11">
        <f t="shared" si="0"/>
        <v>917718404224</v>
      </c>
      <c r="E2" s="11">
        <f t="shared" si="0"/>
        <v>991608361344</v>
      </c>
      <c r="F2" s="11">
        <f t="shared" si="0"/>
        <v>1068329762752</v>
      </c>
      <c r="G2" s="11">
        <f t="shared" si="0"/>
        <v>1165102469696</v>
      </c>
      <c r="H2" s="11">
        <f t="shared" si="0"/>
        <v>1267550881344</v>
      </c>
      <c r="I2" s="11">
        <f t="shared" si="0"/>
        <v>1389874987712</v>
      </c>
      <c r="J2" s="11">
        <f t="shared" si="0"/>
        <v>1491682598400</v>
      </c>
      <c r="K2" s="11">
        <f t="shared" si="0"/>
        <v>1620089447936</v>
      </c>
      <c r="L2" s="11">
        <f t="shared" si="0"/>
        <v>1780913526912</v>
      </c>
      <c r="M2" s="11">
        <f t="shared" si="0"/>
        <v>1943939481344</v>
      </c>
      <c r="N2" s="11">
        <f t="shared" si="0"/>
        <v>2140704497920</v>
      </c>
      <c r="O2" s="11">
        <f t="shared" si="0"/>
        <v>2474444143744</v>
      </c>
      <c r="P2" s="11">
        <f t="shared" si="0"/>
        <v>2951846527744</v>
      </c>
      <c r="Q2" s="11">
        <f t="shared" si="0"/>
        <v>3285962257664</v>
      </c>
      <c r="R2" s="11">
        <f t="shared" si="0"/>
        <v>3693785925120</v>
      </c>
      <c r="S2" s="11">
        <f t="shared" si="0"/>
        <v>3999492140288</v>
      </c>
      <c r="T2" s="11">
        <f t="shared" si="0"/>
        <v>4531686935552</v>
      </c>
      <c r="U2" s="11">
        <f t="shared" si="0"/>
        <v>5457153799680</v>
      </c>
      <c r="V2" s="11">
        <f t="shared" si="0"/>
        <v>6253764610560</v>
      </c>
      <c r="W2" s="11">
        <f t="shared" si="0"/>
        <v>6950362182656</v>
      </c>
      <c r="X2" s="11">
        <f t="shared" si="0"/>
        <v>7180375587840</v>
      </c>
      <c r="Y2" s="11">
        <f t="shared" si="0"/>
        <v>7159140354560</v>
      </c>
      <c r="Z2" s="11">
        <f t="shared" si="0"/>
        <v>7466227553792</v>
      </c>
      <c r="AA2" s="11">
        <f t="shared" si="0"/>
        <v>7895046888448</v>
      </c>
      <c r="AB2" s="11">
        <f t="shared" si="0"/>
        <v>8356090895872</v>
      </c>
      <c r="AC2" s="11">
        <f t="shared" si="0"/>
        <v>10099459888128</v>
      </c>
      <c r="AD2" s="11">
        <f t="shared" si="0"/>
        <v>11600605321216</v>
      </c>
      <c r="AE2" s="11">
        <f t="shared" si="0"/>
        <v>13133434789888</v>
      </c>
      <c r="AF2" s="11">
        <f t="shared" si="0"/>
        <v>13763984291840</v>
      </c>
      <c r="AG2" s="11">
        <f t="shared" si="0"/>
        <v>15268428614656</v>
      </c>
      <c r="AH2" s="11">
        <f t="shared" si="0"/>
        <v>16191372101632</v>
      </c>
      <c r="AI2" s="11">
        <f t="shared" si="0"/>
        <v>17329877905408</v>
      </c>
      <c r="AJ2" s="11">
        <f t="shared" si="0"/>
        <v>17539444568064</v>
      </c>
      <c r="AK2" s="11">
        <f t="shared" si="0"/>
        <v>18826020831232</v>
      </c>
      <c r="AL2" s="11">
        <f t="shared" si="0"/>
        <v>20754290759680</v>
      </c>
      <c r="AM2" s="11">
        <f t="shared" si="0"/>
        <v>20944252014592</v>
      </c>
      <c r="AN2" s="11">
        <f t="shared" si="0"/>
        <v>20773978986496</v>
      </c>
      <c r="AO2" s="11">
        <f t="shared" si="0"/>
        <v>20884158953472</v>
      </c>
      <c r="AP2" s="11">
        <f t="shared" si="0"/>
        <v>22130045769728</v>
      </c>
      <c r="AQ2" s="11">
        <f t="shared" si="0"/>
        <v>22799401328640</v>
      </c>
      <c r="AR2" s="11">
        <f t="shared" si="0"/>
        <v>22532806506496</v>
      </c>
      <c r="AS2" s="11">
        <f t="shared" si="0"/>
        <v>23397823830016</v>
      </c>
      <c r="AT2" s="11">
        <f t="shared" si="0"/>
        <v>25959540056064</v>
      </c>
      <c r="AU2" s="11">
        <f t="shared" si="0"/>
        <v>28725651619840</v>
      </c>
      <c r="AV2" s="11">
        <f t="shared" si="0"/>
        <v>30211172564992</v>
      </c>
      <c r="AW2" s="11">
        <f t="shared" si="0"/>
        <v>31673685147648</v>
      </c>
      <c r="AX2" s="11">
        <f t="shared" si="0"/>
        <v>34257573187584</v>
      </c>
      <c r="AY2" s="11">
        <f t="shared" si="1"/>
        <v>35957617364992</v>
      </c>
      <c r="AZ2" s="11">
        <f t="shared" si="1"/>
        <v>34181532553216</v>
      </c>
      <c r="BA2" s="11">
        <f t="shared" si="1"/>
        <v>35612360290304</v>
      </c>
      <c r="BB2" s="11">
        <f t="shared" si="1"/>
        <v>37980287795200</v>
      </c>
      <c r="BC2" s="11">
        <f t="shared" si="1"/>
        <v>38161135423488</v>
      </c>
      <c r="BD2" s="11">
        <f t="shared" si="1"/>
        <v>38318426832896</v>
      </c>
      <c r="BE2" s="11">
        <f t="shared" si="1"/>
        <v>39148130385920</v>
      </c>
      <c r="BF2" s="11">
        <f t="shared" si="1"/>
        <v>37620102266880</v>
      </c>
      <c r="BG2" s="11">
        <f t="shared" si="1"/>
        <v>38491668172800</v>
      </c>
      <c r="BH2" s="11">
        <f t="shared" si="1"/>
        <v>39976778661888</v>
      </c>
      <c r="BI2" s="11">
        <f t="shared" si="1"/>
        <v>42244322041856</v>
      </c>
      <c r="BJ2" s="11">
        <f t="shared" si="1"/>
        <v>42802971230208</v>
      </c>
      <c r="BK2" s="11"/>
      <c r="BL2" s="11"/>
      <c r="BM2" s="11"/>
      <c r="BN2" s="11"/>
      <c r="BO2" s="11"/>
      <c r="BP2" s="11"/>
      <c r="BQ2" s="11"/>
      <c r="BR2" s="11"/>
      <c r="BS2" s="11"/>
      <c r="BT2" s="11"/>
      <c r="BU2" s="11"/>
      <c r="BV2" s="11"/>
      <c r="BW2" s="11"/>
      <c r="BX2" s="11"/>
      <c r="BY2" s="11"/>
      <c r="BZ2" s="11"/>
      <c r="CA2" s="11"/>
      <c r="CB2" s="11"/>
      <c r="CC2" s="11"/>
      <c r="CD2" s="11"/>
      <c r="CE2" s="11"/>
      <c r="CF2" s="11"/>
      <c r="CG2" s="11"/>
    </row>
    <row r="3" spans="1:85" x14ac:dyDescent="0.45">
      <c r="B3" t="s">
        <v>174</v>
      </c>
      <c r="C3" s="11">
        <f>C13</f>
        <v>59716468736</v>
      </c>
      <c r="D3" s="11">
        <f t="shared" ref="D3:AX3" si="2">D13</f>
        <v>50056867840</v>
      </c>
      <c r="E3" s="11">
        <f t="shared" si="2"/>
        <v>47209357312</v>
      </c>
      <c r="F3" s="11">
        <f t="shared" si="2"/>
        <v>50706800640</v>
      </c>
      <c r="G3" s="11">
        <f t="shared" si="2"/>
        <v>59708342272</v>
      </c>
      <c r="H3" s="11">
        <f t="shared" si="2"/>
        <v>70436265984</v>
      </c>
      <c r="I3" s="11">
        <f t="shared" si="2"/>
        <v>76720283648</v>
      </c>
      <c r="J3" s="11">
        <f t="shared" si="2"/>
        <v>72881635328</v>
      </c>
      <c r="K3" s="11">
        <f t="shared" si="2"/>
        <v>70846537728</v>
      </c>
      <c r="L3" s="11">
        <f t="shared" si="2"/>
        <v>79705907200</v>
      </c>
      <c r="M3" s="11">
        <f t="shared" si="2"/>
        <v>92602974208</v>
      </c>
      <c r="N3" s="11">
        <f t="shared" si="2"/>
        <v>99800956928</v>
      </c>
      <c r="O3" s="11">
        <f t="shared" si="2"/>
        <v>113687584768</v>
      </c>
      <c r="P3" s="11">
        <f t="shared" si="2"/>
        <v>138544283648</v>
      </c>
      <c r="Q3" s="11">
        <f t="shared" si="2"/>
        <v>144182132736</v>
      </c>
      <c r="R3" s="11">
        <f t="shared" si="2"/>
        <v>163431546880</v>
      </c>
      <c r="S3" s="11">
        <f t="shared" si="2"/>
        <v>153940459520</v>
      </c>
      <c r="T3" s="11">
        <f t="shared" si="2"/>
        <v>174938095616</v>
      </c>
      <c r="U3" s="11">
        <f t="shared" si="2"/>
        <v>149540749312</v>
      </c>
      <c r="V3" s="11">
        <f t="shared" si="2"/>
        <v>178280595456</v>
      </c>
      <c r="W3" s="11">
        <f t="shared" si="2"/>
        <v>191149211648</v>
      </c>
      <c r="X3" s="11">
        <f t="shared" si="2"/>
        <v>195866378240</v>
      </c>
      <c r="Y3" s="11">
        <f t="shared" si="2"/>
        <v>205089701888</v>
      </c>
      <c r="Z3" s="11">
        <f t="shared" si="2"/>
        <v>230686752768</v>
      </c>
      <c r="AA3" s="11">
        <f t="shared" si="2"/>
        <v>259946512384</v>
      </c>
      <c r="AB3" s="11">
        <f t="shared" si="2"/>
        <v>309488025600</v>
      </c>
      <c r="AC3" s="11">
        <f t="shared" si="2"/>
        <v>300758106112</v>
      </c>
      <c r="AD3" s="11">
        <f t="shared" si="2"/>
        <v>272972972032</v>
      </c>
      <c r="AE3" s="11">
        <f t="shared" si="2"/>
        <v>312353619968</v>
      </c>
      <c r="AF3" s="11">
        <f t="shared" si="2"/>
        <v>347768061952</v>
      </c>
      <c r="AG3" s="11">
        <f t="shared" si="2"/>
        <v>360857927680</v>
      </c>
      <c r="AH3" s="11">
        <f t="shared" si="2"/>
        <v>383373312000</v>
      </c>
      <c r="AI3" s="11">
        <f t="shared" si="2"/>
        <v>426915725312</v>
      </c>
      <c r="AJ3" s="11">
        <f t="shared" si="2"/>
        <v>444731293696</v>
      </c>
      <c r="AK3" s="11">
        <f t="shared" si="2"/>
        <v>564324663296</v>
      </c>
      <c r="AL3" s="11">
        <f t="shared" si="2"/>
        <v>734547869696</v>
      </c>
      <c r="AM3" s="11">
        <f t="shared" si="2"/>
        <v>863746719744</v>
      </c>
      <c r="AN3" s="11">
        <f t="shared" si="2"/>
        <v>961603960832</v>
      </c>
      <c r="AO3" s="11">
        <f t="shared" si="2"/>
        <v>1029043126272</v>
      </c>
      <c r="AP3" s="11">
        <f t="shared" si="2"/>
        <v>1093997297664</v>
      </c>
      <c r="AQ3" s="11">
        <f t="shared" si="2"/>
        <v>1211346845696</v>
      </c>
      <c r="AR3" s="11">
        <f t="shared" si="2"/>
        <v>1339395670016</v>
      </c>
      <c r="AS3" s="11">
        <f t="shared" si="2"/>
        <v>1470549983232</v>
      </c>
      <c r="AT3" s="11">
        <f t="shared" si="2"/>
        <v>1660287975424</v>
      </c>
      <c r="AU3" s="11">
        <f t="shared" si="2"/>
        <v>1955347038208</v>
      </c>
      <c r="AV3" s="11">
        <f t="shared" si="2"/>
        <v>2285965934592</v>
      </c>
      <c r="AW3" s="11">
        <f t="shared" si="2"/>
        <v>2752131891200</v>
      </c>
      <c r="AX3" s="11">
        <f t="shared" si="2"/>
        <v>3550342545408</v>
      </c>
      <c r="AY3" s="11">
        <f t="shared" ref="AY3:BJ3" si="3">AY13</f>
        <v>4594306908160</v>
      </c>
      <c r="AZ3" s="11">
        <f t="shared" si="3"/>
        <v>5101702348800</v>
      </c>
      <c r="BA3" s="11">
        <f t="shared" si="3"/>
        <v>6087164559360</v>
      </c>
      <c r="BB3" s="11">
        <f t="shared" si="3"/>
        <v>7551500419072</v>
      </c>
      <c r="BC3" s="11">
        <f t="shared" si="3"/>
        <v>8532230930432</v>
      </c>
      <c r="BD3" s="11">
        <f t="shared" si="3"/>
        <v>9570405580800</v>
      </c>
      <c r="BE3" s="11">
        <f t="shared" si="3"/>
        <v>10475683184640</v>
      </c>
      <c r="BF3" s="11">
        <f t="shared" si="3"/>
        <v>11061553004544</v>
      </c>
      <c r="BG3" s="11">
        <f t="shared" si="3"/>
        <v>11233277247488</v>
      </c>
      <c r="BH3" s="11">
        <f t="shared" si="3"/>
        <v>12310409117696</v>
      </c>
      <c r="BI3" s="11">
        <f t="shared" si="3"/>
        <v>13894816890880</v>
      </c>
      <c r="BJ3" s="11">
        <f t="shared" si="3"/>
        <v>14342902775808</v>
      </c>
      <c r="BK3" s="11"/>
      <c r="BL3" s="11"/>
      <c r="BM3" s="11"/>
      <c r="BN3" s="11"/>
      <c r="BO3" s="11"/>
      <c r="BP3" s="11"/>
      <c r="BQ3" s="11"/>
      <c r="BR3" s="11"/>
      <c r="BS3" s="11"/>
      <c r="BT3" s="11"/>
      <c r="BU3" s="11"/>
      <c r="BV3" s="11"/>
      <c r="BW3" s="11"/>
      <c r="BX3" s="11"/>
      <c r="BY3" s="11"/>
      <c r="BZ3" s="11"/>
      <c r="CA3" s="11"/>
      <c r="CB3" s="11"/>
      <c r="CC3" s="11"/>
      <c r="CD3" s="11"/>
      <c r="CE3" s="11"/>
      <c r="CF3" s="11"/>
      <c r="CG3" s="11"/>
    </row>
    <row r="4" spans="1:85" x14ac:dyDescent="0.45">
      <c r="B4" t="s">
        <v>189</v>
      </c>
      <c r="C4" s="11">
        <f>SUM(C13:C90)</f>
        <v>1071962588377</v>
      </c>
      <c r="D4" s="11">
        <f t="shared" ref="D4:AX4" si="4">SUM(D13:D90)</f>
        <v>1115576654074</v>
      </c>
      <c r="E4" s="11">
        <f t="shared" si="4"/>
        <v>1198747553505</v>
      </c>
      <c r="F4" s="11">
        <f t="shared" si="4"/>
        <v>1298830204037</v>
      </c>
      <c r="G4" s="11">
        <f t="shared" si="4"/>
        <v>1419214434436</v>
      </c>
      <c r="H4" s="11">
        <f t="shared" si="4"/>
        <v>1546320480849</v>
      </c>
      <c r="I4" s="11">
        <f t="shared" si="4"/>
        <v>1679485059603</v>
      </c>
      <c r="J4" s="11">
        <f t="shared" si="4"/>
        <v>1792358589021</v>
      </c>
      <c r="K4" s="11">
        <f t="shared" si="4"/>
        <v>1935225200099</v>
      </c>
      <c r="L4" s="11">
        <f t="shared" si="4"/>
        <v>2133064217344</v>
      </c>
      <c r="M4" s="11">
        <f t="shared" si="4"/>
        <v>2331765927412</v>
      </c>
      <c r="N4" s="11">
        <f t="shared" si="4"/>
        <v>2558269753588</v>
      </c>
      <c r="O4" s="11">
        <f t="shared" si="4"/>
        <v>2940081062796</v>
      </c>
      <c r="P4" s="11">
        <f t="shared" si="4"/>
        <v>3530704980696</v>
      </c>
      <c r="Q4" s="11">
        <f t="shared" si="4"/>
        <v>3990107004252</v>
      </c>
      <c r="R4" s="11">
        <f t="shared" si="4"/>
        <v>4480866812032</v>
      </c>
      <c r="S4" s="11">
        <f t="shared" si="4"/>
        <v>4835889211260</v>
      </c>
      <c r="T4" s="11">
        <f t="shared" si="4"/>
        <v>5467654146256</v>
      </c>
      <c r="U4" s="11">
        <f t="shared" si="4"/>
        <v>6479119812608</v>
      </c>
      <c r="V4" s="11">
        <f t="shared" si="4"/>
        <v>7475636598440</v>
      </c>
      <c r="W4" s="11">
        <f t="shared" si="4"/>
        <v>8380698083376</v>
      </c>
      <c r="X4" s="11">
        <f t="shared" si="4"/>
        <v>8847759730448</v>
      </c>
      <c r="Y4" s="11">
        <f t="shared" si="4"/>
        <v>8744267342704</v>
      </c>
      <c r="Z4" s="11">
        <f t="shared" si="4"/>
        <v>8926899267232</v>
      </c>
      <c r="AA4" s="11">
        <f t="shared" si="4"/>
        <v>9387245251872</v>
      </c>
      <c r="AB4" s="11">
        <f t="shared" si="4"/>
        <v>9919328708272</v>
      </c>
      <c r="AC4" s="11">
        <f t="shared" si="4"/>
        <v>11666357339248</v>
      </c>
      <c r="AD4" s="11">
        <f t="shared" si="4"/>
        <v>13282989950464</v>
      </c>
      <c r="AE4" s="11">
        <f t="shared" si="4"/>
        <v>14982817765792</v>
      </c>
      <c r="AF4" s="11">
        <f t="shared" si="4"/>
        <v>15834353436864</v>
      </c>
      <c r="AG4" s="11">
        <f t="shared" si="4"/>
        <v>17574444072032</v>
      </c>
      <c r="AH4" s="11">
        <f t="shared" si="4"/>
        <v>18715810795872</v>
      </c>
      <c r="AI4" s="11">
        <f t="shared" si="4"/>
        <v>19837407925088</v>
      </c>
      <c r="AJ4" s="11">
        <f t="shared" si="4"/>
        <v>20284640147200</v>
      </c>
      <c r="AK4" s="11">
        <f t="shared" si="4"/>
        <v>21920936185344</v>
      </c>
      <c r="AL4" s="11">
        <f t="shared" si="4"/>
        <v>24282063678848</v>
      </c>
      <c r="AM4" s="11">
        <f t="shared" si="4"/>
        <v>24850473525632</v>
      </c>
      <c r="AN4" s="11">
        <f t="shared" si="4"/>
        <v>24948917455360</v>
      </c>
      <c r="AO4" s="11">
        <f t="shared" si="4"/>
        <v>25134537251584</v>
      </c>
      <c r="AP4" s="11">
        <f t="shared" si="4"/>
        <v>26281615212992</v>
      </c>
      <c r="AQ4" s="11">
        <f t="shared" si="4"/>
        <v>27341413859584</v>
      </c>
      <c r="AR4" s="11">
        <f t="shared" si="4"/>
        <v>27074941687744</v>
      </c>
      <c r="AS4" s="11">
        <f t="shared" si="4"/>
        <v>28163691407616</v>
      </c>
      <c r="AT4" s="11">
        <f t="shared" si="4"/>
        <v>31241951792192</v>
      </c>
      <c r="AU4" s="11">
        <f t="shared" si="4"/>
        <v>34910231933312</v>
      </c>
      <c r="AV4" s="11">
        <f t="shared" si="4"/>
        <v>37512705537088</v>
      </c>
      <c r="AW4" s="11">
        <f t="shared" si="4"/>
        <v>40227600185408</v>
      </c>
      <c r="AX4" s="11">
        <f t="shared" si="4"/>
        <v>44727158974784</v>
      </c>
      <c r="AY4" s="11">
        <f t="shared" ref="AY4:BJ4" si="5">SUM(AY13:AY90)</f>
        <v>48236384315136</v>
      </c>
      <c r="AZ4" s="11">
        <f t="shared" si="5"/>
        <v>46650283891648</v>
      </c>
      <c r="BA4" s="11">
        <f t="shared" si="5"/>
        <v>50765568767488</v>
      </c>
      <c r="BB4" s="11">
        <f t="shared" si="5"/>
        <v>55777376616064</v>
      </c>
      <c r="BC4" s="11">
        <f t="shared" si="5"/>
        <v>57094252247360</v>
      </c>
      <c r="BD4" s="11">
        <f t="shared" si="5"/>
        <v>58698839518976</v>
      </c>
      <c r="BE4" s="11">
        <f t="shared" si="5"/>
        <v>60744865605504</v>
      </c>
      <c r="BF4" s="11">
        <f t="shared" si="5"/>
        <v>58784857036544</v>
      </c>
      <c r="BG4" s="11">
        <f t="shared" si="5"/>
        <v>59877377004160</v>
      </c>
      <c r="BH4" s="11">
        <f t="shared" si="5"/>
        <v>63428100019584</v>
      </c>
      <c r="BI4" s="11">
        <f t="shared" si="5"/>
        <v>67441975230336</v>
      </c>
      <c r="BJ4" s="11">
        <f t="shared" si="5"/>
        <v>68675070089216</v>
      </c>
      <c r="BK4" s="11"/>
      <c r="BL4" s="11"/>
      <c r="BM4" s="11"/>
      <c r="BN4" s="11"/>
      <c r="BO4" s="11"/>
      <c r="BP4" s="11"/>
      <c r="BQ4" s="11"/>
      <c r="BR4" s="11"/>
      <c r="BS4" s="11"/>
      <c r="BT4" s="11"/>
      <c r="BU4" s="11"/>
      <c r="BV4" s="11"/>
      <c r="BW4" s="11"/>
      <c r="BX4" s="11"/>
      <c r="BY4" s="11"/>
      <c r="BZ4" s="11"/>
      <c r="CA4" s="11"/>
      <c r="CB4" s="11"/>
      <c r="CC4" s="11"/>
      <c r="CD4" s="11"/>
      <c r="CE4" s="11"/>
      <c r="CF4" s="11"/>
      <c r="CG4" s="11"/>
    </row>
    <row r="5" spans="1:85" x14ac:dyDescent="0.45">
      <c r="A5" s="9" t="s">
        <v>28</v>
      </c>
      <c r="B5" t="s" vm="5">
        <v>163</v>
      </c>
      <c r="C5" s="15">
        <f>SUM(C1:C3)</f>
        <v>1071962588377</v>
      </c>
      <c r="D5" s="15">
        <f t="shared" ref="D5:AX5" si="6">SUM(D1:D3)</f>
        <v>1115576654074</v>
      </c>
      <c r="E5" s="15">
        <f t="shared" si="6"/>
        <v>1198747553505</v>
      </c>
      <c r="F5" s="15">
        <f t="shared" si="6"/>
        <v>1298830204037</v>
      </c>
      <c r="G5" s="15">
        <f t="shared" si="6"/>
        <v>1419214434436</v>
      </c>
      <c r="H5" s="15">
        <f t="shared" si="6"/>
        <v>1546320480849</v>
      </c>
      <c r="I5" s="15">
        <f t="shared" si="6"/>
        <v>1679485059603</v>
      </c>
      <c r="J5" s="15">
        <f t="shared" si="6"/>
        <v>1792358589021</v>
      </c>
      <c r="K5" s="15">
        <f t="shared" si="6"/>
        <v>1935225200099</v>
      </c>
      <c r="L5" s="15">
        <f t="shared" si="6"/>
        <v>2133064217344</v>
      </c>
      <c r="M5" s="15">
        <f t="shared" si="6"/>
        <v>2331765927412</v>
      </c>
      <c r="N5" s="15">
        <f t="shared" si="6"/>
        <v>2558269753588</v>
      </c>
      <c r="O5" s="15">
        <f t="shared" si="6"/>
        <v>2940081062796</v>
      </c>
      <c r="P5" s="15">
        <f t="shared" si="6"/>
        <v>3530704980696</v>
      </c>
      <c r="Q5" s="15">
        <f t="shared" si="6"/>
        <v>3990107004252</v>
      </c>
      <c r="R5" s="15">
        <f t="shared" si="6"/>
        <v>4480866812032</v>
      </c>
      <c r="S5" s="15">
        <f t="shared" si="6"/>
        <v>4835889211260</v>
      </c>
      <c r="T5" s="15">
        <f t="shared" si="6"/>
        <v>5467654146256</v>
      </c>
      <c r="U5" s="15">
        <f t="shared" si="6"/>
        <v>6479119812608</v>
      </c>
      <c r="V5" s="15">
        <f t="shared" si="6"/>
        <v>7475636598440</v>
      </c>
      <c r="W5" s="15">
        <f t="shared" si="6"/>
        <v>8380698083376</v>
      </c>
      <c r="X5" s="15">
        <f t="shared" si="6"/>
        <v>8847759730448</v>
      </c>
      <c r="Y5" s="15">
        <f t="shared" si="6"/>
        <v>8744267342704</v>
      </c>
      <c r="Z5" s="15">
        <f t="shared" si="6"/>
        <v>8926899267232</v>
      </c>
      <c r="AA5" s="15">
        <f t="shared" si="6"/>
        <v>9387245251872</v>
      </c>
      <c r="AB5" s="15">
        <f t="shared" si="6"/>
        <v>9919328708272</v>
      </c>
      <c r="AC5" s="15">
        <f t="shared" si="6"/>
        <v>11666357339248</v>
      </c>
      <c r="AD5" s="15">
        <f t="shared" si="6"/>
        <v>13282989950464</v>
      </c>
      <c r="AE5" s="15">
        <f t="shared" si="6"/>
        <v>14982817765792</v>
      </c>
      <c r="AF5" s="15">
        <f t="shared" si="6"/>
        <v>15834353436864</v>
      </c>
      <c r="AG5" s="15">
        <f t="shared" si="6"/>
        <v>17574444072032</v>
      </c>
      <c r="AH5" s="15">
        <f t="shared" si="6"/>
        <v>18715810795872</v>
      </c>
      <c r="AI5" s="15">
        <f t="shared" si="6"/>
        <v>19837407925088</v>
      </c>
      <c r="AJ5" s="15">
        <f t="shared" si="6"/>
        <v>20284640147200</v>
      </c>
      <c r="AK5" s="15">
        <f t="shared" si="6"/>
        <v>21920936185344</v>
      </c>
      <c r="AL5" s="15">
        <f t="shared" si="6"/>
        <v>24282063678848</v>
      </c>
      <c r="AM5" s="15">
        <f t="shared" si="6"/>
        <v>24850473525632</v>
      </c>
      <c r="AN5" s="15">
        <f t="shared" si="6"/>
        <v>24948917455360</v>
      </c>
      <c r="AO5" s="15">
        <f t="shared" si="6"/>
        <v>25134537251584</v>
      </c>
      <c r="AP5" s="15">
        <f t="shared" si="6"/>
        <v>26281615212992</v>
      </c>
      <c r="AQ5" s="15">
        <f t="shared" si="6"/>
        <v>27341413859584</v>
      </c>
      <c r="AR5" s="15">
        <f t="shared" si="6"/>
        <v>27074941687744</v>
      </c>
      <c r="AS5" s="15">
        <f t="shared" si="6"/>
        <v>28163691407616</v>
      </c>
      <c r="AT5" s="15">
        <f t="shared" si="6"/>
        <v>31241951792192</v>
      </c>
      <c r="AU5" s="15">
        <f t="shared" si="6"/>
        <v>34910231933312</v>
      </c>
      <c r="AV5" s="15">
        <f t="shared" si="6"/>
        <v>37512705537088</v>
      </c>
      <c r="AW5" s="15">
        <f t="shared" si="6"/>
        <v>40227600185408</v>
      </c>
      <c r="AX5" s="15">
        <f t="shared" si="6"/>
        <v>44727158974784</v>
      </c>
      <c r="AY5" s="15">
        <f t="shared" ref="AY5:BJ5" si="7">SUM(AY1:AY3)</f>
        <v>48236384315136</v>
      </c>
      <c r="AZ5" s="15">
        <f t="shared" si="7"/>
        <v>46650283891648</v>
      </c>
      <c r="BA5" s="15">
        <f t="shared" si="7"/>
        <v>50765568767488</v>
      </c>
      <c r="BB5" s="15">
        <f t="shared" si="7"/>
        <v>55777376616064</v>
      </c>
      <c r="BC5" s="15">
        <f t="shared" si="7"/>
        <v>57094252247360</v>
      </c>
      <c r="BD5" s="15">
        <f t="shared" si="7"/>
        <v>58698839518976</v>
      </c>
      <c r="BE5" s="15">
        <f t="shared" si="7"/>
        <v>60744865605504</v>
      </c>
      <c r="BF5" s="15">
        <f t="shared" si="7"/>
        <v>58784857036544</v>
      </c>
      <c r="BG5" s="15">
        <f t="shared" si="7"/>
        <v>59877377004160</v>
      </c>
      <c r="BH5" s="15">
        <f t="shared" si="7"/>
        <v>63428100019584</v>
      </c>
      <c r="BI5" s="15">
        <f t="shared" si="7"/>
        <v>67441975230336</v>
      </c>
      <c r="BJ5" s="15">
        <f t="shared" si="7"/>
        <v>68675070089216</v>
      </c>
      <c r="BK5" s="15"/>
      <c r="BL5" s="15"/>
      <c r="BM5" s="15"/>
      <c r="BN5" s="15"/>
      <c r="BO5" s="15"/>
      <c r="BP5" s="15"/>
      <c r="BQ5" s="15"/>
      <c r="BR5" s="15"/>
      <c r="BS5" s="15"/>
      <c r="BT5" s="15"/>
      <c r="BU5" s="15"/>
      <c r="BV5" s="15"/>
      <c r="BW5" s="15"/>
      <c r="BX5" s="15"/>
      <c r="BY5" s="15"/>
      <c r="BZ5" s="15"/>
      <c r="CA5" s="15"/>
      <c r="CB5" s="15"/>
      <c r="CC5" s="15"/>
      <c r="CD5" s="15"/>
      <c r="CE5" s="15"/>
      <c r="CF5" s="15"/>
      <c r="CG5" s="15"/>
    </row>
    <row r="6" spans="1:85" x14ac:dyDescent="0.45">
      <c r="A6" s="9" t="s">
        <v>84</v>
      </c>
      <c r="B6" t="s" vm="3">
        <v>83</v>
      </c>
    </row>
    <row r="7" spans="1:85" x14ac:dyDescent="0.45">
      <c r="A7" s="9" t="s">
        <v>162</v>
      </c>
      <c r="B7" t="s" vm="4">
        <v>81</v>
      </c>
    </row>
    <row r="8" spans="1:85" x14ac:dyDescent="0.45">
      <c r="A8" s="9" t="s">
        <v>29</v>
      </c>
      <c r="B8" t="s" vm="6">
        <v>164</v>
      </c>
    </row>
    <row r="9" spans="1:85" x14ac:dyDescent="0.45">
      <c r="A9" s="9" t="s">
        <v>165</v>
      </c>
      <c r="B9" t="s" vm="2268">
        <v>194</v>
      </c>
    </row>
    <row r="11" spans="1:85" x14ac:dyDescent="0.45">
      <c r="A11" s="9" t="s">
        <v>80</v>
      </c>
      <c r="C11" s="9" t="s">
        <v>166</v>
      </c>
    </row>
    <row r="12" spans="1:85" x14ac:dyDescent="0.45">
      <c r="A12" s="9" t="s">
        <v>167</v>
      </c>
      <c r="B12" s="9" t="s">
        <v>168</v>
      </c>
      <c r="C12" t="s">
        <v>195</v>
      </c>
      <c r="D12" t="s">
        <v>196</v>
      </c>
      <c r="E12" t="s">
        <v>197</v>
      </c>
      <c r="F12" t="s">
        <v>198</v>
      </c>
      <c r="G12" t="s">
        <v>199</v>
      </c>
      <c r="H12" t="s">
        <v>200</v>
      </c>
      <c r="I12" t="s">
        <v>201</v>
      </c>
      <c r="J12" t="s">
        <v>202</v>
      </c>
      <c r="K12" t="s">
        <v>203</v>
      </c>
      <c r="L12" t="s">
        <v>204</v>
      </c>
      <c r="M12" t="s">
        <v>30</v>
      </c>
      <c r="N12" t="s">
        <v>31</v>
      </c>
      <c r="O12" t="s">
        <v>32</v>
      </c>
      <c r="P12" t="s">
        <v>33</v>
      </c>
      <c r="Q12" t="s">
        <v>34</v>
      </c>
      <c r="R12" t="s">
        <v>35</v>
      </c>
      <c r="S12" t="s">
        <v>36</v>
      </c>
      <c r="T12" t="s">
        <v>37</v>
      </c>
      <c r="U12" t="s">
        <v>38</v>
      </c>
      <c r="V12" t="s">
        <v>39</v>
      </c>
      <c r="W12" t="s">
        <v>40</v>
      </c>
      <c r="X12" t="s">
        <v>41</v>
      </c>
      <c r="Y12" t="s">
        <v>42</v>
      </c>
      <c r="Z12" t="s">
        <v>43</v>
      </c>
      <c r="AA12" t="s">
        <v>44</v>
      </c>
      <c r="AB12" t="s">
        <v>45</v>
      </c>
      <c r="AC12" t="s">
        <v>46</v>
      </c>
      <c r="AD12" t="s">
        <v>47</v>
      </c>
      <c r="AE12" t="s">
        <v>48</v>
      </c>
      <c r="AF12" t="s">
        <v>49</v>
      </c>
      <c r="AG12" t="s">
        <v>50</v>
      </c>
      <c r="AH12" t="s">
        <v>51</v>
      </c>
      <c r="AI12" t="s">
        <v>52</v>
      </c>
      <c r="AJ12" t="s">
        <v>53</v>
      </c>
      <c r="AK12" t="s">
        <v>54</v>
      </c>
      <c r="AL12" t="s">
        <v>55</v>
      </c>
      <c r="AM12" t="s">
        <v>56</v>
      </c>
      <c r="AN12" t="s">
        <v>57</v>
      </c>
      <c r="AO12" t="s">
        <v>58</v>
      </c>
      <c r="AP12" t="s">
        <v>59</v>
      </c>
      <c r="AQ12" t="s">
        <v>60</v>
      </c>
      <c r="AR12" t="s">
        <v>61</v>
      </c>
      <c r="AS12" t="s">
        <v>62</v>
      </c>
      <c r="AT12" t="s">
        <v>63</v>
      </c>
      <c r="AU12" t="s">
        <v>64</v>
      </c>
      <c r="AV12" t="s">
        <v>65</v>
      </c>
      <c r="AW12" t="s">
        <v>66</v>
      </c>
      <c r="AX12" t="s">
        <v>67</v>
      </c>
      <c r="AY12" t="s">
        <v>68</v>
      </c>
      <c r="AZ12" t="s">
        <v>69</v>
      </c>
      <c r="BA12" t="s">
        <v>70</v>
      </c>
      <c r="BB12" t="s">
        <v>71</v>
      </c>
      <c r="BC12" t="s">
        <v>72</v>
      </c>
      <c r="BD12" t="s">
        <v>73</v>
      </c>
      <c r="BE12" t="s">
        <v>74</v>
      </c>
      <c r="BF12" t="s">
        <v>75</v>
      </c>
      <c r="BG12" t="s">
        <v>76</v>
      </c>
      <c r="BH12" t="s">
        <v>77</v>
      </c>
      <c r="BI12" t="s">
        <v>78</v>
      </c>
      <c r="BJ12" t="s">
        <v>79</v>
      </c>
    </row>
    <row r="13" spans="1:85" x14ac:dyDescent="0.45">
      <c r="A13" t="s">
        <v>25</v>
      </c>
      <c r="C13" s="10">
        <v>59716468736</v>
      </c>
      <c r="D13" s="10">
        <v>50056867840</v>
      </c>
      <c r="E13" s="10">
        <v>47209357312</v>
      </c>
      <c r="F13" s="10">
        <v>50706800640</v>
      </c>
      <c r="G13" s="10">
        <v>59708342272</v>
      </c>
      <c r="H13" s="10">
        <v>70436265984</v>
      </c>
      <c r="I13" s="10">
        <v>76720283648</v>
      </c>
      <c r="J13" s="10">
        <v>72881635328</v>
      </c>
      <c r="K13" s="10">
        <v>70846537728</v>
      </c>
      <c r="L13" s="10">
        <v>79705907200</v>
      </c>
      <c r="M13" s="10">
        <v>92602974208</v>
      </c>
      <c r="N13" s="10">
        <v>99800956928</v>
      </c>
      <c r="O13" s="10">
        <v>113687584768</v>
      </c>
      <c r="P13" s="10">
        <v>138544283648</v>
      </c>
      <c r="Q13" s="10">
        <v>144182132736</v>
      </c>
      <c r="R13" s="10">
        <v>163431546880</v>
      </c>
      <c r="S13" s="10">
        <v>153940459520</v>
      </c>
      <c r="T13" s="10">
        <v>174938095616</v>
      </c>
      <c r="U13" s="10">
        <v>149540749312</v>
      </c>
      <c r="V13" s="10">
        <v>178280595456</v>
      </c>
      <c r="W13" s="10">
        <v>191149211648</v>
      </c>
      <c r="X13" s="10">
        <v>195866378240</v>
      </c>
      <c r="Y13" s="10">
        <v>205089701888</v>
      </c>
      <c r="Z13" s="10">
        <v>230686752768</v>
      </c>
      <c r="AA13" s="10">
        <v>259946512384</v>
      </c>
      <c r="AB13" s="10">
        <v>309488025600</v>
      </c>
      <c r="AC13" s="10">
        <v>300758106112</v>
      </c>
      <c r="AD13" s="10">
        <v>272972972032</v>
      </c>
      <c r="AE13" s="10">
        <v>312353619968</v>
      </c>
      <c r="AF13" s="10">
        <v>347768061952</v>
      </c>
      <c r="AG13" s="10">
        <v>360857927680</v>
      </c>
      <c r="AH13" s="10">
        <v>383373312000</v>
      </c>
      <c r="AI13" s="10">
        <v>426915725312</v>
      </c>
      <c r="AJ13" s="10">
        <v>444731293696</v>
      </c>
      <c r="AK13" s="10">
        <v>564324663296</v>
      </c>
      <c r="AL13" s="10">
        <v>734547869696</v>
      </c>
      <c r="AM13" s="10">
        <v>863746719744</v>
      </c>
      <c r="AN13" s="10">
        <v>961603960832</v>
      </c>
      <c r="AO13" s="10">
        <v>1029043126272</v>
      </c>
      <c r="AP13" s="10">
        <v>1093997297664</v>
      </c>
      <c r="AQ13" s="10">
        <v>1211346845696</v>
      </c>
      <c r="AR13" s="10">
        <v>1339395670016</v>
      </c>
      <c r="AS13" s="10">
        <v>1470549983232</v>
      </c>
      <c r="AT13" s="10">
        <v>1660287975424</v>
      </c>
      <c r="AU13" s="10">
        <v>1955347038208</v>
      </c>
      <c r="AV13" s="10">
        <v>2285965934592</v>
      </c>
      <c r="AW13" s="10">
        <v>2752131891200</v>
      </c>
      <c r="AX13" s="10">
        <v>3550342545408</v>
      </c>
      <c r="AY13" s="10">
        <v>4594306908160</v>
      </c>
      <c r="AZ13" s="10">
        <v>5101702348800</v>
      </c>
      <c r="BA13" s="10">
        <v>6087164559360</v>
      </c>
      <c r="BB13" s="10">
        <v>7551500419072</v>
      </c>
      <c r="BC13" s="10">
        <v>8532230930432</v>
      </c>
      <c r="BD13" s="10">
        <v>9570405580800</v>
      </c>
      <c r="BE13" s="10">
        <v>10475683184640</v>
      </c>
      <c r="BF13" s="10">
        <v>11061553004544</v>
      </c>
      <c r="BG13" s="10">
        <v>11233277247488</v>
      </c>
      <c r="BH13" s="10">
        <v>12310409117696</v>
      </c>
      <c r="BI13" s="10">
        <v>13894816890880</v>
      </c>
      <c r="BJ13" s="10">
        <v>14342902775808</v>
      </c>
    </row>
    <row r="14" spans="1:85" x14ac:dyDescent="0.45">
      <c r="A14" t="s">
        <v>26</v>
      </c>
      <c r="B14" t="s">
        <v>85</v>
      </c>
      <c r="C14" s="10">
        <v>18577668096</v>
      </c>
      <c r="D14" s="10">
        <v>19652816896</v>
      </c>
      <c r="E14" s="10">
        <v>19892486144</v>
      </c>
      <c r="F14" s="10">
        <v>21507446784</v>
      </c>
      <c r="G14" s="10">
        <v>23764140032</v>
      </c>
      <c r="H14" s="10">
        <v>25936834560</v>
      </c>
      <c r="I14" s="10">
        <v>27268450304</v>
      </c>
      <c r="J14" s="10">
        <v>30397581312</v>
      </c>
      <c r="K14" s="10">
        <v>32665473024</v>
      </c>
      <c r="L14" s="10">
        <v>36628963328</v>
      </c>
      <c r="M14" s="10">
        <v>41271140352</v>
      </c>
      <c r="N14" s="10">
        <v>45149511680</v>
      </c>
      <c r="O14" s="10">
        <v>51967291392</v>
      </c>
      <c r="P14" s="10">
        <v>63737348096</v>
      </c>
      <c r="Q14" s="10">
        <v>88831246336</v>
      </c>
      <c r="R14" s="10">
        <v>97170554880</v>
      </c>
      <c r="S14" s="10">
        <v>104921219072</v>
      </c>
      <c r="T14" s="10">
        <v>110201880576</v>
      </c>
      <c r="U14" s="10">
        <v>118338600960</v>
      </c>
      <c r="V14" s="10">
        <v>134712033280</v>
      </c>
      <c r="W14" s="10">
        <v>149774925824</v>
      </c>
      <c r="X14" s="10">
        <v>176642277376</v>
      </c>
      <c r="Y14" s="10">
        <v>193770274816</v>
      </c>
      <c r="Z14" s="10">
        <v>177030414336</v>
      </c>
      <c r="AA14" s="10">
        <v>193242169344</v>
      </c>
      <c r="AB14" s="10">
        <v>180234715136</v>
      </c>
      <c r="AC14" s="10">
        <v>182036938752</v>
      </c>
      <c r="AD14" s="10">
        <v>189060349952</v>
      </c>
      <c r="AE14" s="10">
        <v>235659198464</v>
      </c>
      <c r="AF14" s="10">
        <v>299267981312</v>
      </c>
      <c r="AG14" s="10">
        <v>310777217024</v>
      </c>
      <c r="AH14" s="10">
        <v>325310414848</v>
      </c>
      <c r="AI14" s="10">
        <v>324878860288</v>
      </c>
      <c r="AJ14" s="10">
        <v>311544414208</v>
      </c>
      <c r="AK14" s="10">
        <v>322211676160</v>
      </c>
      <c r="AL14" s="10">
        <v>367216361472</v>
      </c>
      <c r="AM14" s="10">
        <v>400302735360</v>
      </c>
      <c r="AN14" s="10">
        <v>434568003584</v>
      </c>
      <c r="AO14" s="10">
        <v>398899150848</v>
      </c>
      <c r="AP14" s="10">
        <v>388608229376</v>
      </c>
      <c r="AQ14" s="10">
        <v>415222628352</v>
      </c>
      <c r="AR14" s="10">
        <v>378376093696</v>
      </c>
      <c r="AS14" s="10">
        <v>394648911872</v>
      </c>
      <c r="AT14" s="10">
        <v>466488066048</v>
      </c>
      <c r="AU14" s="10">
        <v>612490412032</v>
      </c>
      <c r="AV14" s="10">
        <v>693407776768</v>
      </c>
      <c r="AW14" s="10">
        <v>746054221824</v>
      </c>
      <c r="AX14" s="10">
        <v>853099610112</v>
      </c>
      <c r="AY14" s="10">
        <v>1053995499520</v>
      </c>
      <c r="AZ14" s="10">
        <v>927805210624</v>
      </c>
      <c r="BA14" s="10">
        <v>1146138525696</v>
      </c>
      <c r="BB14" s="10">
        <v>1396649885696</v>
      </c>
      <c r="BC14" s="10">
        <v>1546151788544</v>
      </c>
      <c r="BD14" s="10">
        <v>1576184446976</v>
      </c>
      <c r="BE14" s="10">
        <v>1467483684864</v>
      </c>
      <c r="BF14" s="10">
        <v>1351694024704</v>
      </c>
      <c r="BG14" s="10">
        <v>1208847040512</v>
      </c>
      <c r="BH14" s="10">
        <v>1330135695360</v>
      </c>
      <c r="BI14" s="10">
        <v>1433904349184</v>
      </c>
      <c r="BJ14" s="10">
        <v>1392680632320</v>
      </c>
    </row>
    <row r="15" spans="1:85" x14ac:dyDescent="0.45">
      <c r="A15" t="s">
        <v>26</v>
      </c>
      <c r="B15" t="s">
        <v>86</v>
      </c>
      <c r="C15" s="10">
        <v>6592693760</v>
      </c>
      <c r="D15" s="10">
        <v>7311749632</v>
      </c>
      <c r="E15" s="10">
        <v>7756110336</v>
      </c>
      <c r="F15" s="10">
        <v>8374175232</v>
      </c>
      <c r="G15" s="10">
        <v>9169983488</v>
      </c>
      <c r="H15" s="10">
        <v>9994071040</v>
      </c>
      <c r="I15" s="10">
        <v>10887682048</v>
      </c>
      <c r="J15" s="10">
        <v>11579431936</v>
      </c>
      <c r="K15" s="10">
        <v>12440625152</v>
      </c>
      <c r="L15" s="10">
        <v>13582798848</v>
      </c>
      <c r="M15" s="10">
        <v>15373005824</v>
      </c>
      <c r="N15" s="10">
        <v>17858486272</v>
      </c>
      <c r="O15" s="10">
        <v>22059612160</v>
      </c>
      <c r="P15" s="10">
        <v>29515468800</v>
      </c>
      <c r="Q15" s="10">
        <v>35189301248</v>
      </c>
      <c r="R15" s="10">
        <v>40059207680</v>
      </c>
      <c r="S15" s="10">
        <v>42959974400</v>
      </c>
      <c r="T15" s="10">
        <v>51545759744</v>
      </c>
      <c r="U15" s="10">
        <v>62052257792</v>
      </c>
      <c r="V15" s="10">
        <v>73937297408</v>
      </c>
      <c r="W15" s="10">
        <v>82058911744</v>
      </c>
      <c r="X15" s="10">
        <v>71034224640</v>
      </c>
      <c r="Y15" s="10">
        <v>71275290624</v>
      </c>
      <c r="Z15" s="10">
        <v>72121016320</v>
      </c>
      <c r="AA15" s="10">
        <v>67985346560</v>
      </c>
      <c r="AB15" s="10">
        <v>69386772480</v>
      </c>
      <c r="AC15" s="10">
        <v>99036168192</v>
      </c>
      <c r="AD15" s="10">
        <v>124168445952</v>
      </c>
      <c r="AE15" s="10">
        <v>133339398144</v>
      </c>
      <c r="AF15" s="10">
        <v>133105803264</v>
      </c>
      <c r="AG15" s="10">
        <v>166463389696</v>
      </c>
      <c r="AH15" s="10">
        <v>173794181120</v>
      </c>
      <c r="AI15" s="10">
        <v>195078127616</v>
      </c>
      <c r="AJ15" s="10">
        <v>190379720704</v>
      </c>
      <c r="AK15" s="10">
        <v>203535237120</v>
      </c>
      <c r="AL15" s="10">
        <v>241038278656</v>
      </c>
      <c r="AM15" s="10">
        <v>237250953216</v>
      </c>
      <c r="AN15" s="10">
        <v>212790345728</v>
      </c>
      <c r="AO15" s="10">
        <v>218259898368</v>
      </c>
      <c r="AP15" s="10">
        <v>217185779712</v>
      </c>
      <c r="AQ15" s="10">
        <v>196799774720</v>
      </c>
      <c r="AR15" s="10">
        <v>197337874432</v>
      </c>
      <c r="AS15" s="10">
        <v>213377777664</v>
      </c>
      <c r="AT15" s="10">
        <v>261695782912</v>
      </c>
      <c r="AU15" s="10">
        <v>300904218624</v>
      </c>
      <c r="AV15" s="10">
        <v>315974418432</v>
      </c>
      <c r="AW15" s="10">
        <v>335998550016</v>
      </c>
      <c r="AX15" s="10">
        <v>388691460096</v>
      </c>
      <c r="AY15" s="10">
        <v>430294302720</v>
      </c>
      <c r="AZ15" s="10">
        <v>400172285952</v>
      </c>
      <c r="BA15" s="10">
        <v>391892762624</v>
      </c>
      <c r="BB15" s="10">
        <v>431120318464</v>
      </c>
      <c r="BC15" s="10">
        <v>409425248256</v>
      </c>
      <c r="BD15" s="10">
        <v>430068727808</v>
      </c>
      <c r="BE15" s="10">
        <v>441996115968</v>
      </c>
      <c r="BF15" s="10">
        <v>381817552896</v>
      </c>
      <c r="BG15" s="10">
        <v>395227693056</v>
      </c>
      <c r="BH15" s="10">
        <v>418316156928</v>
      </c>
      <c r="BI15" s="10">
        <v>455508262912</v>
      </c>
      <c r="BJ15" s="10">
        <v>446314741760</v>
      </c>
    </row>
    <row r="16" spans="1:85" x14ac:dyDescent="0.45">
      <c r="A16" t="s">
        <v>26</v>
      </c>
      <c r="B16" t="s">
        <v>87</v>
      </c>
      <c r="C16" s="10">
        <v>11658722304</v>
      </c>
      <c r="D16" s="10">
        <v>12400145408</v>
      </c>
      <c r="E16" s="10">
        <v>13264015360</v>
      </c>
      <c r="F16" s="10">
        <v>14260017152</v>
      </c>
      <c r="G16" s="10">
        <v>15960107008</v>
      </c>
      <c r="H16" s="10">
        <v>17371457536</v>
      </c>
      <c r="I16" s="10">
        <v>18651883520</v>
      </c>
      <c r="J16" s="10">
        <v>19992041472</v>
      </c>
      <c r="K16" s="10">
        <v>21376352256</v>
      </c>
      <c r="L16" s="10">
        <v>23710736384</v>
      </c>
      <c r="M16" s="10">
        <v>26706196480</v>
      </c>
      <c r="N16" s="10">
        <v>29821661184</v>
      </c>
      <c r="O16" s="10">
        <v>37209419776</v>
      </c>
      <c r="P16" s="10">
        <v>47743803392</v>
      </c>
      <c r="Q16" s="10">
        <v>56033079296</v>
      </c>
      <c r="R16" s="10">
        <v>65678188544</v>
      </c>
      <c r="S16" s="10">
        <v>71113883648</v>
      </c>
      <c r="T16" s="10">
        <v>82839904256</v>
      </c>
      <c r="U16" s="10">
        <v>101246525440</v>
      </c>
      <c r="V16" s="10">
        <v>116315455488</v>
      </c>
      <c r="W16" s="10">
        <v>126829314048</v>
      </c>
      <c r="X16" s="10">
        <v>104730017792</v>
      </c>
      <c r="Y16" s="10">
        <v>92095930368</v>
      </c>
      <c r="Z16" s="10">
        <v>87184236544</v>
      </c>
      <c r="AA16" s="10">
        <v>83349528576</v>
      </c>
      <c r="AB16" s="10">
        <v>86268264448</v>
      </c>
      <c r="AC16" s="10">
        <v>120018788352</v>
      </c>
      <c r="AD16" s="10">
        <v>149394407424</v>
      </c>
      <c r="AE16" s="10">
        <v>162299101184</v>
      </c>
      <c r="AF16" s="10">
        <v>164221059072</v>
      </c>
      <c r="AG16" s="10">
        <v>205331742720</v>
      </c>
      <c r="AH16" s="10">
        <v>210511003648</v>
      </c>
      <c r="AI16" s="10">
        <v>234781655040</v>
      </c>
      <c r="AJ16" s="10">
        <v>224721797120</v>
      </c>
      <c r="AK16" s="10">
        <v>244884127744</v>
      </c>
      <c r="AL16" s="10">
        <v>288025575424</v>
      </c>
      <c r="AM16" s="10">
        <v>279201447936</v>
      </c>
      <c r="AN16" s="10">
        <v>252708044800</v>
      </c>
      <c r="AO16" s="10">
        <v>258528346112</v>
      </c>
      <c r="AP16" s="10">
        <v>258158526464</v>
      </c>
      <c r="AQ16" s="10">
        <v>236204539904</v>
      </c>
      <c r="AR16" s="10">
        <v>236541296640</v>
      </c>
      <c r="AS16" s="10">
        <v>257157824512</v>
      </c>
      <c r="AT16" s="10">
        <v>317381705728</v>
      </c>
      <c r="AU16" s="10">
        <v>368537010176</v>
      </c>
      <c r="AV16" s="10">
        <v>385570963456</v>
      </c>
      <c r="AW16" s="10">
        <v>407918084096</v>
      </c>
      <c r="AX16" s="10">
        <v>470324248576</v>
      </c>
      <c r="AY16" s="10">
        <v>515223519232</v>
      </c>
      <c r="AZ16" s="10">
        <v>481345929216</v>
      </c>
      <c r="BA16" s="10">
        <v>480951631872</v>
      </c>
      <c r="BB16" s="10">
        <v>522645504000</v>
      </c>
      <c r="BC16" s="10">
        <v>496181248000</v>
      </c>
      <c r="BD16" s="10">
        <v>521642704896</v>
      </c>
      <c r="BE16" s="10">
        <v>534678077440</v>
      </c>
      <c r="BF16" s="10">
        <v>462149681152</v>
      </c>
      <c r="BG16" s="10">
        <v>475900870656</v>
      </c>
      <c r="BH16" s="10">
        <v>503788765184</v>
      </c>
      <c r="BI16" s="10">
        <v>542685921280</v>
      </c>
      <c r="BJ16" s="10">
        <v>529606705152</v>
      </c>
    </row>
    <row r="17" spans="1:62" x14ac:dyDescent="0.45">
      <c r="A17" t="s">
        <v>26</v>
      </c>
      <c r="B17" t="s">
        <v>88</v>
      </c>
      <c r="C17" s="10">
        <v>5224102400</v>
      </c>
      <c r="D17" s="10">
        <v>5921659392</v>
      </c>
      <c r="E17" s="10">
        <v>6340580864</v>
      </c>
      <c r="F17" s="10">
        <v>6885920256</v>
      </c>
      <c r="G17" s="10">
        <v>7766654976</v>
      </c>
      <c r="H17" s="10">
        <v>8589340160</v>
      </c>
      <c r="I17" s="10">
        <v>9208524800</v>
      </c>
      <c r="J17" s="10">
        <v>9368953856</v>
      </c>
      <c r="K17" s="10">
        <v>8823033856</v>
      </c>
      <c r="L17" s="10">
        <v>10070766592</v>
      </c>
      <c r="M17" s="10">
        <v>11357516800</v>
      </c>
      <c r="N17" s="10">
        <v>12527405056</v>
      </c>
      <c r="O17" s="10">
        <v>14743185408</v>
      </c>
      <c r="P17" s="10">
        <v>19472363520</v>
      </c>
      <c r="Q17" s="10">
        <v>24848822272</v>
      </c>
      <c r="R17" s="10">
        <v>29472624640</v>
      </c>
      <c r="S17" s="10">
        <v>31849515008</v>
      </c>
      <c r="T17" s="10">
        <v>33499799552</v>
      </c>
      <c r="U17" s="10">
        <v>36256161792</v>
      </c>
      <c r="V17" s="10">
        <v>44465254400</v>
      </c>
      <c r="W17" s="10">
        <v>53645201408</v>
      </c>
      <c r="X17" s="10">
        <v>52448333824</v>
      </c>
      <c r="Y17" s="10">
        <v>52797583360</v>
      </c>
      <c r="Z17" s="10">
        <v>50973528064</v>
      </c>
      <c r="AA17" s="10">
        <v>52888801280</v>
      </c>
      <c r="AB17" s="10">
        <v>55875862528</v>
      </c>
      <c r="AC17" s="10">
        <v>73531547648</v>
      </c>
      <c r="AD17" s="10">
        <v>91594752000</v>
      </c>
      <c r="AE17" s="10">
        <v>109058990080</v>
      </c>
      <c r="AF17" s="10">
        <v>119012057088</v>
      </c>
      <c r="AG17" s="10">
        <v>141438353408</v>
      </c>
      <c r="AH17" s="10">
        <v>127773859840</v>
      </c>
      <c r="AI17" s="10">
        <v>112532520960</v>
      </c>
      <c r="AJ17" s="10">
        <v>89214115840</v>
      </c>
      <c r="AK17" s="10">
        <v>103299940352</v>
      </c>
      <c r="AL17" s="10">
        <v>134189817856</v>
      </c>
      <c r="AM17" s="10">
        <v>132129177600</v>
      </c>
      <c r="AN17" s="10">
        <v>126912151552</v>
      </c>
      <c r="AO17" s="10">
        <v>134038716416</v>
      </c>
      <c r="AP17" s="10">
        <v>135218413568</v>
      </c>
      <c r="AQ17" s="10">
        <v>125706649600</v>
      </c>
      <c r="AR17" s="10">
        <v>129421025280</v>
      </c>
      <c r="AS17" s="10">
        <v>139738382336</v>
      </c>
      <c r="AT17" s="10">
        <v>171274272768</v>
      </c>
      <c r="AU17" s="10">
        <v>197116952576</v>
      </c>
      <c r="AV17" s="10">
        <v>204809109504</v>
      </c>
      <c r="AW17" s="10">
        <v>216907546624</v>
      </c>
      <c r="AX17" s="10">
        <v>256052559872</v>
      </c>
      <c r="AY17" s="10">
        <v>284553969664</v>
      </c>
      <c r="AZ17" s="10">
        <v>252496527360</v>
      </c>
      <c r="BA17" s="10">
        <v>249181192192</v>
      </c>
      <c r="BB17" s="10">
        <v>275243696128</v>
      </c>
      <c r="BC17" s="10">
        <v>258304835584</v>
      </c>
      <c r="BD17" s="10">
        <v>271285272576</v>
      </c>
      <c r="BE17" s="10">
        <v>274497224704</v>
      </c>
      <c r="BF17" s="10">
        <v>234440081408</v>
      </c>
      <c r="BG17" s="10">
        <v>240607903744</v>
      </c>
      <c r="BH17" s="10">
        <v>255122538496</v>
      </c>
      <c r="BI17" s="10">
        <v>275893682176</v>
      </c>
      <c r="BJ17" s="10">
        <v>268761202688</v>
      </c>
    </row>
    <row r="18" spans="1:62" x14ac:dyDescent="0.45">
      <c r="A18" t="s">
        <v>26</v>
      </c>
      <c r="B18" t="s">
        <v>89</v>
      </c>
      <c r="C18" s="10">
        <v>62225477632</v>
      </c>
      <c r="D18" s="10">
        <v>67461644288</v>
      </c>
      <c r="E18" s="10">
        <v>75607531520</v>
      </c>
      <c r="F18" s="10">
        <v>84759191552</v>
      </c>
      <c r="G18" s="10">
        <v>94007853056</v>
      </c>
      <c r="H18" s="10">
        <v>101537251328</v>
      </c>
      <c r="I18" s="10">
        <v>110045855744</v>
      </c>
      <c r="J18" s="10">
        <v>118972981248</v>
      </c>
      <c r="K18" s="10">
        <v>129785438208</v>
      </c>
      <c r="L18" s="10">
        <v>141903069184</v>
      </c>
      <c r="M18" s="10">
        <v>148456357888</v>
      </c>
      <c r="N18" s="10">
        <v>165966610432</v>
      </c>
      <c r="O18" s="10">
        <v>203494146048</v>
      </c>
      <c r="P18" s="10">
        <v>264429879296</v>
      </c>
      <c r="Q18" s="10">
        <v>285552377856</v>
      </c>
      <c r="R18" s="10">
        <v>360832172032</v>
      </c>
      <c r="S18" s="10">
        <v>372319027200</v>
      </c>
      <c r="T18" s="10">
        <v>410279477248</v>
      </c>
      <c r="U18" s="10">
        <v>506707836928</v>
      </c>
      <c r="V18" s="10">
        <v>613953110016</v>
      </c>
      <c r="W18" s="10">
        <v>701288415232</v>
      </c>
      <c r="X18" s="10">
        <v>615552188416</v>
      </c>
      <c r="Y18" s="10">
        <v>584877735936</v>
      </c>
      <c r="Z18" s="10">
        <v>559869198336</v>
      </c>
      <c r="AA18" s="10">
        <v>530683789312</v>
      </c>
      <c r="AB18" s="10">
        <v>553138388992</v>
      </c>
      <c r="AC18" s="10">
        <v>771470786560</v>
      </c>
      <c r="AD18" s="10">
        <v>934173278208</v>
      </c>
      <c r="AE18" s="10">
        <v>1018847035392</v>
      </c>
      <c r="AF18" s="10">
        <v>1025211826176</v>
      </c>
      <c r="AG18" s="10">
        <v>1269179613184</v>
      </c>
      <c r="AH18" s="10">
        <v>1269276868608</v>
      </c>
      <c r="AI18" s="10">
        <v>1401465864192</v>
      </c>
      <c r="AJ18" s="10">
        <v>1322815586304</v>
      </c>
      <c r="AK18" s="10">
        <v>1393982701568</v>
      </c>
      <c r="AL18" s="10">
        <v>1601094811648</v>
      </c>
      <c r="AM18" s="10">
        <v>1605675122688</v>
      </c>
      <c r="AN18" s="10">
        <v>1452884885504</v>
      </c>
      <c r="AO18" s="10">
        <v>1503108792320</v>
      </c>
      <c r="AP18" s="10">
        <v>1492647542784</v>
      </c>
      <c r="AQ18" s="10">
        <v>1362248990720</v>
      </c>
      <c r="AR18" s="10">
        <v>1376465321984</v>
      </c>
      <c r="AS18" s="10">
        <v>1494286598144</v>
      </c>
      <c r="AT18" s="10">
        <v>1840480780288</v>
      </c>
      <c r="AU18" s="10">
        <v>2115742466048</v>
      </c>
      <c r="AV18" s="10">
        <v>2196126040064</v>
      </c>
      <c r="AW18" s="10">
        <v>2318593687552</v>
      </c>
      <c r="AX18" s="10">
        <v>2657213218816</v>
      </c>
      <c r="AY18" s="10">
        <v>2918382829568</v>
      </c>
      <c r="AZ18" s="10">
        <v>2690222391296</v>
      </c>
      <c r="BA18" s="10">
        <v>2642609438720</v>
      </c>
      <c r="BB18" s="10">
        <v>2861408190464</v>
      </c>
      <c r="BC18" s="10">
        <v>2683825291264</v>
      </c>
      <c r="BD18" s="10">
        <v>2811077853184</v>
      </c>
      <c r="BE18" s="10">
        <v>2852165779456</v>
      </c>
      <c r="BF18" s="10">
        <v>2438207897600</v>
      </c>
      <c r="BG18" s="10">
        <v>2471285489664</v>
      </c>
      <c r="BH18" s="10">
        <v>2595151151104</v>
      </c>
      <c r="BI18" s="10">
        <v>2787863953408</v>
      </c>
      <c r="BJ18" s="10">
        <v>2715518238720</v>
      </c>
    </row>
    <row r="19" spans="1:62" x14ac:dyDescent="0.45">
      <c r="A19" t="s">
        <v>26</v>
      </c>
      <c r="B19" t="s">
        <v>90</v>
      </c>
      <c r="C19" s="10">
        <v>4335185920</v>
      </c>
      <c r="D19" s="10">
        <v>4961400320</v>
      </c>
      <c r="E19" s="10">
        <v>5213047808</v>
      </c>
      <c r="F19" s="10">
        <v>5895278080</v>
      </c>
      <c r="G19" s="10">
        <v>6669673472</v>
      </c>
      <c r="H19" s="10">
        <v>7689154048</v>
      </c>
      <c r="I19" s="10">
        <v>8591517696</v>
      </c>
      <c r="J19" s="10">
        <v>9275600896</v>
      </c>
      <c r="K19" s="10">
        <v>10090676224</v>
      </c>
      <c r="L19" s="10">
        <v>11615656960</v>
      </c>
      <c r="M19" s="10">
        <v>13139862528</v>
      </c>
      <c r="N19" s="10">
        <v>14591755264</v>
      </c>
      <c r="O19" s="10">
        <v>16885507072</v>
      </c>
      <c r="P19" s="10">
        <v>22347845632</v>
      </c>
      <c r="Q19" s="10">
        <v>25351305216</v>
      </c>
      <c r="R19" s="10">
        <v>28525873152</v>
      </c>
      <c r="S19" s="10">
        <v>31152840704</v>
      </c>
      <c r="T19" s="10">
        <v>36176232448</v>
      </c>
      <c r="U19" s="10">
        <v>44270202880</v>
      </c>
      <c r="V19" s="10">
        <v>54481874944</v>
      </c>
      <c r="W19" s="10">
        <v>56829665280</v>
      </c>
      <c r="X19" s="10">
        <v>52346507264</v>
      </c>
      <c r="Y19" s="10">
        <v>54617993216</v>
      </c>
      <c r="Z19" s="10">
        <v>49428873216</v>
      </c>
      <c r="AA19" s="10">
        <v>48020025344</v>
      </c>
      <c r="AB19" s="10">
        <v>47820849152</v>
      </c>
      <c r="AC19" s="10">
        <v>56379592704</v>
      </c>
      <c r="AD19" s="10">
        <v>65652752384</v>
      </c>
      <c r="AE19" s="10">
        <v>76261277696</v>
      </c>
      <c r="AF19" s="10">
        <v>79169044480</v>
      </c>
      <c r="AG19" s="10">
        <v>97891090432</v>
      </c>
      <c r="AH19" s="10">
        <v>105143230464</v>
      </c>
      <c r="AI19" s="10">
        <v>116224671744</v>
      </c>
      <c r="AJ19" s="10">
        <v>108809060352</v>
      </c>
      <c r="AK19" s="10">
        <v>116601798656</v>
      </c>
      <c r="AL19" s="10">
        <v>136878366720</v>
      </c>
      <c r="AM19" s="10">
        <v>145861607424</v>
      </c>
      <c r="AN19" s="10">
        <v>143157592064</v>
      </c>
      <c r="AO19" s="10">
        <v>144428171264</v>
      </c>
      <c r="AP19" s="10">
        <v>142540734464</v>
      </c>
      <c r="AQ19" s="10">
        <v>130133843968</v>
      </c>
      <c r="AR19" s="10">
        <v>136191352832</v>
      </c>
      <c r="AS19" s="10">
        <v>153830948864</v>
      </c>
      <c r="AT19" s="10">
        <v>201924263936</v>
      </c>
      <c r="AU19" s="10">
        <v>240521265152</v>
      </c>
      <c r="AV19" s="10">
        <v>247782998016</v>
      </c>
      <c r="AW19" s="10">
        <v>273317740544</v>
      </c>
      <c r="AX19" s="10">
        <v>318497947648</v>
      </c>
      <c r="AY19" s="10">
        <v>354460794880</v>
      </c>
      <c r="AZ19" s="10">
        <v>330000236544</v>
      </c>
      <c r="BA19" s="10">
        <v>299361566720</v>
      </c>
      <c r="BB19" s="10">
        <v>287797837824</v>
      </c>
      <c r="BC19" s="10">
        <v>245670674432</v>
      </c>
      <c r="BD19" s="10">
        <v>239862005760</v>
      </c>
      <c r="BE19" s="10">
        <v>237029572608</v>
      </c>
      <c r="BF19" s="10">
        <v>196591353856</v>
      </c>
      <c r="BG19" s="10">
        <v>195222437888</v>
      </c>
      <c r="BH19" s="10">
        <v>203588419584</v>
      </c>
      <c r="BI19" s="10">
        <v>218138361856</v>
      </c>
      <c r="BJ19" s="10">
        <v>209852760064</v>
      </c>
    </row>
    <row r="20" spans="1:62" x14ac:dyDescent="0.45">
      <c r="A20" t="s">
        <v>26</v>
      </c>
      <c r="B20" t="s">
        <v>91</v>
      </c>
      <c r="C20" s="10">
        <v>2598500096</v>
      </c>
      <c r="D20" s="10">
        <v>3138500096</v>
      </c>
      <c r="E20" s="10">
        <v>2510000128</v>
      </c>
      <c r="F20" s="10">
        <v>2992333312</v>
      </c>
      <c r="G20" s="10">
        <v>3405333248</v>
      </c>
      <c r="H20" s="10">
        <v>3663333376</v>
      </c>
      <c r="I20" s="10">
        <v>3980000000</v>
      </c>
      <c r="J20" s="10">
        <v>4030000128</v>
      </c>
      <c r="K20" s="10">
        <v>4618999808</v>
      </c>
      <c r="L20" s="10">
        <v>5329333248</v>
      </c>
      <c r="M20" s="10">
        <v>7048666624</v>
      </c>
      <c r="N20" s="10">
        <v>6711750144</v>
      </c>
      <c r="O20" s="10">
        <v>8775249920</v>
      </c>
      <c r="P20" s="10">
        <v>11326249984</v>
      </c>
      <c r="Q20" s="10">
        <v>16341000192</v>
      </c>
      <c r="R20" s="10">
        <v>15360166912</v>
      </c>
      <c r="S20" s="10">
        <v>15183125504</v>
      </c>
      <c r="T20" s="10">
        <v>17372798976</v>
      </c>
      <c r="U20" s="10">
        <v>16843176960</v>
      </c>
      <c r="V20" s="10">
        <v>21514080256</v>
      </c>
      <c r="W20" s="10">
        <v>24164509696</v>
      </c>
      <c r="X20" s="10">
        <v>25579227136</v>
      </c>
      <c r="Y20" s="10">
        <v>27837509632</v>
      </c>
      <c r="Z20" s="10">
        <v>31092230144</v>
      </c>
      <c r="AA20" s="10">
        <v>29160458240</v>
      </c>
      <c r="AB20" s="10">
        <v>27504906240</v>
      </c>
      <c r="AC20" s="10">
        <v>34097559552</v>
      </c>
      <c r="AD20" s="10">
        <v>40963276800</v>
      </c>
      <c r="AE20" s="10">
        <v>50099380224</v>
      </c>
      <c r="AF20" s="10">
        <v>49901961216</v>
      </c>
      <c r="AG20" s="10">
        <v>59011272704</v>
      </c>
      <c r="AH20" s="10">
        <v>67558014976</v>
      </c>
      <c r="AI20" s="10">
        <v>75607007232</v>
      </c>
      <c r="AJ20" s="10">
        <v>75985903616</v>
      </c>
      <c r="AK20" s="10">
        <v>86342656000</v>
      </c>
      <c r="AL20" s="10">
        <v>100384808960</v>
      </c>
      <c r="AM20" s="10">
        <v>109995843584</v>
      </c>
      <c r="AN20" s="10">
        <v>114692620288</v>
      </c>
      <c r="AO20" s="10">
        <v>115932848128</v>
      </c>
      <c r="AP20" s="10">
        <v>117111537664</v>
      </c>
      <c r="AQ20" s="10">
        <v>132343046144</v>
      </c>
      <c r="AR20" s="10">
        <v>130756337664</v>
      </c>
      <c r="AS20" s="10">
        <v>121123831808</v>
      </c>
      <c r="AT20" s="10">
        <v>126965981184</v>
      </c>
      <c r="AU20" s="10">
        <v>135477428224</v>
      </c>
      <c r="AV20" s="10">
        <v>142528905216</v>
      </c>
      <c r="AW20" s="10">
        <v>154034323456</v>
      </c>
      <c r="AX20" s="10">
        <v>178959187968</v>
      </c>
      <c r="AY20" s="10">
        <v>216105172992</v>
      </c>
      <c r="AZ20" s="10">
        <v>207468167168</v>
      </c>
      <c r="BA20" s="10">
        <v>233995681792</v>
      </c>
      <c r="BB20" s="10">
        <v>261468635136</v>
      </c>
      <c r="BC20" s="10">
        <v>257180139520</v>
      </c>
      <c r="BD20" s="10">
        <v>292636164096</v>
      </c>
      <c r="BE20" s="10">
        <v>309558444032</v>
      </c>
      <c r="BF20" s="10">
        <v>299813109760</v>
      </c>
      <c r="BG20" s="10">
        <v>318950604800</v>
      </c>
      <c r="BH20" s="10">
        <v>353253392384</v>
      </c>
      <c r="BI20" s="10">
        <v>370587992064</v>
      </c>
      <c r="BJ20" s="10">
        <v>395098652672</v>
      </c>
    </row>
    <row r="21" spans="1:62" x14ac:dyDescent="0.45">
      <c r="A21" t="s">
        <v>26</v>
      </c>
      <c r="B21" t="s">
        <v>92</v>
      </c>
      <c r="C21" s="10">
        <v>40385290240</v>
      </c>
      <c r="D21" s="10">
        <v>44842762240</v>
      </c>
      <c r="E21" s="10">
        <v>50383892480</v>
      </c>
      <c r="F21" s="10">
        <v>57710743552</v>
      </c>
      <c r="G21" s="10">
        <v>63175417856</v>
      </c>
      <c r="H21" s="10">
        <v>67978153984</v>
      </c>
      <c r="I21" s="10">
        <v>73654870016</v>
      </c>
      <c r="J21" s="10">
        <v>81133117440</v>
      </c>
      <c r="K21" s="10">
        <v>87942234112</v>
      </c>
      <c r="L21" s="10">
        <v>97085079552</v>
      </c>
      <c r="M21" s="10">
        <v>113395318784</v>
      </c>
      <c r="N21" s="10">
        <v>124672368640</v>
      </c>
      <c r="O21" s="10">
        <v>145260036096</v>
      </c>
      <c r="P21" s="10">
        <v>175492055040</v>
      </c>
      <c r="Q21" s="10">
        <v>199564492800</v>
      </c>
      <c r="R21" s="10">
        <v>227695853568</v>
      </c>
      <c r="S21" s="10">
        <v>224717275136</v>
      </c>
      <c r="T21" s="10">
        <v>257596309504</v>
      </c>
      <c r="U21" s="10">
        <v>315058323456</v>
      </c>
      <c r="V21" s="10">
        <v>393677176832</v>
      </c>
      <c r="W21" s="10">
        <v>477256777728</v>
      </c>
      <c r="X21" s="10">
        <v>430702854144</v>
      </c>
      <c r="Y21" s="10">
        <v>427272634368</v>
      </c>
      <c r="Z21" s="10">
        <v>443042365440</v>
      </c>
      <c r="AA21" s="10">
        <v>437887696896</v>
      </c>
      <c r="AB21" s="10">
        <v>452217503744</v>
      </c>
      <c r="AC21" s="10">
        <v>640386334720</v>
      </c>
      <c r="AD21" s="10">
        <v>805713149952</v>
      </c>
      <c r="AE21" s="10">
        <v>891608956928</v>
      </c>
      <c r="AF21" s="10">
        <v>928661307392</v>
      </c>
      <c r="AG21" s="10">
        <v>1181222699008</v>
      </c>
      <c r="AH21" s="10">
        <v>1246220124160</v>
      </c>
      <c r="AI21" s="10">
        <v>1320161640448</v>
      </c>
      <c r="AJ21" s="10">
        <v>1064958099456</v>
      </c>
      <c r="AK21" s="10">
        <v>1099216715776</v>
      </c>
      <c r="AL21" s="10">
        <v>1174662021120</v>
      </c>
      <c r="AM21" s="10">
        <v>1312426557440</v>
      </c>
      <c r="AN21" s="10">
        <v>1241879543808</v>
      </c>
      <c r="AO21" s="10">
        <v>1270052552704</v>
      </c>
      <c r="AP21" s="10">
        <v>1252023730176</v>
      </c>
      <c r="AQ21" s="10">
        <v>1143829823488</v>
      </c>
      <c r="AR21" s="10">
        <v>1167012790272</v>
      </c>
      <c r="AS21" s="10">
        <v>1270712369152</v>
      </c>
      <c r="AT21" s="10">
        <v>1574145884160</v>
      </c>
      <c r="AU21" s="10">
        <v>1803226972160</v>
      </c>
      <c r="AV21" s="10">
        <v>1857524334592</v>
      </c>
      <c r="AW21" s="10">
        <v>1947919712256</v>
      </c>
      <c r="AX21" s="10">
        <v>2210292563968</v>
      </c>
      <c r="AY21" s="10">
        <v>2398856675328</v>
      </c>
      <c r="AZ21" s="10">
        <v>2191241904128</v>
      </c>
      <c r="BA21" s="10">
        <v>2134017835008</v>
      </c>
      <c r="BB21" s="10">
        <v>2291991052288</v>
      </c>
      <c r="BC21" s="10">
        <v>2087077019648</v>
      </c>
      <c r="BD21" s="10">
        <v>2141315268608</v>
      </c>
      <c r="BE21" s="10">
        <v>2159133982720</v>
      </c>
      <c r="BF21" s="10">
        <v>1835899289600</v>
      </c>
      <c r="BG21" s="10">
        <v>1875797475328</v>
      </c>
      <c r="BH21" s="10">
        <v>1961796173824</v>
      </c>
      <c r="BI21" s="10">
        <v>2085764333568</v>
      </c>
      <c r="BJ21" s="10">
        <v>2001244389376</v>
      </c>
    </row>
    <row r="22" spans="1:62" x14ac:dyDescent="0.45">
      <c r="A22" t="s">
        <v>26</v>
      </c>
      <c r="B22" t="s">
        <v>93</v>
      </c>
      <c r="C22" s="10">
        <v>44307341312</v>
      </c>
      <c r="D22" s="10">
        <v>53508616192</v>
      </c>
      <c r="E22" s="10">
        <v>60723019776</v>
      </c>
      <c r="F22" s="10">
        <v>69498134528</v>
      </c>
      <c r="G22" s="10">
        <v>81749008384</v>
      </c>
      <c r="H22" s="10">
        <v>90950279168</v>
      </c>
      <c r="I22" s="10">
        <v>105628073984</v>
      </c>
      <c r="J22" s="10">
        <v>123781881856</v>
      </c>
      <c r="K22" s="10">
        <v>146601066496</v>
      </c>
      <c r="L22" s="10">
        <v>172204195840</v>
      </c>
      <c r="M22" s="10">
        <v>212609187840</v>
      </c>
      <c r="N22" s="10">
        <v>240151805952</v>
      </c>
      <c r="O22" s="10">
        <v>318031298560</v>
      </c>
      <c r="P22" s="10">
        <v>432082681856</v>
      </c>
      <c r="Q22" s="10">
        <v>479626002432</v>
      </c>
      <c r="R22" s="10">
        <v>521541910528</v>
      </c>
      <c r="S22" s="10">
        <v>586161848320</v>
      </c>
      <c r="T22" s="10">
        <v>721411768320</v>
      </c>
      <c r="U22" s="10">
        <v>1013612150784</v>
      </c>
      <c r="V22" s="10">
        <v>1055012093952</v>
      </c>
      <c r="W22" s="10">
        <v>1105386012672</v>
      </c>
      <c r="X22" s="10">
        <v>1218988998656</v>
      </c>
      <c r="Y22" s="10">
        <v>1134517944320</v>
      </c>
      <c r="Z22" s="10">
        <v>1243323564032</v>
      </c>
      <c r="AA22" s="10">
        <v>1318381682688</v>
      </c>
      <c r="AB22" s="10">
        <v>1398892789760</v>
      </c>
      <c r="AC22" s="10">
        <v>2078953308160</v>
      </c>
      <c r="AD22" s="10">
        <v>2532808589312</v>
      </c>
      <c r="AE22" s="10">
        <v>3071683067904</v>
      </c>
      <c r="AF22" s="10">
        <v>3054914240512</v>
      </c>
      <c r="AG22" s="10">
        <v>3132817670144</v>
      </c>
      <c r="AH22" s="10">
        <v>3584419954688</v>
      </c>
      <c r="AI22" s="10">
        <v>3908809523200</v>
      </c>
      <c r="AJ22" s="10">
        <v>4454143754240</v>
      </c>
      <c r="AK22" s="10">
        <v>4907039457280</v>
      </c>
      <c r="AL22" s="10">
        <v>5449116549120</v>
      </c>
      <c r="AM22" s="10">
        <v>4833712537600</v>
      </c>
      <c r="AN22" s="10">
        <v>4414733025280</v>
      </c>
      <c r="AO22" s="10">
        <v>4032509771776</v>
      </c>
      <c r="AP22" s="10">
        <v>4562078924800</v>
      </c>
      <c r="AQ22" s="10">
        <v>4887519690752</v>
      </c>
      <c r="AR22" s="10">
        <v>4303544385536</v>
      </c>
      <c r="AS22" s="10">
        <v>4115116326912</v>
      </c>
      <c r="AT22" s="10">
        <v>4445658152960</v>
      </c>
      <c r="AU22" s="10">
        <v>4815149072384</v>
      </c>
      <c r="AV22" s="10">
        <v>4755410649088</v>
      </c>
      <c r="AW22" s="10">
        <v>4530377326592</v>
      </c>
      <c r="AX22" s="10">
        <v>4515264724992</v>
      </c>
      <c r="AY22" s="10">
        <v>5037908557824</v>
      </c>
      <c r="AZ22" s="10">
        <v>5231382888448</v>
      </c>
      <c r="BA22" s="10">
        <v>5700097933312</v>
      </c>
      <c r="BB22" s="10">
        <v>6157459521536</v>
      </c>
      <c r="BC22" s="10">
        <v>6203213086720</v>
      </c>
      <c r="BD22" s="10">
        <v>5155717120000</v>
      </c>
      <c r="BE22" s="10">
        <v>4850413731840</v>
      </c>
      <c r="BF22" s="10">
        <v>4389475713024</v>
      </c>
      <c r="BG22" s="10">
        <v>4922537934848</v>
      </c>
      <c r="BH22" s="10">
        <v>4866864316416</v>
      </c>
      <c r="BI22" s="10">
        <v>4954806812672</v>
      </c>
      <c r="BJ22" s="10">
        <v>5081769443328</v>
      </c>
    </row>
    <row r="23" spans="1:62" x14ac:dyDescent="0.45">
      <c r="A23" t="s">
        <v>26</v>
      </c>
      <c r="B23" t="s">
        <v>94</v>
      </c>
      <c r="C23" s="10">
        <v>703925696</v>
      </c>
      <c r="D23" s="10">
        <v>704145664</v>
      </c>
      <c r="E23" s="10">
        <v>741509504</v>
      </c>
      <c r="F23" s="10">
        <v>791140608</v>
      </c>
      <c r="G23" s="10">
        <v>903158784</v>
      </c>
      <c r="H23" s="10">
        <v>921600768</v>
      </c>
      <c r="I23" s="10">
        <v>968440128</v>
      </c>
      <c r="J23" s="10">
        <v>974721792</v>
      </c>
      <c r="K23" s="10">
        <v>1066447104</v>
      </c>
      <c r="L23" s="10">
        <v>1234878976</v>
      </c>
      <c r="M23" s="10">
        <v>1509155072</v>
      </c>
      <c r="N23" s="10">
        <v>1572310784</v>
      </c>
      <c r="O23" s="10">
        <v>1968733056</v>
      </c>
      <c r="P23" s="10">
        <v>2701874688</v>
      </c>
      <c r="Q23" s="10">
        <v>3295860992</v>
      </c>
      <c r="R23" s="10">
        <v>3233431552</v>
      </c>
      <c r="S23" s="10">
        <v>3544268032</v>
      </c>
      <c r="T23" s="10">
        <v>3922895872</v>
      </c>
      <c r="U23" s="10">
        <v>4884869120</v>
      </c>
      <c r="V23" s="10">
        <v>5711457792</v>
      </c>
      <c r="W23" s="10">
        <v>6232005632</v>
      </c>
      <c r="X23" s="10">
        <v>5231808512</v>
      </c>
      <c r="Y23" s="10">
        <v>4764549632</v>
      </c>
      <c r="Z23" s="10">
        <v>4683697664</v>
      </c>
      <c r="AA23" s="10">
        <v>4594891776</v>
      </c>
      <c r="AB23" s="10">
        <v>4738559488</v>
      </c>
      <c r="AC23" s="10">
        <v>6921264128</v>
      </c>
      <c r="AD23" s="10">
        <v>8614215680</v>
      </c>
      <c r="AE23" s="10">
        <v>9750161408</v>
      </c>
      <c r="AF23" s="10">
        <v>10391504896</v>
      </c>
      <c r="AG23" s="10">
        <v>13229247488</v>
      </c>
      <c r="AH23" s="10">
        <v>14321879040</v>
      </c>
      <c r="AI23" s="10">
        <v>16065740800</v>
      </c>
      <c r="AJ23" s="10">
        <v>16486899712</v>
      </c>
      <c r="AK23" s="10">
        <v>18325790720</v>
      </c>
      <c r="AL23" s="10">
        <v>21588170752</v>
      </c>
      <c r="AM23" s="10">
        <v>21776609280</v>
      </c>
      <c r="AN23" s="10">
        <v>19731912704</v>
      </c>
      <c r="AO23" s="10">
        <v>20209121280</v>
      </c>
      <c r="AP23" s="10">
        <v>22235928576</v>
      </c>
      <c r="AQ23" s="10">
        <v>21263515648</v>
      </c>
      <c r="AR23" s="10">
        <v>21272418304</v>
      </c>
      <c r="AS23" s="10">
        <v>23616329728</v>
      </c>
      <c r="AT23" s="10">
        <v>29557325824</v>
      </c>
      <c r="AU23" s="10">
        <v>34685280256</v>
      </c>
      <c r="AV23" s="10">
        <v>37347393536</v>
      </c>
      <c r="AW23" s="10">
        <v>42414309376</v>
      </c>
      <c r="AX23" s="10">
        <v>50888134656</v>
      </c>
      <c r="AY23" s="10">
        <v>55849684992</v>
      </c>
      <c r="AZ23" s="10">
        <v>51370545152</v>
      </c>
      <c r="BA23" s="10">
        <v>53212475392</v>
      </c>
      <c r="BB23" s="10">
        <v>60004630528</v>
      </c>
      <c r="BC23" s="10">
        <v>56677961728</v>
      </c>
      <c r="BD23" s="10">
        <v>61739352064</v>
      </c>
      <c r="BE23" s="10">
        <v>66103853056</v>
      </c>
      <c r="BF23" s="10">
        <v>57744457728</v>
      </c>
      <c r="BG23" s="10">
        <v>60691484672</v>
      </c>
      <c r="BH23" s="10">
        <v>64181944320</v>
      </c>
      <c r="BI23" s="10">
        <v>70919954432</v>
      </c>
      <c r="BJ23" s="10">
        <v>71104921600</v>
      </c>
    </row>
    <row r="24" spans="1:62" x14ac:dyDescent="0.45">
      <c r="A24" t="s">
        <v>26</v>
      </c>
      <c r="B24" t="s">
        <v>95</v>
      </c>
      <c r="C24" s="10">
        <v>12276733952</v>
      </c>
      <c r="D24" s="10">
        <v>13493833728</v>
      </c>
      <c r="E24" s="10">
        <v>14647057408</v>
      </c>
      <c r="F24" s="10">
        <v>15891240960</v>
      </c>
      <c r="G24" s="10">
        <v>18699380736</v>
      </c>
      <c r="H24" s="10">
        <v>21000587264</v>
      </c>
      <c r="I24" s="10">
        <v>22867204096</v>
      </c>
      <c r="J24" s="10">
        <v>25087561728</v>
      </c>
      <c r="K24" s="10">
        <v>27817605120</v>
      </c>
      <c r="L24" s="10">
        <v>34035947520</v>
      </c>
      <c r="M24" s="10">
        <v>38164717568</v>
      </c>
      <c r="N24" s="10">
        <v>44579123200</v>
      </c>
      <c r="O24" s="10">
        <v>54706556928</v>
      </c>
      <c r="P24" s="10">
        <v>71840907264</v>
      </c>
      <c r="Q24" s="10">
        <v>87243415552</v>
      </c>
      <c r="R24" s="10">
        <v>100249526272</v>
      </c>
      <c r="S24" s="10">
        <v>109168721920</v>
      </c>
      <c r="T24" s="10">
        <v>127016992768</v>
      </c>
      <c r="U24" s="10">
        <v>155859697664</v>
      </c>
      <c r="V24" s="10">
        <v>179669401600</v>
      </c>
      <c r="W24" s="10">
        <v>195152084992</v>
      </c>
      <c r="X24" s="10">
        <v>164134223872</v>
      </c>
      <c r="Y24" s="10">
        <v>158479532032</v>
      </c>
      <c r="Z24" s="10">
        <v>153445466112</v>
      </c>
      <c r="AA24" s="10">
        <v>143912665088</v>
      </c>
      <c r="AB24" s="10">
        <v>143845818368</v>
      </c>
      <c r="AC24" s="10">
        <v>200862089216</v>
      </c>
      <c r="AD24" s="10">
        <v>245046312960</v>
      </c>
      <c r="AE24" s="10">
        <v>261910511616</v>
      </c>
      <c r="AF24" s="10">
        <v>258336702464</v>
      </c>
      <c r="AG24" s="10">
        <v>318330503168</v>
      </c>
      <c r="AH24" s="10">
        <v>327500333056</v>
      </c>
      <c r="AI24" s="10">
        <v>362962878464</v>
      </c>
      <c r="AJ24" s="10">
        <v>353550172160</v>
      </c>
      <c r="AK24" s="10">
        <v>379130249216</v>
      </c>
      <c r="AL24" s="10">
        <v>452301684736</v>
      </c>
      <c r="AM24" s="10">
        <v>450490204160</v>
      </c>
      <c r="AN24" s="10">
        <v>416812728320</v>
      </c>
      <c r="AO24" s="10">
        <v>438008217600</v>
      </c>
      <c r="AP24" s="10">
        <v>446898569216</v>
      </c>
      <c r="AQ24" s="10">
        <v>416442777600</v>
      </c>
      <c r="AR24" s="10">
        <v>431213412352</v>
      </c>
      <c r="AS24" s="10">
        <v>471613964288</v>
      </c>
      <c r="AT24" s="10">
        <v>578792325120</v>
      </c>
      <c r="AU24" s="10">
        <v>657171611648</v>
      </c>
      <c r="AV24" s="10">
        <v>685092634624</v>
      </c>
      <c r="AW24" s="10">
        <v>733340893184</v>
      </c>
      <c r="AX24" s="10">
        <v>847481536512</v>
      </c>
      <c r="AY24" s="10">
        <v>947997638656</v>
      </c>
      <c r="AZ24" s="10">
        <v>868077273088</v>
      </c>
      <c r="BA24" s="10">
        <v>846554923008</v>
      </c>
      <c r="BB24" s="10">
        <v>904085962752</v>
      </c>
      <c r="BC24" s="10">
        <v>838971293696</v>
      </c>
      <c r="BD24" s="10">
        <v>876923518976</v>
      </c>
      <c r="BE24" s="10">
        <v>890981318656</v>
      </c>
      <c r="BF24" s="10">
        <v>765264920576</v>
      </c>
      <c r="BG24" s="10">
        <v>783528165376</v>
      </c>
      <c r="BH24" s="10">
        <v>833869643776</v>
      </c>
      <c r="BI24" s="10">
        <v>914104844288</v>
      </c>
      <c r="BJ24" s="10">
        <v>909070368768</v>
      </c>
    </row>
    <row r="25" spans="1:62" x14ac:dyDescent="0.45">
      <c r="A25" t="s">
        <v>26</v>
      </c>
      <c r="B25" t="s">
        <v>96</v>
      </c>
      <c r="C25" s="10">
        <v>5163271680</v>
      </c>
      <c r="D25" s="10">
        <v>5632460800</v>
      </c>
      <c r="E25" s="10">
        <v>6066976768</v>
      </c>
      <c r="F25" s="10">
        <v>6510239744</v>
      </c>
      <c r="G25" s="10">
        <v>7159202816</v>
      </c>
      <c r="H25" s="10">
        <v>8058680832</v>
      </c>
      <c r="I25" s="10">
        <v>8696460288</v>
      </c>
      <c r="J25" s="10">
        <v>9514497024</v>
      </c>
      <c r="K25" s="10">
        <v>10159934464</v>
      </c>
      <c r="L25" s="10">
        <v>11063064576</v>
      </c>
      <c r="M25" s="10">
        <v>12814123008</v>
      </c>
      <c r="N25" s="10">
        <v>14583114752</v>
      </c>
      <c r="O25" s="10">
        <v>17358610432</v>
      </c>
      <c r="P25" s="10">
        <v>22534254592</v>
      </c>
      <c r="Q25" s="10">
        <v>27145693184</v>
      </c>
      <c r="R25" s="10">
        <v>32877805568</v>
      </c>
      <c r="S25" s="10">
        <v>35942268928</v>
      </c>
      <c r="T25" s="10">
        <v>41508028416</v>
      </c>
      <c r="U25" s="10">
        <v>46523092992</v>
      </c>
      <c r="V25" s="10">
        <v>53132242944</v>
      </c>
      <c r="W25" s="10">
        <v>64439382016</v>
      </c>
      <c r="X25" s="10">
        <v>63596654592</v>
      </c>
      <c r="Y25" s="10">
        <v>62647193600</v>
      </c>
      <c r="Z25" s="10">
        <v>61627240448</v>
      </c>
      <c r="AA25" s="10">
        <v>62057955328</v>
      </c>
      <c r="AB25" s="10">
        <v>65416880128</v>
      </c>
      <c r="AC25" s="10">
        <v>78693253120</v>
      </c>
      <c r="AD25" s="10">
        <v>94230052864</v>
      </c>
      <c r="AE25" s="10">
        <v>101900263424</v>
      </c>
      <c r="AF25" s="10">
        <v>102633791488</v>
      </c>
      <c r="AG25" s="10">
        <v>119791681536</v>
      </c>
      <c r="AH25" s="10">
        <v>121872465920</v>
      </c>
      <c r="AI25" s="10">
        <v>130838036480</v>
      </c>
      <c r="AJ25" s="10">
        <v>120579072000</v>
      </c>
      <c r="AK25" s="10">
        <v>127131459584</v>
      </c>
      <c r="AL25" s="10">
        <v>152029609984</v>
      </c>
      <c r="AM25" s="10">
        <v>163520102400</v>
      </c>
      <c r="AN25" s="10">
        <v>161356627968</v>
      </c>
      <c r="AO25" s="10">
        <v>154163363840</v>
      </c>
      <c r="AP25" s="10">
        <v>162284470272</v>
      </c>
      <c r="AQ25" s="10">
        <v>171247124480</v>
      </c>
      <c r="AR25" s="10">
        <v>173972226048</v>
      </c>
      <c r="AS25" s="10">
        <v>195524182016</v>
      </c>
      <c r="AT25" s="10">
        <v>228858511360</v>
      </c>
      <c r="AU25" s="10">
        <v>264511635456</v>
      </c>
      <c r="AV25" s="10">
        <v>308884275200</v>
      </c>
      <c r="AW25" s="10">
        <v>345581355008</v>
      </c>
      <c r="AX25" s="10">
        <v>400937091072</v>
      </c>
      <c r="AY25" s="10">
        <v>462249984000</v>
      </c>
      <c r="AZ25" s="10">
        <v>386190376960</v>
      </c>
      <c r="BA25" s="10">
        <v>428757024768</v>
      </c>
      <c r="BB25" s="10">
        <v>498283446272</v>
      </c>
      <c r="BC25" s="10">
        <v>509506322432</v>
      </c>
      <c r="BD25" s="10">
        <v>522761535488</v>
      </c>
      <c r="BE25" s="10">
        <v>498410061824</v>
      </c>
      <c r="BF25" s="10">
        <v>385801551872</v>
      </c>
      <c r="BG25" s="10">
        <v>368819929088</v>
      </c>
      <c r="BH25" s="10">
        <v>398393966592</v>
      </c>
      <c r="BI25" s="10">
        <v>434166628352</v>
      </c>
      <c r="BJ25" s="10">
        <v>403336364032</v>
      </c>
    </row>
    <row r="26" spans="1:62" x14ac:dyDescent="0.45">
      <c r="A26" t="s">
        <v>26</v>
      </c>
      <c r="B26" t="s">
        <v>97</v>
      </c>
      <c r="C26" s="10">
        <v>3193200384</v>
      </c>
      <c r="D26" s="10">
        <v>3417516544</v>
      </c>
      <c r="E26" s="10">
        <v>3668222464</v>
      </c>
      <c r="F26" s="10">
        <v>3905734400</v>
      </c>
      <c r="G26" s="10">
        <v>4235608064</v>
      </c>
      <c r="H26" s="10">
        <v>4687463936</v>
      </c>
      <c r="I26" s="10">
        <v>5135387648</v>
      </c>
      <c r="J26" s="10">
        <v>5740241408</v>
      </c>
      <c r="K26" s="10">
        <v>6354262528</v>
      </c>
      <c r="L26" s="10">
        <v>6969026048</v>
      </c>
      <c r="M26" s="10">
        <v>8108234752</v>
      </c>
      <c r="N26" s="10">
        <v>9201606656</v>
      </c>
      <c r="O26" s="10">
        <v>11239116800</v>
      </c>
      <c r="P26" s="10">
        <v>15090566144</v>
      </c>
      <c r="Q26" s="10">
        <v>17512388608</v>
      </c>
      <c r="R26" s="10">
        <v>19347609600</v>
      </c>
      <c r="S26" s="10">
        <v>20332834816</v>
      </c>
      <c r="T26" s="10">
        <v>21439524864</v>
      </c>
      <c r="U26" s="10">
        <v>23487612928</v>
      </c>
      <c r="V26" s="10">
        <v>26622818304</v>
      </c>
      <c r="W26" s="10">
        <v>32896522240</v>
      </c>
      <c r="X26" s="10">
        <v>31977275392</v>
      </c>
      <c r="Y26" s="10">
        <v>30527754240</v>
      </c>
      <c r="Z26" s="10">
        <v>27239651328</v>
      </c>
      <c r="AA26" s="10">
        <v>25217970176</v>
      </c>
      <c r="AB26" s="10">
        <v>27115806720</v>
      </c>
      <c r="AC26" s="10">
        <v>38745903104</v>
      </c>
      <c r="AD26" s="10">
        <v>48182923264</v>
      </c>
      <c r="AE26" s="10">
        <v>56347250688</v>
      </c>
      <c r="AF26" s="10">
        <v>60594094080</v>
      </c>
      <c r="AG26" s="10">
        <v>78713856000</v>
      </c>
      <c r="AH26" s="10">
        <v>89233596416</v>
      </c>
      <c r="AI26" s="10">
        <v>107592097792</v>
      </c>
      <c r="AJ26" s="10">
        <v>95009751040</v>
      </c>
      <c r="AK26" s="10">
        <v>99688644608</v>
      </c>
      <c r="AL26" s="10">
        <v>118122004480</v>
      </c>
      <c r="AM26" s="10">
        <v>122630086656</v>
      </c>
      <c r="AN26" s="10">
        <v>117016535040</v>
      </c>
      <c r="AO26" s="10">
        <v>123946328064</v>
      </c>
      <c r="AP26" s="10">
        <v>127427346432</v>
      </c>
      <c r="AQ26" s="10">
        <v>118310707200</v>
      </c>
      <c r="AR26" s="10">
        <v>121498886144</v>
      </c>
      <c r="AS26" s="10">
        <v>134156091392</v>
      </c>
      <c r="AT26" s="10">
        <v>164862148608</v>
      </c>
      <c r="AU26" s="10">
        <v>189034496000</v>
      </c>
      <c r="AV26" s="10">
        <v>197180325888</v>
      </c>
      <c r="AW26" s="10">
        <v>208581689344</v>
      </c>
      <c r="AX26" s="10">
        <v>240190799872</v>
      </c>
      <c r="AY26" s="10">
        <v>262344785920</v>
      </c>
      <c r="AZ26" s="10">
        <v>243701628928</v>
      </c>
      <c r="BA26" s="10">
        <v>237880901632</v>
      </c>
      <c r="BB26" s="10">
        <v>244797227008</v>
      </c>
      <c r="BC26" s="10">
        <v>216236605440</v>
      </c>
      <c r="BD26" s="10">
        <v>226369503232</v>
      </c>
      <c r="BE26" s="10">
        <v>229596168192</v>
      </c>
      <c r="BF26" s="10">
        <v>199313899520</v>
      </c>
      <c r="BG26" s="10">
        <v>206286028800</v>
      </c>
      <c r="BH26" s="10">
        <v>221357867008</v>
      </c>
      <c r="BI26" s="10">
        <v>241274634240</v>
      </c>
      <c r="BJ26" s="10">
        <v>237686079488</v>
      </c>
    </row>
    <row r="27" spans="1:62" x14ac:dyDescent="0.45">
      <c r="A27" t="s">
        <v>26</v>
      </c>
      <c r="B27" t="s">
        <v>98</v>
      </c>
      <c r="C27" s="10">
        <v>704756288</v>
      </c>
      <c r="D27" s="10">
        <v>764634752</v>
      </c>
      <c r="E27" s="10">
        <v>826244608</v>
      </c>
      <c r="F27" s="10">
        <v>917614016</v>
      </c>
      <c r="G27" s="10">
        <v>894159168</v>
      </c>
      <c r="H27" s="10">
        <v>974650432</v>
      </c>
      <c r="I27" s="10">
        <v>1096432768</v>
      </c>
      <c r="J27" s="10">
        <v>1238043904</v>
      </c>
      <c r="K27" s="10">
        <v>1425715456</v>
      </c>
      <c r="L27" s="10">
        <v>1659904640</v>
      </c>
      <c r="M27" s="10">
        <v>1920586752</v>
      </c>
      <c r="N27" s="10">
        <v>2263785472</v>
      </c>
      <c r="O27" s="10">
        <v>2721441024</v>
      </c>
      <c r="P27" s="10">
        <v>3696213248</v>
      </c>
      <c r="Q27" s="10">
        <v>5221534720</v>
      </c>
      <c r="R27" s="10">
        <v>5633673728</v>
      </c>
      <c r="S27" s="10">
        <v>6327077888</v>
      </c>
      <c r="T27" s="10">
        <v>6618585088</v>
      </c>
      <c r="U27" s="10">
        <v>7517176320</v>
      </c>
      <c r="V27" s="10">
        <v>9296921600</v>
      </c>
      <c r="W27" s="10">
        <v>11896256512</v>
      </c>
      <c r="X27" s="10">
        <v>14175228928</v>
      </c>
      <c r="Y27" s="10">
        <v>16084252672</v>
      </c>
      <c r="Z27" s="10">
        <v>17784113152</v>
      </c>
      <c r="AA27" s="10">
        <v>19749361664</v>
      </c>
      <c r="AB27" s="10">
        <v>19156533248</v>
      </c>
      <c r="AC27" s="10">
        <v>18586746880</v>
      </c>
      <c r="AD27" s="10">
        <v>20919216128</v>
      </c>
      <c r="AE27" s="10">
        <v>25371461632</v>
      </c>
      <c r="AF27" s="10">
        <v>30465363968</v>
      </c>
      <c r="AG27" s="10">
        <v>36144336896</v>
      </c>
      <c r="AH27" s="10">
        <v>45466165248</v>
      </c>
      <c r="AI27" s="10">
        <v>52130263040</v>
      </c>
      <c r="AJ27" s="10">
        <v>60603478016</v>
      </c>
      <c r="AK27" s="10">
        <v>73690849280</v>
      </c>
      <c r="AL27" s="10">
        <v>87810990080</v>
      </c>
      <c r="AM27" s="10">
        <v>96295886848</v>
      </c>
      <c r="AN27" s="10">
        <v>100124188672</v>
      </c>
      <c r="AO27" s="10">
        <v>85728313344</v>
      </c>
      <c r="AP27" s="10">
        <v>86284664832</v>
      </c>
      <c r="AQ27" s="10">
        <v>96074481664</v>
      </c>
      <c r="AR27" s="10">
        <v>89794945024</v>
      </c>
      <c r="AS27" s="10">
        <v>92537749504</v>
      </c>
      <c r="AT27" s="10">
        <v>97645445120</v>
      </c>
      <c r="AU27" s="10">
        <v>115035496448</v>
      </c>
      <c r="AV27" s="10">
        <v>127807619072</v>
      </c>
      <c r="AW27" s="10">
        <v>148630372352</v>
      </c>
      <c r="AX27" s="10">
        <v>180941946880</v>
      </c>
      <c r="AY27" s="10">
        <v>193611988992</v>
      </c>
      <c r="AZ27" s="10">
        <v>194152284160</v>
      </c>
      <c r="BA27" s="10">
        <v>239809380352</v>
      </c>
      <c r="BB27" s="10">
        <v>279351164928</v>
      </c>
      <c r="BC27" s="10">
        <v>295087210496</v>
      </c>
      <c r="BD27" s="10">
        <v>307576373248</v>
      </c>
      <c r="BE27" s="10">
        <v>314851164160</v>
      </c>
      <c r="BF27" s="10">
        <v>308004159488</v>
      </c>
      <c r="BG27" s="10">
        <v>318652350464</v>
      </c>
      <c r="BH27" s="10">
        <v>341863333888</v>
      </c>
      <c r="BI27" s="10">
        <v>373217067008</v>
      </c>
      <c r="BJ27" s="10">
        <v>372062519296</v>
      </c>
    </row>
    <row r="28" spans="1:62" x14ac:dyDescent="0.45">
      <c r="A28" t="s">
        <v>26</v>
      </c>
      <c r="B28" t="s">
        <v>99</v>
      </c>
      <c r="C28" s="10">
        <v>3958190848</v>
      </c>
      <c r="D28" s="10">
        <v>2417558272</v>
      </c>
      <c r="E28" s="10">
        <v>2814318592</v>
      </c>
      <c r="F28" s="10">
        <v>3988784640</v>
      </c>
      <c r="G28" s="10">
        <v>3458939392</v>
      </c>
      <c r="H28" s="10">
        <v>3120833280</v>
      </c>
      <c r="I28" s="10">
        <v>3928908288</v>
      </c>
      <c r="J28" s="10">
        <v>4855907328</v>
      </c>
      <c r="K28" s="10">
        <v>6119284224</v>
      </c>
      <c r="L28" s="10">
        <v>7678581248</v>
      </c>
      <c r="M28" s="10">
        <v>9005023232</v>
      </c>
      <c r="N28" s="10">
        <v>9903500288</v>
      </c>
      <c r="O28" s="10">
        <v>10862327808</v>
      </c>
      <c r="P28" s="10">
        <v>13876531200</v>
      </c>
      <c r="Q28" s="10">
        <v>19544094720</v>
      </c>
      <c r="R28" s="10">
        <v>21784297472</v>
      </c>
      <c r="S28" s="10">
        <v>29902479360</v>
      </c>
      <c r="T28" s="10">
        <v>38446489600</v>
      </c>
      <c r="U28" s="10">
        <v>51972108288</v>
      </c>
      <c r="V28" s="10">
        <v>66946899968</v>
      </c>
      <c r="W28" s="10">
        <v>65398644736</v>
      </c>
      <c r="X28" s="10">
        <v>72933351424</v>
      </c>
      <c r="Y28" s="10">
        <v>78358863872</v>
      </c>
      <c r="Z28" s="10">
        <v>87760363520</v>
      </c>
      <c r="AA28" s="10">
        <v>97510236160</v>
      </c>
      <c r="AB28" s="10">
        <v>101296177152</v>
      </c>
      <c r="AC28" s="10">
        <v>116836802560</v>
      </c>
      <c r="AD28" s="10">
        <v>147948257280</v>
      </c>
      <c r="AE28" s="10">
        <v>199590821888</v>
      </c>
      <c r="AF28" s="10">
        <v>246927294464</v>
      </c>
      <c r="AG28" s="10">
        <v>283367538688</v>
      </c>
      <c r="AH28" s="10">
        <v>330648518656</v>
      </c>
      <c r="AI28" s="10">
        <v>355525263360</v>
      </c>
      <c r="AJ28" s="10">
        <v>392666087424</v>
      </c>
      <c r="AK28" s="10">
        <v>463617392640</v>
      </c>
      <c r="AL28" s="10">
        <v>566583427072</v>
      </c>
      <c r="AM28" s="10">
        <v>610169585664</v>
      </c>
      <c r="AN28" s="10">
        <v>569754517504</v>
      </c>
      <c r="AO28" s="10">
        <v>383330942976</v>
      </c>
      <c r="AP28" s="10">
        <v>497512644608</v>
      </c>
      <c r="AQ28" s="10">
        <v>576178094080</v>
      </c>
      <c r="AR28" s="10">
        <v>547658235904</v>
      </c>
      <c r="AS28" s="10">
        <v>627246104576</v>
      </c>
      <c r="AT28" s="10">
        <v>702717362176</v>
      </c>
      <c r="AU28" s="10">
        <v>793174999040</v>
      </c>
      <c r="AV28" s="10">
        <v>934901055488</v>
      </c>
      <c r="AW28" s="10">
        <v>1053216931840</v>
      </c>
      <c r="AX28" s="10">
        <v>1172614021120</v>
      </c>
      <c r="AY28" s="10">
        <v>1047339008000</v>
      </c>
      <c r="AZ28" s="10">
        <v>943941877760</v>
      </c>
      <c r="BA28" s="10">
        <v>1144066932736</v>
      </c>
      <c r="BB28" s="10">
        <v>1253223038976</v>
      </c>
      <c r="BC28" s="10">
        <v>1278427660288</v>
      </c>
      <c r="BD28" s="10">
        <v>1370795147264</v>
      </c>
      <c r="BE28" s="10">
        <v>1484318179328</v>
      </c>
      <c r="BF28" s="10">
        <v>1465773195264</v>
      </c>
      <c r="BG28" s="10">
        <v>1500111568896</v>
      </c>
      <c r="BH28" s="10">
        <v>1623901470720</v>
      </c>
      <c r="BI28" s="10">
        <v>1720578867200</v>
      </c>
      <c r="BJ28" s="10">
        <v>1642383278080</v>
      </c>
    </row>
    <row r="29" spans="1:62" x14ac:dyDescent="0.45">
      <c r="A29" t="s">
        <v>26</v>
      </c>
      <c r="B29" t="s">
        <v>100</v>
      </c>
      <c r="C29" s="10">
        <v>12072126464</v>
      </c>
      <c r="D29" s="10">
        <v>13834300416</v>
      </c>
      <c r="E29" s="10">
        <v>16138545152</v>
      </c>
      <c r="F29" s="10">
        <v>19074914304</v>
      </c>
      <c r="G29" s="10">
        <v>21343844352</v>
      </c>
      <c r="H29" s="10">
        <v>24756959232</v>
      </c>
      <c r="I29" s="10">
        <v>28721061888</v>
      </c>
      <c r="J29" s="10">
        <v>31647119360</v>
      </c>
      <c r="K29" s="10">
        <v>31475548160</v>
      </c>
      <c r="L29" s="10">
        <v>36038713344</v>
      </c>
      <c r="M29" s="10">
        <v>40992997376</v>
      </c>
      <c r="N29" s="10">
        <v>46619418624</v>
      </c>
      <c r="O29" s="10">
        <v>59132416000</v>
      </c>
      <c r="P29" s="10">
        <v>78639529984</v>
      </c>
      <c r="Q29" s="10">
        <v>97274003456</v>
      </c>
      <c r="R29" s="10">
        <v>114777047040</v>
      </c>
      <c r="S29" s="10">
        <v>118507184128</v>
      </c>
      <c r="T29" s="10">
        <v>132449280000</v>
      </c>
      <c r="U29" s="10">
        <v>160599687168</v>
      </c>
      <c r="V29" s="10">
        <v>214601957376</v>
      </c>
      <c r="W29" s="10">
        <v>232766816256</v>
      </c>
      <c r="X29" s="10">
        <v>202807885824</v>
      </c>
      <c r="Y29" s="10">
        <v>195996762112</v>
      </c>
      <c r="Z29" s="10">
        <v>170951180288</v>
      </c>
      <c r="AA29" s="10">
        <v>172102909952</v>
      </c>
      <c r="AB29" s="10">
        <v>180793458688</v>
      </c>
      <c r="AC29" s="10">
        <v>251321073664</v>
      </c>
      <c r="AD29" s="10">
        <v>318747934720</v>
      </c>
      <c r="AE29" s="10">
        <v>376160419840</v>
      </c>
      <c r="AF29" s="10">
        <v>414757060608</v>
      </c>
      <c r="AG29" s="10">
        <v>536558600192</v>
      </c>
      <c r="AH29" s="10">
        <v>577166180352</v>
      </c>
      <c r="AI29" s="10">
        <v>630915989504</v>
      </c>
      <c r="AJ29" s="10">
        <v>525075644416</v>
      </c>
      <c r="AK29" s="10">
        <v>530562646016</v>
      </c>
      <c r="AL29" s="10">
        <v>614608994304</v>
      </c>
      <c r="AM29" s="10">
        <v>642588999680</v>
      </c>
      <c r="AN29" s="10">
        <v>590077296640</v>
      </c>
      <c r="AO29" s="10">
        <v>619214864384</v>
      </c>
      <c r="AP29" s="10">
        <v>634693156864</v>
      </c>
      <c r="AQ29" s="10">
        <v>596877639680</v>
      </c>
      <c r="AR29" s="10">
        <v>627286802432</v>
      </c>
      <c r="AS29" s="10">
        <v>705394311168</v>
      </c>
      <c r="AT29" s="10">
        <v>905492103168</v>
      </c>
      <c r="AU29" s="10">
        <v>1067093393408</v>
      </c>
      <c r="AV29" s="10">
        <v>1153285619712</v>
      </c>
      <c r="AW29" s="10">
        <v>1259343839232</v>
      </c>
      <c r="AX29" s="10">
        <v>1472131104768</v>
      </c>
      <c r="AY29" s="10">
        <v>1625224904704</v>
      </c>
      <c r="AZ29" s="10">
        <v>1485583548416</v>
      </c>
      <c r="BA29" s="10">
        <v>1420722044928</v>
      </c>
      <c r="BB29" s="10">
        <v>1478772785152</v>
      </c>
      <c r="BC29" s="10">
        <v>1324820070400</v>
      </c>
      <c r="BD29" s="10">
        <v>1354757439488</v>
      </c>
      <c r="BE29" s="10">
        <v>1369398837248</v>
      </c>
      <c r="BF29" s="10">
        <v>1195119214592</v>
      </c>
      <c r="BG29" s="10">
        <v>1232076013568</v>
      </c>
      <c r="BH29" s="10">
        <v>1312551731200</v>
      </c>
      <c r="BI29" s="10">
        <v>1419735203840</v>
      </c>
      <c r="BJ29" s="10">
        <v>1394116263936</v>
      </c>
    </row>
    <row r="30" spans="1:62" x14ac:dyDescent="0.45">
      <c r="A30" t="s">
        <v>26</v>
      </c>
      <c r="B30" t="s">
        <v>101</v>
      </c>
      <c r="C30" s="10">
        <v>15822584832</v>
      </c>
      <c r="D30" s="10">
        <v>17212686336</v>
      </c>
      <c r="E30" s="10">
        <v>18667251712</v>
      </c>
      <c r="F30" s="10">
        <v>20204869632</v>
      </c>
      <c r="G30" s="10">
        <v>22532417536</v>
      </c>
      <c r="H30" s="10">
        <v>24795500544</v>
      </c>
      <c r="I30" s="10">
        <v>26971486208</v>
      </c>
      <c r="J30" s="10">
        <v>29275996160</v>
      </c>
      <c r="K30" s="10">
        <v>31066820608</v>
      </c>
      <c r="L30" s="10">
        <v>33738102784</v>
      </c>
      <c r="M30" s="10">
        <v>38092451840</v>
      </c>
      <c r="N30" s="10">
        <v>41566412800</v>
      </c>
      <c r="O30" s="10">
        <v>48954146816</v>
      </c>
      <c r="P30" s="10">
        <v>59404967936</v>
      </c>
      <c r="Q30" s="10">
        <v>66013339648</v>
      </c>
      <c r="R30" s="10">
        <v>82885394432</v>
      </c>
      <c r="S30" s="10">
        <v>89362071552</v>
      </c>
      <c r="T30" s="10">
        <v>94468743168</v>
      </c>
      <c r="U30" s="10">
        <v>104442347520</v>
      </c>
      <c r="V30" s="10">
        <v>123386413056</v>
      </c>
      <c r="W30" s="10">
        <v>142092075008</v>
      </c>
      <c r="X30" s="10">
        <v>129686937600</v>
      </c>
      <c r="Y30" s="10">
        <v>114380554240</v>
      </c>
      <c r="Z30" s="10">
        <v>105014353920</v>
      </c>
      <c r="AA30" s="10">
        <v>109201358848</v>
      </c>
      <c r="AB30" s="10">
        <v>114123538432</v>
      </c>
      <c r="AC30" s="10">
        <v>150498050048</v>
      </c>
      <c r="AD30" s="10">
        <v>183009640448</v>
      </c>
      <c r="AE30" s="10">
        <v>206986674176</v>
      </c>
      <c r="AF30" s="10">
        <v>217948323840</v>
      </c>
      <c r="AG30" s="10">
        <v>261846188032</v>
      </c>
      <c r="AH30" s="10">
        <v>274229035008</v>
      </c>
      <c r="AI30" s="10">
        <v>284321120256</v>
      </c>
      <c r="AJ30" s="10">
        <v>212953333760</v>
      </c>
      <c r="AK30" s="10">
        <v>229033574400</v>
      </c>
      <c r="AL30" s="10">
        <v>267305877504</v>
      </c>
      <c r="AM30" s="10">
        <v>291743825920</v>
      </c>
      <c r="AN30" s="10">
        <v>268146147328</v>
      </c>
      <c r="AO30" s="10">
        <v>270809071616</v>
      </c>
      <c r="AP30" s="10">
        <v>274072174592</v>
      </c>
      <c r="AQ30" s="10">
        <v>262835453952</v>
      </c>
      <c r="AR30" s="10">
        <v>242395856896</v>
      </c>
      <c r="AS30" s="10">
        <v>266849058816</v>
      </c>
      <c r="AT30" s="10">
        <v>334337212416</v>
      </c>
      <c r="AU30" s="10">
        <v>385118044160</v>
      </c>
      <c r="AV30" s="10">
        <v>392218083328</v>
      </c>
      <c r="AW30" s="10">
        <v>423093436416</v>
      </c>
      <c r="AX30" s="10">
        <v>491252580352</v>
      </c>
      <c r="AY30" s="10">
        <v>517706153984</v>
      </c>
      <c r="AZ30" s="10">
        <v>436536999936</v>
      </c>
      <c r="BA30" s="10">
        <v>495812542464</v>
      </c>
      <c r="BB30" s="10">
        <v>574094114816</v>
      </c>
      <c r="BC30" s="10">
        <v>552483749888</v>
      </c>
      <c r="BD30" s="10">
        <v>586841849856</v>
      </c>
      <c r="BE30" s="10">
        <v>581964005376</v>
      </c>
      <c r="BF30" s="10">
        <v>505103777792</v>
      </c>
      <c r="BG30" s="10">
        <v>515654680576</v>
      </c>
      <c r="BH30" s="10">
        <v>541018750976</v>
      </c>
      <c r="BI30" s="10">
        <v>555455348736</v>
      </c>
      <c r="BJ30" s="10">
        <v>530832916480</v>
      </c>
    </row>
    <row r="31" spans="1:62" x14ac:dyDescent="0.45">
      <c r="A31" t="s">
        <v>26</v>
      </c>
      <c r="B31" t="s">
        <v>102</v>
      </c>
      <c r="C31" s="10">
        <v>73233965056</v>
      </c>
      <c r="D31" s="10">
        <v>77741965312</v>
      </c>
      <c r="E31" s="10">
        <v>81247567872</v>
      </c>
      <c r="F31" s="10">
        <v>86561964032</v>
      </c>
      <c r="G31" s="10">
        <v>94407557120</v>
      </c>
      <c r="H31" s="10">
        <v>101824757760</v>
      </c>
      <c r="I31" s="10">
        <v>108572753920</v>
      </c>
      <c r="J31" s="10">
        <v>113116889088</v>
      </c>
      <c r="K31" s="10">
        <v>107759910912</v>
      </c>
      <c r="L31" s="10">
        <v>116464705536</v>
      </c>
      <c r="M31" s="10">
        <v>130671943680</v>
      </c>
      <c r="N31" s="10">
        <v>148113899520</v>
      </c>
      <c r="O31" s="10">
        <v>169965027328</v>
      </c>
      <c r="P31" s="10">
        <v>192537968640</v>
      </c>
      <c r="Q31" s="10">
        <v>206131363840</v>
      </c>
      <c r="R31" s="10">
        <v>241756635136</v>
      </c>
      <c r="S31" s="10">
        <v>232614559744</v>
      </c>
      <c r="T31" s="10">
        <v>263066451968</v>
      </c>
      <c r="U31" s="10">
        <v>335883042816</v>
      </c>
      <c r="V31" s="10">
        <v>438994075648</v>
      </c>
      <c r="W31" s="10">
        <v>564947714048</v>
      </c>
      <c r="X31" s="10">
        <v>540765683712</v>
      </c>
      <c r="Y31" s="10">
        <v>515048931328</v>
      </c>
      <c r="Z31" s="10">
        <v>489618014208</v>
      </c>
      <c r="AA31" s="10">
        <v>461487112192</v>
      </c>
      <c r="AB31" s="10">
        <v>489285156864</v>
      </c>
      <c r="AC31" s="10">
        <v>601452642304</v>
      </c>
      <c r="AD31" s="10">
        <v>745162604544</v>
      </c>
      <c r="AE31" s="10">
        <v>910122745856</v>
      </c>
      <c r="AF31" s="10">
        <v>926884823040</v>
      </c>
      <c r="AG31" s="10">
        <v>1093169381376</v>
      </c>
      <c r="AH31" s="10">
        <v>1142797238272</v>
      </c>
      <c r="AI31" s="10">
        <v>1179659534336</v>
      </c>
      <c r="AJ31" s="10">
        <v>1061388746752</v>
      </c>
      <c r="AK31" s="10">
        <v>1140489715712</v>
      </c>
      <c r="AL31" s="10">
        <v>1341584310272</v>
      </c>
      <c r="AM31" s="10">
        <v>1415358840832</v>
      </c>
      <c r="AN31" s="10">
        <v>1559078240256</v>
      </c>
      <c r="AO31" s="10">
        <v>1650172231680</v>
      </c>
      <c r="AP31" s="10">
        <v>1682399297536</v>
      </c>
      <c r="AQ31" s="10">
        <v>1657816612864</v>
      </c>
      <c r="AR31" s="10">
        <v>1640246149120</v>
      </c>
      <c r="AS31" s="10">
        <v>1784473976832</v>
      </c>
      <c r="AT31" s="10">
        <v>2053018746880</v>
      </c>
      <c r="AU31" s="10">
        <v>2416931504128</v>
      </c>
      <c r="AV31" s="10">
        <v>2538680090624</v>
      </c>
      <c r="AW31" s="10">
        <v>2713749815296</v>
      </c>
      <c r="AX31" s="10">
        <v>3100882239488</v>
      </c>
      <c r="AY31" s="10">
        <v>2922667311104</v>
      </c>
      <c r="AZ31" s="10">
        <v>2410909794304</v>
      </c>
      <c r="BA31" s="10">
        <v>2475244388352</v>
      </c>
      <c r="BB31" s="10">
        <v>2659310108672</v>
      </c>
      <c r="BC31" s="10">
        <v>2704887775232</v>
      </c>
      <c r="BD31" s="10">
        <v>2786022916096</v>
      </c>
      <c r="BE31" s="10">
        <v>3063803281408</v>
      </c>
      <c r="BF31" s="10">
        <v>2928590979072</v>
      </c>
      <c r="BG31" s="10">
        <v>2694283264000</v>
      </c>
      <c r="BH31" s="10">
        <v>2666229137408</v>
      </c>
      <c r="BI31" s="10">
        <v>2860667633664</v>
      </c>
      <c r="BJ31" s="10">
        <v>2827113201664</v>
      </c>
    </row>
    <row r="32" spans="1:62" x14ac:dyDescent="0.45">
      <c r="A32" t="s">
        <v>26</v>
      </c>
      <c r="B32" t="s">
        <v>103</v>
      </c>
      <c r="C32" s="10">
        <v>543299993600</v>
      </c>
      <c r="D32" s="10">
        <v>563300007936</v>
      </c>
      <c r="E32" s="10">
        <v>605099982848</v>
      </c>
      <c r="F32" s="10">
        <v>638600019968</v>
      </c>
      <c r="G32" s="10">
        <v>685800030208</v>
      </c>
      <c r="H32" s="10">
        <v>743699972096</v>
      </c>
      <c r="I32" s="10">
        <v>814999994368</v>
      </c>
      <c r="J32" s="10">
        <v>861700030464</v>
      </c>
      <c r="K32" s="10">
        <v>942500020224</v>
      </c>
      <c r="L32" s="10">
        <v>1019900002304</v>
      </c>
      <c r="M32" s="10">
        <v>1073302994944</v>
      </c>
      <c r="N32" s="10">
        <v>1164849971200</v>
      </c>
      <c r="O32" s="10">
        <v>1279110021120</v>
      </c>
      <c r="P32" s="10">
        <v>1425376018432</v>
      </c>
      <c r="Q32" s="10">
        <v>1545242935296</v>
      </c>
      <c r="R32" s="10">
        <v>1684903952384</v>
      </c>
      <c r="S32" s="10">
        <v>1873411964928</v>
      </c>
      <c r="T32" s="10">
        <v>2081826013184</v>
      </c>
      <c r="U32" s="10">
        <v>2351598927872</v>
      </c>
      <c r="V32" s="10">
        <v>2627334045696</v>
      </c>
      <c r="W32" s="10">
        <v>2857306947584</v>
      </c>
      <c r="X32" s="10">
        <v>3207041908736</v>
      </c>
      <c r="Y32" s="10">
        <v>3343789064192</v>
      </c>
      <c r="Z32" s="10">
        <v>3634038046720</v>
      </c>
      <c r="AA32" s="10">
        <v>4037612929024</v>
      </c>
      <c r="AB32" s="10">
        <v>4338978914304</v>
      </c>
      <c r="AC32" s="10">
        <v>4579631038464</v>
      </c>
      <c r="AD32" s="10">
        <v>4855215161344</v>
      </c>
      <c r="AE32" s="10">
        <v>5236438073344</v>
      </c>
      <c r="AF32" s="10">
        <v>5641580052480</v>
      </c>
      <c r="AG32" s="10">
        <v>5963144232960</v>
      </c>
      <c r="AH32" s="10">
        <v>6158129037312</v>
      </c>
      <c r="AI32" s="10">
        <v>6520327110656</v>
      </c>
      <c r="AJ32" s="10">
        <v>6858558930944</v>
      </c>
      <c r="AK32" s="10">
        <v>7287236198400</v>
      </c>
      <c r="AL32" s="10">
        <v>7639749099520</v>
      </c>
      <c r="AM32" s="10">
        <v>8073121890304</v>
      </c>
      <c r="AN32" s="10">
        <v>8577554579456</v>
      </c>
      <c r="AO32" s="10">
        <v>9062818250752</v>
      </c>
      <c r="AP32" s="10">
        <v>9630664097792</v>
      </c>
      <c r="AQ32" s="10">
        <v>10252345933824</v>
      </c>
      <c r="AR32" s="10">
        <v>10581821095936</v>
      </c>
      <c r="AS32" s="10">
        <v>10936419090432</v>
      </c>
      <c r="AT32" s="10">
        <v>11458243985408</v>
      </c>
      <c r="AU32" s="10">
        <v>12213729361920</v>
      </c>
      <c r="AV32" s="10">
        <v>13036640272384</v>
      </c>
      <c r="AW32" s="10">
        <v>13814611312640</v>
      </c>
      <c r="AX32" s="10">
        <v>14451858210816</v>
      </c>
      <c r="AY32" s="10">
        <v>14712844582912</v>
      </c>
      <c r="AZ32" s="10">
        <v>14448932683776</v>
      </c>
      <c r="BA32" s="10">
        <v>14992053108736</v>
      </c>
      <c r="BB32" s="10">
        <v>15542580674560</v>
      </c>
      <c r="BC32" s="10">
        <v>16197007441920</v>
      </c>
      <c r="BD32" s="10">
        <v>16784849633280</v>
      </c>
      <c r="BE32" s="10">
        <v>17521746903040</v>
      </c>
      <c r="BF32" s="10">
        <v>18219297406976</v>
      </c>
      <c r="BG32" s="10">
        <v>18707187236864</v>
      </c>
      <c r="BH32" s="10">
        <v>19485394206720</v>
      </c>
      <c r="BI32" s="10">
        <v>20529048190976</v>
      </c>
      <c r="BJ32" s="10">
        <v>21374418550784</v>
      </c>
    </row>
    <row r="33" spans="1:62" x14ac:dyDescent="0.45">
      <c r="A33" t="s">
        <v>27</v>
      </c>
      <c r="B33" t="s">
        <v>104</v>
      </c>
      <c r="C33" s="10">
        <v>169803920</v>
      </c>
      <c r="D33" s="10">
        <v>190098032</v>
      </c>
      <c r="E33" s="10">
        <v>212254896</v>
      </c>
      <c r="F33" s="10">
        <v>237745104</v>
      </c>
      <c r="G33" s="10">
        <v>266666672</v>
      </c>
      <c r="H33" s="10">
        <v>300392160</v>
      </c>
      <c r="I33" s="10">
        <v>340000000</v>
      </c>
      <c r="J33" s="10">
        <v>390196064</v>
      </c>
      <c r="K33" s="10">
        <v>444901952</v>
      </c>
      <c r="L33" s="10">
        <v>528137248</v>
      </c>
      <c r="M33" s="10">
        <v>538423168</v>
      </c>
      <c r="N33" s="10">
        <v>573400000</v>
      </c>
      <c r="O33" s="10">
        <v>590899968</v>
      </c>
      <c r="P33" s="10">
        <v>670899968</v>
      </c>
      <c r="Q33" s="10">
        <v>632400000</v>
      </c>
      <c r="R33" s="10">
        <v>596200000</v>
      </c>
      <c r="S33" s="10">
        <v>642099968</v>
      </c>
      <c r="T33" s="10">
        <v>713000000</v>
      </c>
      <c r="U33" s="10">
        <v>832400000</v>
      </c>
      <c r="V33" s="10">
        <v>1139800064</v>
      </c>
      <c r="W33" s="10">
        <v>1335299968</v>
      </c>
      <c r="X33" s="10">
        <v>1426499968</v>
      </c>
      <c r="Y33" s="10">
        <v>1578300032</v>
      </c>
      <c r="Z33" s="10">
        <v>1732800000</v>
      </c>
      <c r="AA33" s="10">
        <v>2041100032</v>
      </c>
      <c r="AB33" s="10">
        <v>2320699904</v>
      </c>
      <c r="AC33" s="10">
        <v>2472499968</v>
      </c>
      <c r="AD33" s="10">
        <v>2713999872</v>
      </c>
      <c r="AE33" s="10">
        <v>2817900032</v>
      </c>
      <c r="AF33" s="10">
        <v>3062000128</v>
      </c>
      <c r="AG33" s="10">
        <v>3166000128</v>
      </c>
      <c r="AH33" s="10">
        <v>3111160064</v>
      </c>
      <c r="AI33" s="10">
        <v>3108999936</v>
      </c>
      <c r="AJ33" s="10">
        <v>3092000000</v>
      </c>
      <c r="AK33" s="10">
        <v>3259000064</v>
      </c>
      <c r="AL33" s="10">
        <v>3428999936</v>
      </c>
      <c r="AM33" s="10">
        <v>3608999936</v>
      </c>
      <c r="AN33" s="10">
        <v>6332360192</v>
      </c>
      <c r="AO33" s="10">
        <v>6833220096</v>
      </c>
      <c r="AP33" s="10">
        <v>7683870208</v>
      </c>
      <c r="AQ33" s="10">
        <v>8076469760</v>
      </c>
      <c r="AR33" s="10">
        <v>8317830144</v>
      </c>
      <c r="AS33" s="10">
        <v>8881160192</v>
      </c>
      <c r="AT33" s="10">
        <v>8870089728</v>
      </c>
      <c r="AU33" s="10">
        <v>9055290368</v>
      </c>
      <c r="AV33" s="10">
        <v>9836199936</v>
      </c>
      <c r="AW33" s="10">
        <v>10167249920</v>
      </c>
      <c r="AX33" s="10">
        <v>10618340352</v>
      </c>
      <c r="AY33" s="10">
        <v>10526000128</v>
      </c>
      <c r="AZ33" s="10">
        <v>9981960192</v>
      </c>
      <c r="BA33" s="10">
        <v>10095760384</v>
      </c>
      <c r="BB33" s="10">
        <v>10070450176</v>
      </c>
      <c r="BC33" s="10">
        <v>10720499712</v>
      </c>
      <c r="BD33" s="10">
        <v>10562700288</v>
      </c>
      <c r="BE33" s="10">
        <v>10913300480</v>
      </c>
      <c r="BF33" s="10">
        <v>11752299520</v>
      </c>
      <c r="BG33" s="10">
        <v>11938400256</v>
      </c>
      <c r="BH33" s="10">
        <v>12150400000</v>
      </c>
      <c r="BI33" s="10">
        <v>12424500224</v>
      </c>
      <c r="BJ33" s="10">
        <v>12826999808</v>
      </c>
    </row>
    <row r="34" spans="1:62" x14ac:dyDescent="0.45">
      <c r="A34" t="s">
        <v>27</v>
      </c>
      <c r="B34" t="s">
        <v>105</v>
      </c>
      <c r="C34" s="10">
        <v>4274893824</v>
      </c>
      <c r="D34" s="10">
        <v>4817580032</v>
      </c>
      <c r="E34" s="10">
        <v>5081413120</v>
      </c>
      <c r="F34" s="10">
        <v>5319458304</v>
      </c>
      <c r="G34" s="10">
        <v>5386054656</v>
      </c>
      <c r="H34" s="10">
        <v>5906636800</v>
      </c>
      <c r="I34" s="10">
        <v>6439687680</v>
      </c>
      <c r="J34" s="10">
        <v>7253575168</v>
      </c>
      <c r="K34" s="10">
        <v>7483685376</v>
      </c>
      <c r="L34" s="10">
        <v>8471006208</v>
      </c>
      <c r="M34" s="10">
        <v>8992721920</v>
      </c>
      <c r="N34" s="10">
        <v>8751843328</v>
      </c>
      <c r="O34" s="10">
        <v>6288245760</v>
      </c>
      <c r="P34" s="10">
        <v>8086725632</v>
      </c>
      <c r="Q34" s="10">
        <v>12512460800</v>
      </c>
      <c r="R34" s="10">
        <v>19448348672</v>
      </c>
      <c r="S34" s="10">
        <v>10117112832</v>
      </c>
      <c r="T34" s="10">
        <v>9651148800</v>
      </c>
      <c r="U34" s="10">
        <v>13281767424</v>
      </c>
      <c r="V34" s="10">
        <v>15565479936</v>
      </c>
      <c r="W34" s="10">
        <v>18138048512</v>
      </c>
      <c r="X34" s="10">
        <v>20249694208</v>
      </c>
      <c r="Y34" s="10">
        <v>18525399040</v>
      </c>
      <c r="Z34" s="10">
        <v>17609048064</v>
      </c>
      <c r="AA34" s="10">
        <v>18920839168</v>
      </c>
      <c r="AB34" s="10">
        <v>22278422528</v>
      </c>
      <c r="AC34" s="10">
        <v>21774032896</v>
      </c>
      <c r="AD34" s="10">
        <v>24298033152</v>
      </c>
      <c r="AE34" s="10">
        <v>26579005440</v>
      </c>
      <c r="AF34" s="10">
        <v>28781715456</v>
      </c>
      <c r="AG34" s="10">
        <v>31598342144</v>
      </c>
      <c r="AH34" s="10">
        <v>30957484032</v>
      </c>
      <c r="AI34" s="10">
        <v>31708874752</v>
      </c>
      <c r="AJ34" s="10">
        <v>33166520320</v>
      </c>
      <c r="AK34" s="10">
        <v>33768660992</v>
      </c>
      <c r="AL34" s="10">
        <v>37939748864</v>
      </c>
      <c r="AM34" s="10">
        <v>46438486016</v>
      </c>
      <c r="AN34" s="10">
        <v>48244310016</v>
      </c>
      <c r="AO34" s="10">
        <v>49984561152</v>
      </c>
      <c r="AP34" s="10">
        <v>51270569984</v>
      </c>
      <c r="AQ34" s="10">
        <v>53369786368</v>
      </c>
      <c r="AR34" s="10">
        <v>53991288832</v>
      </c>
      <c r="AS34" s="10">
        <v>54724079616</v>
      </c>
      <c r="AT34" s="10">
        <v>60158930944</v>
      </c>
      <c r="AU34" s="10">
        <v>65108545536</v>
      </c>
      <c r="AV34" s="10">
        <v>69442945024</v>
      </c>
      <c r="AW34" s="10">
        <v>71819083776</v>
      </c>
      <c r="AX34" s="10">
        <v>79611887616</v>
      </c>
      <c r="AY34" s="10">
        <v>91631280128</v>
      </c>
      <c r="AZ34" s="10">
        <v>102477791232</v>
      </c>
      <c r="BA34" s="10">
        <v>115279077376</v>
      </c>
      <c r="BB34" s="10">
        <v>128637935616</v>
      </c>
      <c r="BC34" s="10">
        <v>133355749376</v>
      </c>
      <c r="BD34" s="10">
        <v>149990457344</v>
      </c>
      <c r="BE34" s="10">
        <v>172885458944</v>
      </c>
      <c r="BF34" s="10">
        <v>195078684672</v>
      </c>
      <c r="BG34" s="10">
        <v>221415161856</v>
      </c>
      <c r="BH34" s="10">
        <v>249711050752</v>
      </c>
      <c r="BI34" s="10">
        <v>274039095296</v>
      </c>
      <c r="BJ34" s="10">
        <v>302571257856</v>
      </c>
    </row>
    <row r="35" spans="1:62" x14ac:dyDescent="0.45">
      <c r="A35" t="s">
        <v>27</v>
      </c>
      <c r="B35" t="s">
        <v>106</v>
      </c>
      <c r="C35" s="10">
        <v>28071888</v>
      </c>
      <c r="D35" s="10">
        <v>29964370</v>
      </c>
      <c r="E35" s="10">
        <v>31856922</v>
      </c>
      <c r="F35" s="10">
        <v>33749404</v>
      </c>
      <c r="G35" s="10">
        <v>36193828</v>
      </c>
      <c r="H35" s="10">
        <v>40069932</v>
      </c>
      <c r="I35" s="10">
        <v>44405596</v>
      </c>
      <c r="J35" s="10">
        <v>47379312</v>
      </c>
      <c r="K35" s="10">
        <v>44910180</v>
      </c>
      <c r="L35" s="10">
        <v>47305388</v>
      </c>
      <c r="M35" s="10">
        <v>53233532</v>
      </c>
      <c r="N35" s="10">
        <v>59207316</v>
      </c>
      <c r="O35" s="10">
        <v>66062500</v>
      </c>
      <c r="P35" s="10">
        <v>78343560</v>
      </c>
      <c r="Q35" s="10">
        <v>103216376</v>
      </c>
      <c r="R35" s="10">
        <v>118066296</v>
      </c>
      <c r="S35" s="10">
        <v>96905832</v>
      </c>
      <c r="T35" s="10">
        <v>117650000</v>
      </c>
      <c r="U35" s="10">
        <v>136300000</v>
      </c>
      <c r="V35" s="10">
        <v>151800000</v>
      </c>
      <c r="W35" s="10">
        <v>197938224</v>
      </c>
      <c r="X35" s="10">
        <v>196089856</v>
      </c>
      <c r="Y35" s="10">
        <v>182206320</v>
      </c>
      <c r="Z35" s="10">
        <v>192103184</v>
      </c>
      <c r="AA35" s="10">
        <v>214381952</v>
      </c>
      <c r="AB35" s="10">
        <v>212643744</v>
      </c>
      <c r="AC35" s="10">
        <v>231638320</v>
      </c>
      <c r="AD35" s="10">
        <v>281082560</v>
      </c>
      <c r="AE35" s="10">
        <v>320093376</v>
      </c>
      <c r="AF35" s="10">
        <v>369133888</v>
      </c>
      <c r="AG35" s="10">
        <v>412086432</v>
      </c>
      <c r="AH35" s="10">
        <v>444720736</v>
      </c>
      <c r="AI35" s="10">
        <v>518239104</v>
      </c>
      <c r="AJ35" s="10">
        <v>559858240</v>
      </c>
      <c r="AK35" s="10">
        <v>580863680</v>
      </c>
      <c r="AL35" s="10">
        <v>620140416</v>
      </c>
      <c r="AM35" s="10">
        <v>641383808</v>
      </c>
      <c r="AN35" s="10">
        <v>654314368</v>
      </c>
      <c r="AO35" s="10">
        <v>688992448</v>
      </c>
      <c r="AP35" s="10">
        <v>732732352</v>
      </c>
      <c r="AQ35" s="10">
        <v>832049984</v>
      </c>
      <c r="AR35" s="10">
        <v>868350016</v>
      </c>
      <c r="AS35" s="10">
        <v>925049984</v>
      </c>
      <c r="AT35" s="10">
        <v>983500032</v>
      </c>
      <c r="AU35" s="10">
        <v>1051350016</v>
      </c>
      <c r="AV35" s="10">
        <v>1102050048</v>
      </c>
      <c r="AW35" s="10">
        <v>1210150016</v>
      </c>
      <c r="AX35" s="10">
        <v>1271600000</v>
      </c>
      <c r="AY35" s="10">
        <v>1351350016</v>
      </c>
      <c r="AZ35" s="10">
        <v>1317299968</v>
      </c>
      <c r="BA35" s="10">
        <v>1377200000</v>
      </c>
      <c r="BB35" s="10">
        <v>1460800000</v>
      </c>
      <c r="BC35" s="10">
        <v>1522899968</v>
      </c>
      <c r="BD35" s="10">
        <v>1579399936</v>
      </c>
      <c r="BE35" s="10">
        <v>1662800000</v>
      </c>
      <c r="BF35" s="10">
        <v>1723800064</v>
      </c>
      <c r="BG35" s="10">
        <v>1775100032</v>
      </c>
      <c r="BH35" s="10">
        <v>1836600064</v>
      </c>
      <c r="BI35" s="10">
        <v>1871200000</v>
      </c>
      <c r="BJ35" s="10">
        <v>1879613568</v>
      </c>
    </row>
    <row r="36" spans="1:62" x14ac:dyDescent="0.45">
      <c r="A36" t="s">
        <v>27</v>
      </c>
      <c r="B36" t="s">
        <v>107</v>
      </c>
      <c r="C36" s="10">
        <v>226195584</v>
      </c>
      <c r="D36" s="10">
        <v>235668224</v>
      </c>
      <c r="E36" s="10">
        <v>236434912</v>
      </c>
      <c r="F36" s="10">
        <v>253927648</v>
      </c>
      <c r="G36" s="10">
        <v>269818976</v>
      </c>
      <c r="H36" s="10">
        <v>289908736</v>
      </c>
      <c r="I36" s="10">
        <v>302925280</v>
      </c>
      <c r="J36" s="10">
        <v>306222016</v>
      </c>
      <c r="K36" s="10">
        <v>326323104</v>
      </c>
      <c r="L36" s="10">
        <v>330748224</v>
      </c>
      <c r="M36" s="10">
        <v>333627744</v>
      </c>
      <c r="N36" s="10">
        <v>335072960</v>
      </c>
      <c r="O36" s="10">
        <v>410331904</v>
      </c>
      <c r="P36" s="10">
        <v>504376032</v>
      </c>
      <c r="Q36" s="10">
        <v>554654784</v>
      </c>
      <c r="R36" s="10">
        <v>676870144</v>
      </c>
      <c r="S36" s="10">
        <v>698408256</v>
      </c>
      <c r="T36" s="10">
        <v>750049728</v>
      </c>
      <c r="U36" s="10">
        <v>928843328</v>
      </c>
      <c r="V36" s="10">
        <v>1186231296</v>
      </c>
      <c r="W36" s="10">
        <v>1405251584</v>
      </c>
      <c r="X36" s="10">
        <v>1291120000</v>
      </c>
      <c r="Y36" s="10">
        <v>1267778432</v>
      </c>
      <c r="Z36" s="10">
        <v>1095348352</v>
      </c>
      <c r="AA36" s="10">
        <v>1051133952</v>
      </c>
      <c r="AB36" s="10">
        <v>1045712704</v>
      </c>
      <c r="AC36" s="10">
        <v>1336102016</v>
      </c>
      <c r="AD36" s="10">
        <v>1562412032</v>
      </c>
      <c r="AE36" s="10">
        <v>1620246144</v>
      </c>
      <c r="AF36" s="10">
        <v>1502294400</v>
      </c>
      <c r="AG36" s="10">
        <v>1959965184</v>
      </c>
      <c r="AH36" s="10">
        <v>1986437888</v>
      </c>
      <c r="AI36" s="10">
        <v>1695315328</v>
      </c>
      <c r="AJ36" s="10">
        <v>2274557952</v>
      </c>
      <c r="AK36" s="10">
        <v>1598075904</v>
      </c>
      <c r="AL36" s="10">
        <v>2169627136</v>
      </c>
      <c r="AM36" s="10">
        <v>2361116672</v>
      </c>
      <c r="AN36" s="10">
        <v>2268301568</v>
      </c>
      <c r="AO36" s="10">
        <v>2455092480</v>
      </c>
      <c r="AP36" s="10">
        <v>3676045568</v>
      </c>
      <c r="AQ36" s="10">
        <v>3511248896</v>
      </c>
      <c r="AR36" s="10">
        <v>3663017728</v>
      </c>
      <c r="AS36" s="10">
        <v>4174634496</v>
      </c>
      <c r="AT36" s="10">
        <v>5337266688</v>
      </c>
      <c r="AU36" s="10">
        <v>6179176448</v>
      </c>
      <c r="AV36" s="10">
        <v>6565043712</v>
      </c>
      <c r="AW36" s="10">
        <v>7027863040</v>
      </c>
      <c r="AX36" s="10">
        <v>8158257664</v>
      </c>
      <c r="AY36" s="10">
        <v>9748277248</v>
      </c>
      <c r="AZ36" s="10">
        <v>9699587072</v>
      </c>
      <c r="BA36" s="10">
        <v>9535344640</v>
      </c>
      <c r="BB36" s="10">
        <v>10693321728</v>
      </c>
      <c r="BC36" s="10">
        <v>11141358592</v>
      </c>
      <c r="BD36" s="10">
        <v>12517846016</v>
      </c>
      <c r="BE36" s="10">
        <v>13284529152</v>
      </c>
      <c r="BF36" s="10">
        <v>11388161024</v>
      </c>
      <c r="BG36" s="10">
        <v>11821066240</v>
      </c>
      <c r="BH36" s="10">
        <v>12701657088</v>
      </c>
      <c r="BI36" s="10">
        <v>14250985472</v>
      </c>
      <c r="BJ36" s="10">
        <v>14390709248</v>
      </c>
    </row>
    <row r="37" spans="1:62" x14ac:dyDescent="0.45">
      <c r="A37" t="s">
        <v>27</v>
      </c>
      <c r="B37" t="s">
        <v>108</v>
      </c>
      <c r="C37" s="10">
        <v>373879360</v>
      </c>
      <c r="D37" s="10">
        <v>406684576</v>
      </c>
      <c r="E37" s="10">
        <v>444665184</v>
      </c>
      <c r="F37" s="10">
        <v>478805984</v>
      </c>
      <c r="G37" s="10">
        <v>539491456</v>
      </c>
      <c r="H37" s="10">
        <v>604377088</v>
      </c>
      <c r="I37" s="10">
        <v>669191936</v>
      </c>
      <c r="J37" s="10">
        <v>755808064</v>
      </c>
      <c r="K37" s="10">
        <v>857912448</v>
      </c>
      <c r="L37" s="10">
        <v>929629632</v>
      </c>
      <c r="M37" s="10">
        <v>1017003392</v>
      </c>
      <c r="N37" s="10">
        <v>1095622912</v>
      </c>
      <c r="O37" s="10">
        <v>1257615616</v>
      </c>
      <c r="P37" s="10">
        <v>1262968576</v>
      </c>
      <c r="Q37" s="10">
        <v>2100249856</v>
      </c>
      <c r="R37" s="10">
        <v>2404697600</v>
      </c>
      <c r="S37" s="10">
        <v>2731984128</v>
      </c>
      <c r="T37" s="10">
        <v>3227436288</v>
      </c>
      <c r="U37" s="10">
        <v>3758220800</v>
      </c>
      <c r="V37" s="10">
        <v>4421343744</v>
      </c>
      <c r="W37" s="10">
        <v>4526916608</v>
      </c>
      <c r="X37" s="10">
        <v>5872756736</v>
      </c>
      <c r="Y37" s="10">
        <v>5587490304</v>
      </c>
      <c r="Z37" s="10">
        <v>5422440960</v>
      </c>
      <c r="AA37" s="10">
        <v>6169501184</v>
      </c>
      <c r="AB37" s="10">
        <v>5377277440</v>
      </c>
      <c r="AC37" s="10">
        <v>3958338816</v>
      </c>
      <c r="AD37" s="10">
        <v>4323623424</v>
      </c>
      <c r="AE37" s="10">
        <v>4597615616</v>
      </c>
      <c r="AF37" s="10">
        <v>4715978752</v>
      </c>
      <c r="AG37" s="10">
        <v>4867582464</v>
      </c>
      <c r="AH37" s="10">
        <v>5343274496</v>
      </c>
      <c r="AI37" s="10">
        <v>5643893248</v>
      </c>
      <c r="AJ37" s="10">
        <v>5734676480</v>
      </c>
      <c r="AK37" s="10">
        <v>5981244928</v>
      </c>
      <c r="AL37" s="10">
        <v>6715220480</v>
      </c>
      <c r="AM37" s="10">
        <v>7396966912</v>
      </c>
      <c r="AN37" s="10">
        <v>7925673472</v>
      </c>
      <c r="AO37" s="10">
        <v>8497545728</v>
      </c>
      <c r="AP37" s="10">
        <v>8285075968</v>
      </c>
      <c r="AQ37" s="10">
        <v>8397912576</v>
      </c>
      <c r="AR37" s="10">
        <v>8141537792</v>
      </c>
      <c r="AS37" s="10">
        <v>7905485312</v>
      </c>
      <c r="AT37" s="10">
        <v>8082364928</v>
      </c>
      <c r="AU37" s="10">
        <v>8773451776</v>
      </c>
      <c r="AV37" s="10">
        <v>9549077504</v>
      </c>
      <c r="AW37" s="10">
        <v>11451869184</v>
      </c>
      <c r="AX37" s="10">
        <v>13120183296</v>
      </c>
      <c r="AY37" s="10">
        <v>16674324480</v>
      </c>
      <c r="AZ37" s="10">
        <v>17339992064</v>
      </c>
      <c r="BA37" s="10">
        <v>19649632256</v>
      </c>
      <c r="BB37" s="10">
        <v>23963033600</v>
      </c>
      <c r="BC37" s="10">
        <v>27084496896</v>
      </c>
      <c r="BD37" s="10">
        <v>30659338240</v>
      </c>
      <c r="BE37" s="10">
        <v>32996188160</v>
      </c>
      <c r="BF37" s="10">
        <v>33000198144</v>
      </c>
      <c r="BG37" s="10">
        <v>33941127168</v>
      </c>
      <c r="BH37" s="10">
        <v>37508640768</v>
      </c>
      <c r="BI37" s="10">
        <v>40287649792</v>
      </c>
      <c r="BJ37" s="10">
        <v>40895324160</v>
      </c>
    </row>
    <row r="38" spans="1:62" x14ac:dyDescent="0.45">
      <c r="A38" t="s">
        <v>27</v>
      </c>
      <c r="B38" t="s">
        <v>109</v>
      </c>
      <c r="C38" s="10">
        <v>30412308</v>
      </c>
      <c r="D38" s="10">
        <v>32902336</v>
      </c>
      <c r="E38" s="10">
        <v>35643208</v>
      </c>
      <c r="F38" s="10">
        <v>38091152</v>
      </c>
      <c r="G38" s="10">
        <v>41613968</v>
      </c>
      <c r="H38" s="10">
        <v>45790868</v>
      </c>
      <c r="I38" s="10">
        <v>51464436</v>
      </c>
      <c r="J38" s="10">
        <v>58646444</v>
      </c>
      <c r="K38" s="10">
        <v>66248256</v>
      </c>
      <c r="L38" s="10">
        <v>77356912</v>
      </c>
      <c r="M38" s="10">
        <v>96245112</v>
      </c>
      <c r="N38" s="10">
        <v>126957496</v>
      </c>
      <c r="O38" s="10">
        <v>165258096</v>
      </c>
      <c r="P38" s="10">
        <v>244129088</v>
      </c>
      <c r="Q38" s="10">
        <v>306033856</v>
      </c>
      <c r="R38" s="10">
        <v>355172416</v>
      </c>
      <c r="S38" s="10">
        <v>372010112</v>
      </c>
      <c r="T38" s="10">
        <v>451603328</v>
      </c>
      <c r="U38" s="10">
        <v>590376704</v>
      </c>
      <c r="V38" s="10">
        <v>819877312</v>
      </c>
      <c r="W38" s="10">
        <v>1060923840</v>
      </c>
      <c r="X38" s="10">
        <v>1073861632</v>
      </c>
      <c r="Y38" s="10">
        <v>1014907264</v>
      </c>
      <c r="Z38" s="10">
        <v>1172258176</v>
      </c>
      <c r="AA38" s="10">
        <v>1240796416</v>
      </c>
      <c r="AB38" s="10">
        <v>1114764032</v>
      </c>
      <c r="AC38" s="10">
        <v>1392634752</v>
      </c>
      <c r="AD38" s="10">
        <v>1965274880</v>
      </c>
      <c r="AE38" s="10">
        <v>2644536832</v>
      </c>
      <c r="AF38" s="10">
        <v>3083800576</v>
      </c>
      <c r="AG38" s="10">
        <v>3790567168</v>
      </c>
      <c r="AH38" s="10">
        <v>3942792960</v>
      </c>
      <c r="AI38" s="10">
        <v>4146513664</v>
      </c>
      <c r="AJ38" s="10">
        <v>4160086272</v>
      </c>
      <c r="AK38" s="10">
        <v>4259331072</v>
      </c>
      <c r="AL38" s="10">
        <v>4730611200</v>
      </c>
      <c r="AM38" s="10">
        <v>4847752704</v>
      </c>
      <c r="AN38" s="10">
        <v>5020214784</v>
      </c>
      <c r="AO38" s="10">
        <v>4790458880</v>
      </c>
      <c r="AP38" s="10">
        <v>5484257280</v>
      </c>
      <c r="AQ38" s="10">
        <v>5788329472</v>
      </c>
      <c r="AR38" s="10">
        <v>5489608192</v>
      </c>
      <c r="AS38" s="10">
        <v>5438857216</v>
      </c>
      <c r="AT38" s="10">
        <v>7511582208</v>
      </c>
      <c r="AU38" s="10">
        <v>8957467648</v>
      </c>
      <c r="AV38" s="10">
        <v>9931134976</v>
      </c>
      <c r="AW38" s="10">
        <v>10126940160</v>
      </c>
      <c r="AX38" s="10">
        <v>10939053056</v>
      </c>
      <c r="AY38" s="10">
        <v>10945070080</v>
      </c>
      <c r="AZ38" s="10">
        <v>10267132928</v>
      </c>
      <c r="BA38" s="10">
        <v>12786654208</v>
      </c>
      <c r="BB38" s="10">
        <v>15351971840</v>
      </c>
      <c r="BC38" s="10">
        <v>14420393984</v>
      </c>
      <c r="BD38" s="10">
        <v>14901750784</v>
      </c>
      <c r="BE38" s="10">
        <v>16250749952</v>
      </c>
      <c r="BF38" s="10">
        <v>14420603904</v>
      </c>
      <c r="BG38" s="10">
        <v>15646316544</v>
      </c>
      <c r="BH38" s="10">
        <v>17405538304</v>
      </c>
      <c r="BI38" s="10">
        <v>18663264256</v>
      </c>
      <c r="BJ38" s="10">
        <v>18340511744</v>
      </c>
    </row>
    <row r="39" spans="1:62" x14ac:dyDescent="0.45">
      <c r="A39" t="s">
        <v>27</v>
      </c>
      <c r="B39" t="s">
        <v>110</v>
      </c>
      <c r="C39" s="10">
        <v>15165570048</v>
      </c>
      <c r="D39" s="10">
        <v>15236854784</v>
      </c>
      <c r="E39" s="10">
        <v>19926294528</v>
      </c>
      <c r="F39" s="10">
        <v>23021477888</v>
      </c>
      <c r="G39" s="10">
        <v>21211891712</v>
      </c>
      <c r="H39" s="10">
        <v>21790035968</v>
      </c>
      <c r="I39" s="10">
        <v>27062716416</v>
      </c>
      <c r="J39" s="10">
        <v>30591834112</v>
      </c>
      <c r="K39" s="10">
        <v>33875881984</v>
      </c>
      <c r="L39" s="10">
        <v>37458898944</v>
      </c>
      <c r="M39" s="10">
        <v>42327601152</v>
      </c>
      <c r="N39" s="10">
        <v>49204457472</v>
      </c>
      <c r="O39" s="10">
        <v>58539008000</v>
      </c>
      <c r="P39" s="10">
        <v>79279054848</v>
      </c>
      <c r="Q39" s="10">
        <v>105136005120</v>
      </c>
      <c r="R39" s="10">
        <v>123709374464</v>
      </c>
      <c r="S39" s="10">
        <v>152678023168</v>
      </c>
      <c r="T39" s="10">
        <v>176171286528</v>
      </c>
      <c r="U39" s="10">
        <v>200800894976</v>
      </c>
      <c r="V39" s="10">
        <v>224969490432</v>
      </c>
      <c r="W39" s="10">
        <v>235024596992</v>
      </c>
      <c r="X39" s="10">
        <v>263561084928</v>
      </c>
      <c r="Y39" s="10">
        <v>281682313216</v>
      </c>
      <c r="Z39" s="10">
        <v>203304517632</v>
      </c>
      <c r="AA39" s="10">
        <v>209023909888</v>
      </c>
      <c r="AB39" s="10">
        <v>222942789632</v>
      </c>
      <c r="AC39" s="10">
        <v>268137218048</v>
      </c>
      <c r="AD39" s="10">
        <v>294084116480</v>
      </c>
      <c r="AE39" s="10">
        <v>330397384704</v>
      </c>
      <c r="AF39" s="10">
        <v>425595305984</v>
      </c>
      <c r="AG39" s="10">
        <v>461951795200</v>
      </c>
      <c r="AH39" s="10">
        <v>602860027904</v>
      </c>
      <c r="AI39" s="10">
        <v>400599252992</v>
      </c>
      <c r="AJ39" s="10">
        <v>437798567936</v>
      </c>
      <c r="AK39" s="10">
        <v>558111981568</v>
      </c>
      <c r="AL39" s="10">
        <v>769305411584</v>
      </c>
      <c r="AM39" s="10">
        <v>850426462208</v>
      </c>
      <c r="AN39" s="10">
        <v>883199639552</v>
      </c>
      <c r="AO39" s="10">
        <v>863723388928</v>
      </c>
      <c r="AP39" s="10">
        <v>599388585984</v>
      </c>
      <c r="AQ39" s="10">
        <v>655420620800</v>
      </c>
      <c r="AR39" s="10">
        <v>559372304384</v>
      </c>
      <c r="AS39" s="10">
        <v>507962490880</v>
      </c>
      <c r="AT39" s="10">
        <v>558319927296</v>
      </c>
      <c r="AU39" s="10">
        <v>669316677632</v>
      </c>
      <c r="AV39" s="10">
        <v>891630190592</v>
      </c>
      <c r="AW39" s="10">
        <v>1107640320000</v>
      </c>
      <c r="AX39" s="10">
        <v>1397084389376</v>
      </c>
      <c r="AY39" s="10">
        <v>1695824609280</v>
      </c>
      <c r="AZ39" s="10">
        <v>1667019833344</v>
      </c>
      <c r="BA39" s="10">
        <v>2208871743488</v>
      </c>
      <c r="BB39" s="10">
        <v>2616201052160</v>
      </c>
      <c r="BC39" s="10">
        <v>2465188544512</v>
      </c>
      <c r="BD39" s="10">
        <v>2472806973440</v>
      </c>
      <c r="BE39" s="10">
        <v>2455993581568</v>
      </c>
      <c r="BF39" s="10">
        <v>1802214309888</v>
      </c>
      <c r="BG39" s="10">
        <v>1795700162560</v>
      </c>
      <c r="BH39" s="10">
        <v>2062831058944</v>
      </c>
      <c r="BI39" s="10">
        <v>1885482516480</v>
      </c>
      <c r="BJ39" s="10">
        <v>1839758049280</v>
      </c>
    </row>
    <row r="40" spans="1:62" x14ac:dyDescent="0.45">
      <c r="A40" t="s">
        <v>27</v>
      </c>
      <c r="B40" t="s">
        <v>111</v>
      </c>
      <c r="C40" s="10">
        <v>330442816</v>
      </c>
      <c r="D40" s="10">
        <v>350247232</v>
      </c>
      <c r="E40" s="10">
        <v>379567168</v>
      </c>
      <c r="F40" s="10">
        <v>394040736</v>
      </c>
      <c r="G40" s="10">
        <v>410321792</v>
      </c>
      <c r="H40" s="10">
        <v>422916864</v>
      </c>
      <c r="I40" s="10">
        <v>433889824</v>
      </c>
      <c r="J40" s="10">
        <v>450753984</v>
      </c>
      <c r="K40" s="10">
        <v>460442880</v>
      </c>
      <c r="L40" s="10">
        <v>478298784</v>
      </c>
      <c r="M40" s="10">
        <v>458404320</v>
      </c>
      <c r="N40" s="10">
        <v>482411264</v>
      </c>
      <c r="O40" s="10">
        <v>578595584</v>
      </c>
      <c r="P40" s="10">
        <v>674773824</v>
      </c>
      <c r="Q40" s="10">
        <v>751133632</v>
      </c>
      <c r="R40" s="10">
        <v>939972672</v>
      </c>
      <c r="S40" s="10">
        <v>976547584</v>
      </c>
      <c r="T40" s="10">
        <v>1131225216</v>
      </c>
      <c r="U40" s="10">
        <v>1475584000</v>
      </c>
      <c r="V40" s="10">
        <v>1748481024</v>
      </c>
      <c r="W40" s="10">
        <v>1928720384</v>
      </c>
      <c r="X40" s="10">
        <v>1775842688</v>
      </c>
      <c r="Y40" s="10">
        <v>1754450432</v>
      </c>
      <c r="Z40" s="10">
        <v>1600278784</v>
      </c>
      <c r="AA40" s="10">
        <v>1459880320</v>
      </c>
      <c r="AB40" s="10">
        <v>1552493440</v>
      </c>
      <c r="AC40" s="10">
        <v>2036303360</v>
      </c>
      <c r="AD40" s="10">
        <v>2369835520</v>
      </c>
      <c r="AE40" s="10">
        <v>2616040704</v>
      </c>
      <c r="AF40" s="10">
        <v>2615588608</v>
      </c>
      <c r="AG40" s="10">
        <v>3101301760</v>
      </c>
      <c r="AH40" s="10">
        <v>3135045632</v>
      </c>
      <c r="AI40" s="10">
        <v>2240264704</v>
      </c>
      <c r="AJ40" s="10">
        <v>2332017920</v>
      </c>
      <c r="AK40" s="10">
        <v>1895291008</v>
      </c>
      <c r="AL40" s="10">
        <v>2379518208</v>
      </c>
      <c r="AM40" s="10">
        <v>2586550784</v>
      </c>
      <c r="AN40" s="10">
        <v>2447669504</v>
      </c>
      <c r="AO40" s="10">
        <v>2804902656</v>
      </c>
      <c r="AP40" s="10">
        <v>3364819200</v>
      </c>
      <c r="AQ40" s="10">
        <v>2956746240</v>
      </c>
      <c r="AR40" s="10">
        <v>3187582208</v>
      </c>
      <c r="AS40" s="10">
        <v>3605329664</v>
      </c>
      <c r="AT40" s="10">
        <v>4730140672</v>
      </c>
      <c r="AU40" s="10">
        <v>5441918464</v>
      </c>
      <c r="AV40" s="10">
        <v>6143909376</v>
      </c>
      <c r="AW40" s="10">
        <v>6541603840</v>
      </c>
      <c r="AX40" s="10">
        <v>7615651328</v>
      </c>
      <c r="AY40" s="10">
        <v>9413336064</v>
      </c>
      <c r="AZ40" s="10">
        <v>9412813824</v>
      </c>
      <c r="BA40" s="10">
        <v>10109619200</v>
      </c>
      <c r="BB40" s="10">
        <v>12080296960</v>
      </c>
      <c r="BC40" s="10">
        <v>12561015808</v>
      </c>
      <c r="BD40" s="10">
        <v>13444300800</v>
      </c>
      <c r="BE40" s="10">
        <v>13943016448</v>
      </c>
      <c r="BF40" s="10">
        <v>11832159232</v>
      </c>
      <c r="BG40" s="10">
        <v>12822557696</v>
      </c>
      <c r="BH40" s="10">
        <v>14169905152</v>
      </c>
      <c r="BI40" s="10">
        <v>16199434240</v>
      </c>
      <c r="BJ40" s="10">
        <v>15745810432</v>
      </c>
    </row>
    <row r="41" spans="1:62" x14ac:dyDescent="0.45">
      <c r="A41" t="s">
        <v>27</v>
      </c>
      <c r="B41" t="s">
        <v>112</v>
      </c>
      <c r="C41" s="10">
        <v>195999984</v>
      </c>
      <c r="D41" s="10">
        <v>203000000</v>
      </c>
      <c r="E41" s="10">
        <v>213500000</v>
      </c>
      <c r="F41" s="10">
        <v>232750000</v>
      </c>
      <c r="G41" s="10">
        <v>260750016</v>
      </c>
      <c r="H41" s="10">
        <v>158994960</v>
      </c>
      <c r="I41" s="10">
        <v>165444576</v>
      </c>
      <c r="J41" s="10">
        <v>178297136</v>
      </c>
      <c r="K41" s="10">
        <v>183200000</v>
      </c>
      <c r="L41" s="10">
        <v>190205712</v>
      </c>
      <c r="M41" s="10">
        <v>242732576</v>
      </c>
      <c r="N41" s="10">
        <v>252842288</v>
      </c>
      <c r="O41" s="10">
        <v>246804576</v>
      </c>
      <c r="P41" s="10">
        <v>304339840</v>
      </c>
      <c r="Q41" s="10">
        <v>345263488</v>
      </c>
      <c r="R41" s="10">
        <v>420986656</v>
      </c>
      <c r="S41" s="10">
        <v>448412768</v>
      </c>
      <c r="T41" s="10">
        <v>547535552</v>
      </c>
      <c r="U41" s="10">
        <v>610225536</v>
      </c>
      <c r="V41" s="10">
        <v>782496640</v>
      </c>
      <c r="W41" s="10">
        <v>919726656</v>
      </c>
      <c r="X41" s="10">
        <v>969046656</v>
      </c>
      <c r="Y41" s="10">
        <v>1013222208</v>
      </c>
      <c r="Z41" s="10">
        <v>1082926336</v>
      </c>
      <c r="AA41" s="10">
        <v>987143936</v>
      </c>
      <c r="AB41" s="10">
        <v>1149979264</v>
      </c>
      <c r="AC41" s="10">
        <v>1201725440</v>
      </c>
      <c r="AD41" s="10">
        <v>1131466496</v>
      </c>
      <c r="AE41" s="10">
        <v>1082403200</v>
      </c>
      <c r="AF41" s="10">
        <v>1113924096</v>
      </c>
      <c r="AG41" s="10">
        <v>1132101248</v>
      </c>
      <c r="AH41" s="10">
        <v>1167398528</v>
      </c>
      <c r="AI41" s="10">
        <v>1083037696</v>
      </c>
      <c r="AJ41" s="10">
        <v>938632640</v>
      </c>
      <c r="AK41" s="10">
        <v>925030592</v>
      </c>
      <c r="AL41" s="10">
        <v>1000428416</v>
      </c>
      <c r="AM41" s="10">
        <v>869033856</v>
      </c>
      <c r="AN41" s="10">
        <v>972896256</v>
      </c>
      <c r="AO41" s="10">
        <v>893770816</v>
      </c>
      <c r="AP41" s="10">
        <v>808077248</v>
      </c>
      <c r="AQ41" s="10">
        <v>870486080</v>
      </c>
      <c r="AR41" s="10">
        <v>876794752</v>
      </c>
      <c r="AS41" s="10">
        <v>825394496</v>
      </c>
      <c r="AT41" s="10">
        <v>784654400</v>
      </c>
      <c r="AU41" s="10">
        <v>915257344</v>
      </c>
      <c r="AV41" s="10">
        <v>1117113088</v>
      </c>
      <c r="AW41" s="10">
        <v>1273374976</v>
      </c>
      <c r="AX41" s="10">
        <v>1356199424</v>
      </c>
      <c r="AY41" s="10">
        <v>1611835904</v>
      </c>
      <c r="AZ41" s="10">
        <v>1781455104</v>
      </c>
      <c r="BA41" s="10">
        <v>2032135296</v>
      </c>
      <c r="BB41" s="10">
        <v>2235820800</v>
      </c>
      <c r="BC41" s="10">
        <v>2333308160</v>
      </c>
      <c r="BD41" s="10">
        <v>2451625216</v>
      </c>
      <c r="BE41" s="10">
        <v>2705783296</v>
      </c>
      <c r="BF41" s="10">
        <v>3104394752</v>
      </c>
      <c r="BG41" s="10">
        <v>2959641088</v>
      </c>
      <c r="BH41" s="10">
        <v>3172292352</v>
      </c>
      <c r="BI41" s="10">
        <v>3036931840</v>
      </c>
      <c r="BJ41" s="10">
        <v>3012334848</v>
      </c>
    </row>
    <row r="42" spans="1:62" x14ac:dyDescent="0.45">
      <c r="A42" t="s">
        <v>27</v>
      </c>
      <c r="B42" t="s">
        <v>113</v>
      </c>
      <c r="C42" s="10">
        <v>618740992</v>
      </c>
      <c r="D42" s="10">
        <v>657597376</v>
      </c>
      <c r="E42" s="10">
        <v>699373696</v>
      </c>
      <c r="F42" s="10">
        <v>723624384</v>
      </c>
      <c r="G42" s="10">
        <v>782384512</v>
      </c>
      <c r="H42" s="10">
        <v>814139840</v>
      </c>
      <c r="I42" s="10">
        <v>853268800</v>
      </c>
      <c r="J42" s="10">
        <v>934079040</v>
      </c>
      <c r="K42" s="10">
        <v>1053077184</v>
      </c>
      <c r="L42" s="10">
        <v>1152418560</v>
      </c>
      <c r="M42" s="10">
        <v>1160002304</v>
      </c>
      <c r="N42" s="10">
        <v>1233991040</v>
      </c>
      <c r="O42" s="10">
        <v>1430951296</v>
      </c>
      <c r="P42" s="10">
        <v>1758727424</v>
      </c>
      <c r="Q42" s="10">
        <v>2255496960</v>
      </c>
      <c r="R42" s="10">
        <v>2752771072</v>
      </c>
      <c r="S42" s="10">
        <v>3076592384</v>
      </c>
      <c r="T42" s="10">
        <v>3366368768</v>
      </c>
      <c r="U42" s="10">
        <v>4409920512</v>
      </c>
      <c r="V42" s="10">
        <v>5811444736</v>
      </c>
      <c r="W42" s="10">
        <v>6740756480</v>
      </c>
      <c r="X42" s="10">
        <v>7636345856</v>
      </c>
      <c r="Y42" s="10">
        <v>7322914816</v>
      </c>
      <c r="Z42" s="10">
        <v>7381854720</v>
      </c>
      <c r="AA42" s="10">
        <v>7801859072</v>
      </c>
      <c r="AB42" s="10">
        <v>8148223488</v>
      </c>
      <c r="AC42" s="10">
        <v>10621158400</v>
      </c>
      <c r="AD42" s="10">
        <v>12302471168</v>
      </c>
      <c r="AE42" s="10">
        <v>12493286400</v>
      </c>
      <c r="AF42" s="10">
        <v>11140055040</v>
      </c>
      <c r="AG42" s="10">
        <v>11151578112</v>
      </c>
      <c r="AH42" s="10">
        <v>12434369536</v>
      </c>
      <c r="AI42" s="10">
        <v>11396311040</v>
      </c>
      <c r="AJ42" s="10">
        <v>15498179584</v>
      </c>
      <c r="AK42" s="10">
        <v>10600157184</v>
      </c>
      <c r="AL42" s="10">
        <v>9643953152</v>
      </c>
      <c r="AM42" s="10">
        <v>10513387520</v>
      </c>
      <c r="AN42" s="10">
        <v>10833497088</v>
      </c>
      <c r="AO42" s="10">
        <v>10612847616</v>
      </c>
      <c r="AP42" s="10">
        <v>11198379008</v>
      </c>
      <c r="AQ42" s="10">
        <v>10083937280</v>
      </c>
      <c r="AR42" s="10">
        <v>10371328000</v>
      </c>
      <c r="AS42" s="10">
        <v>11579342848</v>
      </c>
      <c r="AT42" s="10">
        <v>14548845568</v>
      </c>
      <c r="AU42" s="10">
        <v>17430933504</v>
      </c>
      <c r="AV42" s="10">
        <v>17944084480</v>
      </c>
      <c r="AW42" s="10">
        <v>19356045312</v>
      </c>
      <c r="AX42" s="10">
        <v>22365265920</v>
      </c>
      <c r="AY42" s="10">
        <v>26409781248</v>
      </c>
      <c r="AZ42" s="10">
        <v>26017925120</v>
      </c>
      <c r="BA42" s="10">
        <v>26169323520</v>
      </c>
      <c r="BB42" s="10">
        <v>29375449088</v>
      </c>
      <c r="BC42" s="10">
        <v>29102772224</v>
      </c>
      <c r="BD42" s="10">
        <v>32357345280</v>
      </c>
      <c r="BE42" s="10">
        <v>34989494272</v>
      </c>
      <c r="BF42" s="10">
        <v>30928654336</v>
      </c>
      <c r="BG42" s="10">
        <v>32643696640</v>
      </c>
      <c r="BH42" s="10">
        <v>35009261568</v>
      </c>
      <c r="BI42" s="10">
        <v>38694096896</v>
      </c>
      <c r="BJ42" s="10">
        <v>38760468480</v>
      </c>
    </row>
    <row r="43" spans="1:62" x14ac:dyDescent="0.45">
      <c r="A43" t="s">
        <v>27</v>
      </c>
      <c r="B43" t="s">
        <v>114</v>
      </c>
      <c r="C43" s="10">
        <v>112155600</v>
      </c>
      <c r="D43" s="10">
        <v>123134584</v>
      </c>
      <c r="E43" s="10">
        <v>124482752</v>
      </c>
      <c r="F43" s="10">
        <v>129379096</v>
      </c>
      <c r="G43" s="10">
        <v>142025072</v>
      </c>
      <c r="H43" s="10">
        <v>150574816</v>
      </c>
      <c r="I43" s="10">
        <v>157930048</v>
      </c>
      <c r="J43" s="10">
        <v>163820544</v>
      </c>
      <c r="K43" s="10">
        <v>191767440</v>
      </c>
      <c r="L43" s="10">
        <v>188039184</v>
      </c>
      <c r="M43" s="10">
        <v>189106560</v>
      </c>
      <c r="N43" s="10">
        <v>201450768</v>
      </c>
      <c r="O43" s="10">
        <v>230317904</v>
      </c>
      <c r="P43" s="10">
        <v>271183072</v>
      </c>
      <c r="Q43" s="10">
        <v>281398656</v>
      </c>
      <c r="R43" s="10">
        <v>378660032</v>
      </c>
      <c r="S43" s="10">
        <v>451152448</v>
      </c>
      <c r="T43" s="10">
        <v>507298112</v>
      </c>
      <c r="U43" s="10">
        <v>610578496</v>
      </c>
      <c r="V43" s="10">
        <v>700764864</v>
      </c>
      <c r="W43" s="10">
        <v>797048000</v>
      </c>
      <c r="X43" s="10">
        <v>694803520</v>
      </c>
      <c r="Y43" s="10">
        <v>748312256</v>
      </c>
      <c r="Z43" s="10">
        <v>658679424</v>
      </c>
      <c r="AA43" s="10">
        <v>637820608</v>
      </c>
      <c r="AB43" s="10">
        <v>864849792</v>
      </c>
      <c r="AC43" s="10">
        <v>1122265088</v>
      </c>
      <c r="AD43" s="10">
        <v>1200991872</v>
      </c>
      <c r="AE43" s="10">
        <v>1264899328</v>
      </c>
      <c r="AF43" s="10">
        <v>1233930240</v>
      </c>
      <c r="AG43" s="10">
        <v>1440711424</v>
      </c>
      <c r="AH43" s="10">
        <v>1377374976</v>
      </c>
      <c r="AI43" s="10">
        <v>1411917568</v>
      </c>
      <c r="AJ43" s="10">
        <v>1278781184</v>
      </c>
      <c r="AK43" s="10">
        <v>851174336</v>
      </c>
      <c r="AL43" s="10">
        <v>1115389696</v>
      </c>
      <c r="AM43" s="10">
        <v>1007791168</v>
      </c>
      <c r="AN43" s="10">
        <v>937741440</v>
      </c>
      <c r="AO43" s="10">
        <v>967338368</v>
      </c>
      <c r="AP43" s="10">
        <v>999477504</v>
      </c>
      <c r="AQ43" s="10">
        <v>914500288</v>
      </c>
      <c r="AR43" s="10">
        <v>931833280</v>
      </c>
      <c r="AS43" s="10">
        <v>991387840</v>
      </c>
      <c r="AT43" s="10">
        <v>1139754752</v>
      </c>
      <c r="AU43" s="10">
        <v>1270080256</v>
      </c>
      <c r="AV43" s="10">
        <v>1337362432</v>
      </c>
      <c r="AW43" s="10">
        <v>1460561152</v>
      </c>
      <c r="AX43" s="10">
        <v>1697565952</v>
      </c>
      <c r="AY43" s="10">
        <v>1985240960</v>
      </c>
      <c r="AZ43" s="10">
        <v>2059094016</v>
      </c>
      <c r="BA43" s="10">
        <v>2142591360</v>
      </c>
      <c r="BB43" s="10">
        <v>2437982720</v>
      </c>
      <c r="BC43" s="10">
        <v>2510126592</v>
      </c>
      <c r="BD43" s="10">
        <v>1691544192</v>
      </c>
      <c r="BE43" s="10">
        <v>1894813568</v>
      </c>
      <c r="BF43" s="10">
        <v>1695825664</v>
      </c>
      <c r="BG43" s="10">
        <v>1825018240</v>
      </c>
      <c r="BH43" s="10">
        <v>2072350208</v>
      </c>
      <c r="BI43" s="10">
        <v>2220978944</v>
      </c>
      <c r="BJ43" s="10">
        <v>2220307456</v>
      </c>
    </row>
    <row r="44" spans="1:62" x14ac:dyDescent="0.45">
      <c r="A44" t="s">
        <v>27</v>
      </c>
      <c r="B44" t="s">
        <v>115</v>
      </c>
      <c r="C44" s="10">
        <v>313582720</v>
      </c>
      <c r="D44" s="10">
        <v>333975328</v>
      </c>
      <c r="E44" s="10">
        <v>357635712</v>
      </c>
      <c r="F44" s="10">
        <v>371767008</v>
      </c>
      <c r="G44" s="10">
        <v>392247520</v>
      </c>
      <c r="H44" s="10">
        <v>416926304</v>
      </c>
      <c r="I44" s="10">
        <v>432794912</v>
      </c>
      <c r="J44" s="10">
        <v>449826336</v>
      </c>
      <c r="K44" s="10">
        <v>453980096</v>
      </c>
      <c r="L44" s="10">
        <v>471635616</v>
      </c>
      <c r="M44" s="10">
        <v>469266752</v>
      </c>
      <c r="N44" s="10">
        <v>501866720</v>
      </c>
      <c r="O44" s="10">
        <v>585427520</v>
      </c>
      <c r="P44" s="10">
        <v>647199488</v>
      </c>
      <c r="Q44" s="10">
        <v>652532800</v>
      </c>
      <c r="R44" s="10">
        <v>864602112</v>
      </c>
      <c r="S44" s="10">
        <v>866044992</v>
      </c>
      <c r="T44" s="10">
        <v>935360448</v>
      </c>
      <c r="U44" s="10">
        <v>1113920128</v>
      </c>
      <c r="V44" s="10">
        <v>1004316480</v>
      </c>
      <c r="W44" s="10">
        <v>1033002432</v>
      </c>
      <c r="X44" s="10">
        <v>876937536</v>
      </c>
      <c r="Y44" s="10">
        <v>834369856</v>
      </c>
      <c r="Z44" s="10">
        <v>832415808</v>
      </c>
      <c r="AA44" s="10">
        <v>919103744</v>
      </c>
      <c r="AB44" s="10">
        <v>1033069696</v>
      </c>
      <c r="AC44" s="10">
        <v>1067828224</v>
      </c>
      <c r="AD44" s="10">
        <v>1163426816</v>
      </c>
      <c r="AE44" s="10">
        <v>1482597248</v>
      </c>
      <c r="AF44" s="10">
        <v>1433686272</v>
      </c>
      <c r="AG44" s="10">
        <v>1738605568</v>
      </c>
      <c r="AH44" s="10">
        <v>1877138048</v>
      </c>
      <c r="AI44" s="10">
        <v>1881847680</v>
      </c>
      <c r="AJ44" s="10">
        <v>1463251072</v>
      </c>
      <c r="AK44" s="10">
        <v>1179837952</v>
      </c>
      <c r="AL44" s="10">
        <v>1445920000</v>
      </c>
      <c r="AM44" s="10">
        <v>1607345408</v>
      </c>
      <c r="AN44" s="10">
        <v>1544689536</v>
      </c>
      <c r="AO44" s="10">
        <v>1744794496</v>
      </c>
      <c r="AP44" s="10">
        <v>1534673536</v>
      </c>
      <c r="AQ44" s="10">
        <v>1385058176</v>
      </c>
      <c r="AR44" s="10">
        <v>1709347840</v>
      </c>
      <c r="AS44" s="10">
        <v>1987622272</v>
      </c>
      <c r="AT44" s="10">
        <v>2736666624</v>
      </c>
      <c r="AU44" s="10">
        <v>4414929408</v>
      </c>
      <c r="AV44" s="10">
        <v>6646663680</v>
      </c>
      <c r="AW44" s="10">
        <v>7422102528</v>
      </c>
      <c r="AX44" s="10">
        <v>8638711808</v>
      </c>
      <c r="AY44" s="10">
        <v>10351932416</v>
      </c>
      <c r="AZ44" s="10">
        <v>9253484544</v>
      </c>
      <c r="BA44" s="10">
        <v>10668102656</v>
      </c>
      <c r="BB44" s="10">
        <v>12172309504</v>
      </c>
      <c r="BC44" s="10">
        <v>12367364096</v>
      </c>
      <c r="BD44" s="10">
        <v>12953535488</v>
      </c>
      <c r="BE44" s="10">
        <v>13940767744</v>
      </c>
      <c r="BF44" s="10">
        <v>10950391808</v>
      </c>
      <c r="BG44" s="10">
        <v>10097778688</v>
      </c>
      <c r="BH44" s="10">
        <v>10000395264</v>
      </c>
      <c r="BI44" s="10">
        <v>11239166976</v>
      </c>
      <c r="BJ44" s="10">
        <v>11314951168</v>
      </c>
    </row>
    <row r="45" spans="1:62" x14ac:dyDescent="0.45">
      <c r="A45" t="s">
        <v>27</v>
      </c>
      <c r="B45" t="s">
        <v>116</v>
      </c>
      <c r="C45" s="10">
        <v>4110000128</v>
      </c>
      <c r="D45" s="10">
        <v>4609727488</v>
      </c>
      <c r="E45" s="10">
        <v>5416272896</v>
      </c>
      <c r="F45" s="10">
        <v>5668187648</v>
      </c>
      <c r="G45" s="10">
        <v>5982347776</v>
      </c>
      <c r="H45" s="10">
        <v>6026593792</v>
      </c>
      <c r="I45" s="10">
        <v>7072641024</v>
      </c>
      <c r="J45" s="10">
        <v>7013196288</v>
      </c>
      <c r="K45" s="10">
        <v>7167087104</v>
      </c>
      <c r="L45" s="10">
        <v>8377093120</v>
      </c>
      <c r="M45" s="10">
        <v>9126309888</v>
      </c>
      <c r="N45" s="10">
        <v>10884114432</v>
      </c>
      <c r="O45" s="10">
        <v>11853816832</v>
      </c>
      <c r="P45" s="10">
        <v>16836260864</v>
      </c>
      <c r="Q45" s="10">
        <v>16210404352</v>
      </c>
      <c r="R45" s="10">
        <v>7622217216</v>
      </c>
      <c r="S45" s="10">
        <v>10341924864</v>
      </c>
      <c r="T45" s="10">
        <v>13962893312</v>
      </c>
      <c r="U45" s="10">
        <v>15989934080</v>
      </c>
      <c r="V45" s="10">
        <v>21803696128</v>
      </c>
      <c r="W45" s="10">
        <v>29036709888</v>
      </c>
      <c r="X45" s="10">
        <v>34509877248</v>
      </c>
      <c r="Y45" s="10">
        <v>25325893632</v>
      </c>
      <c r="Z45" s="10">
        <v>20355958784</v>
      </c>
      <c r="AA45" s="10">
        <v>19622526976</v>
      </c>
      <c r="AB45" s="10">
        <v>17702885376</v>
      </c>
      <c r="AC45" s="10">
        <v>18891048960</v>
      </c>
      <c r="AD45" s="10">
        <v>22255407104</v>
      </c>
      <c r="AE45" s="10">
        <v>26040229888</v>
      </c>
      <c r="AF45" s="10">
        <v>29885685760</v>
      </c>
      <c r="AG45" s="10">
        <v>33113888768</v>
      </c>
      <c r="AH45" s="10">
        <v>37834792960</v>
      </c>
      <c r="AI45" s="10">
        <v>45964328960</v>
      </c>
      <c r="AJ45" s="10">
        <v>49297772544</v>
      </c>
      <c r="AK45" s="10">
        <v>57008427008</v>
      </c>
      <c r="AL45" s="10">
        <v>73447063552</v>
      </c>
      <c r="AM45" s="10">
        <v>78039572480</v>
      </c>
      <c r="AN45" s="10">
        <v>84952358912</v>
      </c>
      <c r="AO45" s="10">
        <v>81577426944</v>
      </c>
      <c r="AP45" s="10">
        <v>75173797888</v>
      </c>
      <c r="AQ45" s="10">
        <v>77860929536</v>
      </c>
      <c r="AR45" s="10">
        <v>70979919872</v>
      </c>
      <c r="AS45" s="10">
        <v>69736808448</v>
      </c>
      <c r="AT45" s="10">
        <v>75643461632</v>
      </c>
      <c r="AU45" s="10">
        <v>99210395648</v>
      </c>
      <c r="AV45" s="10">
        <v>122964811776</v>
      </c>
      <c r="AW45" s="10">
        <v>154788020224</v>
      </c>
      <c r="AX45" s="10">
        <v>173605961728</v>
      </c>
      <c r="AY45" s="10">
        <v>179638501376</v>
      </c>
      <c r="AZ45" s="10">
        <v>172389498880</v>
      </c>
      <c r="BA45" s="10">
        <v>218537558016</v>
      </c>
      <c r="BB45" s="10">
        <v>252251996160</v>
      </c>
      <c r="BC45" s="10">
        <v>267122327552</v>
      </c>
      <c r="BD45" s="10">
        <v>278384345088</v>
      </c>
      <c r="BE45" s="10">
        <v>260541628416</v>
      </c>
      <c r="BF45" s="10">
        <v>243919077376</v>
      </c>
      <c r="BG45" s="10">
        <v>250440138752</v>
      </c>
      <c r="BH45" s="10">
        <v>277044953088</v>
      </c>
      <c r="BI45" s="10">
        <v>298258006016</v>
      </c>
      <c r="BJ45" s="10">
        <v>282318143488</v>
      </c>
    </row>
    <row r="46" spans="1:62" x14ac:dyDescent="0.45">
      <c r="A46" t="s">
        <v>27</v>
      </c>
      <c r="B46" t="s">
        <v>117</v>
      </c>
      <c r="C46" s="10">
        <v>4031152896</v>
      </c>
      <c r="D46" s="10">
        <v>4540447744</v>
      </c>
      <c r="E46" s="10">
        <v>4955544064</v>
      </c>
      <c r="F46" s="10">
        <v>4836166656</v>
      </c>
      <c r="G46" s="10">
        <v>5973366784</v>
      </c>
      <c r="H46" s="10">
        <v>5760761856</v>
      </c>
      <c r="I46" s="10">
        <v>5428518400</v>
      </c>
      <c r="J46" s="10">
        <v>5825170432</v>
      </c>
      <c r="K46" s="10">
        <v>5960212992</v>
      </c>
      <c r="L46" s="10">
        <v>6450174976</v>
      </c>
      <c r="M46" s="10">
        <v>7198360576</v>
      </c>
      <c r="N46" s="10">
        <v>7820381184</v>
      </c>
      <c r="O46" s="10">
        <v>8671358976</v>
      </c>
      <c r="P46" s="10">
        <v>10315759616</v>
      </c>
      <c r="Q46" s="10">
        <v>12370029568</v>
      </c>
      <c r="R46" s="10">
        <v>13098634240</v>
      </c>
      <c r="S46" s="10">
        <v>15341404160</v>
      </c>
      <c r="T46" s="10">
        <v>19470960640</v>
      </c>
      <c r="U46" s="10">
        <v>23263512576</v>
      </c>
      <c r="V46" s="10">
        <v>27940411392</v>
      </c>
      <c r="W46" s="10">
        <v>33400735744</v>
      </c>
      <c r="X46" s="10">
        <v>36388368384</v>
      </c>
      <c r="Y46" s="10">
        <v>38968041472</v>
      </c>
      <c r="Z46" s="10">
        <v>38729822208</v>
      </c>
      <c r="AA46" s="10">
        <v>38253121536</v>
      </c>
      <c r="AB46" s="10">
        <v>34894409728</v>
      </c>
      <c r="AC46" s="10">
        <v>34942488576</v>
      </c>
      <c r="AD46" s="10">
        <v>36373307392</v>
      </c>
      <c r="AE46" s="10">
        <v>39212548096</v>
      </c>
      <c r="AF46" s="10">
        <v>39540080640</v>
      </c>
      <c r="AG46" s="10">
        <v>47844089856</v>
      </c>
      <c r="AH46" s="10">
        <v>49175564288</v>
      </c>
      <c r="AI46" s="10">
        <v>58418987008</v>
      </c>
      <c r="AJ46" s="10">
        <v>66446802944</v>
      </c>
      <c r="AK46" s="10">
        <v>81703501824</v>
      </c>
      <c r="AL46" s="10">
        <v>92507283456</v>
      </c>
      <c r="AM46" s="10">
        <v>97160110080</v>
      </c>
      <c r="AN46" s="10">
        <v>106659512320</v>
      </c>
      <c r="AO46" s="10">
        <v>98443739136</v>
      </c>
      <c r="AP46" s="10">
        <v>86186156032</v>
      </c>
      <c r="AQ46" s="10">
        <v>99886579712</v>
      </c>
      <c r="AR46" s="10">
        <v>98211749888</v>
      </c>
      <c r="AS46" s="10">
        <v>97962999808</v>
      </c>
      <c r="AT46" s="10">
        <v>94641381376</v>
      </c>
      <c r="AU46" s="10">
        <v>117081522176</v>
      </c>
      <c r="AV46" s="10">
        <v>145619189760</v>
      </c>
      <c r="AW46" s="10">
        <v>161618575360</v>
      </c>
      <c r="AX46" s="10">
        <v>206181826560</v>
      </c>
      <c r="AY46" s="10">
        <v>242186944512</v>
      </c>
      <c r="AZ46" s="10">
        <v>232397832192</v>
      </c>
      <c r="BA46" s="10">
        <v>286563106816</v>
      </c>
      <c r="BB46" s="10">
        <v>334943879168</v>
      </c>
      <c r="BC46" s="10">
        <v>370921308160</v>
      </c>
      <c r="BD46" s="10">
        <v>382116134912</v>
      </c>
      <c r="BE46" s="10">
        <v>381112123392</v>
      </c>
      <c r="BF46" s="10">
        <v>293481742336</v>
      </c>
      <c r="BG46" s="10">
        <v>282824998912</v>
      </c>
      <c r="BH46" s="10">
        <v>311883726848</v>
      </c>
      <c r="BI46" s="10">
        <v>333568933888</v>
      </c>
      <c r="BJ46" s="10">
        <v>323802791936</v>
      </c>
    </row>
    <row r="47" spans="1:62" x14ac:dyDescent="0.45">
      <c r="A47" t="s">
        <v>27</v>
      </c>
      <c r="B47" t="s">
        <v>118</v>
      </c>
      <c r="C47" s="10">
        <v>3359404032</v>
      </c>
      <c r="D47" s="10">
        <v>3086746880</v>
      </c>
      <c r="E47" s="10">
        <v>3779841536</v>
      </c>
      <c r="F47" s="10">
        <v>6213185536</v>
      </c>
      <c r="G47" s="10">
        <v>2881545216</v>
      </c>
      <c r="H47" s="10">
        <v>4043901696</v>
      </c>
      <c r="I47" s="10">
        <v>4532660224</v>
      </c>
      <c r="J47" s="10">
        <v>3384063488</v>
      </c>
      <c r="K47" s="10">
        <v>3909780480</v>
      </c>
      <c r="L47" s="10">
        <v>5032435200</v>
      </c>
      <c r="M47" s="10">
        <v>4877684736</v>
      </c>
      <c r="N47" s="10">
        <v>5594770432</v>
      </c>
      <c r="O47" s="10">
        <v>6173712896</v>
      </c>
      <c r="P47" s="10">
        <v>7870239232</v>
      </c>
      <c r="Q47" s="10">
        <v>9596959744</v>
      </c>
      <c r="R47" s="10">
        <v>10237342720</v>
      </c>
      <c r="S47" s="10">
        <v>9648583680</v>
      </c>
      <c r="T47" s="10">
        <v>12344424448</v>
      </c>
      <c r="U47" s="10">
        <v>15372608512</v>
      </c>
      <c r="V47" s="10">
        <v>15068422144</v>
      </c>
      <c r="W47" s="10">
        <v>14394927104</v>
      </c>
      <c r="X47" s="10">
        <v>12537821184</v>
      </c>
      <c r="Y47" s="10">
        <v>13651666944</v>
      </c>
      <c r="Z47" s="10">
        <v>11006712832</v>
      </c>
      <c r="AA47" s="10">
        <v>7857729024</v>
      </c>
      <c r="AB47" s="10">
        <v>7195042816</v>
      </c>
      <c r="AC47" s="10">
        <v>8095367168</v>
      </c>
      <c r="AD47" s="10">
        <v>7661625344</v>
      </c>
      <c r="AE47" s="10">
        <v>8861299712</v>
      </c>
      <c r="AF47" s="10">
        <v>9021862912</v>
      </c>
      <c r="AG47" s="10">
        <v>9349764096</v>
      </c>
      <c r="AH47" s="10">
        <v>9625437184</v>
      </c>
      <c r="AI47" s="10">
        <v>8227343872</v>
      </c>
      <c r="AJ47" s="10">
        <v>10706259968</v>
      </c>
      <c r="AK47" s="10">
        <v>5820382208</v>
      </c>
      <c r="AL47" s="10">
        <v>5643439616</v>
      </c>
      <c r="AM47" s="10">
        <v>5771454976</v>
      </c>
      <c r="AN47" s="10">
        <v>6090840576</v>
      </c>
      <c r="AO47" s="10">
        <v>6215591424</v>
      </c>
      <c r="AP47" s="10">
        <v>4711259648</v>
      </c>
      <c r="AQ47" s="10">
        <v>19088046080</v>
      </c>
      <c r="AR47" s="10">
        <v>7438189056</v>
      </c>
      <c r="AS47" s="10">
        <v>8728038400</v>
      </c>
      <c r="AT47" s="10">
        <v>8937567232</v>
      </c>
      <c r="AU47" s="10">
        <v>10297483264</v>
      </c>
      <c r="AV47" s="10">
        <v>11964484608</v>
      </c>
      <c r="AW47" s="10">
        <v>14451902464</v>
      </c>
      <c r="AX47" s="10">
        <v>16737072128</v>
      </c>
      <c r="AY47" s="10">
        <v>19788515328</v>
      </c>
      <c r="AZ47" s="10">
        <v>18648373248</v>
      </c>
      <c r="BA47" s="10">
        <v>21565720576</v>
      </c>
      <c r="BB47" s="10">
        <v>25839749120</v>
      </c>
      <c r="BC47" s="10">
        <v>29306234880</v>
      </c>
      <c r="BD47" s="10">
        <v>32679745536</v>
      </c>
      <c r="BE47" s="10">
        <v>35909042176</v>
      </c>
      <c r="BF47" s="10">
        <v>37917704192</v>
      </c>
      <c r="BG47" s="10">
        <v>37134798848</v>
      </c>
      <c r="BH47" s="10">
        <v>38019264512</v>
      </c>
      <c r="BI47" s="10">
        <v>46831341568</v>
      </c>
      <c r="BJ47" s="10">
        <v>47319625728</v>
      </c>
    </row>
    <row r="48" spans="1:62" x14ac:dyDescent="0.45">
      <c r="A48" t="s">
        <v>27</v>
      </c>
      <c r="B48" t="s">
        <v>119</v>
      </c>
      <c r="C48" s="10">
        <v>131731864</v>
      </c>
      <c r="D48" s="10">
        <v>151675744</v>
      </c>
      <c r="E48" s="10">
        <v>166521232</v>
      </c>
      <c r="F48" s="10">
        <v>172233424</v>
      </c>
      <c r="G48" s="10">
        <v>185693728</v>
      </c>
      <c r="H48" s="10">
        <v>198318064</v>
      </c>
      <c r="I48" s="10">
        <v>220613584</v>
      </c>
      <c r="J48" s="10">
        <v>237397424</v>
      </c>
      <c r="K48" s="10">
        <v>251247456</v>
      </c>
      <c r="L48" s="10">
        <v>265040032</v>
      </c>
      <c r="M48" s="10">
        <v>274960704</v>
      </c>
      <c r="N48" s="10">
        <v>322128032</v>
      </c>
      <c r="O48" s="10">
        <v>410669248</v>
      </c>
      <c r="P48" s="10">
        <v>541973376</v>
      </c>
      <c r="Q48" s="10">
        <v>585364608</v>
      </c>
      <c r="R48" s="10">
        <v>767102656</v>
      </c>
      <c r="S48" s="10">
        <v>754549632</v>
      </c>
      <c r="T48" s="10">
        <v>765224000</v>
      </c>
      <c r="U48" s="10">
        <v>878771776</v>
      </c>
      <c r="V48" s="10">
        <v>1198749696</v>
      </c>
      <c r="W48" s="10">
        <v>1705796864</v>
      </c>
      <c r="X48" s="10">
        <v>1993512320</v>
      </c>
      <c r="Y48" s="10">
        <v>2160640512</v>
      </c>
      <c r="Z48" s="10">
        <v>2097274240</v>
      </c>
      <c r="AA48" s="10">
        <v>2193581312</v>
      </c>
      <c r="AB48" s="10">
        <v>2160872448</v>
      </c>
      <c r="AC48" s="10">
        <v>1849268224</v>
      </c>
      <c r="AD48" s="10">
        <v>2297753600</v>
      </c>
      <c r="AE48" s="10">
        <v>2212536320</v>
      </c>
      <c r="AF48" s="10">
        <v>2389593088</v>
      </c>
      <c r="AG48" s="10">
        <v>2798746112</v>
      </c>
      <c r="AH48" s="10">
        <v>2724853504</v>
      </c>
      <c r="AI48" s="10">
        <v>2933222656</v>
      </c>
      <c r="AJ48" s="10">
        <v>1918969984</v>
      </c>
      <c r="AK48" s="10">
        <v>1769365376</v>
      </c>
      <c r="AL48" s="10">
        <v>2116003968</v>
      </c>
      <c r="AM48" s="10">
        <v>2540697600</v>
      </c>
      <c r="AN48" s="10">
        <v>2322718976</v>
      </c>
      <c r="AO48" s="10">
        <v>1949481344</v>
      </c>
      <c r="AP48" s="10">
        <v>2353909504</v>
      </c>
      <c r="AQ48" s="10">
        <v>3219910656</v>
      </c>
      <c r="AR48" s="10">
        <v>2794259712</v>
      </c>
      <c r="AS48" s="10">
        <v>3019993856</v>
      </c>
      <c r="AT48" s="10">
        <v>3495868928</v>
      </c>
      <c r="AU48" s="10">
        <v>4648628736</v>
      </c>
      <c r="AV48" s="10">
        <v>6087003136</v>
      </c>
      <c r="AW48" s="10">
        <v>7731261440</v>
      </c>
      <c r="AX48" s="10">
        <v>8394688512</v>
      </c>
      <c r="AY48" s="10">
        <v>11859013632</v>
      </c>
      <c r="AZ48" s="10">
        <v>9593537536</v>
      </c>
      <c r="BA48" s="10">
        <v>12019595264</v>
      </c>
      <c r="BB48" s="10">
        <v>14444510208</v>
      </c>
      <c r="BC48" s="10">
        <v>13677148160</v>
      </c>
      <c r="BD48" s="10">
        <v>14089856000</v>
      </c>
      <c r="BE48" s="10">
        <v>14196322304</v>
      </c>
      <c r="BF48" s="10">
        <v>8556594688</v>
      </c>
      <c r="BG48" s="10">
        <v>9041986560</v>
      </c>
      <c r="BH48" s="10">
        <v>9035182080</v>
      </c>
      <c r="BI48" s="10">
        <v>11662700544</v>
      </c>
      <c r="BJ48" s="10">
        <v>10820591616</v>
      </c>
    </row>
    <row r="49" spans="1:62" x14ac:dyDescent="0.45">
      <c r="A49" t="s">
        <v>27</v>
      </c>
      <c r="B49" t="s">
        <v>120</v>
      </c>
      <c r="C49" s="10">
        <v>507513824</v>
      </c>
      <c r="D49" s="10">
        <v>490325184</v>
      </c>
      <c r="E49" s="10">
        <v>479180832</v>
      </c>
      <c r="F49" s="10">
        <v>511902144</v>
      </c>
      <c r="G49" s="10">
        <v>542578368</v>
      </c>
      <c r="H49" s="10">
        <v>592981184</v>
      </c>
      <c r="I49" s="10">
        <v>647305600</v>
      </c>
      <c r="J49" s="10">
        <v>699456640</v>
      </c>
      <c r="K49" s="10">
        <v>773841472</v>
      </c>
      <c r="L49" s="10">
        <v>853630208</v>
      </c>
      <c r="M49" s="10">
        <v>984830144</v>
      </c>
      <c r="N49" s="10">
        <v>1077152896</v>
      </c>
      <c r="O49" s="10">
        <v>1238251648</v>
      </c>
      <c r="P49" s="10">
        <v>1528916224</v>
      </c>
      <c r="Q49" s="10">
        <v>1666544768</v>
      </c>
      <c r="R49" s="10">
        <v>1960863488</v>
      </c>
      <c r="S49" s="10">
        <v>2412555520</v>
      </c>
      <c r="T49" s="10">
        <v>3072427008</v>
      </c>
      <c r="U49" s="10">
        <v>3523208704</v>
      </c>
      <c r="V49" s="10">
        <v>4035519232</v>
      </c>
      <c r="W49" s="10">
        <v>4831447040</v>
      </c>
      <c r="X49" s="10">
        <v>2623806976</v>
      </c>
      <c r="Y49" s="10">
        <v>2606621184</v>
      </c>
      <c r="Z49" s="10">
        <v>3146770176</v>
      </c>
      <c r="AA49" s="10">
        <v>3660476416</v>
      </c>
      <c r="AB49" s="10">
        <v>3919203840</v>
      </c>
      <c r="AC49" s="10">
        <v>4418983936</v>
      </c>
      <c r="AD49" s="10">
        <v>4532952064</v>
      </c>
      <c r="AE49" s="10">
        <v>4614629888</v>
      </c>
      <c r="AF49" s="10">
        <v>5251025920</v>
      </c>
      <c r="AG49" s="10">
        <v>5711687680</v>
      </c>
      <c r="AH49" s="10">
        <v>7168999424</v>
      </c>
      <c r="AI49" s="10">
        <v>8528593408</v>
      </c>
      <c r="AJ49" s="10">
        <v>9537297408</v>
      </c>
      <c r="AK49" s="10">
        <v>10432619520</v>
      </c>
      <c r="AL49" s="10">
        <v>11513473024</v>
      </c>
      <c r="AM49" s="10">
        <v>11618286592</v>
      </c>
      <c r="AN49" s="10">
        <v>12552071168</v>
      </c>
      <c r="AO49" s="10">
        <v>13617404928</v>
      </c>
      <c r="AP49" s="10">
        <v>14195622912</v>
      </c>
      <c r="AQ49" s="10">
        <v>14949514240</v>
      </c>
      <c r="AR49" s="10">
        <v>15913363456</v>
      </c>
      <c r="AS49" s="10">
        <v>16504795136</v>
      </c>
      <c r="AT49" s="10">
        <v>17196009472</v>
      </c>
      <c r="AU49" s="10">
        <v>18528956416</v>
      </c>
      <c r="AV49" s="10">
        <v>19948261376</v>
      </c>
      <c r="AW49" s="10">
        <v>22602721280</v>
      </c>
      <c r="AX49" s="10">
        <v>26743971840</v>
      </c>
      <c r="AY49" s="10">
        <v>30612926464</v>
      </c>
      <c r="AZ49" s="10">
        <v>30562361344</v>
      </c>
      <c r="BA49" s="10">
        <v>37268615168</v>
      </c>
      <c r="BB49" s="10">
        <v>42262695936</v>
      </c>
      <c r="BC49" s="10">
        <v>46473129984</v>
      </c>
      <c r="BD49" s="10">
        <v>49745088512</v>
      </c>
      <c r="BE49" s="10">
        <v>50577768448</v>
      </c>
      <c r="BF49" s="10">
        <v>54775996416</v>
      </c>
      <c r="BG49" s="10">
        <v>57157992448</v>
      </c>
      <c r="BH49" s="10">
        <v>58481856512</v>
      </c>
      <c r="BI49" s="10">
        <v>60553900032</v>
      </c>
      <c r="BJ49" s="10">
        <v>61773942784</v>
      </c>
    </row>
    <row r="50" spans="1:62" x14ac:dyDescent="0.45">
      <c r="A50" t="s">
        <v>27</v>
      </c>
      <c r="B50" t="s">
        <v>121</v>
      </c>
      <c r="C50" s="10">
        <v>546203584</v>
      </c>
      <c r="D50" s="10">
        <v>618245632</v>
      </c>
      <c r="E50" s="10">
        <v>645284352</v>
      </c>
      <c r="F50" s="10">
        <v>761047040</v>
      </c>
      <c r="G50" s="10">
        <v>921063296</v>
      </c>
      <c r="H50" s="10">
        <v>919771328</v>
      </c>
      <c r="I50" s="10">
        <v>1024103040</v>
      </c>
      <c r="J50" s="10">
        <v>1082922880</v>
      </c>
      <c r="K50" s="10">
        <v>1281281280</v>
      </c>
      <c r="L50" s="10">
        <v>1361360128</v>
      </c>
      <c r="M50" s="10">
        <v>1455483008</v>
      </c>
      <c r="N50" s="10">
        <v>1584128256</v>
      </c>
      <c r="O50" s="10">
        <v>1849400576</v>
      </c>
      <c r="P50" s="10">
        <v>2508421120</v>
      </c>
      <c r="Q50" s="10">
        <v>3070151936</v>
      </c>
      <c r="R50" s="10">
        <v>3893839104</v>
      </c>
      <c r="S50" s="10">
        <v>4662053888</v>
      </c>
      <c r="T50" s="10">
        <v>6265068032</v>
      </c>
      <c r="U50" s="10">
        <v>7900525056</v>
      </c>
      <c r="V50" s="10">
        <v>9142935552</v>
      </c>
      <c r="W50" s="10">
        <v>10175614976</v>
      </c>
      <c r="X50" s="10">
        <v>8432588288</v>
      </c>
      <c r="Y50" s="10">
        <v>7567109632</v>
      </c>
      <c r="Z50" s="10">
        <v>6838185472</v>
      </c>
      <c r="AA50" s="10">
        <v>6841638912</v>
      </c>
      <c r="AB50" s="10">
        <v>6977650176</v>
      </c>
      <c r="AC50" s="10">
        <v>9158301696</v>
      </c>
      <c r="AD50" s="10">
        <v>10087653376</v>
      </c>
      <c r="AE50" s="10">
        <v>10255170560</v>
      </c>
      <c r="AF50" s="10">
        <v>9757410304</v>
      </c>
      <c r="AG50" s="10">
        <v>10795849728</v>
      </c>
      <c r="AH50" s="10">
        <v>10492628992</v>
      </c>
      <c r="AI50" s="10">
        <v>11152971776</v>
      </c>
      <c r="AJ50" s="10">
        <v>11045758976</v>
      </c>
      <c r="AK50" s="10">
        <v>8313557504</v>
      </c>
      <c r="AL50" s="10">
        <v>11000146944</v>
      </c>
      <c r="AM50" s="10">
        <v>12139235328</v>
      </c>
      <c r="AN50" s="10">
        <v>11722142720</v>
      </c>
      <c r="AO50" s="10">
        <v>12612033536</v>
      </c>
      <c r="AP50" s="10">
        <v>12376639488</v>
      </c>
      <c r="AQ50" s="10">
        <v>10717022208</v>
      </c>
      <c r="AR50" s="10">
        <v>11192560640</v>
      </c>
      <c r="AS50" s="10">
        <v>12346918912</v>
      </c>
      <c r="AT50" s="10">
        <v>15306602496</v>
      </c>
      <c r="AU50" s="10">
        <v>16554441728</v>
      </c>
      <c r="AV50" s="10">
        <v>17084929024</v>
      </c>
      <c r="AW50" s="10">
        <v>17800888320</v>
      </c>
      <c r="AX50" s="10">
        <v>20343635968</v>
      </c>
      <c r="AY50" s="10">
        <v>24224903168</v>
      </c>
      <c r="AZ50" s="10">
        <v>24277493760</v>
      </c>
      <c r="BA50" s="10">
        <v>24908781568</v>
      </c>
      <c r="BB50" s="10">
        <v>25414875136</v>
      </c>
      <c r="BC50" s="10">
        <v>26789048320</v>
      </c>
      <c r="BD50" s="10">
        <v>31273074688</v>
      </c>
      <c r="BE50" s="10">
        <v>35363532800</v>
      </c>
      <c r="BF50" s="10">
        <v>45814636544</v>
      </c>
      <c r="BG50" s="10">
        <v>47964233728</v>
      </c>
      <c r="BH50" s="10">
        <v>51588157440</v>
      </c>
      <c r="BI50" s="10">
        <v>57724731392</v>
      </c>
      <c r="BJ50" s="10">
        <v>58792206336</v>
      </c>
    </row>
    <row r="51" spans="1:62" x14ac:dyDescent="0.45">
      <c r="A51" t="s">
        <v>27</v>
      </c>
      <c r="B51" t="s">
        <v>122</v>
      </c>
      <c r="C51" s="10">
        <v>672399680</v>
      </c>
      <c r="D51" s="10">
        <v>654100224</v>
      </c>
      <c r="E51" s="10">
        <v>824099968</v>
      </c>
      <c r="F51" s="10">
        <v>940799872</v>
      </c>
      <c r="G51" s="10">
        <v>1025599872</v>
      </c>
      <c r="H51" s="10">
        <v>888099968</v>
      </c>
      <c r="I51" s="10">
        <v>983900032</v>
      </c>
      <c r="J51" s="10">
        <v>1034800000</v>
      </c>
      <c r="K51" s="10">
        <v>1079100032</v>
      </c>
      <c r="L51" s="10">
        <v>1230499968</v>
      </c>
      <c r="M51" s="10">
        <v>1485500032</v>
      </c>
      <c r="N51" s="10">
        <v>1666499968</v>
      </c>
      <c r="O51" s="10">
        <v>1987399936</v>
      </c>
      <c r="P51" s="10">
        <v>2344800000</v>
      </c>
      <c r="Q51" s="10">
        <v>2925700096</v>
      </c>
      <c r="R51" s="10">
        <v>3599200000</v>
      </c>
      <c r="S51" s="10">
        <v>3951500032</v>
      </c>
      <c r="T51" s="10">
        <v>4587100160</v>
      </c>
      <c r="U51" s="10">
        <v>4734400000</v>
      </c>
      <c r="V51" s="10">
        <v>5498800128</v>
      </c>
      <c r="W51" s="10">
        <v>6761299968</v>
      </c>
      <c r="X51" s="10">
        <v>7561299968</v>
      </c>
      <c r="Y51" s="10">
        <v>8267400192</v>
      </c>
      <c r="Z51" s="10">
        <v>9220599808</v>
      </c>
      <c r="AA51" s="10">
        <v>11594000384</v>
      </c>
      <c r="AB51" s="10">
        <v>5044593152</v>
      </c>
      <c r="AC51" s="10">
        <v>6122198016</v>
      </c>
      <c r="AD51" s="10">
        <v>5826987008</v>
      </c>
      <c r="AE51" s="10">
        <v>5374315008</v>
      </c>
      <c r="AF51" s="10">
        <v>6686593024</v>
      </c>
      <c r="AG51" s="10">
        <v>7073675776</v>
      </c>
      <c r="AH51" s="10">
        <v>9734322176</v>
      </c>
      <c r="AI51" s="10">
        <v>11356271616</v>
      </c>
      <c r="AJ51" s="10">
        <v>13081041920</v>
      </c>
      <c r="AK51" s="10">
        <v>14664238080</v>
      </c>
      <c r="AL51" s="10">
        <v>16598679552</v>
      </c>
      <c r="AM51" s="10">
        <v>18241691648</v>
      </c>
      <c r="AN51" s="10">
        <v>20017909760</v>
      </c>
      <c r="AO51" s="10">
        <v>21672525824</v>
      </c>
      <c r="AP51" s="10">
        <v>22137600000</v>
      </c>
      <c r="AQ51" s="10">
        <v>24305117184</v>
      </c>
      <c r="AR51" s="10">
        <v>25599311872</v>
      </c>
      <c r="AS51" s="10">
        <v>27362875392</v>
      </c>
      <c r="AT51" s="10">
        <v>21642883072</v>
      </c>
      <c r="AU51" s="10">
        <v>22692575232</v>
      </c>
      <c r="AV51" s="10">
        <v>36119048192</v>
      </c>
      <c r="AW51" s="10">
        <v>38116352000</v>
      </c>
      <c r="AX51" s="10">
        <v>43965419520</v>
      </c>
      <c r="AY51" s="10">
        <v>48122548224</v>
      </c>
      <c r="AZ51" s="10">
        <v>48261033984</v>
      </c>
      <c r="BA51" s="10">
        <v>53860175872</v>
      </c>
      <c r="BB51" s="10">
        <v>58029752320</v>
      </c>
      <c r="BC51" s="10">
        <v>60681535488</v>
      </c>
      <c r="BD51" s="10">
        <v>62682165248</v>
      </c>
      <c r="BE51" s="10">
        <v>67179913216</v>
      </c>
      <c r="BF51" s="10">
        <v>71164821504</v>
      </c>
      <c r="BG51" s="10">
        <v>75704721408</v>
      </c>
      <c r="BH51" s="10">
        <v>79997976576</v>
      </c>
      <c r="BI51" s="10">
        <v>85555380224</v>
      </c>
      <c r="BJ51" s="10">
        <v>88941297664</v>
      </c>
    </row>
    <row r="52" spans="1:62" x14ac:dyDescent="0.45">
      <c r="A52" t="s">
        <v>27</v>
      </c>
      <c r="B52" t="s">
        <v>123</v>
      </c>
      <c r="C52" s="10">
        <v>2069465344</v>
      </c>
      <c r="D52" s="10">
        <v>1753850368</v>
      </c>
      <c r="E52" s="10">
        <v>1518208256</v>
      </c>
      <c r="F52" s="10">
        <v>1824344448</v>
      </c>
      <c r="G52" s="10">
        <v>2244146944</v>
      </c>
      <c r="H52" s="10">
        <v>2387048192</v>
      </c>
      <c r="I52" s="10">
        <v>2429309440</v>
      </c>
      <c r="J52" s="10">
        <v>2553596160</v>
      </c>
      <c r="K52" s="10">
        <v>2582180864</v>
      </c>
      <c r="L52" s="10">
        <v>3112166912</v>
      </c>
      <c r="M52" s="10">
        <v>2862504192</v>
      </c>
      <c r="N52" s="10">
        <v>2754220288</v>
      </c>
      <c r="O52" s="10">
        <v>3185987328</v>
      </c>
      <c r="P52" s="10">
        <v>3891755520</v>
      </c>
      <c r="Q52" s="10">
        <v>6599259648</v>
      </c>
      <c r="R52" s="10">
        <v>7731677184</v>
      </c>
      <c r="S52" s="10">
        <v>9091923968</v>
      </c>
      <c r="T52" s="10">
        <v>11026347008</v>
      </c>
      <c r="U52" s="10">
        <v>11922502656</v>
      </c>
      <c r="V52" s="10">
        <v>14175166464</v>
      </c>
      <c r="W52" s="10">
        <v>17881513984</v>
      </c>
      <c r="X52" s="10">
        <v>21810767872</v>
      </c>
      <c r="Y52" s="10">
        <v>19929853952</v>
      </c>
      <c r="Z52" s="10">
        <v>17152483328</v>
      </c>
      <c r="AA52" s="10">
        <v>16912515072</v>
      </c>
      <c r="AB52" s="10">
        <v>17149094912</v>
      </c>
      <c r="AC52" s="10">
        <v>15314144256</v>
      </c>
      <c r="AD52" s="10">
        <v>13945432064</v>
      </c>
      <c r="AE52" s="10">
        <v>13051886592</v>
      </c>
      <c r="AF52" s="10">
        <v>13890828288</v>
      </c>
      <c r="AG52" s="10">
        <v>15239278592</v>
      </c>
      <c r="AH52" s="10">
        <v>16988534784</v>
      </c>
      <c r="AI52" s="10">
        <v>18094237696</v>
      </c>
      <c r="AJ52" s="10">
        <v>18938718208</v>
      </c>
      <c r="AK52" s="10">
        <v>22708672512</v>
      </c>
      <c r="AL52" s="10">
        <v>24432883712</v>
      </c>
      <c r="AM52" s="10">
        <v>25226393600</v>
      </c>
      <c r="AN52" s="10">
        <v>28162052096</v>
      </c>
      <c r="AO52" s="10">
        <v>27981897728</v>
      </c>
      <c r="AP52" s="10">
        <v>19645272064</v>
      </c>
      <c r="AQ52" s="10">
        <v>18327764992</v>
      </c>
      <c r="AR52" s="10">
        <v>24468324352</v>
      </c>
      <c r="AS52" s="10">
        <v>28548945920</v>
      </c>
      <c r="AT52" s="10">
        <v>32432857088</v>
      </c>
      <c r="AU52" s="10">
        <v>36591661056</v>
      </c>
      <c r="AV52" s="10">
        <v>41507086336</v>
      </c>
      <c r="AW52" s="10">
        <v>46802042880</v>
      </c>
      <c r="AX52" s="10">
        <v>51007778816</v>
      </c>
      <c r="AY52" s="10">
        <v>61762633728</v>
      </c>
      <c r="AZ52" s="10">
        <v>62519685120</v>
      </c>
      <c r="BA52" s="10">
        <v>69555363840</v>
      </c>
      <c r="BB52" s="10">
        <v>79276662784</v>
      </c>
      <c r="BC52" s="10">
        <v>87924547584</v>
      </c>
      <c r="BD52" s="10">
        <v>95129657344</v>
      </c>
      <c r="BE52" s="10">
        <v>101726330880</v>
      </c>
      <c r="BF52" s="10">
        <v>99290382336</v>
      </c>
      <c r="BG52" s="10">
        <v>99937697792</v>
      </c>
      <c r="BH52" s="10">
        <v>104295858176</v>
      </c>
      <c r="BI52" s="10">
        <v>107562008576</v>
      </c>
      <c r="BJ52" s="10">
        <v>107435663360</v>
      </c>
    </row>
    <row r="53" spans="1:62" x14ac:dyDescent="0.45">
      <c r="A53" t="s">
        <v>27</v>
      </c>
      <c r="B53" t="s">
        <v>124</v>
      </c>
      <c r="C53" s="10">
        <v>112328424</v>
      </c>
      <c r="D53" s="10">
        <v>116987784</v>
      </c>
      <c r="E53" s="10">
        <v>122906432</v>
      </c>
      <c r="F53" s="10">
        <v>129454728</v>
      </c>
      <c r="G53" s="10">
        <v>140032736</v>
      </c>
      <c r="H53" s="10">
        <v>147084752</v>
      </c>
      <c r="I53" s="10">
        <v>150603920</v>
      </c>
      <c r="J53" s="10">
        <v>162625888</v>
      </c>
      <c r="K53" s="10">
        <v>166952944</v>
      </c>
      <c r="L53" s="10">
        <v>182182064</v>
      </c>
      <c r="M53" s="10">
        <v>219878480</v>
      </c>
      <c r="N53" s="10">
        <v>247749328</v>
      </c>
      <c r="O53" s="10">
        <v>316650496</v>
      </c>
      <c r="P53" s="10">
        <v>425963360</v>
      </c>
      <c r="Q53" s="10">
        <v>558589888</v>
      </c>
      <c r="R53" s="10">
        <v>684268288</v>
      </c>
      <c r="S53" s="10">
        <v>694552384</v>
      </c>
      <c r="T53" s="10">
        <v>719533120</v>
      </c>
      <c r="U53" s="10">
        <v>829239488</v>
      </c>
      <c r="V53" s="10">
        <v>1019743936</v>
      </c>
      <c r="W53" s="10">
        <v>1202567296</v>
      </c>
      <c r="X53" s="10">
        <v>1235899776</v>
      </c>
      <c r="Y53" s="10">
        <v>1194015488</v>
      </c>
      <c r="Z53" s="10">
        <v>1123107328</v>
      </c>
      <c r="AA53" s="10">
        <v>1177997440</v>
      </c>
      <c r="AB53" s="10">
        <v>1141210112</v>
      </c>
      <c r="AC53" s="10">
        <v>1290228608</v>
      </c>
      <c r="AD53" s="10">
        <v>1177908224</v>
      </c>
      <c r="AE53" s="10">
        <v>1109976960</v>
      </c>
      <c r="AF53" s="10">
        <v>1182686592</v>
      </c>
      <c r="AG53" s="10">
        <v>1337024768</v>
      </c>
      <c r="AH53" s="10">
        <v>1383843840</v>
      </c>
      <c r="AI53" s="10">
        <v>1531803008</v>
      </c>
      <c r="AJ53" s="10">
        <v>1635426176</v>
      </c>
      <c r="AK53" s="10">
        <v>1825285120</v>
      </c>
      <c r="AL53" s="10">
        <v>1970347776</v>
      </c>
      <c r="AM53" s="10">
        <v>2129266688</v>
      </c>
      <c r="AN53" s="10">
        <v>2093994624</v>
      </c>
      <c r="AO53" s="10">
        <v>1656784768</v>
      </c>
      <c r="AP53" s="10">
        <v>1942171008</v>
      </c>
      <c r="AQ53" s="10">
        <v>1684109696</v>
      </c>
      <c r="AR53" s="10">
        <v>1660102400</v>
      </c>
      <c r="AS53" s="10">
        <v>1842691456</v>
      </c>
      <c r="AT53" s="10">
        <v>2315935744</v>
      </c>
      <c r="AU53" s="10">
        <v>2727507200</v>
      </c>
      <c r="AV53" s="10">
        <v>3006725120</v>
      </c>
      <c r="AW53" s="10">
        <v>3102741504</v>
      </c>
      <c r="AX53" s="10">
        <v>3405050624</v>
      </c>
      <c r="AY53" s="10">
        <v>3523185920</v>
      </c>
      <c r="AZ53" s="10">
        <v>2870624512</v>
      </c>
      <c r="BA53" s="10">
        <v>3140508928</v>
      </c>
      <c r="BB53" s="10">
        <v>3774530560</v>
      </c>
      <c r="BC53" s="10">
        <v>3972012544</v>
      </c>
      <c r="BD53" s="10">
        <v>4190143232</v>
      </c>
      <c r="BE53" s="10">
        <v>4856963072</v>
      </c>
      <c r="BF53" s="10">
        <v>4682546688</v>
      </c>
      <c r="BG53" s="10">
        <v>4930204160</v>
      </c>
      <c r="BH53" s="10">
        <v>5353404416</v>
      </c>
      <c r="BI53" s="10">
        <v>5536759808</v>
      </c>
      <c r="BJ53" s="10">
        <v>5535548928</v>
      </c>
    </row>
    <row r="54" spans="1:62" x14ac:dyDescent="0.45">
      <c r="A54" t="s">
        <v>27</v>
      </c>
      <c r="B54" t="s">
        <v>125</v>
      </c>
      <c r="C54" s="10">
        <v>141468976</v>
      </c>
      <c r="D54" s="10">
        <v>167637904</v>
      </c>
      <c r="E54" s="10">
        <v>182796544</v>
      </c>
      <c r="F54" s="10">
        <v>154480240</v>
      </c>
      <c r="G54" s="10">
        <v>215679856</v>
      </c>
      <c r="H54" s="10">
        <v>226474288</v>
      </c>
      <c r="I54" s="10">
        <v>245849776</v>
      </c>
      <c r="J54" s="10">
        <v>271543680</v>
      </c>
      <c r="K54" s="10">
        <v>294468576</v>
      </c>
      <c r="L54" s="10">
        <v>318124704</v>
      </c>
      <c r="M54" s="10">
        <v>323802464</v>
      </c>
      <c r="N54" s="10">
        <v>381687072</v>
      </c>
      <c r="O54" s="10">
        <v>430508352</v>
      </c>
      <c r="P54" s="10">
        <v>722780672</v>
      </c>
      <c r="Q54" s="10">
        <v>1544216064</v>
      </c>
      <c r="R54" s="10">
        <v>2157592832</v>
      </c>
      <c r="S54" s="10">
        <v>3009410048</v>
      </c>
      <c r="T54" s="10">
        <v>2809349120</v>
      </c>
      <c r="U54" s="10">
        <v>2389479168</v>
      </c>
      <c r="V54" s="10">
        <v>3030251008</v>
      </c>
      <c r="W54" s="10">
        <v>4279638016</v>
      </c>
      <c r="X54" s="10">
        <v>3862269184</v>
      </c>
      <c r="Y54" s="10">
        <v>3618007808</v>
      </c>
      <c r="Z54" s="10">
        <v>3391275776</v>
      </c>
      <c r="AA54" s="10">
        <v>3561451520</v>
      </c>
      <c r="AB54" s="10">
        <v>3339914752</v>
      </c>
      <c r="AC54" s="10">
        <v>3403638272</v>
      </c>
      <c r="AD54" s="10">
        <v>3281797120</v>
      </c>
      <c r="AE54" s="10">
        <v>3834503424</v>
      </c>
      <c r="AF54" s="10">
        <v>4186411520</v>
      </c>
      <c r="AG54" s="10">
        <v>5952293888</v>
      </c>
      <c r="AH54" s="10">
        <v>5402919936</v>
      </c>
      <c r="AI54" s="10">
        <v>5592390656</v>
      </c>
      <c r="AJ54" s="10">
        <v>4378644992</v>
      </c>
      <c r="AK54" s="10">
        <v>4190819328</v>
      </c>
      <c r="AL54" s="10">
        <v>4958845952</v>
      </c>
      <c r="AM54" s="10">
        <v>5694040576</v>
      </c>
      <c r="AN54" s="10">
        <v>5326816768</v>
      </c>
      <c r="AO54" s="10">
        <v>4483417088</v>
      </c>
      <c r="AP54" s="10">
        <v>4662991872</v>
      </c>
      <c r="AQ54" s="10">
        <v>5067865088</v>
      </c>
      <c r="AR54" s="10">
        <v>5018874368</v>
      </c>
      <c r="AS54" s="10">
        <v>5310381056</v>
      </c>
      <c r="AT54" s="10">
        <v>6497305600</v>
      </c>
      <c r="AU54" s="10">
        <v>7756293632</v>
      </c>
      <c r="AV54" s="10">
        <v>9578973184</v>
      </c>
      <c r="AW54" s="10">
        <v>10318424064</v>
      </c>
      <c r="AX54" s="10">
        <v>12438957056</v>
      </c>
      <c r="AY54" s="10">
        <v>15508575232</v>
      </c>
      <c r="AZ54" s="10">
        <v>12065138688</v>
      </c>
      <c r="BA54" s="10">
        <v>14372591616</v>
      </c>
      <c r="BB54" s="10">
        <v>18210308096</v>
      </c>
      <c r="BC54" s="10">
        <v>17170465792</v>
      </c>
      <c r="BD54" s="10">
        <v>17595746304</v>
      </c>
      <c r="BE54" s="10">
        <v>18203967488</v>
      </c>
      <c r="BF54" s="10">
        <v>14383108096</v>
      </c>
      <c r="BG54" s="10">
        <v>14023890944</v>
      </c>
      <c r="BH54" s="10">
        <v>14929488896</v>
      </c>
      <c r="BI54" s="10">
        <v>16862282752</v>
      </c>
      <c r="BJ54" s="10">
        <v>16657959936</v>
      </c>
    </row>
    <row r="55" spans="1:62" x14ac:dyDescent="0.45">
      <c r="A55" t="s">
        <v>27</v>
      </c>
      <c r="B55" t="s">
        <v>126</v>
      </c>
      <c r="C55" s="10">
        <v>1217230080</v>
      </c>
      <c r="D55" s="10">
        <v>1302674304</v>
      </c>
      <c r="E55" s="10">
        <v>1382515584</v>
      </c>
      <c r="F55" s="10">
        <v>1540797568</v>
      </c>
      <c r="G55" s="10">
        <v>1731296128</v>
      </c>
      <c r="H55" s="10">
        <v>2053462912</v>
      </c>
      <c r="I55" s="10">
        <v>2126300544</v>
      </c>
      <c r="J55" s="10">
        <v>1747187584</v>
      </c>
      <c r="K55" s="10">
        <v>1666910208</v>
      </c>
      <c r="L55" s="10">
        <v>1962051328</v>
      </c>
      <c r="M55" s="10">
        <v>2215029504</v>
      </c>
      <c r="N55" s="10">
        <v>2417107712</v>
      </c>
      <c r="O55" s="10">
        <v>2112292992</v>
      </c>
      <c r="P55" s="10">
        <v>2465492992</v>
      </c>
      <c r="Q55" s="10">
        <v>2894409984</v>
      </c>
      <c r="R55" s="10">
        <v>2810106368</v>
      </c>
      <c r="S55" s="10">
        <v>2765254144</v>
      </c>
      <c r="T55" s="10">
        <v>3189428480</v>
      </c>
      <c r="U55" s="10">
        <v>3662478080</v>
      </c>
      <c r="V55" s="10">
        <v>4020227840</v>
      </c>
      <c r="W55" s="10">
        <v>4445228032</v>
      </c>
      <c r="X55" s="10">
        <v>4222441728</v>
      </c>
      <c r="Y55" s="10">
        <v>4035994368</v>
      </c>
      <c r="Z55" s="10">
        <v>4057275136</v>
      </c>
      <c r="AA55" s="10">
        <v>4412279808</v>
      </c>
      <c r="AB55" s="10">
        <v>4504342016</v>
      </c>
      <c r="AC55" s="10">
        <v>5727602688</v>
      </c>
      <c r="AD55" s="10">
        <v>5074829824</v>
      </c>
      <c r="AE55" s="10">
        <v>5197840896</v>
      </c>
      <c r="AF55" s="10">
        <v>5251764224</v>
      </c>
      <c r="AG55" s="10">
        <v>5889175040</v>
      </c>
      <c r="AH55" s="10">
        <v>6596546048</v>
      </c>
      <c r="AI55" s="10">
        <v>6413901824</v>
      </c>
      <c r="AJ55" s="10">
        <v>5966255616</v>
      </c>
      <c r="AK55" s="10">
        <v>5444560896</v>
      </c>
      <c r="AL55" s="10">
        <v>6465137664</v>
      </c>
      <c r="AM55" s="10">
        <v>6934984704</v>
      </c>
      <c r="AN55" s="10">
        <v>6891308544</v>
      </c>
      <c r="AO55" s="10">
        <v>7480968704</v>
      </c>
      <c r="AP55" s="10">
        <v>7719354880</v>
      </c>
      <c r="AQ55" s="10">
        <v>4983024640</v>
      </c>
      <c r="AR55" s="10">
        <v>5314910208</v>
      </c>
      <c r="AS55" s="10">
        <v>6166330368</v>
      </c>
      <c r="AT55" s="10">
        <v>7632406528</v>
      </c>
      <c r="AU55" s="10">
        <v>8881368064</v>
      </c>
      <c r="AV55" s="10">
        <v>10731633664</v>
      </c>
      <c r="AW55" s="10">
        <v>20409667584</v>
      </c>
      <c r="AX55" s="10">
        <v>24758818816</v>
      </c>
      <c r="AY55" s="10">
        <v>28526891008</v>
      </c>
      <c r="AZ55" s="10">
        <v>25977847808</v>
      </c>
      <c r="BA55" s="10">
        <v>32197273600</v>
      </c>
      <c r="BB55" s="10">
        <v>39337316352</v>
      </c>
      <c r="BC55" s="10">
        <v>41270956032</v>
      </c>
      <c r="BD55" s="10">
        <v>62405373952</v>
      </c>
      <c r="BE55" s="10">
        <v>53660340224</v>
      </c>
      <c r="BF55" s="10">
        <v>48564862976</v>
      </c>
      <c r="BG55" s="10">
        <v>55009730560</v>
      </c>
      <c r="BH55" s="10">
        <v>58998132736</v>
      </c>
      <c r="BI55" s="10">
        <v>65556463616</v>
      </c>
      <c r="BJ55" s="10">
        <v>66983632896</v>
      </c>
    </row>
    <row r="56" spans="1:62" x14ac:dyDescent="0.45">
      <c r="A56" t="s">
        <v>27</v>
      </c>
      <c r="B56" t="s">
        <v>127</v>
      </c>
      <c r="C56" s="10">
        <v>1043599872</v>
      </c>
      <c r="D56" s="10">
        <v>1076699904</v>
      </c>
      <c r="E56" s="10">
        <v>1143600000</v>
      </c>
      <c r="F56" s="10">
        <v>1262800000</v>
      </c>
      <c r="G56" s="10">
        <v>1299099904</v>
      </c>
      <c r="H56" s="10">
        <v>1331399936</v>
      </c>
      <c r="I56" s="10">
        <v>1390700032</v>
      </c>
      <c r="J56" s="10">
        <v>1453500032</v>
      </c>
      <c r="K56" s="10">
        <v>1610499968</v>
      </c>
      <c r="L56" s="10">
        <v>1715399936</v>
      </c>
      <c r="M56" s="10">
        <v>1904000000</v>
      </c>
      <c r="N56" s="10">
        <v>1984800000</v>
      </c>
      <c r="O56" s="10">
        <v>2101299968</v>
      </c>
      <c r="P56" s="10">
        <v>2569200128</v>
      </c>
      <c r="Q56" s="10">
        <v>3161499904</v>
      </c>
      <c r="R56" s="10">
        <v>3645900032</v>
      </c>
      <c r="S56" s="10">
        <v>4365300224</v>
      </c>
      <c r="T56" s="10">
        <v>5480500224</v>
      </c>
      <c r="U56" s="10">
        <v>6070600192</v>
      </c>
      <c r="V56" s="10">
        <v>6902600192</v>
      </c>
      <c r="W56" s="10">
        <v>7878700032</v>
      </c>
      <c r="X56" s="10">
        <v>8607500288</v>
      </c>
      <c r="Y56" s="10">
        <v>8716999680</v>
      </c>
      <c r="Z56" s="10">
        <v>9050000384</v>
      </c>
      <c r="AA56" s="10">
        <v>9470000128</v>
      </c>
      <c r="AB56" s="10">
        <v>9721652224</v>
      </c>
      <c r="AC56" s="10">
        <v>7231963648</v>
      </c>
      <c r="AD56" s="10">
        <v>7084399616</v>
      </c>
      <c r="AE56" s="10">
        <v>7841603072</v>
      </c>
      <c r="AF56" s="10">
        <v>8410724352</v>
      </c>
      <c r="AG56" s="10">
        <v>7650125312</v>
      </c>
      <c r="AH56" s="10">
        <v>9406097408</v>
      </c>
      <c r="AI56" s="10">
        <v>10440842240</v>
      </c>
      <c r="AJ56" s="10">
        <v>11399942144</v>
      </c>
      <c r="AK56" s="10">
        <v>12983235584</v>
      </c>
      <c r="AL56" s="10">
        <v>14655404032</v>
      </c>
      <c r="AM56" s="10">
        <v>15674835968</v>
      </c>
      <c r="AN56" s="10">
        <v>17790025728</v>
      </c>
      <c r="AO56" s="10">
        <v>19395491840</v>
      </c>
      <c r="AP56" s="10">
        <v>18318411776</v>
      </c>
      <c r="AQ56" s="10">
        <v>19288827904</v>
      </c>
      <c r="AR56" s="10">
        <v>18702802944</v>
      </c>
      <c r="AS56" s="10">
        <v>20776402944</v>
      </c>
      <c r="AT56" s="10">
        <v>21917429760</v>
      </c>
      <c r="AU56" s="10">
        <v>23965276160</v>
      </c>
      <c r="AV56" s="10">
        <v>27211376640</v>
      </c>
      <c r="AW56" s="10">
        <v>30231248896</v>
      </c>
      <c r="AX56" s="10">
        <v>34113107968</v>
      </c>
      <c r="AY56" s="10">
        <v>39136436224</v>
      </c>
      <c r="AZ56" s="10">
        <v>37733609472</v>
      </c>
      <c r="BA56" s="10">
        <v>41338007552</v>
      </c>
      <c r="BB56" s="10">
        <v>47654785024</v>
      </c>
      <c r="BC56" s="10">
        <v>50388459520</v>
      </c>
      <c r="BD56" s="10">
        <v>52996542464</v>
      </c>
      <c r="BE56" s="10">
        <v>57852399616</v>
      </c>
      <c r="BF56" s="10">
        <v>62186184704</v>
      </c>
      <c r="BG56" s="10">
        <v>66053726208</v>
      </c>
      <c r="BH56" s="10">
        <v>71612350464</v>
      </c>
      <c r="BI56" s="10">
        <v>73118146560</v>
      </c>
      <c r="BJ56" s="10">
        <v>76710387712</v>
      </c>
    </row>
    <row r="57" spans="1:62" x14ac:dyDescent="0.45">
      <c r="A57" t="s">
        <v>27</v>
      </c>
      <c r="B57" t="s">
        <v>128</v>
      </c>
      <c r="C57" s="10">
        <v>170215248</v>
      </c>
      <c r="D57" s="10">
        <v>185848448</v>
      </c>
      <c r="E57" s="10">
        <v>194948368</v>
      </c>
      <c r="F57" s="10">
        <v>175756864</v>
      </c>
      <c r="G57" s="10">
        <v>194773376</v>
      </c>
      <c r="H57" s="10">
        <v>213235296</v>
      </c>
      <c r="I57" s="10">
        <v>228705888</v>
      </c>
      <c r="J57" s="10">
        <v>250176464</v>
      </c>
      <c r="K57" s="10">
        <v>229750000</v>
      </c>
      <c r="L57" s="10">
        <v>249300000</v>
      </c>
      <c r="M57" s="10">
        <v>267800000</v>
      </c>
      <c r="N57" s="10">
        <v>282049984</v>
      </c>
      <c r="O57" s="10">
        <v>285380960</v>
      </c>
      <c r="P57" s="10">
        <v>307047616</v>
      </c>
      <c r="Q57" s="10">
        <v>433954560</v>
      </c>
      <c r="R57" s="10">
        <v>494791680</v>
      </c>
      <c r="S57" s="10">
        <v>454440000</v>
      </c>
      <c r="T57" s="10">
        <v>449880000</v>
      </c>
      <c r="U57" s="10">
        <v>507080000</v>
      </c>
      <c r="V57" s="10">
        <v>530440000</v>
      </c>
      <c r="W57" s="10">
        <v>603200000</v>
      </c>
      <c r="X57" s="10">
        <v>570357120</v>
      </c>
      <c r="Y57" s="10">
        <v>482000000</v>
      </c>
      <c r="Z57" s="10">
        <v>489333344</v>
      </c>
      <c r="AA57" s="10">
        <v>437631616</v>
      </c>
      <c r="AB57" s="10">
        <v>453488384</v>
      </c>
      <c r="AC57" s="10">
        <v>504651136</v>
      </c>
      <c r="AD57" s="10">
        <v>354591840</v>
      </c>
      <c r="AE57" s="10">
        <v>413800000</v>
      </c>
      <c r="AF57" s="10">
        <v>379779392</v>
      </c>
      <c r="AG57" s="10">
        <v>396582272</v>
      </c>
      <c r="AH57" s="10">
        <v>348533088</v>
      </c>
      <c r="AI57" s="10">
        <v>373573152</v>
      </c>
      <c r="AJ57" s="10">
        <v>454101376</v>
      </c>
      <c r="AK57" s="10">
        <v>540874944</v>
      </c>
      <c r="AL57" s="10">
        <v>621626816</v>
      </c>
      <c r="AM57" s="10">
        <v>705406016</v>
      </c>
      <c r="AN57" s="10">
        <v>749137984</v>
      </c>
      <c r="AO57" s="10">
        <v>717530688</v>
      </c>
      <c r="AP57" s="10">
        <v>694755008</v>
      </c>
      <c r="AQ57" s="10">
        <v>712667904</v>
      </c>
      <c r="AR57" s="10">
        <v>712167552</v>
      </c>
      <c r="AS57" s="10">
        <v>726131456</v>
      </c>
      <c r="AT57" s="10">
        <v>743064064</v>
      </c>
      <c r="AU57" s="10">
        <v>787814400</v>
      </c>
      <c r="AV57" s="10">
        <v>824880576</v>
      </c>
      <c r="AW57" s="10">
        <v>1458453760</v>
      </c>
      <c r="AX57" s="10">
        <v>1740180480</v>
      </c>
      <c r="AY57" s="10">
        <v>1916994944</v>
      </c>
      <c r="AZ57" s="10">
        <v>2061323904</v>
      </c>
      <c r="BA57" s="10">
        <v>2273224960</v>
      </c>
      <c r="BB57" s="10">
        <v>2576024064</v>
      </c>
      <c r="BC57" s="10">
        <v>2861562368</v>
      </c>
      <c r="BD57" s="10">
        <v>2987684096</v>
      </c>
      <c r="BE57" s="10">
        <v>3077643264</v>
      </c>
      <c r="BF57" s="10">
        <v>3197220352</v>
      </c>
      <c r="BG57" s="10">
        <v>3504024320</v>
      </c>
      <c r="BH57" s="10">
        <v>3555205888</v>
      </c>
      <c r="BI57" s="10">
        <v>3878662656</v>
      </c>
      <c r="BJ57" s="10">
        <v>4280443648</v>
      </c>
    </row>
    <row r="58" spans="1:62" x14ac:dyDescent="0.45">
      <c r="A58" t="s">
        <v>27</v>
      </c>
      <c r="B58" t="s">
        <v>129</v>
      </c>
      <c r="C58" s="10">
        <v>273187200</v>
      </c>
      <c r="D58" s="10">
        <v>271065984</v>
      </c>
      <c r="E58" s="10">
        <v>281896800</v>
      </c>
      <c r="F58" s="10">
        <v>294883392</v>
      </c>
      <c r="G58" s="10">
        <v>325281216</v>
      </c>
      <c r="H58" s="10">
        <v>353251808</v>
      </c>
      <c r="I58" s="10">
        <v>368948608</v>
      </c>
      <c r="J58" s="10">
        <v>369124192</v>
      </c>
      <c r="K58" s="10">
        <v>367968800</v>
      </c>
      <c r="L58" s="10">
        <v>391820416</v>
      </c>
      <c r="M58" s="10">
        <v>331200000</v>
      </c>
      <c r="N58" s="10">
        <v>362800000</v>
      </c>
      <c r="O58" s="10">
        <v>372000000</v>
      </c>
      <c r="P58" s="10">
        <v>466800000</v>
      </c>
      <c r="Q58" s="10">
        <v>565400000</v>
      </c>
      <c r="R58" s="10">
        <v>681400000</v>
      </c>
      <c r="S58" s="10">
        <v>879000000</v>
      </c>
      <c r="T58" s="10">
        <v>947000000</v>
      </c>
      <c r="U58" s="10">
        <v>974200000</v>
      </c>
      <c r="V58" s="10">
        <v>1080600064</v>
      </c>
      <c r="W58" s="10">
        <v>1383800064</v>
      </c>
      <c r="X58" s="10">
        <v>1479399936</v>
      </c>
      <c r="Y58" s="10">
        <v>1474200064</v>
      </c>
      <c r="Z58" s="10">
        <v>1623600000</v>
      </c>
      <c r="AA58" s="10">
        <v>1816199936</v>
      </c>
      <c r="AB58" s="10">
        <v>2009400064</v>
      </c>
      <c r="AC58" s="10">
        <v>2318000128</v>
      </c>
      <c r="AD58" s="10">
        <v>2047200000</v>
      </c>
      <c r="AE58" s="10">
        <v>2613926912</v>
      </c>
      <c r="AF58" s="10">
        <v>2736243712</v>
      </c>
      <c r="AG58" s="10">
        <v>3096289792</v>
      </c>
      <c r="AH58" s="10">
        <v>3473540608</v>
      </c>
      <c r="AI58" s="10">
        <v>2257121792</v>
      </c>
      <c r="AJ58" s="10">
        <v>1878248704</v>
      </c>
      <c r="AK58" s="10">
        <v>2167564288</v>
      </c>
      <c r="AL58" s="10">
        <v>2813313280</v>
      </c>
      <c r="AM58" s="10">
        <v>2907514624</v>
      </c>
      <c r="AN58" s="10">
        <v>3338938880</v>
      </c>
      <c r="AO58" s="10">
        <v>3723909120</v>
      </c>
      <c r="AP58" s="10">
        <v>4153736448</v>
      </c>
      <c r="AQ58" s="10">
        <v>3953846272</v>
      </c>
      <c r="AR58" s="10">
        <v>3596442880</v>
      </c>
      <c r="AS58" s="10">
        <v>3472192000</v>
      </c>
      <c r="AT58" s="10">
        <v>2960306176</v>
      </c>
      <c r="AU58" s="10">
        <v>3537720320</v>
      </c>
      <c r="AV58" s="10">
        <v>4310358016</v>
      </c>
      <c r="AW58" s="10">
        <v>4756204032</v>
      </c>
      <c r="AX58" s="10">
        <v>5885325824</v>
      </c>
      <c r="AY58" s="10">
        <v>6548530688</v>
      </c>
      <c r="AZ58" s="10">
        <v>6584649216</v>
      </c>
      <c r="BA58" s="10">
        <v>6622541312</v>
      </c>
      <c r="BB58" s="10">
        <v>7516834304</v>
      </c>
      <c r="BC58" s="10">
        <v>7890647040</v>
      </c>
      <c r="BD58" s="10">
        <v>8485076992</v>
      </c>
      <c r="BE58" s="10">
        <v>8775444480</v>
      </c>
      <c r="BF58" s="10">
        <v>8724656128</v>
      </c>
      <c r="BG58" s="10">
        <v>7970649088</v>
      </c>
      <c r="BH58" s="10">
        <v>8409497600</v>
      </c>
      <c r="BI58" s="10">
        <v>9658721280</v>
      </c>
      <c r="BJ58" s="10">
        <v>8498981888</v>
      </c>
    </row>
    <row r="59" spans="1:62" x14ac:dyDescent="0.45">
      <c r="A59" t="s">
        <v>27</v>
      </c>
      <c r="B59" t="s">
        <v>130</v>
      </c>
      <c r="C59" s="10">
        <v>335649984</v>
      </c>
      <c r="D59" s="10">
        <v>356200000</v>
      </c>
      <c r="E59" s="10">
        <v>387750016</v>
      </c>
      <c r="F59" s="10">
        <v>410200000</v>
      </c>
      <c r="G59" s="10">
        <v>457000000</v>
      </c>
      <c r="H59" s="10">
        <v>508649984</v>
      </c>
      <c r="I59" s="10">
        <v>549950016</v>
      </c>
      <c r="J59" s="10">
        <v>598099968</v>
      </c>
      <c r="K59" s="10">
        <v>646800000</v>
      </c>
      <c r="L59" s="10">
        <v>668000064</v>
      </c>
      <c r="M59" s="10">
        <v>723000000</v>
      </c>
      <c r="N59" s="10">
        <v>731000000</v>
      </c>
      <c r="O59" s="10">
        <v>802999936</v>
      </c>
      <c r="P59" s="10">
        <v>912499968</v>
      </c>
      <c r="Q59" s="10">
        <v>1034499968</v>
      </c>
      <c r="R59" s="10">
        <v>1124000000</v>
      </c>
      <c r="S59" s="10">
        <v>1348000000</v>
      </c>
      <c r="T59" s="10">
        <v>1669499904</v>
      </c>
      <c r="U59" s="10">
        <v>3097242112</v>
      </c>
      <c r="V59" s="10">
        <v>3544281856</v>
      </c>
      <c r="W59" s="10">
        <v>3968160000</v>
      </c>
      <c r="X59" s="10">
        <v>4043894784</v>
      </c>
      <c r="Y59" s="10">
        <v>4266503424</v>
      </c>
      <c r="Z59" s="10">
        <v>4476697088</v>
      </c>
      <c r="AA59" s="10">
        <v>4915311616</v>
      </c>
      <c r="AB59" s="10">
        <v>5278120960</v>
      </c>
      <c r="AC59" s="10">
        <v>5677829120</v>
      </c>
      <c r="AD59" s="10">
        <v>6190521344</v>
      </c>
      <c r="AE59" s="10">
        <v>5902716928</v>
      </c>
      <c r="AF59" s="10">
        <v>5432345088</v>
      </c>
      <c r="AG59" s="10">
        <v>4923009536</v>
      </c>
      <c r="AH59" s="10">
        <v>4648668672</v>
      </c>
      <c r="AI59" s="10">
        <v>4943700480</v>
      </c>
      <c r="AJ59" s="10">
        <v>4926728704</v>
      </c>
      <c r="AK59" s="10">
        <v>4642280448</v>
      </c>
      <c r="AL59" s="10">
        <v>5347445248</v>
      </c>
      <c r="AM59" s="10">
        <v>5215028736</v>
      </c>
      <c r="AN59" s="10">
        <v>5737099776</v>
      </c>
      <c r="AO59" s="10">
        <v>6366340096</v>
      </c>
      <c r="AP59" s="10">
        <v>6414520320</v>
      </c>
      <c r="AQ59" s="10">
        <v>7103507968</v>
      </c>
      <c r="AR59" s="10">
        <v>7565870080</v>
      </c>
      <c r="AS59" s="10">
        <v>7775078400</v>
      </c>
      <c r="AT59" s="10">
        <v>8140271104</v>
      </c>
      <c r="AU59" s="10">
        <v>8772146176</v>
      </c>
      <c r="AV59" s="10">
        <v>9672035328</v>
      </c>
      <c r="AW59" s="10">
        <v>10841742336</v>
      </c>
      <c r="AX59" s="10">
        <v>12275502080</v>
      </c>
      <c r="AY59" s="10">
        <v>13789715456</v>
      </c>
      <c r="AZ59" s="10">
        <v>14587496448</v>
      </c>
      <c r="BA59" s="10">
        <v>15839344640</v>
      </c>
      <c r="BB59" s="10">
        <v>17710315520</v>
      </c>
      <c r="BC59" s="10">
        <v>18528602112</v>
      </c>
      <c r="BD59" s="10">
        <v>18499710976</v>
      </c>
      <c r="BE59" s="10">
        <v>19756494848</v>
      </c>
      <c r="BF59" s="10">
        <v>20979767296</v>
      </c>
      <c r="BG59" s="10">
        <v>21717622784</v>
      </c>
      <c r="BH59" s="10">
        <v>23136231424</v>
      </c>
      <c r="BI59" s="10">
        <v>24024188928</v>
      </c>
      <c r="BJ59" s="10">
        <v>25095395328</v>
      </c>
    </row>
    <row r="60" spans="1:62" x14ac:dyDescent="0.45">
      <c r="A60" t="s">
        <v>27</v>
      </c>
      <c r="B60" t="s">
        <v>131</v>
      </c>
      <c r="C60" s="10">
        <v>37029883904</v>
      </c>
      <c r="D60" s="10">
        <v>39232434176</v>
      </c>
      <c r="E60" s="10">
        <v>42161483776</v>
      </c>
      <c r="F60" s="10">
        <v>48421924864</v>
      </c>
      <c r="G60" s="10">
        <v>56480288768</v>
      </c>
      <c r="H60" s="10">
        <v>59554852864</v>
      </c>
      <c r="I60" s="10">
        <v>45865463808</v>
      </c>
      <c r="J60" s="10">
        <v>50134941696</v>
      </c>
      <c r="K60" s="10">
        <v>53085454336</v>
      </c>
      <c r="L60" s="10">
        <v>58447994880</v>
      </c>
      <c r="M60" s="10">
        <v>62422482944</v>
      </c>
      <c r="N60" s="10">
        <v>67350986752</v>
      </c>
      <c r="O60" s="10">
        <v>71463190528</v>
      </c>
      <c r="P60" s="10">
        <v>85515272192</v>
      </c>
      <c r="Q60" s="10">
        <v>99525902336</v>
      </c>
      <c r="R60" s="10">
        <v>98472796160</v>
      </c>
      <c r="S60" s="10">
        <v>102717161472</v>
      </c>
      <c r="T60" s="10">
        <v>121487319040</v>
      </c>
      <c r="U60" s="10">
        <v>137300295680</v>
      </c>
      <c r="V60" s="10">
        <v>152991645696</v>
      </c>
      <c r="W60" s="10">
        <v>186325352448</v>
      </c>
      <c r="X60" s="10">
        <v>193490616320</v>
      </c>
      <c r="Y60" s="10">
        <v>200715141120</v>
      </c>
      <c r="Z60" s="10">
        <v>218262274048</v>
      </c>
      <c r="AA60" s="10">
        <v>212158234624</v>
      </c>
      <c r="AB60" s="10">
        <v>232511881216</v>
      </c>
      <c r="AC60" s="10">
        <v>248985993216</v>
      </c>
      <c r="AD60" s="10">
        <v>279033577472</v>
      </c>
      <c r="AE60" s="10">
        <v>296589000704</v>
      </c>
      <c r="AF60" s="10">
        <v>296042364928</v>
      </c>
      <c r="AG60" s="10">
        <v>320979042304</v>
      </c>
      <c r="AH60" s="10">
        <v>270105346048</v>
      </c>
      <c r="AI60" s="10">
        <v>288208420864</v>
      </c>
      <c r="AJ60" s="10">
        <v>279296016384</v>
      </c>
      <c r="AK60" s="10">
        <v>327275577344</v>
      </c>
      <c r="AL60" s="10">
        <v>360281964544</v>
      </c>
      <c r="AM60" s="10">
        <v>392897069056</v>
      </c>
      <c r="AN60" s="10">
        <v>415867764736</v>
      </c>
      <c r="AO60" s="10">
        <v>421351489536</v>
      </c>
      <c r="AP60" s="10">
        <v>458820419584</v>
      </c>
      <c r="AQ60" s="10">
        <v>468394934272</v>
      </c>
      <c r="AR60" s="10">
        <v>485441011712</v>
      </c>
      <c r="AS60" s="10">
        <v>514937946112</v>
      </c>
      <c r="AT60" s="10">
        <v>607699271680</v>
      </c>
      <c r="AU60" s="10">
        <v>709148540928</v>
      </c>
      <c r="AV60" s="10">
        <v>820381614080</v>
      </c>
      <c r="AW60" s="10">
        <v>940259868672</v>
      </c>
      <c r="AX60" s="10">
        <v>1216735477760</v>
      </c>
      <c r="AY60" s="10">
        <v>1198895529984</v>
      </c>
      <c r="AZ60" s="10">
        <v>1341886562304</v>
      </c>
      <c r="BA60" s="10">
        <v>1675615272960</v>
      </c>
      <c r="BB60" s="10">
        <v>1823050432512</v>
      </c>
      <c r="BC60" s="10">
        <v>1827637821440</v>
      </c>
      <c r="BD60" s="10">
        <v>1856722173952</v>
      </c>
      <c r="BE60" s="10">
        <v>2039127474176</v>
      </c>
      <c r="BF60" s="10">
        <v>2103587766272</v>
      </c>
      <c r="BG60" s="10">
        <v>2294798090240</v>
      </c>
      <c r="BH60" s="10">
        <v>2652754673664</v>
      </c>
      <c r="BI60" s="10">
        <v>2713164972032</v>
      </c>
      <c r="BJ60" s="10">
        <v>2875142438912</v>
      </c>
    </row>
    <row r="61" spans="1:62" x14ac:dyDescent="0.45">
      <c r="A61" t="s">
        <v>27</v>
      </c>
      <c r="B61" t="s">
        <v>132</v>
      </c>
      <c r="C61" s="10">
        <v>791265472</v>
      </c>
      <c r="D61" s="10">
        <v>792959488</v>
      </c>
      <c r="E61" s="10">
        <v>868111424</v>
      </c>
      <c r="F61" s="10">
        <v>926589376</v>
      </c>
      <c r="G61" s="10">
        <v>998759360</v>
      </c>
      <c r="H61" s="10">
        <v>997919296</v>
      </c>
      <c r="I61" s="10">
        <v>1164519680</v>
      </c>
      <c r="J61" s="10">
        <v>1232559488</v>
      </c>
      <c r="K61" s="10">
        <v>1353295488</v>
      </c>
      <c r="L61" s="10">
        <v>1458379392</v>
      </c>
      <c r="M61" s="10">
        <v>1603447296</v>
      </c>
      <c r="N61" s="10">
        <v>1778391296</v>
      </c>
      <c r="O61" s="10">
        <v>2107279104</v>
      </c>
      <c r="P61" s="10">
        <v>2502142464</v>
      </c>
      <c r="Q61" s="10">
        <v>2973309184</v>
      </c>
      <c r="R61" s="10">
        <v>3259344896</v>
      </c>
      <c r="S61" s="10">
        <v>3474542336</v>
      </c>
      <c r="T61" s="10">
        <v>4494379008</v>
      </c>
      <c r="U61" s="10">
        <v>5303734784</v>
      </c>
      <c r="V61" s="10">
        <v>6234391040</v>
      </c>
      <c r="W61" s="10">
        <v>7265315328</v>
      </c>
      <c r="X61" s="10">
        <v>6854491648</v>
      </c>
      <c r="Y61" s="10">
        <v>6431579136</v>
      </c>
      <c r="Z61" s="10">
        <v>5979198464</v>
      </c>
      <c r="AA61" s="10">
        <v>6191437312</v>
      </c>
      <c r="AB61" s="10">
        <v>6135034368</v>
      </c>
      <c r="AC61" s="10">
        <v>7239126528</v>
      </c>
      <c r="AD61" s="10">
        <v>7970820608</v>
      </c>
      <c r="AE61" s="10">
        <v>8355380736</v>
      </c>
      <c r="AF61" s="10">
        <v>8283114496</v>
      </c>
      <c r="AG61" s="10">
        <v>8572359168</v>
      </c>
      <c r="AH61" s="10">
        <v>8151478784</v>
      </c>
      <c r="AI61" s="10">
        <v>8209128960</v>
      </c>
      <c r="AJ61" s="10">
        <v>5751790080</v>
      </c>
      <c r="AK61" s="10">
        <v>7148145152</v>
      </c>
      <c r="AL61" s="10">
        <v>9046326272</v>
      </c>
      <c r="AM61" s="10">
        <v>12045858816</v>
      </c>
      <c r="AN61" s="10">
        <v>13115773952</v>
      </c>
      <c r="AO61" s="10">
        <v>14093999104</v>
      </c>
      <c r="AP61" s="10">
        <v>12896013312</v>
      </c>
      <c r="AQ61" s="10">
        <v>12705356800</v>
      </c>
      <c r="AR61" s="10">
        <v>12986007552</v>
      </c>
      <c r="AS61" s="10">
        <v>13147744256</v>
      </c>
      <c r="AT61" s="10">
        <v>14904517632</v>
      </c>
      <c r="AU61" s="10">
        <v>16095337472</v>
      </c>
      <c r="AV61" s="10">
        <v>18737897472</v>
      </c>
      <c r="AW61" s="10">
        <v>25825525760</v>
      </c>
      <c r="AX61" s="10">
        <v>31958194176</v>
      </c>
      <c r="AY61" s="10">
        <v>35895152640</v>
      </c>
      <c r="AZ61" s="10">
        <v>37021511680</v>
      </c>
      <c r="BA61" s="10">
        <v>40000090112</v>
      </c>
      <c r="BB61" s="10">
        <v>41953431552</v>
      </c>
      <c r="BC61" s="10">
        <v>50412752896</v>
      </c>
      <c r="BD61" s="10">
        <v>55096729600</v>
      </c>
      <c r="BE61" s="10">
        <v>61448048640</v>
      </c>
      <c r="BF61" s="10">
        <v>64007749632</v>
      </c>
      <c r="BG61" s="10">
        <v>69188755456</v>
      </c>
      <c r="BH61" s="10">
        <v>78965006336</v>
      </c>
      <c r="BI61" s="10">
        <v>87778582528</v>
      </c>
      <c r="BJ61" s="10">
        <v>95503089664</v>
      </c>
    </row>
    <row r="62" spans="1:62" x14ac:dyDescent="0.45">
      <c r="A62" t="s">
        <v>27</v>
      </c>
      <c r="B62" t="s">
        <v>133</v>
      </c>
      <c r="C62" s="10">
        <v>34579308</v>
      </c>
      <c r="D62" s="10">
        <v>35699288</v>
      </c>
      <c r="E62" s="10">
        <v>41859164</v>
      </c>
      <c r="F62" s="10">
        <v>47039060</v>
      </c>
      <c r="G62" s="10">
        <v>51938960</v>
      </c>
      <c r="H62" s="10">
        <v>54878904</v>
      </c>
      <c r="I62" s="10">
        <v>56698864</v>
      </c>
      <c r="J62" s="10">
        <v>59260816</v>
      </c>
      <c r="K62" s="10">
        <v>61444772</v>
      </c>
      <c r="L62" s="10">
        <v>65966680</v>
      </c>
      <c r="M62" s="10">
        <v>68738624</v>
      </c>
      <c r="N62" s="10">
        <v>76482104</v>
      </c>
      <c r="O62" s="10">
        <v>80915832</v>
      </c>
      <c r="P62" s="10">
        <v>121181560</v>
      </c>
      <c r="Q62" s="10">
        <v>150846208</v>
      </c>
      <c r="R62" s="10">
        <v>149560512</v>
      </c>
      <c r="S62" s="10">
        <v>147654096</v>
      </c>
      <c r="T62" s="10">
        <v>193307264</v>
      </c>
      <c r="U62" s="10">
        <v>266559344</v>
      </c>
      <c r="V62" s="10">
        <v>290142528</v>
      </c>
      <c r="W62" s="10">
        <v>431561376</v>
      </c>
      <c r="X62" s="10">
        <v>434188032</v>
      </c>
      <c r="Y62" s="10">
        <v>348746816</v>
      </c>
      <c r="Z62" s="10">
        <v>386699296</v>
      </c>
      <c r="AA62" s="10">
        <v>333158464</v>
      </c>
      <c r="AB62" s="10">
        <v>268626912</v>
      </c>
      <c r="AC62" s="10">
        <v>318862880</v>
      </c>
      <c r="AD62" s="10">
        <v>402774848</v>
      </c>
      <c r="AE62" s="10">
        <v>470389184</v>
      </c>
      <c r="AF62" s="10">
        <v>495404896</v>
      </c>
      <c r="AG62" s="10">
        <v>596415104</v>
      </c>
      <c r="AH62" s="10">
        <v>704329216</v>
      </c>
      <c r="AI62" s="10">
        <v>831033920</v>
      </c>
      <c r="AJ62" s="10">
        <v>835592832</v>
      </c>
      <c r="AK62" s="10">
        <v>878250432</v>
      </c>
      <c r="AL62" s="10">
        <v>1001889856</v>
      </c>
      <c r="AM62" s="10">
        <v>946123264</v>
      </c>
      <c r="AN62" s="10">
        <v>997996032</v>
      </c>
      <c r="AO62" s="10">
        <v>928458176</v>
      </c>
      <c r="AP62" s="10">
        <v>912771264</v>
      </c>
      <c r="AQ62" s="10">
        <v>887295296</v>
      </c>
      <c r="AR62" s="10">
        <v>825706944</v>
      </c>
      <c r="AS62" s="10">
        <v>775780672</v>
      </c>
      <c r="AT62" s="10">
        <v>1157832960</v>
      </c>
      <c r="AU62" s="10">
        <v>1511236608</v>
      </c>
      <c r="AV62" s="10">
        <v>1682350976</v>
      </c>
      <c r="AW62" s="10">
        <v>1800105600</v>
      </c>
      <c r="AX62" s="10">
        <v>1716262784</v>
      </c>
      <c r="AY62" s="10">
        <v>1758535040</v>
      </c>
      <c r="AZ62" s="10">
        <v>1773199488</v>
      </c>
      <c r="BA62" s="10">
        <v>2269525760</v>
      </c>
      <c r="BB62" s="10">
        <v>2622336256</v>
      </c>
      <c r="BC62" s="10">
        <v>2526185216</v>
      </c>
      <c r="BD62" s="10">
        <v>2421469952</v>
      </c>
      <c r="BE62" s="10">
        <v>2499803904</v>
      </c>
      <c r="BF62" s="10">
        <v>2372280064</v>
      </c>
      <c r="BG62" s="10">
        <v>2165408256</v>
      </c>
      <c r="BH62" s="10">
        <v>2405289472</v>
      </c>
      <c r="BI62" s="10">
        <v>2575892224</v>
      </c>
      <c r="BJ62" s="10">
        <v>2460072448</v>
      </c>
    </row>
    <row r="63" spans="1:62" x14ac:dyDescent="0.45">
      <c r="A63" t="s">
        <v>27</v>
      </c>
      <c r="B63" t="s">
        <v>134</v>
      </c>
      <c r="C63" s="10">
        <v>673081728</v>
      </c>
      <c r="D63" s="10">
        <v>699161920</v>
      </c>
      <c r="E63" s="10">
        <v>739286912</v>
      </c>
      <c r="F63" s="10">
        <v>759345856</v>
      </c>
      <c r="G63" s="10">
        <v>802482176</v>
      </c>
      <c r="H63" s="10">
        <v>833563456</v>
      </c>
      <c r="I63" s="10">
        <v>900264576</v>
      </c>
      <c r="J63" s="10">
        <v>956436928</v>
      </c>
      <c r="K63" s="10">
        <v>1031669632</v>
      </c>
      <c r="L63" s="10">
        <v>1056391040</v>
      </c>
      <c r="M63" s="10">
        <v>1111859584</v>
      </c>
      <c r="N63" s="10">
        <v>1199507584</v>
      </c>
      <c r="O63" s="10">
        <v>1341590656</v>
      </c>
      <c r="P63" s="10">
        <v>1653062400</v>
      </c>
      <c r="Q63" s="10">
        <v>1917508224</v>
      </c>
      <c r="R63" s="10">
        <v>2283049216</v>
      </c>
      <c r="S63" s="10">
        <v>2181844224</v>
      </c>
      <c r="T63" s="10">
        <v>2358930432</v>
      </c>
      <c r="U63" s="10">
        <v>2669755136</v>
      </c>
      <c r="V63" s="10">
        <v>3463565824</v>
      </c>
      <c r="W63" s="10">
        <v>5201818112</v>
      </c>
      <c r="X63" s="10">
        <v>4759333888</v>
      </c>
      <c r="Y63" s="10">
        <v>4784977408</v>
      </c>
      <c r="Z63" s="10">
        <v>4686456832</v>
      </c>
      <c r="AA63" s="10">
        <v>3905938432</v>
      </c>
      <c r="AB63" s="10">
        <v>3802557952</v>
      </c>
      <c r="AC63" s="10">
        <v>4347990016</v>
      </c>
      <c r="AD63" s="10">
        <v>3212900608</v>
      </c>
      <c r="AE63" s="10">
        <v>3189456896</v>
      </c>
      <c r="AF63" s="10">
        <v>3175638272</v>
      </c>
      <c r="AG63" s="10">
        <v>3931334912</v>
      </c>
      <c r="AH63" s="10">
        <v>3254713088</v>
      </c>
      <c r="AI63" s="10">
        <v>3714967040</v>
      </c>
      <c r="AJ63" s="10">
        <v>4063298816</v>
      </c>
      <c r="AK63" s="10">
        <v>3522226944</v>
      </c>
      <c r="AL63" s="10">
        <v>3838100992</v>
      </c>
      <c r="AM63" s="10">
        <v>4931860992</v>
      </c>
      <c r="AN63" s="10">
        <v>4262965248</v>
      </c>
      <c r="AO63" s="10">
        <v>4401967616</v>
      </c>
      <c r="AP63" s="10">
        <v>4277903872</v>
      </c>
      <c r="AQ63" s="10">
        <v>4629246976</v>
      </c>
      <c r="AR63" s="10">
        <v>5438332928</v>
      </c>
      <c r="AS63" s="10">
        <v>5351701504</v>
      </c>
      <c r="AT63" s="10">
        <v>6372498944</v>
      </c>
      <c r="AU63" s="10">
        <v>5064732672</v>
      </c>
      <c r="AV63" s="10">
        <v>5859269632</v>
      </c>
      <c r="AW63" s="10">
        <v>6395712512</v>
      </c>
      <c r="AX63" s="10">
        <v>8524620800</v>
      </c>
      <c r="AY63" s="10">
        <v>10725137408</v>
      </c>
      <c r="AZ63" s="10">
        <v>9616879616</v>
      </c>
      <c r="BA63" s="10">
        <v>9982710784</v>
      </c>
      <c r="BB63" s="10">
        <v>11551820800</v>
      </c>
      <c r="BC63" s="10">
        <v>11578978304</v>
      </c>
      <c r="BD63" s="10">
        <v>12423558144</v>
      </c>
      <c r="BE63" s="10">
        <v>12522958848</v>
      </c>
      <c r="BF63" s="10">
        <v>11323023360</v>
      </c>
      <c r="BG63" s="10">
        <v>11848614912</v>
      </c>
      <c r="BH63" s="10">
        <v>13176312832</v>
      </c>
      <c r="BI63" s="10">
        <v>13853433856</v>
      </c>
      <c r="BJ63" s="10">
        <v>14083906560</v>
      </c>
    </row>
    <row r="64" spans="1:62" x14ac:dyDescent="0.45">
      <c r="A64" t="s">
        <v>27</v>
      </c>
      <c r="B64" t="s">
        <v>135</v>
      </c>
      <c r="C64" s="10">
        <v>162956736</v>
      </c>
      <c r="D64" s="10">
        <v>174576512</v>
      </c>
      <c r="E64" s="10">
        <v>183116336</v>
      </c>
      <c r="F64" s="10">
        <v>190816176</v>
      </c>
      <c r="G64" s="10">
        <v>194736112</v>
      </c>
      <c r="H64" s="10">
        <v>229455408</v>
      </c>
      <c r="I64" s="10">
        <v>260394800</v>
      </c>
      <c r="J64" s="10">
        <v>269814976</v>
      </c>
      <c r="K64" s="10">
        <v>245169808</v>
      </c>
      <c r="L64" s="10">
        <v>265810640</v>
      </c>
      <c r="M64" s="10">
        <v>290531616</v>
      </c>
      <c r="N64" s="10">
        <v>365386944</v>
      </c>
      <c r="O64" s="10">
        <v>406062880</v>
      </c>
      <c r="P64" s="10">
        <v>444281696</v>
      </c>
      <c r="Q64" s="10">
        <v>548620992</v>
      </c>
      <c r="R64" s="10">
        <v>613220672</v>
      </c>
      <c r="S64" s="10">
        <v>670317632</v>
      </c>
      <c r="T64" s="10">
        <v>806290816</v>
      </c>
      <c r="U64" s="10">
        <v>949034048</v>
      </c>
      <c r="V64" s="10">
        <v>1058269056</v>
      </c>
      <c r="W64" s="10">
        <v>1237655424</v>
      </c>
      <c r="X64" s="10">
        <v>1237685632</v>
      </c>
      <c r="Y64" s="10">
        <v>1180104192</v>
      </c>
      <c r="Z64" s="10">
        <v>1223186816</v>
      </c>
      <c r="AA64" s="10">
        <v>1208008960</v>
      </c>
      <c r="AB64" s="10">
        <v>1131347840</v>
      </c>
      <c r="AC64" s="10">
        <v>1183654784</v>
      </c>
      <c r="AD64" s="10">
        <v>1183094144</v>
      </c>
      <c r="AE64" s="10">
        <v>1379924224</v>
      </c>
      <c r="AF64" s="10">
        <v>1590215552</v>
      </c>
      <c r="AG64" s="10">
        <v>1880771584</v>
      </c>
      <c r="AH64" s="10">
        <v>2203545856</v>
      </c>
      <c r="AI64" s="10">
        <v>1799517056</v>
      </c>
      <c r="AJ64" s="10">
        <v>2070636928</v>
      </c>
      <c r="AK64" s="10">
        <v>1181802624</v>
      </c>
      <c r="AL64" s="10">
        <v>1397457920</v>
      </c>
      <c r="AM64" s="10">
        <v>2281034240</v>
      </c>
      <c r="AN64" s="10">
        <v>2663234816</v>
      </c>
      <c r="AO64" s="10">
        <v>1750584320</v>
      </c>
      <c r="AP64" s="10">
        <v>1775921664</v>
      </c>
      <c r="AQ64" s="10">
        <v>1743506560</v>
      </c>
      <c r="AR64" s="10">
        <v>1716502912</v>
      </c>
      <c r="AS64" s="10">
        <v>3495748352</v>
      </c>
      <c r="AT64" s="10">
        <v>3208837120</v>
      </c>
      <c r="AU64" s="10">
        <v>3476094464</v>
      </c>
      <c r="AV64" s="10">
        <v>3655909632</v>
      </c>
      <c r="AW64" s="10">
        <v>3998020096</v>
      </c>
      <c r="AX64" s="10">
        <v>4432936960</v>
      </c>
      <c r="AY64" s="10">
        <v>5321012224</v>
      </c>
      <c r="AZ64" s="10">
        <v>6191127552</v>
      </c>
      <c r="BA64" s="10">
        <v>6959655424</v>
      </c>
      <c r="BB64" s="10">
        <v>8004000768</v>
      </c>
      <c r="BC64" s="10">
        <v>6028487680</v>
      </c>
      <c r="BD64" s="10">
        <v>5518880768</v>
      </c>
      <c r="BE64" s="10">
        <v>6047813632</v>
      </c>
      <c r="BF64" s="10">
        <v>6373212672</v>
      </c>
      <c r="BG64" s="10">
        <v>5433040384</v>
      </c>
      <c r="BH64" s="10">
        <v>6303292416</v>
      </c>
      <c r="BI64" s="10">
        <v>6917301760</v>
      </c>
      <c r="BJ64" s="10">
        <v>7666704384</v>
      </c>
    </row>
    <row r="65" spans="1:62" x14ac:dyDescent="0.45">
      <c r="A65" t="s">
        <v>27</v>
      </c>
      <c r="B65" t="s">
        <v>136</v>
      </c>
      <c r="C65" s="10">
        <v>1916242048</v>
      </c>
      <c r="D65" s="10">
        <v>1901868544</v>
      </c>
      <c r="E65" s="10">
        <v>2001502720</v>
      </c>
      <c r="F65" s="10">
        <v>2510126848</v>
      </c>
      <c r="G65" s="10">
        <v>2674441472</v>
      </c>
      <c r="H65" s="10">
        <v>2956356864</v>
      </c>
      <c r="I65" s="10">
        <v>3143538432</v>
      </c>
      <c r="J65" s="10">
        <v>3188945408</v>
      </c>
      <c r="K65" s="10">
        <v>3330393344</v>
      </c>
      <c r="L65" s="10">
        <v>3664576000</v>
      </c>
      <c r="M65" s="10">
        <v>3864171008</v>
      </c>
      <c r="N65" s="10">
        <v>4244340224</v>
      </c>
      <c r="O65" s="10">
        <v>5043268608</v>
      </c>
      <c r="P65" s="10">
        <v>7662996992</v>
      </c>
      <c r="Q65" s="10">
        <v>9496074240</v>
      </c>
      <c r="R65" s="10">
        <v>9298800640</v>
      </c>
      <c r="S65" s="10">
        <v>11050126336</v>
      </c>
      <c r="T65" s="10">
        <v>13139397632</v>
      </c>
      <c r="U65" s="10">
        <v>16358376448</v>
      </c>
      <c r="V65" s="10">
        <v>21213671424</v>
      </c>
      <c r="W65" s="10">
        <v>24488034304</v>
      </c>
      <c r="X65" s="10">
        <v>25004556288</v>
      </c>
      <c r="Y65" s="10">
        <v>26804402176</v>
      </c>
      <c r="Z65" s="10">
        <v>30346788864</v>
      </c>
      <c r="AA65" s="10">
        <v>33943504896</v>
      </c>
      <c r="AB65" s="10">
        <v>31200161792</v>
      </c>
      <c r="AC65" s="10">
        <v>27734562816</v>
      </c>
      <c r="AD65" s="10">
        <v>32181696512</v>
      </c>
      <c r="AE65" s="10">
        <v>35271880704</v>
      </c>
      <c r="AF65" s="10">
        <v>38848569344</v>
      </c>
      <c r="AG65" s="10">
        <v>44024176640</v>
      </c>
      <c r="AH65" s="10">
        <v>49143148544</v>
      </c>
      <c r="AI65" s="10">
        <v>59167551488</v>
      </c>
      <c r="AJ65" s="10">
        <v>66894835712</v>
      </c>
      <c r="AK65" s="10">
        <v>74478354432</v>
      </c>
      <c r="AL65" s="10">
        <v>88705343488</v>
      </c>
      <c r="AM65" s="10">
        <v>100855390208</v>
      </c>
      <c r="AN65" s="10">
        <v>100005322752</v>
      </c>
      <c r="AO65" s="10">
        <v>72167497728</v>
      </c>
      <c r="AP65" s="10">
        <v>79148417024</v>
      </c>
      <c r="AQ65" s="10">
        <v>93789732864</v>
      </c>
      <c r="AR65" s="10">
        <v>92783943680</v>
      </c>
      <c r="AS65" s="10">
        <v>100845527040</v>
      </c>
      <c r="AT65" s="10">
        <v>110202372096</v>
      </c>
      <c r="AU65" s="10">
        <v>124749471744</v>
      </c>
      <c r="AV65" s="10">
        <v>143534096384</v>
      </c>
      <c r="AW65" s="10">
        <v>162691235840</v>
      </c>
      <c r="AX65" s="10">
        <v>193547829248</v>
      </c>
      <c r="AY65" s="10">
        <v>230813892608</v>
      </c>
      <c r="AZ65" s="10">
        <v>202257629184</v>
      </c>
      <c r="BA65" s="10">
        <v>255016615936</v>
      </c>
      <c r="BB65" s="10">
        <v>297951952896</v>
      </c>
      <c r="BC65" s="10">
        <v>314443137024</v>
      </c>
      <c r="BD65" s="10">
        <v>323277160448</v>
      </c>
      <c r="BE65" s="10">
        <v>338061950976</v>
      </c>
      <c r="BF65" s="10">
        <v>301354745856</v>
      </c>
      <c r="BG65" s="10">
        <v>301255458816</v>
      </c>
      <c r="BH65" s="10">
        <v>318958239744</v>
      </c>
      <c r="BI65" s="10">
        <v>358581927936</v>
      </c>
      <c r="BJ65" s="10">
        <v>364701515776</v>
      </c>
    </row>
    <row r="66" spans="1:62" x14ac:dyDescent="0.45">
      <c r="A66" t="s">
        <v>27</v>
      </c>
      <c r="B66" t="s">
        <v>137</v>
      </c>
      <c r="C66" s="10">
        <v>13040000000</v>
      </c>
      <c r="D66" s="10">
        <v>14160000000</v>
      </c>
      <c r="E66" s="10">
        <v>15200000000</v>
      </c>
      <c r="F66" s="10">
        <v>16960000000</v>
      </c>
      <c r="G66" s="10">
        <v>20080001024</v>
      </c>
      <c r="H66" s="10">
        <v>21839998976</v>
      </c>
      <c r="I66" s="10">
        <v>24320000000</v>
      </c>
      <c r="J66" s="10">
        <v>26560000000</v>
      </c>
      <c r="K66" s="10">
        <v>29360001024</v>
      </c>
      <c r="L66" s="10">
        <v>32480000000</v>
      </c>
      <c r="M66" s="10">
        <v>35520000000</v>
      </c>
      <c r="N66" s="10">
        <v>39199997952</v>
      </c>
      <c r="O66" s="10">
        <v>45199998976</v>
      </c>
      <c r="P66" s="10">
        <v>55280001024</v>
      </c>
      <c r="Q66" s="10">
        <v>71999995904</v>
      </c>
      <c r="R66" s="10">
        <v>88000004096</v>
      </c>
      <c r="S66" s="10">
        <v>89025970176</v>
      </c>
      <c r="T66" s="10">
        <v>81814159360</v>
      </c>
      <c r="U66" s="10">
        <v>102499999744</v>
      </c>
      <c r="V66" s="10">
        <v>134561406976</v>
      </c>
      <c r="W66" s="10">
        <v>205139083264</v>
      </c>
      <c r="X66" s="10">
        <v>263959330816</v>
      </c>
      <c r="Y66" s="10">
        <v>184609161216</v>
      </c>
      <c r="Z66" s="10">
        <v>156159197184</v>
      </c>
      <c r="AA66" s="10">
        <v>184261492736</v>
      </c>
      <c r="AB66" s="10">
        <v>195219783680</v>
      </c>
      <c r="AC66" s="10">
        <v>134550093824</v>
      </c>
      <c r="AD66" s="10">
        <v>147540738048</v>
      </c>
      <c r="AE66" s="10">
        <v>181611544576</v>
      </c>
      <c r="AF66" s="10">
        <v>221400662016</v>
      </c>
      <c r="AG66" s="10">
        <v>261253578752</v>
      </c>
      <c r="AH66" s="10">
        <v>313142771712</v>
      </c>
      <c r="AI66" s="10">
        <v>363157585920</v>
      </c>
      <c r="AJ66" s="10">
        <v>500736065536</v>
      </c>
      <c r="AK66" s="10">
        <v>527813246976</v>
      </c>
      <c r="AL66" s="10">
        <v>360073920512</v>
      </c>
      <c r="AM66" s="10">
        <v>410975600640</v>
      </c>
      <c r="AN66" s="10">
        <v>500413497344</v>
      </c>
      <c r="AO66" s="10">
        <v>526502133760</v>
      </c>
      <c r="AP66" s="10">
        <v>600232886272</v>
      </c>
      <c r="AQ66" s="10">
        <v>707906764800</v>
      </c>
      <c r="AR66" s="10">
        <v>756706312192</v>
      </c>
      <c r="AS66" s="10">
        <v>772106354688</v>
      </c>
      <c r="AT66" s="10">
        <v>729336315904</v>
      </c>
      <c r="AU66" s="10">
        <v>782240579584</v>
      </c>
      <c r="AV66" s="10">
        <v>877476249600</v>
      </c>
      <c r="AW66" s="10">
        <v>975387099136</v>
      </c>
      <c r="AX66" s="10">
        <v>1052696313856</v>
      </c>
      <c r="AY66" s="10">
        <v>1109988999168</v>
      </c>
      <c r="AZ66" s="10">
        <v>900045340672</v>
      </c>
      <c r="BA66" s="10">
        <v>1057801306112</v>
      </c>
      <c r="BB66" s="10">
        <v>1180489613312</v>
      </c>
      <c r="BC66" s="10">
        <v>1201089937408</v>
      </c>
      <c r="BD66" s="10">
        <v>1274443071488</v>
      </c>
      <c r="BE66" s="10">
        <v>1314563948544</v>
      </c>
      <c r="BF66" s="10">
        <v>1170564579328</v>
      </c>
      <c r="BG66" s="10">
        <v>1077903622144</v>
      </c>
      <c r="BH66" s="10">
        <v>1157736169472</v>
      </c>
      <c r="BI66" s="10">
        <v>1220699488256</v>
      </c>
      <c r="BJ66" s="10">
        <v>1258286743552</v>
      </c>
    </row>
    <row r="67" spans="1:62" x14ac:dyDescent="0.45">
      <c r="A67" t="s">
        <v>27</v>
      </c>
      <c r="B67" t="s">
        <v>138</v>
      </c>
      <c r="C67" s="10">
        <v>508334400</v>
      </c>
      <c r="D67" s="10">
        <v>531959552</v>
      </c>
      <c r="E67" s="10">
        <v>574091072</v>
      </c>
      <c r="F67" s="10">
        <v>496947904</v>
      </c>
      <c r="G67" s="10">
        <v>496098784</v>
      </c>
      <c r="H67" s="10">
        <v>735267072</v>
      </c>
      <c r="I67" s="10">
        <v>906811968</v>
      </c>
      <c r="J67" s="10">
        <v>841974016</v>
      </c>
      <c r="K67" s="10">
        <v>772228672</v>
      </c>
      <c r="L67" s="10">
        <v>788641984</v>
      </c>
      <c r="M67" s="10">
        <v>865975296</v>
      </c>
      <c r="N67" s="10">
        <v>882765440</v>
      </c>
      <c r="O67" s="10">
        <v>1024098816</v>
      </c>
      <c r="P67" s="10">
        <v>972101696</v>
      </c>
      <c r="Q67" s="10">
        <v>1217953536</v>
      </c>
      <c r="R67" s="10">
        <v>1575789312</v>
      </c>
      <c r="S67" s="10">
        <v>1452792960</v>
      </c>
      <c r="T67" s="10">
        <v>1382400000</v>
      </c>
      <c r="U67" s="10">
        <v>1604162560</v>
      </c>
      <c r="V67" s="10">
        <v>1851250048</v>
      </c>
      <c r="W67" s="10">
        <v>1945916544</v>
      </c>
      <c r="X67" s="10">
        <v>2275583232</v>
      </c>
      <c r="Y67" s="10">
        <v>2395429888</v>
      </c>
      <c r="Z67" s="10">
        <v>2447174912</v>
      </c>
      <c r="AA67" s="10">
        <v>2581207296</v>
      </c>
      <c r="AB67" s="10">
        <v>2619913984</v>
      </c>
      <c r="AC67" s="10">
        <v>2850784512</v>
      </c>
      <c r="AD67" s="10">
        <v>2957255424</v>
      </c>
      <c r="AE67" s="10">
        <v>3487009792</v>
      </c>
      <c r="AF67" s="10">
        <v>3525228032</v>
      </c>
      <c r="AG67" s="10">
        <v>3627562496</v>
      </c>
      <c r="AH67" s="10">
        <v>3921476096</v>
      </c>
      <c r="AI67" s="10">
        <v>3401211648</v>
      </c>
      <c r="AJ67" s="10">
        <v>3660041728</v>
      </c>
      <c r="AK67" s="10">
        <v>4066775552</v>
      </c>
      <c r="AL67" s="10">
        <v>4401104384</v>
      </c>
      <c r="AM67" s="10">
        <v>4521580544</v>
      </c>
      <c r="AN67" s="10">
        <v>4918691840</v>
      </c>
      <c r="AO67" s="10">
        <v>4856254976</v>
      </c>
      <c r="AP67" s="10">
        <v>5033642496</v>
      </c>
      <c r="AQ67" s="10">
        <v>5494252032</v>
      </c>
      <c r="AR67" s="10">
        <v>6007054848</v>
      </c>
      <c r="AS67" s="10">
        <v>6050875904</v>
      </c>
      <c r="AT67" s="10">
        <v>6330472960</v>
      </c>
      <c r="AU67" s="10">
        <v>7273938432</v>
      </c>
      <c r="AV67" s="10">
        <v>8130257920</v>
      </c>
      <c r="AW67" s="10">
        <v>9043715072</v>
      </c>
      <c r="AX67" s="10">
        <v>10325617664</v>
      </c>
      <c r="AY67" s="10">
        <v>12545438720</v>
      </c>
      <c r="AZ67" s="10">
        <v>12854985728</v>
      </c>
      <c r="BA67" s="10">
        <v>16002656256</v>
      </c>
      <c r="BB67" s="10">
        <v>18913574912</v>
      </c>
      <c r="BC67" s="10">
        <v>18851514368</v>
      </c>
      <c r="BD67" s="10">
        <v>19271168000</v>
      </c>
      <c r="BE67" s="10">
        <v>20002969600</v>
      </c>
      <c r="BF67" s="10">
        <v>21410840576</v>
      </c>
      <c r="BG67" s="10">
        <v>21185923072</v>
      </c>
      <c r="BH67" s="10">
        <v>25180583936</v>
      </c>
      <c r="BI67" s="10">
        <v>29173514240</v>
      </c>
      <c r="BJ67" s="10">
        <v>30641381376</v>
      </c>
    </row>
    <row r="68" spans="1:62" x14ac:dyDescent="0.45">
      <c r="A68" t="s">
        <v>27</v>
      </c>
      <c r="B68" t="s">
        <v>139</v>
      </c>
      <c r="C68" s="10">
        <v>223854672</v>
      </c>
      <c r="D68" s="10">
        <v>240524720</v>
      </c>
      <c r="E68" s="10">
        <v>265291584</v>
      </c>
      <c r="F68" s="10">
        <v>292916256</v>
      </c>
      <c r="G68" s="10">
        <v>341973760</v>
      </c>
      <c r="H68" s="10">
        <v>566542848</v>
      </c>
      <c r="I68" s="10">
        <v>606671424</v>
      </c>
      <c r="J68" s="10">
        <v>657171456</v>
      </c>
      <c r="K68" s="10">
        <v>695899968</v>
      </c>
      <c r="L68" s="10">
        <v>747971456</v>
      </c>
      <c r="M68" s="10">
        <v>776585664</v>
      </c>
      <c r="N68" s="10">
        <v>826571392</v>
      </c>
      <c r="O68" s="10">
        <v>880842880</v>
      </c>
      <c r="P68" s="10">
        <v>1093571456</v>
      </c>
      <c r="Q68" s="10">
        <v>1520900096</v>
      </c>
      <c r="R68" s="10">
        <v>1590428544</v>
      </c>
      <c r="S68" s="10">
        <v>1847871360</v>
      </c>
      <c r="T68" s="10">
        <v>2239857152</v>
      </c>
      <c r="U68" s="10">
        <v>2142128640</v>
      </c>
      <c r="V68" s="10">
        <v>1527852672</v>
      </c>
      <c r="W68" s="10">
        <v>2189347328</v>
      </c>
      <c r="X68" s="10">
        <v>2448290048</v>
      </c>
      <c r="Y68" s="10">
        <v>2465165056</v>
      </c>
      <c r="Z68" s="10">
        <v>2743341824</v>
      </c>
      <c r="AA68" s="10">
        <v>3105517056</v>
      </c>
      <c r="AB68" s="10">
        <v>2683816192</v>
      </c>
      <c r="AC68" s="10">
        <v>2885710592</v>
      </c>
      <c r="AD68" s="10">
        <v>3851213824</v>
      </c>
      <c r="AE68" s="10">
        <v>2630904320</v>
      </c>
      <c r="AF68" s="10">
        <v>1013184768</v>
      </c>
      <c r="AG68" s="10">
        <v>1009455488</v>
      </c>
      <c r="AH68" s="10">
        <v>1488804096</v>
      </c>
      <c r="AI68" s="10">
        <v>1792800000</v>
      </c>
      <c r="AJ68" s="10">
        <v>1756454272</v>
      </c>
      <c r="AK68" s="10">
        <v>3863185152</v>
      </c>
      <c r="AL68" s="10">
        <v>4140470016</v>
      </c>
      <c r="AM68" s="10">
        <v>4308352000</v>
      </c>
      <c r="AN68" s="10">
        <v>4389965824</v>
      </c>
      <c r="AO68" s="10">
        <v>4635267072</v>
      </c>
      <c r="AP68" s="10">
        <v>4855717888</v>
      </c>
      <c r="AQ68" s="10">
        <v>5107329024</v>
      </c>
      <c r="AR68" s="10">
        <v>5323146752</v>
      </c>
      <c r="AS68" s="10">
        <v>5224212992</v>
      </c>
      <c r="AT68" s="10">
        <v>5322455040</v>
      </c>
      <c r="AU68" s="10">
        <v>5795568128</v>
      </c>
      <c r="AV68" s="10">
        <v>6321335808</v>
      </c>
      <c r="AW68" s="10">
        <v>6763418624</v>
      </c>
      <c r="AX68" s="10">
        <v>7423367680</v>
      </c>
      <c r="AY68" s="10">
        <v>8496946688</v>
      </c>
      <c r="AZ68" s="10">
        <v>8298679808</v>
      </c>
      <c r="BA68" s="10">
        <v>8758638592</v>
      </c>
      <c r="BB68" s="10">
        <v>9774262272</v>
      </c>
      <c r="BC68" s="10">
        <v>10531963904</v>
      </c>
      <c r="BD68" s="10">
        <v>10982979584</v>
      </c>
      <c r="BE68" s="10">
        <v>11880472576</v>
      </c>
      <c r="BF68" s="10">
        <v>12756706304</v>
      </c>
      <c r="BG68" s="10">
        <v>13286048768</v>
      </c>
      <c r="BH68" s="10">
        <v>13785943040</v>
      </c>
      <c r="BI68" s="10">
        <v>13063873536</v>
      </c>
      <c r="BJ68" s="10">
        <v>12520914944</v>
      </c>
    </row>
    <row r="69" spans="1:62" x14ac:dyDescent="0.45">
      <c r="A69" t="s">
        <v>27</v>
      </c>
      <c r="B69" t="s">
        <v>140</v>
      </c>
      <c r="C69" s="10">
        <v>449526880</v>
      </c>
      <c r="D69" s="10">
        <v>485785248</v>
      </c>
      <c r="E69" s="10">
        <v>531736480</v>
      </c>
      <c r="F69" s="10">
        <v>586294784</v>
      </c>
      <c r="G69" s="10">
        <v>582816384</v>
      </c>
      <c r="H69" s="10">
        <v>673383616</v>
      </c>
      <c r="I69" s="10">
        <v>702296192</v>
      </c>
      <c r="J69" s="10">
        <v>665586944</v>
      </c>
      <c r="K69" s="10">
        <v>641214208</v>
      </c>
      <c r="L69" s="10">
        <v>625867904</v>
      </c>
      <c r="M69" s="10">
        <v>649916736</v>
      </c>
      <c r="N69" s="10">
        <v>693573568</v>
      </c>
      <c r="O69" s="10">
        <v>742779712</v>
      </c>
      <c r="P69" s="10">
        <v>946385024</v>
      </c>
      <c r="Q69" s="10">
        <v>1026136960</v>
      </c>
      <c r="R69" s="10">
        <v>1048690944</v>
      </c>
      <c r="S69" s="10">
        <v>1064517568</v>
      </c>
      <c r="T69" s="10">
        <v>1291457920</v>
      </c>
      <c r="U69" s="10">
        <v>1774365312</v>
      </c>
      <c r="V69" s="10">
        <v>2109278080</v>
      </c>
      <c r="W69" s="10">
        <v>2508524288</v>
      </c>
      <c r="X69" s="10">
        <v>2170893056</v>
      </c>
      <c r="Y69" s="10">
        <v>2017611904</v>
      </c>
      <c r="Z69" s="10">
        <v>1803099776</v>
      </c>
      <c r="AA69" s="10">
        <v>1461243264</v>
      </c>
      <c r="AB69" s="10">
        <v>1440581504</v>
      </c>
      <c r="AC69" s="10">
        <v>1904097024</v>
      </c>
      <c r="AD69" s="10">
        <v>2233005824</v>
      </c>
      <c r="AE69" s="10">
        <v>2280356352</v>
      </c>
      <c r="AF69" s="10">
        <v>2179567104</v>
      </c>
      <c r="AG69" s="10">
        <v>3536335104</v>
      </c>
      <c r="AH69" s="10">
        <v>3309124352</v>
      </c>
      <c r="AI69" s="10">
        <v>3411197184</v>
      </c>
      <c r="AJ69" s="10">
        <v>2225270528</v>
      </c>
      <c r="AK69" s="10">
        <v>1947256704</v>
      </c>
      <c r="AL69" s="10">
        <v>2313555968</v>
      </c>
      <c r="AM69" s="10">
        <v>2417146624</v>
      </c>
      <c r="AN69" s="10">
        <v>2297228032</v>
      </c>
      <c r="AO69" s="10">
        <v>2625049600</v>
      </c>
      <c r="AP69" s="10">
        <v>2520868608</v>
      </c>
      <c r="AQ69" s="10">
        <v>2238259712</v>
      </c>
      <c r="AR69" s="10">
        <v>2445079040</v>
      </c>
      <c r="AS69" s="10">
        <v>2768787456</v>
      </c>
      <c r="AT69" s="10">
        <v>3387804160</v>
      </c>
      <c r="AU69" s="10">
        <v>3742134272</v>
      </c>
      <c r="AV69" s="10">
        <v>4374678016</v>
      </c>
      <c r="AW69" s="10">
        <v>4743059456</v>
      </c>
      <c r="AX69" s="10">
        <v>5694716928</v>
      </c>
      <c r="AY69" s="10">
        <v>7220003840</v>
      </c>
      <c r="AZ69" s="10">
        <v>7278718464</v>
      </c>
      <c r="BA69" s="10">
        <v>7792420864</v>
      </c>
      <c r="BB69" s="10">
        <v>8701085696</v>
      </c>
      <c r="BC69" s="10">
        <v>9366515712</v>
      </c>
      <c r="BD69" s="10">
        <v>10156855296</v>
      </c>
      <c r="BE69" s="10">
        <v>10815312896</v>
      </c>
      <c r="BF69" s="10">
        <v>9667589120</v>
      </c>
      <c r="BG69" s="10">
        <v>10284626944</v>
      </c>
      <c r="BH69" s="10">
        <v>11166063616</v>
      </c>
      <c r="BI69" s="10">
        <v>12826750976</v>
      </c>
      <c r="BJ69" s="10">
        <v>12928145408</v>
      </c>
    </row>
    <row r="70" spans="1:62" x14ac:dyDescent="0.45">
      <c r="A70" t="s">
        <v>27</v>
      </c>
      <c r="B70" t="s">
        <v>141</v>
      </c>
      <c r="C70" s="10">
        <v>4196092160</v>
      </c>
      <c r="D70" s="10">
        <v>4467200512</v>
      </c>
      <c r="E70" s="10">
        <v>4909302784</v>
      </c>
      <c r="F70" s="10">
        <v>5165489152</v>
      </c>
      <c r="G70" s="10">
        <v>5552822272</v>
      </c>
      <c r="H70" s="10">
        <v>5874422272</v>
      </c>
      <c r="I70" s="10">
        <v>6366792704</v>
      </c>
      <c r="J70" s="10">
        <v>5203136000</v>
      </c>
      <c r="K70" s="10">
        <v>5200896000</v>
      </c>
      <c r="L70" s="10">
        <v>6634187264</v>
      </c>
      <c r="M70" s="10">
        <v>12545849344</v>
      </c>
      <c r="N70" s="10">
        <v>9181769728</v>
      </c>
      <c r="O70" s="10">
        <v>12274415616</v>
      </c>
      <c r="P70" s="10">
        <v>15162870784</v>
      </c>
      <c r="Q70" s="10">
        <v>24846641152</v>
      </c>
      <c r="R70" s="10">
        <v>27778934784</v>
      </c>
      <c r="S70" s="10">
        <v>36308881408</v>
      </c>
      <c r="T70" s="10">
        <v>36035407872</v>
      </c>
      <c r="U70" s="10">
        <v>36527861760</v>
      </c>
      <c r="V70" s="10">
        <v>47259910144</v>
      </c>
      <c r="W70" s="10">
        <v>64201789440</v>
      </c>
      <c r="X70" s="10">
        <v>164475207680</v>
      </c>
      <c r="Y70" s="10">
        <v>142769356800</v>
      </c>
      <c r="Z70" s="10">
        <v>97094909952</v>
      </c>
      <c r="AA70" s="10">
        <v>73484361728</v>
      </c>
      <c r="AB70" s="10">
        <v>73745817600</v>
      </c>
      <c r="AC70" s="10">
        <v>54805852160</v>
      </c>
      <c r="AD70" s="10">
        <v>52676042752</v>
      </c>
      <c r="AE70" s="10">
        <v>49648472064</v>
      </c>
      <c r="AF70" s="10">
        <v>44003061760</v>
      </c>
      <c r="AG70" s="10">
        <v>54035795968</v>
      </c>
      <c r="AH70" s="10">
        <v>49118433280</v>
      </c>
      <c r="AI70" s="10">
        <v>47794925568</v>
      </c>
      <c r="AJ70" s="10">
        <v>27752204288</v>
      </c>
      <c r="AK70" s="10">
        <v>33833043968</v>
      </c>
      <c r="AL70" s="10">
        <v>44062466048</v>
      </c>
      <c r="AM70" s="10">
        <v>51075813376</v>
      </c>
      <c r="AN70" s="10">
        <v>54457835520</v>
      </c>
      <c r="AO70" s="10">
        <v>54604050432</v>
      </c>
      <c r="AP70" s="10">
        <v>59372613632</v>
      </c>
      <c r="AQ70" s="10">
        <v>69448753152</v>
      </c>
      <c r="AR70" s="10">
        <v>74030366720</v>
      </c>
      <c r="AS70" s="10">
        <v>95385821184</v>
      </c>
      <c r="AT70" s="10">
        <v>104911945728</v>
      </c>
      <c r="AU70" s="10">
        <v>136385978368</v>
      </c>
      <c r="AV70" s="10">
        <v>176134094848</v>
      </c>
      <c r="AW70" s="10">
        <v>236103974912</v>
      </c>
      <c r="AX70" s="10">
        <v>275625672704</v>
      </c>
      <c r="AY70" s="10">
        <v>337035526144</v>
      </c>
      <c r="AZ70" s="10">
        <v>291880206336</v>
      </c>
      <c r="BA70" s="10">
        <v>363359895552</v>
      </c>
      <c r="BB70" s="10">
        <v>410334593024</v>
      </c>
      <c r="BC70" s="10">
        <v>459376033792</v>
      </c>
      <c r="BD70" s="10">
        <v>514966290432</v>
      </c>
      <c r="BE70" s="10">
        <v>568498913280</v>
      </c>
      <c r="BF70" s="10">
        <v>494583185408</v>
      </c>
      <c r="BG70" s="10">
        <v>404649541632</v>
      </c>
      <c r="BH70" s="10">
        <v>375745478656</v>
      </c>
      <c r="BI70" s="10">
        <v>398160396288</v>
      </c>
      <c r="BJ70" s="10">
        <v>448120422400</v>
      </c>
    </row>
    <row r="71" spans="1:62" x14ac:dyDescent="0.45">
      <c r="A71" t="s">
        <v>27</v>
      </c>
      <c r="B71" t="s">
        <v>142</v>
      </c>
      <c r="C71" s="10">
        <v>3749264896</v>
      </c>
      <c r="D71" s="10">
        <v>4118647552</v>
      </c>
      <c r="E71" s="10">
        <v>4310163968</v>
      </c>
      <c r="F71" s="10">
        <v>4630827520</v>
      </c>
      <c r="G71" s="10">
        <v>5204955648</v>
      </c>
      <c r="H71" s="10">
        <v>5929231360</v>
      </c>
      <c r="I71" s="10">
        <v>6561108992</v>
      </c>
      <c r="J71" s="10">
        <v>7464510464</v>
      </c>
      <c r="K71" s="10">
        <v>8041999360</v>
      </c>
      <c r="L71" s="10">
        <v>8683116544</v>
      </c>
      <c r="M71" s="10">
        <v>10027509760</v>
      </c>
      <c r="N71" s="10">
        <v>10665896960</v>
      </c>
      <c r="O71" s="10">
        <v>9415016448</v>
      </c>
      <c r="P71" s="10">
        <v>6383429632</v>
      </c>
      <c r="Q71" s="10">
        <v>8899191808</v>
      </c>
      <c r="R71" s="10">
        <v>11230606336</v>
      </c>
      <c r="S71" s="10">
        <v>13168080896</v>
      </c>
      <c r="T71" s="10">
        <v>15126061056</v>
      </c>
      <c r="U71" s="10">
        <v>17811515392</v>
      </c>
      <c r="V71" s="10">
        <v>19688384512</v>
      </c>
      <c r="W71" s="10">
        <v>23654445056</v>
      </c>
      <c r="X71" s="10">
        <v>28100605952</v>
      </c>
      <c r="Y71" s="10">
        <v>30725971968</v>
      </c>
      <c r="Z71" s="10">
        <v>28691890176</v>
      </c>
      <c r="AA71" s="10">
        <v>31151824896</v>
      </c>
      <c r="AB71" s="10">
        <v>31144921088</v>
      </c>
      <c r="AC71" s="10">
        <v>31899070464</v>
      </c>
      <c r="AD71" s="10">
        <v>33351528448</v>
      </c>
      <c r="AE71" s="10">
        <v>38472740864</v>
      </c>
      <c r="AF71" s="10">
        <v>40171016192</v>
      </c>
      <c r="AG71" s="10">
        <v>40010424320</v>
      </c>
      <c r="AH71" s="10">
        <v>45625233408</v>
      </c>
      <c r="AI71" s="10">
        <v>48884604928</v>
      </c>
      <c r="AJ71" s="10">
        <v>51809947648</v>
      </c>
      <c r="AK71" s="10">
        <v>52293455872</v>
      </c>
      <c r="AL71" s="10">
        <v>60636020736</v>
      </c>
      <c r="AM71" s="10">
        <v>63320121344</v>
      </c>
      <c r="AN71" s="10">
        <v>62433300480</v>
      </c>
      <c r="AO71" s="10">
        <v>62191955968</v>
      </c>
      <c r="AP71" s="10">
        <v>62973853696</v>
      </c>
      <c r="AQ71" s="10">
        <v>82017746944</v>
      </c>
      <c r="AR71" s="10">
        <v>79484403712</v>
      </c>
      <c r="AS71" s="10">
        <v>79904989184</v>
      </c>
      <c r="AT71" s="10">
        <v>91760541696</v>
      </c>
      <c r="AU71" s="10">
        <v>107759681536</v>
      </c>
      <c r="AV71" s="10">
        <v>120055291904</v>
      </c>
      <c r="AW71" s="10">
        <v>137264062464</v>
      </c>
      <c r="AX71" s="10">
        <v>152385716224</v>
      </c>
      <c r="AY71" s="10">
        <v>170077814784</v>
      </c>
      <c r="AZ71" s="10">
        <v>168152776704</v>
      </c>
      <c r="BA71" s="10">
        <v>177165631488</v>
      </c>
      <c r="BB71" s="10">
        <v>213587410944</v>
      </c>
      <c r="BC71" s="10">
        <v>224383614976</v>
      </c>
      <c r="BD71" s="10">
        <v>231218561024</v>
      </c>
      <c r="BE71" s="10">
        <v>244360888320</v>
      </c>
      <c r="BF71" s="10">
        <v>270556135424</v>
      </c>
      <c r="BG71" s="10">
        <v>278654648320</v>
      </c>
      <c r="BH71" s="10">
        <v>304567255040</v>
      </c>
      <c r="BI71" s="10">
        <v>314567557120</v>
      </c>
      <c r="BJ71" s="10">
        <v>278221914112</v>
      </c>
    </row>
    <row r="72" spans="1:62" x14ac:dyDescent="0.45">
      <c r="A72" t="s">
        <v>27</v>
      </c>
      <c r="B72" t="s">
        <v>143</v>
      </c>
      <c r="C72" s="10">
        <v>537147072</v>
      </c>
      <c r="D72" s="10">
        <v>599026304</v>
      </c>
      <c r="E72" s="10">
        <v>652120896</v>
      </c>
      <c r="F72" s="10">
        <v>722784512</v>
      </c>
      <c r="G72" s="10">
        <v>776137472</v>
      </c>
      <c r="H72" s="10">
        <v>852485312</v>
      </c>
      <c r="I72" s="10">
        <v>928833024</v>
      </c>
      <c r="J72" s="10">
        <v>1034376384</v>
      </c>
      <c r="K72" s="10">
        <v>1112791040</v>
      </c>
      <c r="L72" s="10">
        <v>1221305728</v>
      </c>
      <c r="M72" s="10">
        <v>1351006464</v>
      </c>
      <c r="N72" s="10">
        <v>1523917184</v>
      </c>
      <c r="O72" s="10">
        <v>1673411712</v>
      </c>
      <c r="P72" s="10">
        <v>1913793408</v>
      </c>
      <c r="Q72" s="10">
        <v>2188307712</v>
      </c>
      <c r="R72" s="10">
        <v>2435304192</v>
      </c>
      <c r="S72" s="10">
        <v>2588105984</v>
      </c>
      <c r="T72" s="10">
        <v>2738262016</v>
      </c>
      <c r="U72" s="10">
        <v>3244558592</v>
      </c>
      <c r="V72" s="10">
        <v>3704551680</v>
      </c>
      <c r="W72" s="10">
        <v>4614086656</v>
      </c>
      <c r="X72" s="10">
        <v>5222421504</v>
      </c>
      <c r="Y72" s="10">
        <v>5769767936</v>
      </c>
      <c r="Z72" s="10">
        <v>5923756032</v>
      </c>
      <c r="AA72" s="10">
        <v>6183387136</v>
      </c>
      <c r="AB72" s="10">
        <v>6541517312</v>
      </c>
      <c r="AC72" s="10">
        <v>6797834240</v>
      </c>
      <c r="AD72" s="10">
        <v>6827665408</v>
      </c>
      <c r="AE72" s="10">
        <v>5902783488</v>
      </c>
      <c r="AF72" s="10">
        <v>5918469632</v>
      </c>
      <c r="AG72" s="10">
        <v>6433967104</v>
      </c>
      <c r="AH72" s="10">
        <v>7074675712</v>
      </c>
      <c r="AI72" s="10">
        <v>8042337792</v>
      </c>
      <c r="AJ72" s="10">
        <v>8782585856</v>
      </c>
      <c r="AK72" s="10">
        <v>9365289984</v>
      </c>
      <c r="AL72" s="10">
        <v>9573813248</v>
      </c>
      <c r="AM72" s="10">
        <v>9870493696</v>
      </c>
      <c r="AN72" s="10">
        <v>10677285888</v>
      </c>
      <c r="AO72" s="10">
        <v>11575486464</v>
      </c>
      <c r="AP72" s="10">
        <v>12130251776</v>
      </c>
      <c r="AQ72" s="10">
        <v>12304114688</v>
      </c>
      <c r="AR72" s="10">
        <v>12502012928</v>
      </c>
      <c r="AS72" s="10">
        <v>12994310144</v>
      </c>
      <c r="AT72" s="10">
        <v>13693981696</v>
      </c>
      <c r="AU72" s="10">
        <v>15013382144</v>
      </c>
      <c r="AV72" s="10">
        <v>16374393856</v>
      </c>
      <c r="AW72" s="10">
        <v>18141665280</v>
      </c>
      <c r="AX72" s="10">
        <v>21295984640</v>
      </c>
      <c r="AY72" s="10">
        <v>25155889152</v>
      </c>
      <c r="AZ72" s="10">
        <v>27116636160</v>
      </c>
      <c r="BA72" s="10">
        <v>29440299008</v>
      </c>
      <c r="BB72" s="10">
        <v>34686201856</v>
      </c>
      <c r="BC72" s="10">
        <v>40429699072</v>
      </c>
      <c r="BD72" s="10">
        <v>45599997952</v>
      </c>
      <c r="BE72" s="10">
        <v>49921499136</v>
      </c>
      <c r="BF72" s="10">
        <v>54091698176</v>
      </c>
      <c r="BG72" s="10">
        <v>57907699712</v>
      </c>
      <c r="BH72" s="10">
        <v>62219001856</v>
      </c>
      <c r="BI72" s="10">
        <v>65128198144</v>
      </c>
      <c r="BJ72" s="10">
        <v>66800799744</v>
      </c>
    </row>
    <row r="73" spans="1:62" x14ac:dyDescent="0.45">
      <c r="A73" t="s">
        <v>27</v>
      </c>
      <c r="B73" t="s">
        <v>144</v>
      </c>
      <c r="C73" s="10">
        <v>230496032</v>
      </c>
      <c r="D73" s="10">
        <v>244832032</v>
      </c>
      <c r="E73" s="10">
        <v>261184032</v>
      </c>
      <c r="F73" s="10">
        <v>275968032</v>
      </c>
      <c r="G73" s="10">
        <v>305312032</v>
      </c>
      <c r="H73" s="10">
        <v>344159488</v>
      </c>
      <c r="I73" s="10">
        <v>390973248</v>
      </c>
      <c r="J73" s="10">
        <v>441706912</v>
      </c>
      <c r="K73" s="10">
        <v>485160832</v>
      </c>
      <c r="L73" s="10">
        <v>551237312</v>
      </c>
      <c r="M73" s="10">
        <v>645537152</v>
      </c>
      <c r="N73" s="10">
        <v>717716160</v>
      </c>
      <c r="O73" s="10">
        <v>858802048</v>
      </c>
      <c r="P73" s="10">
        <v>1299105280</v>
      </c>
      <c r="Q73" s="10">
        <v>1467346048</v>
      </c>
      <c r="R73" s="10">
        <v>1356591232</v>
      </c>
      <c r="S73" s="10">
        <v>1511856640</v>
      </c>
      <c r="T73" s="10">
        <v>1640763264</v>
      </c>
      <c r="U73" s="10">
        <v>1947947520</v>
      </c>
      <c r="V73" s="10">
        <v>2293622016</v>
      </c>
      <c r="W73" s="10">
        <v>2545982976</v>
      </c>
      <c r="X73" s="10">
        <v>2498068224</v>
      </c>
      <c r="Y73" s="10">
        <v>2368584960</v>
      </c>
      <c r="Z73" s="10">
        <v>2562492416</v>
      </c>
      <c r="AA73" s="10">
        <v>2552526336</v>
      </c>
      <c r="AB73" s="10">
        <v>2423373056</v>
      </c>
      <c r="AC73" s="10">
        <v>2648033792</v>
      </c>
      <c r="AD73" s="10">
        <v>3143848448</v>
      </c>
      <c r="AE73" s="10">
        <v>3655979776</v>
      </c>
      <c r="AF73" s="10">
        <v>3546460160</v>
      </c>
      <c r="AG73" s="10">
        <v>3219730432</v>
      </c>
      <c r="AH73" s="10">
        <v>3787395072</v>
      </c>
      <c r="AI73" s="10">
        <v>4377980416</v>
      </c>
      <c r="AJ73" s="10">
        <v>4974550528</v>
      </c>
      <c r="AK73" s="10">
        <v>5502786048</v>
      </c>
      <c r="AL73" s="10">
        <v>4636057600</v>
      </c>
      <c r="AM73" s="10">
        <v>5155311104</v>
      </c>
      <c r="AN73" s="10">
        <v>4936615424</v>
      </c>
      <c r="AO73" s="10">
        <v>3789443072</v>
      </c>
      <c r="AP73" s="10">
        <v>3477038080</v>
      </c>
      <c r="AQ73" s="10">
        <v>3521339648</v>
      </c>
      <c r="AR73" s="10">
        <v>3081024256</v>
      </c>
      <c r="AS73" s="10">
        <v>2999511040</v>
      </c>
      <c r="AT73" s="10">
        <v>3536411904</v>
      </c>
      <c r="AU73" s="10">
        <v>3927157760</v>
      </c>
      <c r="AV73" s="10">
        <v>4865892864</v>
      </c>
      <c r="AW73" s="10">
        <v>8355006464</v>
      </c>
      <c r="AX73" s="10">
        <v>9545177088</v>
      </c>
      <c r="AY73" s="10">
        <v>11670841344</v>
      </c>
      <c r="AZ73" s="10">
        <v>11619638272</v>
      </c>
      <c r="BA73" s="10">
        <v>14250755072</v>
      </c>
      <c r="BB73" s="10">
        <v>17984911360</v>
      </c>
      <c r="BC73" s="10">
        <v>21295659008</v>
      </c>
      <c r="BD73" s="10">
        <v>21261432832</v>
      </c>
      <c r="BE73" s="10">
        <v>23210682368</v>
      </c>
      <c r="BF73" s="10">
        <v>21723531264</v>
      </c>
      <c r="BG73" s="10">
        <v>20759068672</v>
      </c>
      <c r="BH73" s="10">
        <v>22742614016</v>
      </c>
      <c r="BI73" s="10">
        <v>23412494336</v>
      </c>
      <c r="BJ73" s="10">
        <v>24969611264</v>
      </c>
    </row>
    <row r="74" spans="1:62" x14ac:dyDescent="0.45">
      <c r="A74" t="s">
        <v>27</v>
      </c>
      <c r="B74" t="s">
        <v>145</v>
      </c>
      <c r="C74" s="10">
        <v>2571908096</v>
      </c>
      <c r="D74" s="10">
        <v>2899654912</v>
      </c>
      <c r="E74" s="10">
        <v>3286773248</v>
      </c>
      <c r="F74" s="10">
        <v>3600957696</v>
      </c>
      <c r="G74" s="10">
        <v>4356913664</v>
      </c>
      <c r="H74" s="10">
        <v>5166861312</v>
      </c>
      <c r="I74" s="10">
        <v>6113607680</v>
      </c>
      <c r="J74" s="10">
        <v>6204253696</v>
      </c>
      <c r="K74" s="10">
        <v>5736083968</v>
      </c>
      <c r="L74" s="10">
        <v>6420909568</v>
      </c>
      <c r="M74" s="10">
        <v>7432223232</v>
      </c>
      <c r="N74" s="10">
        <v>8289583104</v>
      </c>
      <c r="O74" s="10">
        <v>9189413888</v>
      </c>
      <c r="P74" s="10">
        <v>10994381824</v>
      </c>
      <c r="Q74" s="10">
        <v>13858441216</v>
      </c>
      <c r="R74" s="10">
        <v>16877163520</v>
      </c>
      <c r="S74" s="10">
        <v>15947709440</v>
      </c>
      <c r="T74" s="10">
        <v>14620386304</v>
      </c>
      <c r="U74" s="10">
        <v>12495779840</v>
      </c>
      <c r="V74" s="10">
        <v>15962459136</v>
      </c>
      <c r="W74" s="10">
        <v>18134028288</v>
      </c>
      <c r="X74" s="10">
        <v>21649137664</v>
      </c>
      <c r="Y74" s="10">
        <v>21793497088</v>
      </c>
      <c r="Z74" s="10">
        <v>17345624064</v>
      </c>
      <c r="AA74" s="10">
        <v>17599660032</v>
      </c>
      <c r="AB74" s="10">
        <v>16548827136</v>
      </c>
      <c r="AC74" s="10">
        <v>15244232704</v>
      </c>
      <c r="AD74" s="10">
        <v>20702298112</v>
      </c>
      <c r="AE74" s="10">
        <v>15439408128</v>
      </c>
      <c r="AF74" s="10">
        <v>22499559424</v>
      </c>
      <c r="AG74" s="10">
        <v>26410387456</v>
      </c>
      <c r="AH74" s="10">
        <v>34341466112</v>
      </c>
      <c r="AI74" s="10">
        <v>35966304256</v>
      </c>
      <c r="AJ74" s="10">
        <v>34832076800</v>
      </c>
      <c r="AK74" s="10">
        <v>44882079744</v>
      </c>
      <c r="AL74" s="10">
        <v>53312794624</v>
      </c>
      <c r="AM74" s="10">
        <v>55252414464</v>
      </c>
      <c r="AN74" s="10">
        <v>58147520512</v>
      </c>
      <c r="AO74" s="10">
        <v>55501467648</v>
      </c>
      <c r="AP74" s="10">
        <v>50187325440</v>
      </c>
      <c r="AQ74" s="10">
        <v>51744747520</v>
      </c>
      <c r="AR74" s="10">
        <v>52030156800</v>
      </c>
      <c r="AS74" s="10">
        <v>54777552896</v>
      </c>
      <c r="AT74" s="10">
        <v>58731028480</v>
      </c>
      <c r="AU74" s="10">
        <v>66768703488</v>
      </c>
      <c r="AV74" s="10">
        <v>76060606464</v>
      </c>
      <c r="AW74" s="10">
        <v>88643190784</v>
      </c>
      <c r="AX74" s="10">
        <v>102170984448</v>
      </c>
      <c r="AY74" s="10">
        <v>120550596608</v>
      </c>
      <c r="AZ74" s="10">
        <v>120822988800</v>
      </c>
      <c r="BA74" s="10">
        <v>147528941568</v>
      </c>
      <c r="BB74" s="10">
        <v>171761729536</v>
      </c>
      <c r="BC74" s="10">
        <v>192649003008</v>
      </c>
      <c r="BD74" s="10">
        <v>201175465984</v>
      </c>
      <c r="BE74" s="10">
        <v>200789360640</v>
      </c>
      <c r="BF74" s="10">
        <v>189805297664</v>
      </c>
      <c r="BG74" s="10">
        <v>191895945216</v>
      </c>
      <c r="BH74" s="10">
        <v>211007209472</v>
      </c>
      <c r="BI74" s="10">
        <v>222044962816</v>
      </c>
      <c r="BJ74" s="10">
        <v>226848047104</v>
      </c>
    </row>
    <row r="75" spans="1:62" x14ac:dyDescent="0.45">
      <c r="A75" t="s">
        <v>27</v>
      </c>
      <c r="B75" t="s">
        <v>146</v>
      </c>
      <c r="C75" s="10">
        <v>6684568576</v>
      </c>
      <c r="D75" s="10">
        <v>7256967168</v>
      </c>
      <c r="E75" s="10">
        <v>4399827968</v>
      </c>
      <c r="F75" s="10">
        <v>4875310080</v>
      </c>
      <c r="G75" s="10">
        <v>5271404544</v>
      </c>
      <c r="H75" s="10">
        <v>5784398848</v>
      </c>
      <c r="I75" s="10">
        <v>6371459072</v>
      </c>
      <c r="J75" s="10">
        <v>6809134080</v>
      </c>
      <c r="K75" s="10">
        <v>7591603200</v>
      </c>
      <c r="L75" s="10">
        <v>8408229888</v>
      </c>
      <c r="M75" s="10">
        <v>6687204864</v>
      </c>
      <c r="N75" s="10">
        <v>7408305664</v>
      </c>
      <c r="O75" s="10">
        <v>8017468928</v>
      </c>
      <c r="P75" s="10">
        <v>10082885632</v>
      </c>
      <c r="Q75" s="10">
        <v>13781140480</v>
      </c>
      <c r="R75" s="10">
        <v>14893969408</v>
      </c>
      <c r="S75" s="10">
        <v>17097563136</v>
      </c>
      <c r="T75" s="10">
        <v>19648106496</v>
      </c>
      <c r="U75" s="10">
        <v>22706155520</v>
      </c>
      <c r="V75" s="10">
        <v>27502168064</v>
      </c>
      <c r="W75" s="10">
        <v>32450541568</v>
      </c>
      <c r="X75" s="10">
        <v>35646418944</v>
      </c>
      <c r="Y75" s="10">
        <v>37140164608</v>
      </c>
      <c r="Z75" s="10">
        <v>33212180480</v>
      </c>
      <c r="AA75" s="10">
        <v>31408492544</v>
      </c>
      <c r="AB75" s="10">
        <v>30734336000</v>
      </c>
      <c r="AC75" s="10">
        <v>29868339200</v>
      </c>
      <c r="AD75" s="10">
        <v>33195933696</v>
      </c>
      <c r="AE75" s="10">
        <v>37885440000</v>
      </c>
      <c r="AF75" s="10">
        <v>42575183872</v>
      </c>
      <c r="AG75" s="10">
        <v>44311592960</v>
      </c>
      <c r="AH75" s="10">
        <v>45417562112</v>
      </c>
      <c r="AI75" s="10">
        <v>52976345088</v>
      </c>
      <c r="AJ75" s="10">
        <v>54368083968</v>
      </c>
      <c r="AK75" s="10">
        <v>64084459520</v>
      </c>
      <c r="AL75" s="10">
        <v>74119987200</v>
      </c>
      <c r="AM75" s="10">
        <v>82848137216</v>
      </c>
      <c r="AN75" s="10">
        <v>82344263680</v>
      </c>
      <c r="AO75" s="10">
        <v>72207032320</v>
      </c>
      <c r="AP75" s="10">
        <v>82995142656</v>
      </c>
      <c r="AQ75" s="10">
        <v>83670261760</v>
      </c>
      <c r="AR75" s="10">
        <v>78921072640</v>
      </c>
      <c r="AS75" s="10">
        <v>84307369984</v>
      </c>
      <c r="AT75" s="10">
        <v>87039148032</v>
      </c>
      <c r="AU75" s="10">
        <v>95001993216</v>
      </c>
      <c r="AV75" s="10">
        <v>107419983872</v>
      </c>
      <c r="AW75" s="10">
        <v>127652904960</v>
      </c>
      <c r="AX75" s="10">
        <v>155980414976</v>
      </c>
      <c r="AY75" s="10">
        <v>181006860288</v>
      </c>
      <c r="AZ75" s="10">
        <v>176131653632</v>
      </c>
      <c r="BA75" s="10">
        <v>208368893952</v>
      </c>
      <c r="BB75" s="10">
        <v>234216734720</v>
      </c>
      <c r="BC75" s="10">
        <v>261920538624</v>
      </c>
      <c r="BD75" s="10">
        <v>283902836736</v>
      </c>
      <c r="BE75" s="10">
        <v>297483567104</v>
      </c>
      <c r="BF75" s="10">
        <v>306445877248</v>
      </c>
      <c r="BG75" s="10">
        <v>318626988032</v>
      </c>
      <c r="BH75" s="10">
        <v>328480751616</v>
      </c>
      <c r="BI75" s="10">
        <v>346841907200</v>
      </c>
      <c r="BJ75" s="10">
        <v>376795496448</v>
      </c>
    </row>
    <row r="76" spans="1:62" x14ac:dyDescent="0.45">
      <c r="A76" t="s">
        <v>27</v>
      </c>
      <c r="B76" t="s">
        <v>147</v>
      </c>
      <c r="C76" s="10">
        <v>1691900032</v>
      </c>
      <c r="D76" s="10">
        <v>1865100032</v>
      </c>
      <c r="E76" s="10">
        <v>2094400000</v>
      </c>
      <c r="F76" s="10">
        <v>2333600000</v>
      </c>
      <c r="G76" s="10">
        <v>2570500096</v>
      </c>
      <c r="H76" s="10">
        <v>2881499904</v>
      </c>
      <c r="I76" s="10">
        <v>3170500096</v>
      </c>
      <c r="J76" s="10">
        <v>3532699904</v>
      </c>
      <c r="K76" s="10">
        <v>3941700096</v>
      </c>
      <c r="L76" s="10">
        <v>4460700160</v>
      </c>
      <c r="M76" s="10">
        <v>5034699776</v>
      </c>
      <c r="N76" s="10">
        <v>5646799872</v>
      </c>
      <c r="O76" s="10">
        <v>6328900096</v>
      </c>
      <c r="P76" s="10">
        <v>7002399744</v>
      </c>
      <c r="Q76" s="10">
        <v>7684800000</v>
      </c>
      <c r="R76" s="10">
        <v>8198300160</v>
      </c>
      <c r="S76" s="10">
        <v>8968599552</v>
      </c>
      <c r="T76" s="10">
        <v>9910899712</v>
      </c>
      <c r="U76" s="10">
        <v>11164999680</v>
      </c>
      <c r="V76" s="10">
        <v>12750000128</v>
      </c>
      <c r="W76" s="10">
        <v>14436100096</v>
      </c>
      <c r="X76" s="10">
        <v>15955699712</v>
      </c>
      <c r="Y76" s="10">
        <v>16764199936</v>
      </c>
      <c r="Z76" s="10">
        <v>17276600320</v>
      </c>
      <c r="AA76" s="10">
        <v>19162599424</v>
      </c>
      <c r="AB76" s="10">
        <v>20289200128</v>
      </c>
      <c r="AC76" s="10">
        <v>22009300992</v>
      </c>
      <c r="AD76" s="10">
        <v>24025800704</v>
      </c>
      <c r="AE76" s="10">
        <v>26385799168</v>
      </c>
      <c r="AF76" s="10">
        <v>28161200128</v>
      </c>
      <c r="AG76" s="10">
        <v>30603919360</v>
      </c>
      <c r="AH76" s="10">
        <v>32287031296</v>
      </c>
      <c r="AI76" s="10">
        <v>34630430720</v>
      </c>
      <c r="AJ76" s="10">
        <v>36922454016</v>
      </c>
      <c r="AK76" s="10">
        <v>39690629120</v>
      </c>
      <c r="AL76" s="10">
        <v>42647330816</v>
      </c>
      <c r="AM76" s="10">
        <v>45340835840</v>
      </c>
      <c r="AN76" s="10">
        <v>48187039744</v>
      </c>
      <c r="AO76" s="10">
        <v>54086402048</v>
      </c>
      <c r="AP76" s="10">
        <v>57841000448</v>
      </c>
      <c r="AQ76" s="10">
        <v>61701799936</v>
      </c>
      <c r="AR76" s="10">
        <v>69208399872</v>
      </c>
      <c r="AS76" s="10">
        <v>71623499776</v>
      </c>
      <c r="AT76" s="10">
        <v>74827399168</v>
      </c>
      <c r="AU76" s="10">
        <v>80322314240</v>
      </c>
      <c r="AV76" s="10">
        <v>83914522624</v>
      </c>
      <c r="AW76" s="10">
        <v>87276167168</v>
      </c>
      <c r="AX76" s="10">
        <v>89524133888</v>
      </c>
      <c r="AY76" s="10">
        <v>93639303168</v>
      </c>
      <c r="AZ76" s="10">
        <v>96385597440</v>
      </c>
      <c r="BA76" s="10">
        <v>98381299712</v>
      </c>
      <c r="BB76" s="10">
        <v>100351696896</v>
      </c>
      <c r="BC76" s="10">
        <v>101564801024</v>
      </c>
      <c r="BD76" s="10">
        <v>102450003968</v>
      </c>
      <c r="BE76" s="10">
        <v>102445801472</v>
      </c>
      <c r="BF76" s="10">
        <v>103375503360</v>
      </c>
      <c r="BG76" s="10">
        <v>104336703488</v>
      </c>
      <c r="BH76" s="10">
        <v>103445504000</v>
      </c>
      <c r="BI76" s="10">
        <v>100979900416</v>
      </c>
      <c r="BJ76" s="10">
        <v>104988598272</v>
      </c>
    </row>
    <row r="77" spans="1:62" x14ac:dyDescent="0.45">
      <c r="A77" t="s">
        <v>27</v>
      </c>
      <c r="B77" t="s">
        <v>148</v>
      </c>
      <c r="C77" s="10">
        <v>119000024</v>
      </c>
      <c r="D77" s="10">
        <v>122000016</v>
      </c>
      <c r="E77" s="10">
        <v>125000008</v>
      </c>
      <c r="F77" s="10">
        <v>128000000</v>
      </c>
      <c r="G77" s="10">
        <v>129999992</v>
      </c>
      <c r="H77" s="10">
        <v>148799984</v>
      </c>
      <c r="I77" s="10">
        <v>124525704</v>
      </c>
      <c r="J77" s="10">
        <v>159560016</v>
      </c>
      <c r="K77" s="10">
        <v>172200016</v>
      </c>
      <c r="L77" s="10">
        <v>188700032</v>
      </c>
      <c r="M77" s="10">
        <v>219900000</v>
      </c>
      <c r="N77" s="10">
        <v>222952576</v>
      </c>
      <c r="O77" s="10">
        <v>246457840</v>
      </c>
      <c r="P77" s="10">
        <v>290746144</v>
      </c>
      <c r="Q77" s="10">
        <v>308458432</v>
      </c>
      <c r="R77" s="10">
        <v>571863296</v>
      </c>
      <c r="S77" s="10">
        <v>637754176</v>
      </c>
      <c r="T77" s="10">
        <v>746650560</v>
      </c>
      <c r="U77" s="10">
        <v>905709120</v>
      </c>
      <c r="V77" s="10">
        <v>1109346176</v>
      </c>
      <c r="W77" s="10">
        <v>1254765312</v>
      </c>
      <c r="X77" s="10">
        <v>1407062656</v>
      </c>
      <c r="Y77" s="10">
        <v>1407242624</v>
      </c>
      <c r="Z77" s="10">
        <v>1479688064</v>
      </c>
      <c r="AA77" s="10">
        <v>1587412992</v>
      </c>
      <c r="AB77" s="10">
        <v>1715625856</v>
      </c>
      <c r="AC77" s="10">
        <v>1944711040</v>
      </c>
      <c r="AD77" s="10">
        <v>2157434112</v>
      </c>
      <c r="AE77" s="10">
        <v>2395493888</v>
      </c>
      <c r="AF77" s="10">
        <v>2405021952</v>
      </c>
      <c r="AG77" s="10">
        <v>2550185728</v>
      </c>
      <c r="AH77" s="10">
        <v>1911601024</v>
      </c>
      <c r="AI77" s="10">
        <v>2029026688</v>
      </c>
      <c r="AJ77" s="10">
        <v>1971526016</v>
      </c>
      <c r="AK77" s="10">
        <v>753636352</v>
      </c>
      <c r="AL77" s="10">
        <v>1293534976</v>
      </c>
      <c r="AM77" s="10">
        <v>1382334848</v>
      </c>
      <c r="AN77" s="10">
        <v>1851558272</v>
      </c>
      <c r="AO77" s="10">
        <v>1989343488</v>
      </c>
      <c r="AP77" s="10">
        <v>1817654528</v>
      </c>
      <c r="AQ77" s="10">
        <v>1734938624</v>
      </c>
      <c r="AR77" s="10">
        <v>1674685312</v>
      </c>
      <c r="AS77" s="10">
        <v>1677552384</v>
      </c>
      <c r="AT77" s="10">
        <v>1846198784</v>
      </c>
      <c r="AU77" s="10">
        <v>2088961920</v>
      </c>
      <c r="AV77" s="10">
        <v>2581313536</v>
      </c>
      <c r="AW77" s="10">
        <v>3330198784</v>
      </c>
      <c r="AX77" s="10">
        <v>4083515136</v>
      </c>
      <c r="AY77" s="10">
        <v>5198063104</v>
      </c>
      <c r="AZ77" s="10">
        <v>5694132224</v>
      </c>
      <c r="BA77" s="10">
        <v>6147525120</v>
      </c>
      <c r="BB77" s="10">
        <v>6912074240</v>
      </c>
      <c r="BC77" s="10">
        <v>7687521792</v>
      </c>
      <c r="BD77" s="10">
        <v>7851127808</v>
      </c>
      <c r="BE77" s="10">
        <v>8279480832</v>
      </c>
      <c r="BF77" s="10">
        <v>8582588928</v>
      </c>
      <c r="BG77" s="10">
        <v>8734161920</v>
      </c>
      <c r="BH77" s="10">
        <v>9253098496</v>
      </c>
      <c r="BI77" s="10">
        <v>9627720704</v>
      </c>
      <c r="BJ77" s="10">
        <v>10122472448</v>
      </c>
    </row>
    <row r="78" spans="1:62" x14ac:dyDescent="0.45">
      <c r="A78" t="s">
        <v>27</v>
      </c>
      <c r="B78" t="s">
        <v>149</v>
      </c>
      <c r="C78" s="10">
        <v>1003692352</v>
      </c>
      <c r="D78" s="10">
        <v>1058975296</v>
      </c>
      <c r="E78" s="10">
        <v>1085475584</v>
      </c>
      <c r="F78" s="10">
        <v>1122139648</v>
      </c>
      <c r="G78" s="10">
        <v>1188930560</v>
      </c>
      <c r="H78" s="10">
        <v>1210058368</v>
      </c>
      <c r="I78" s="10">
        <v>1246908416</v>
      </c>
      <c r="J78" s="10">
        <v>1246480896</v>
      </c>
      <c r="K78" s="10">
        <v>1309384832</v>
      </c>
      <c r="L78" s="10">
        <v>1245234816</v>
      </c>
      <c r="M78" s="10">
        <v>1297407872</v>
      </c>
      <c r="N78" s="10">
        <v>1339548800</v>
      </c>
      <c r="O78" s="10">
        <v>1620857216</v>
      </c>
      <c r="P78" s="10">
        <v>1863398400</v>
      </c>
      <c r="Q78" s="10">
        <v>2099324928</v>
      </c>
      <c r="R78" s="10">
        <v>2830388480</v>
      </c>
      <c r="S78" s="10">
        <v>2869777920</v>
      </c>
      <c r="T78" s="10">
        <v>2938046208</v>
      </c>
      <c r="U78" s="10">
        <v>3280354304</v>
      </c>
      <c r="V78" s="10">
        <v>4084878592</v>
      </c>
      <c r="W78" s="10">
        <v>4435050496</v>
      </c>
      <c r="X78" s="10">
        <v>4021697280</v>
      </c>
      <c r="Y78" s="10">
        <v>3936758784</v>
      </c>
      <c r="Z78" s="10">
        <v>3512053248</v>
      </c>
      <c r="AA78" s="10">
        <v>3425127424</v>
      </c>
      <c r="AB78" s="10">
        <v>3750056448</v>
      </c>
      <c r="AC78" s="10">
        <v>5304238080</v>
      </c>
      <c r="AD78" s="10">
        <v>6381385728</v>
      </c>
      <c r="AE78" s="10">
        <v>6311054848</v>
      </c>
      <c r="AF78" s="10">
        <v>6219793408</v>
      </c>
      <c r="AG78" s="10">
        <v>7237100544</v>
      </c>
      <c r="AH78" s="10">
        <v>7111252992</v>
      </c>
      <c r="AI78" s="10">
        <v>7602005504</v>
      </c>
      <c r="AJ78" s="10">
        <v>7189226496</v>
      </c>
      <c r="AK78" s="10">
        <v>4908415488</v>
      </c>
      <c r="AL78" s="10">
        <v>6176312320</v>
      </c>
      <c r="AM78" s="10">
        <v>6413189632</v>
      </c>
      <c r="AN78" s="10">
        <v>5915250176</v>
      </c>
      <c r="AO78" s="10">
        <v>6368265216</v>
      </c>
      <c r="AP78" s="10">
        <v>6512207872</v>
      </c>
      <c r="AQ78" s="10">
        <v>5924239872</v>
      </c>
      <c r="AR78" s="10">
        <v>6174898176</v>
      </c>
      <c r="AS78" s="10">
        <v>6752510464</v>
      </c>
      <c r="AT78" s="10">
        <v>8683229184</v>
      </c>
      <c r="AU78" s="10">
        <v>10167441408</v>
      </c>
      <c r="AV78" s="10">
        <v>11022821376</v>
      </c>
      <c r="AW78" s="10">
        <v>11847847936</v>
      </c>
      <c r="AX78" s="10">
        <v>14285970432</v>
      </c>
      <c r="AY78" s="10">
        <v>16949789696</v>
      </c>
      <c r="AZ78" s="10">
        <v>16248212480</v>
      </c>
      <c r="BA78" s="10">
        <v>16230888448</v>
      </c>
      <c r="BB78" s="10">
        <v>17902206976</v>
      </c>
      <c r="BC78" s="10">
        <v>17824399360</v>
      </c>
      <c r="BD78" s="10">
        <v>18965571584</v>
      </c>
      <c r="BE78" s="10">
        <v>19797254144</v>
      </c>
      <c r="BF78" s="10">
        <v>17774766080</v>
      </c>
      <c r="BG78" s="10">
        <v>19040313344</v>
      </c>
      <c r="BH78" s="10">
        <v>20996564992</v>
      </c>
      <c r="BI78" s="10">
        <v>23236007936</v>
      </c>
      <c r="BJ78" s="10">
        <v>23578083328</v>
      </c>
    </row>
    <row r="79" spans="1:62" x14ac:dyDescent="0.45">
      <c r="A79" t="s">
        <v>27</v>
      </c>
      <c r="B79" t="s">
        <v>150</v>
      </c>
      <c r="C79" s="10">
        <v>12012025</v>
      </c>
      <c r="D79" s="10">
        <v>11592024</v>
      </c>
      <c r="E79" s="10">
        <v>12642027</v>
      </c>
      <c r="F79" s="10">
        <v>13923029</v>
      </c>
      <c r="G79" s="10">
        <v>15393032</v>
      </c>
      <c r="H79" s="10">
        <v>15603033</v>
      </c>
      <c r="I79" s="10">
        <v>16443035</v>
      </c>
      <c r="J79" s="10">
        <v>16632033</v>
      </c>
      <c r="K79" s="10">
        <v>16074027</v>
      </c>
      <c r="L79" s="10">
        <v>16452028</v>
      </c>
      <c r="M79" s="10">
        <v>18432032</v>
      </c>
      <c r="N79" s="10">
        <v>21965952</v>
      </c>
      <c r="O79" s="10">
        <v>30645120</v>
      </c>
      <c r="P79" s="10">
        <v>36896280</v>
      </c>
      <c r="Q79" s="10">
        <v>43134500</v>
      </c>
      <c r="R79" s="10">
        <v>47803144</v>
      </c>
      <c r="S79" s="10">
        <v>49278980</v>
      </c>
      <c r="T79" s="10">
        <v>64526400</v>
      </c>
      <c r="U79" s="10">
        <v>85552368</v>
      </c>
      <c r="V79" s="10">
        <v>127261096</v>
      </c>
      <c r="W79" s="10">
        <v>147357216</v>
      </c>
      <c r="X79" s="10">
        <v>154902864</v>
      </c>
      <c r="Y79" s="10">
        <v>147912064</v>
      </c>
      <c r="Z79" s="10">
        <v>146712848</v>
      </c>
      <c r="AA79" s="10">
        <v>151313248</v>
      </c>
      <c r="AB79" s="10">
        <v>168887536</v>
      </c>
      <c r="AC79" s="10">
        <v>207850624</v>
      </c>
      <c r="AD79" s="10">
        <v>249267040</v>
      </c>
      <c r="AE79" s="10">
        <v>283828768</v>
      </c>
      <c r="AF79" s="10">
        <v>304832864</v>
      </c>
      <c r="AG79" s="10">
        <v>368584768</v>
      </c>
      <c r="AH79" s="10">
        <v>374359552</v>
      </c>
      <c r="AI79" s="10">
        <v>433667200</v>
      </c>
      <c r="AJ79" s="10">
        <v>473916832</v>
      </c>
      <c r="AK79" s="10">
        <v>486451200</v>
      </c>
      <c r="AL79" s="10">
        <v>508221504</v>
      </c>
      <c r="AM79" s="10">
        <v>503068480</v>
      </c>
      <c r="AN79" s="10">
        <v>562958848</v>
      </c>
      <c r="AO79" s="10">
        <v>608369280</v>
      </c>
      <c r="AP79" s="10">
        <v>622985472</v>
      </c>
      <c r="AQ79" s="10">
        <v>614879744</v>
      </c>
      <c r="AR79" s="10">
        <v>622262080</v>
      </c>
      <c r="AS79" s="10">
        <v>697518272</v>
      </c>
      <c r="AT79" s="10">
        <v>705704832</v>
      </c>
      <c r="AU79" s="10">
        <v>839319936</v>
      </c>
      <c r="AV79" s="10">
        <v>919103232</v>
      </c>
      <c r="AW79" s="10">
        <v>1016418240</v>
      </c>
      <c r="AX79" s="10">
        <v>1033561664</v>
      </c>
      <c r="AY79" s="10">
        <v>967199616</v>
      </c>
      <c r="AZ79" s="10">
        <v>847397824</v>
      </c>
      <c r="BA79" s="10">
        <v>969936512</v>
      </c>
      <c r="BB79" s="10">
        <v>1065826688</v>
      </c>
      <c r="BC79" s="10">
        <v>1060226112</v>
      </c>
      <c r="BD79" s="10">
        <v>1328157568</v>
      </c>
      <c r="BE79" s="10">
        <v>1343007872</v>
      </c>
      <c r="BF79" s="10">
        <v>1377495040</v>
      </c>
      <c r="BG79" s="10">
        <v>1426651776</v>
      </c>
      <c r="BH79" s="10">
        <v>1524486784</v>
      </c>
      <c r="BI79" s="10">
        <v>1586008960</v>
      </c>
      <c r="BJ79" s="10">
        <v>1698843008</v>
      </c>
    </row>
    <row r="80" spans="1:62" x14ac:dyDescent="0.45">
      <c r="A80" t="s">
        <v>27</v>
      </c>
      <c r="B80" t="s">
        <v>151</v>
      </c>
      <c r="C80" s="10">
        <v>322009472</v>
      </c>
      <c r="D80" s="10">
        <v>327834688</v>
      </c>
      <c r="E80" s="10">
        <v>342721568</v>
      </c>
      <c r="F80" s="10">
        <v>348546944</v>
      </c>
      <c r="G80" s="10">
        <v>371848128</v>
      </c>
      <c r="H80" s="10">
        <v>359379872</v>
      </c>
      <c r="I80" s="10">
        <v>375479840</v>
      </c>
      <c r="J80" s="10">
        <v>348795296</v>
      </c>
      <c r="K80" s="10">
        <v>329860096</v>
      </c>
      <c r="L80" s="10">
        <v>408690176</v>
      </c>
      <c r="M80" s="10">
        <v>434410368</v>
      </c>
      <c r="N80" s="10">
        <v>419549440</v>
      </c>
      <c r="O80" s="10">
        <v>465381088</v>
      </c>
      <c r="P80" s="10">
        <v>575230208</v>
      </c>
      <c r="Q80" s="10">
        <v>648590656</v>
      </c>
      <c r="R80" s="10">
        <v>679335872</v>
      </c>
      <c r="S80" s="10">
        <v>594895680</v>
      </c>
      <c r="T80" s="10">
        <v>691777728</v>
      </c>
      <c r="U80" s="10">
        <v>960728320</v>
      </c>
      <c r="V80" s="10">
        <v>1109374720</v>
      </c>
      <c r="W80" s="10">
        <v>1100685824</v>
      </c>
      <c r="X80" s="10">
        <v>1114830464</v>
      </c>
      <c r="Y80" s="10">
        <v>1295361920</v>
      </c>
      <c r="Z80" s="10">
        <v>995104320</v>
      </c>
      <c r="AA80" s="10">
        <v>1087471872</v>
      </c>
      <c r="AB80" s="10">
        <v>856890496</v>
      </c>
      <c r="AC80" s="10">
        <v>490181472</v>
      </c>
      <c r="AD80" s="10">
        <v>701307584</v>
      </c>
      <c r="AE80" s="10">
        <v>1055083968</v>
      </c>
      <c r="AF80" s="10">
        <v>932974400</v>
      </c>
      <c r="AG80" s="10">
        <v>649644800</v>
      </c>
      <c r="AH80" s="10">
        <v>779981440</v>
      </c>
      <c r="AI80" s="10">
        <v>679998016</v>
      </c>
      <c r="AJ80" s="10">
        <v>768812352</v>
      </c>
      <c r="AK80" s="10">
        <v>911915968</v>
      </c>
      <c r="AL80" s="10">
        <v>870758720</v>
      </c>
      <c r="AM80" s="10">
        <v>941742144</v>
      </c>
      <c r="AN80" s="10">
        <v>850218048</v>
      </c>
      <c r="AO80" s="10">
        <v>672375936</v>
      </c>
      <c r="AP80" s="10">
        <v>669384768</v>
      </c>
      <c r="AQ80" s="10">
        <v>635873984</v>
      </c>
      <c r="AR80" s="10">
        <v>1090467712</v>
      </c>
      <c r="AS80" s="10">
        <v>1253340544</v>
      </c>
      <c r="AT80" s="10">
        <v>1385810048</v>
      </c>
      <c r="AU80" s="10">
        <v>1448536576</v>
      </c>
      <c r="AV80" s="10">
        <v>1650494336</v>
      </c>
      <c r="AW80" s="10">
        <v>1885112192</v>
      </c>
      <c r="AX80" s="10">
        <v>2158496768</v>
      </c>
      <c r="AY80" s="10">
        <v>2505458688</v>
      </c>
      <c r="AZ80" s="10">
        <v>2453899776</v>
      </c>
      <c r="BA80" s="10">
        <v>2578026240</v>
      </c>
      <c r="BB80" s="10">
        <v>2942546688</v>
      </c>
      <c r="BC80" s="10">
        <v>3801862656</v>
      </c>
      <c r="BD80" s="10">
        <v>4920343040</v>
      </c>
      <c r="BE80" s="10">
        <v>5015157760</v>
      </c>
      <c r="BF80" s="10">
        <v>4218723840</v>
      </c>
      <c r="BG80" s="10">
        <v>3674794496</v>
      </c>
      <c r="BH80" s="10">
        <v>3739577856</v>
      </c>
      <c r="BI80" s="10">
        <v>4085114880</v>
      </c>
      <c r="BJ80" s="10">
        <v>3941474304</v>
      </c>
    </row>
    <row r="81" spans="1:62" x14ac:dyDescent="0.45">
      <c r="A81" t="s">
        <v>27</v>
      </c>
      <c r="B81" t="s">
        <v>152</v>
      </c>
      <c r="C81" s="10">
        <v>7575396864</v>
      </c>
      <c r="D81" s="10">
        <v>7972996608</v>
      </c>
      <c r="E81" s="10">
        <v>8497996800</v>
      </c>
      <c r="F81" s="10">
        <v>9423395840</v>
      </c>
      <c r="G81" s="10">
        <v>10373995520</v>
      </c>
      <c r="H81" s="10">
        <v>11334395904</v>
      </c>
      <c r="I81" s="10">
        <v>12354995200</v>
      </c>
      <c r="J81" s="10">
        <v>13777394688</v>
      </c>
      <c r="K81" s="10">
        <v>14894594048</v>
      </c>
      <c r="L81" s="10">
        <v>16780393472</v>
      </c>
      <c r="M81" s="10">
        <v>18418393088</v>
      </c>
      <c r="N81" s="10">
        <v>20333690880</v>
      </c>
      <c r="O81" s="10">
        <v>21357436928</v>
      </c>
      <c r="P81" s="10">
        <v>29295675392</v>
      </c>
      <c r="Q81" s="10">
        <v>36807720960</v>
      </c>
      <c r="R81" s="10">
        <v>38114541568</v>
      </c>
      <c r="S81" s="10">
        <v>36603351040</v>
      </c>
      <c r="T81" s="10">
        <v>40651350016</v>
      </c>
      <c r="U81" s="10">
        <v>46739451904</v>
      </c>
      <c r="V81" s="10">
        <v>57645719552</v>
      </c>
      <c r="W81" s="10">
        <v>82980487168</v>
      </c>
      <c r="X81" s="10">
        <v>85454422016</v>
      </c>
      <c r="Y81" s="10">
        <v>78423056384</v>
      </c>
      <c r="Z81" s="10">
        <v>87415848960</v>
      </c>
      <c r="AA81" s="10">
        <v>77344096256</v>
      </c>
      <c r="AB81" s="10">
        <v>59082637312</v>
      </c>
      <c r="AC81" s="10">
        <v>67521601536</v>
      </c>
      <c r="AD81" s="10">
        <v>88573698048</v>
      </c>
      <c r="AE81" s="10">
        <v>95176638464</v>
      </c>
      <c r="AF81" s="10">
        <v>99030859776</v>
      </c>
      <c r="AG81" s="10">
        <v>115552346112</v>
      </c>
      <c r="AH81" s="10">
        <v>123942756352</v>
      </c>
      <c r="AI81" s="10">
        <v>134544564224</v>
      </c>
      <c r="AJ81" s="10">
        <v>134308052992</v>
      </c>
      <c r="AK81" s="10">
        <v>139752521728</v>
      </c>
      <c r="AL81" s="10">
        <v>155460927488</v>
      </c>
      <c r="AM81" s="10">
        <v>147606290432</v>
      </c>
      <c r="AN81" s="10">
        <v>152587419648</v>
      </c>
      <c r="AO81" s="10">
        <v>137774759936</v>
      </c>
      <c r="AP81" s="10">
        <v>136632320000</v>
      </c>
      <c r="AQ81" s="10">
        <v>136361295872</v>
      </c>
      <c r="AR81" s="10">
        <v>121514655744</v>
      </c>
      <c r="AS81" s="10">
        <v>115482370048</v>
      </c>
      <c r="AT81" s="10">
        <v>175256911872</v>
      </c>
      <c r="AU81" s="10">
        <v>228590026752</v>
      </c>
      <c r="AV81" s="10">
        <v>257772716032</v>
      </c>
      <c r="AW81" s="10">
        <v>271638478848</v>
      </c>
      <c r="AX81" s="10">
        <v>299415502848</v>
      </c>
      <c r="AY81" s="10">
        <v>286769840128</v>
      </c>
      <c r="AZ81" s="10">
        <v>295936491520</v>
      </c>
      <c r="BA81" s="10">
        <v>375349444608</v>
      </c>
      <c r="BB81" s="10">
        <v>416418889728</v>
      </c>
      <c r="BC81" s="10">
        <v>396332695552</v>
      </c>
      <c r="BD81" s="10">
        <v>366829404160</v>
      </c>
      <c r="BE81" s="10">
        <v>350904582144</v>
      </c>
      <c r="BF81" s="10">
        <v>317620518912</v>
      </c>
      <c r="BG81" s="10">
        <v>296357298176</v>
      </c>
      <c r="BH81" s="10">
        <v>349554114560</v>
      </c>
      <c r="BI81" s="10">
        <v>368288923648</v>
      </c>
      <c r="BJ81" s="10">
        <v>351431655424</v>
      </c>
    </row>
    <row r="82" spans="1:62" x14ac:dyDescent="0.45">
      <c r="A82" t="s">
        <v>27</v>
      </c>
      <c r="B82" t="s">
        <v>153</v>
      </c>
      <c r="C82" s="10">
        <v>1307333376</v>
      </c>
      <c r="D82" s="10">
        <v>1419333376</v>
      </c>
      <c r="E82" s="10">
        <v>1541666688</v>
      </c>
      <c r="F82" s="10">
        <v>1568333312</v>
      </c>
      <c r="G82" s="10">
        <v>1611333376</v>
      </c>
      <c r="H82" s="10">
        <v>1679333376</v>
      </c>
      <c r="I82" s="10">
        <v>1723000064</v>
      </c>
      <c r="J82" s="10">
        <v>1865666688</v>
      </c>
      <c r="K82" s="10">
        <v>1947333376</v>
      </c>
      <c r="L82" s="10">
        <v>2144333312</v>
      </c>
      <c r="M82" s="10">
        <v>2437666560</v>
      </c>
      <c r="N82" s="10">
        <v>2656000000</v>
      </c>
      <c r="O82" s="10">
        <v>2881999872</v>
      </c>
      <c r="P82" s="10">
        <v>3571666688</v>
      </c>
      <c r="Q82" s="10">
        <v>4594999808</v>
      </c>
      <c r="R82" s="10">
        <v>5598000128</v>
      </c>
      <c r="S82" s="10">
        <v>6979333120</v>
      </c>
      <c r="T82" s="10">
        <v>8704000000</v>
      </c>
      <c r="U82" s="10">
        <v>7670499840</v>
      </c>
      <c r="V82" s="10">
        <v>9032250368</v>
      </c>
      <c r="W82" s="10">
        <v>7459833344</v>
      </c>
      <c r="X82" s="10">
        <v>10016499712</v>
      </c>
      <c r="Y82" s="10">
        <v>9240000512</v>
      </c>
      <c r="Z82" s="10">
        <v>8230153728</v>
      </c>
      <c r="AA82" s="10">
        <v>9701357568</v>
      </c>
      <c r="AB82" s="10">
        <v>12403733504</v>
      </c>
      <c r="AC82" s="10">
        <v>15769062400</v>
      </c>
      <c r="AD82" s="10">
        <v>20155555840</v>
      </c>
      <c r="AE82" s="10">
        <v>15399166976</v>
      </c>
      <c r="AF82" s="10">
        <v>15291507712</v>
      </c>
      <c r="AG82" s="10">
        <v>12408647680</v>
      </c>
      <c r="AH82" s="10">
        <v>11379222528</v>
      </c>
      <c r="AI82" s="10">
        <v>7034219520</v>
      </c>
      <c r="AJ82" s="10">
        <v>8881785856</v>
      </c>
      <c r="AK82" s="10">
        <v>12794191872</v>
      </c>
      <c r="AL82" s="10">
        <v>13829744640</v>
      </c>
      <c r="AM82" s="10">
        <v>9018243072</v>
      </c>
      <c r="AN82" s="10">
        <v>11681495040</v>
      </c>
      <c r="AO82" s="10">
        <v>11250327552</v>
      </c>
      <c r="AP82" s="10">
        <v>10682045440</v>
      </c>
      <c r="AQ82" s="10">
        <v>12257418240</v>
      </c>
      <c r="AR82" s="10">
        <v>13182980096</v>
      </c>
      <c r="AS82" s="10">
        <v>14803188736</v>
      </c>
      <c r="AT82" s="10">
        <v>17646503936</v>
      </c>
      <c r="AU82" s="10">
        <v>21457469440</v>
      </c>
      <c r="AV82" s="10">
        <v>26524538880</v>
      </c>
      <c r="AW82" s="10">
        <v>35822407680</v>
      </c>
      <c r="AX82" s="10">
        <v>45898948608</v>
      </c>
      <c r="AY82" s="10">
        <v>54526578688</v>
      </c>
      <c r="AZ82" s="10">
        <v>49957203968</v>
      </c>
      <c r="BA82" s="10">
        <v>61739814912</v>
      </c>
      <c r="BB82" s="10">
        <v>57891983360</v>
      </c>
      <c r="BC82" s="10">
        <v>52766720000</v>
      </c>
      <c r="BD82" s="10">
        <v>57730424832</v>
      </c>
      <c r="BE82" s="10">
        <v>64941776896</v>
      </c>
      <c r="BF82" s="10">
        <v>74294468608</v>
      </c>
      <c r="BG82" s="10">
        <v>51772231680</v>
      </c>
      <c r="BH82" s="10">
        <v>45379129344</v>
      </c>
      <c r="BI82" s="10">
        <v>26078607360</v>
      </c>
      <c r="BJ82" s="10">
        <v>18902284288</v>
      </c>
    </row>
    <row r="83" spans="1:62" x14ac:dyDescent="0.45">
      <c r="A83" t="s">
        <v>27</v>
      </c>
      <c r="B83" t="s">
        <v>154</v>
      </c>
      <c r="C83" s="10">
        <v>99650000</v>
      </c>
      <c r="D83" s="10">
        <v>107700000</v>
      </c>
      <c r="E83" s="10">
        <v>116150000</v>
      </c>
      <c r="F83" s="10">
        <v>125950000</v>
      </c>
      <c r="G83" s="10">
        <v>134400000</v>
      </c>
      <c r="H83" s="10">
        <v>154150000</v>
      </c>
      <c r="I83" s="10">
        <v>190350000</v>
      </c>
      <c r="J83" s="10">
        <v>220700000</v>
      </c>
      <c r="K83" s="10">
        <v>241350000</v>
      </c>
      <c r="L83" s="10">
        <v>259650000</v>
      </c>
      <c r="M83" s="10">
        <v>274900000</v>
      </c>
      <c r="N83" s="10">
        <v>301000000</v>
      </c>
      <c r="O83" s="10">
        <v>311950016</v>
      </c>
      <c r="P83" s="10">
        <v>339449984</v>
      </c>
      <c r="Q83" s="10">
        <v>409849984</v>
      </c>
      <c r="R83" s="10">
        <v>465500000</v>
      </c>
      <c r="S83" s="10">
        <v>505500000</v>
      </c>
      <c r="T83" s="10">
        <v>641500032</v>
      </c>
      <c r="U83" s="10">
        <v>735500032</v>
      </c>
      <c r="V83" s="10">
        <v>782499968</v>
      </c>
      <c r="W83" s="10">
        <v>795000000</v>
      </c>
      <c r="X83" s="10">
        <v>889000000</v>
      </c>
      <c r="Y83" s="10">
        <v>915000000</v>
      </c>
      <c r="Z83" s="10">
        <v>883500032</v>
      </c>
      <c r="AA83" s="10">
        <v>864000000</v>
      </c>
      <c r="AB83" s="10">
        <v>873000000</v>
      </c>
      <c r="AC83" s="10">
        <v>891000000</v>
      </c>
      <c r="AD83" s="10">
        <v>980000000</v>
      </c>
      <c r="AE83" s="10">
        <v>1160999936</v>
      </c>
      <c r="AF83" s="10">
        <v>542600000</v>
      </c>
      <c r="AG83" s="10">
        <v>388400000</v>
      </c>
      <c r="AH83" s="10">
        <v>448100000</v>
      </c>
      <c r="AI83" s="10">
        <v>404600000</v>
      </c>
      <c r="AJ83" s="10">
        <v>428764704</v>
      </c>
      <c r="AK83" s="10">
        <v>605492544</v>
      </c>
      <c r="AL83" s="10">
        <v>691590528</v>
      </c>
      <c r="AM83" s="10">
        <v>861411456</v>
      </c>
      <c r="AN83" s="10">
        <v>926422528</v>
      </c>
      <c r="AO83" s="10">
        <v>1110850048</v>
      </c>
      <c r="AP83" s="10">
        <v>886290688</v>
      </c>
      <c r="AQ83" s="10">
        <v>947672000</v>
      </c>
      <c r="AR83" s="10">
        <v>834279360</v>
      </c>
      <c r="AS83" s="10">
        <v>1093574528</v>
      </c>
      <c r="AT83" s="10">
        <v>1274190336</v>
      </c>
      <c r="AU83" s="10">
        <v>1484092544</v>
      </c>
      <c r="AV83" s="10">
        <v>1793388672</v>
      </c>
      <c r="AW83" s="10">
        <v>2626380544</v>
      </c>
      <c r="AX83" s="10">
        <v>2936612096</v>
      </c>
      <c r="AY83" s="10">
        <v>3532968960</v>
      </c>
      <c r="AZ83" s="10">
        <v>3875409920</v>
      </c>
      <c r="BA83" s="10">
        <v>4368397824</v>
      </c>
      <c r="BB83" s="10">
        <v>4422276608</v>
      </c>
      <c r="BC83" s="10">
        <v>4979999744</v>
      </c>
      <c r="BD83" s="10">
        <v>5145757696</v>
      </c>
      <c r="BE83" s="10">
        <v>5240606208</v>
      </c>
      <c r="BF83" s="10">
        <v>4787367936</v>
      </c>
      <c r="BG83" s="10">
        <v>3128953600</v>
      </c>
      <c r="BH83" s="10">
        <v>3210064384</v>
      </c>
      <c r="BI83" s="10">
        <v>3458090496</v>
      </c>
      <c r="BJ83" s="10">
        <v>3985250816</v>
      </c>
    </row>
    <row r="84" spans="1:62" x14ac:dyDescent="0.45">
      <c r="A84" t="s">
        <v>27</v>
      </c>
      <c r="B84" t="s">
        <v>155</v>
      </c>
      <c r="C84" s="10">
        <v>2760747520</v>
      </c>
      <c r="D84" s="10">
        <v>3034043648</v>
      </c>
      <c r="E84" s="10">
        <v>3308912896</v>
      </c>
      <c r="F84" s="10">
        <v>3540403456</v>
      </c>
      <c r="G84" s="10">
        <v>3889129984</v>
      </c>
      <c r="H84" s="10">
        <v>4388937728</v>
      </c>
      <c r="I84" s="10">
        <v>5279230976</v>
      </c>
      <c r="J84" s="10">
        <v>5638461440</v>
      </c>
      <c r="K84" s="10">
        <v>6081009664</v>
      </c>
      <c r="L84" s="10">
        <v>6695336448</v>
      </c>
      <c r="M84" s="10">
        <v>7086538240</v>
      </c>
      <c r="N84" s="10">
        <v>7375000064</v>
      </c>
      <c r="O84" s="10">
        <v>8177884672</v>
      </c>
      <c r="P84" s="10">
        <v>10838587392</v>
      </c>
      <c r="Q84" s="10">
        <v>13703000064</v>
      </c>
      <c r="R84" s="10">
        <v>14882748416</v>
      </c>
      <c r="S84" s="10">
        <v>16985210880</v>
      </c>
      <c r="T84" s="10">
        <v>19779315712</v>
      </c>
      <c r="U84" s="10">
        <v>24006569984</v>
      </c>
      <c r="V84" s="10">
        <v>27371698176</v>
      </c>
      <c r="W84" s="10">
        <v>32353439744</v>
      </c>
      <c r="X84" s="10">
        <v>34846109696</v>
      </c>
      <c r="Y84" s="10">
        <v>36589797376</v>
      </c>
      <c r="Z84" s="10">
        <v>40042827776</v>
      </c>
      <c r="AA84" s="10">
        <v>41797591040</v>
      </c>
      <c r="AB84" s="10">
        <v>38900690944</v>
      </c>
      <c r="AC84" s="10">
        <v>43096748032</v>
      </c>
      <c r="AD84" s="10">
        <v>50535440384</v>
      </c>
      <c r="AE84" s="10">
        <v>61667201024</v>
      </c>
      <c r="AF84" s="10">
        <v>72250875904</v>
      </c>
      <c r="AG84" s="10">
        <v>85343059968</v>
      </c>
      <c r="AH84" s="10">
        <v>98234695680</v>
      </c>
      <c r="AI84" s="10">
        <v>111452872704</v>
      </c>
      <c r="AJ84" s="10">
        <v>128889315328</v>
      </c>
      <c r="AK84" s="10">
        <v>146683494400</v>
      </c>
      <c r="AL84" s="10">
        <v>169278750720</v>
      </c>
      <c r="AM84" s="10">
        <v>183035117568</v>
      </c>
      <c r="AN84" s="10">
        <v>150180626432</v>
      </c>
      <c r="AO84" s="10">
        <v>113675558912</v>
      </c>
      <c r="AP84" s="10">
        <v>126669062144</v>
      </c>
      <c r="AQ84" s="10">
        <v>126392229888</v>
      </c>
      <c r="AR84" s="10">
        <v>120296472576</v>
      </c>
      <c r="AS84" s="10">
        <v>134300852224</v>
      </c>
      <c r="AT84" s="10">
        <v>152280678400</v>
      </c>
      <c r="AU84" s="10">
        <v>172895748096</v>
      </c>
      <c r="AV84" s="10">
        <v>189318545408</v>
      </c>
      <c r="AW84" s="10">
        <v>221758193664</v>
      </c>
      <c r="AX84" s="10">
        <v>262942474240</v>
      </c>
      <c r="AY84" s="10">
        <v>291382984704</v>
      </c>
      <c r="AZ84" s="10">
        <v>281710428160</v>
      </c>
      <c r="BA84" s="10">
        <v>341104820224</v>
      </c>
      <c r="BB84" s="10">
        <v>370819137536</v>
      </c>
      <c r="BC84" s="10">
        <v>397558218752</v>
      </c>
      <c r="BD84" s="10">
        <v>420333191168</v>
      </c>
      <c r="BE84" s="10">
        <v>407339368448</v>
      </c>
      <c r="BF84" s="10">
        <v>401295933440</v>
      </c>
      <c r="BG84" s="10">
        <v>413430120448</v>
      </c>
      <c r="BH84" s="10">
        <v>456294694912</v>
      </c>
      <c r="BI84" s="10">
        <v>506514112512</v>
      </c>
      <c r="BJ84" s="10">
        <v>543649988608</v>
      </c>
    </row>
    <row r="85" spans="1:62" x14ac:dyDescent="0.45">
      <c r="A85" t="s">
        <v>27</v>
      </c>
      <c r="B85" t="s">
        <v>156</v>
      </c>
      <c r="C85" s="10">
        <v>121128072</v>
      </c>
      <c r="D85" s="10">
        <v>126396472</v>
      </c>
      <c r="E85" s="10">
        <v>132237440</v>
      </c>
      <c r="F85" s="10">
        <v>143255792</v>
      </c>
      <c r="G85" s="10">
        <v>166104064</v>
      </c>
      <c r="H85" s="10">
        <v>187300336</v>
      </c>
      <c r="I85" s="10">
        <v>216136256</v>
      </c>
      <c r="J85" s="10">
        <v>231706480</v>
      </c>
      <c r="K85" s="10">
        <v>241956912</v>
      </c>
      <c r="L85" s="10">
        <v>267732448</v>
      </c>
      <c r="M85" s="10">
        <v>253976624</v>
      </c>
      <c r="N85" s="10">
        <v>286537536</v>
      </c>
      <c r="O85" s="10">
        <v>335677632</v>
      </c>
      <c r="P85" s="10">
        <v>406479904</v>
      </c>
      <c r="Q85" s="10">
        <v>560437760</v>
      </c>
      <c r="R85" s="10">
        <v>617321664</v>
      </c>
      <c r="S85" s="10">
        <v>619375104</v>
      </c>
      <c r="T85" s="10">
        <v>777435008</v>
      </c>
      <c r="U85" s="10">
        <v>824263872</v>
      </c>
      <c r="V85" s="10">
        <v>891775936</v>
      </c>
      <c r="W85" s="10">
        <v>1136408832</v>
      </c>
      <c r="X85" s="10">
        <v>962347008</v>
      </c>
      <c r="Y85" s="10">
        <v>821651904</v>
      </c>
      <c r="Z85" s="10">
        <v>765746560</v>
      </c>
      <c r="AA85" s="10">
        <v>718148928</v>
      </c>
      <c r="AB85" s="10">
        <v>762359744</v>
      </c>
      <c r="AC85" s="10">
        <v>1060911744</v>
      </c>
      <c r="AD85" s="10">
        <v>1249099136</v>
      </c>
      <c r="AE85" s="10">
        <v>1378847488</v>
      </c>
      <c r="AF85" s="10">
        <v>1352949632</v>
      </c>
      <c r="AG85" s="10">
        <v>1628427520</v>
      </c>
      <c r="AH85" s="10">
        <v>1602299904</v>
      </c>
      <c r="AI85" s="10">
        <v>1692959104</v>
      </c>
      <c r="AJ85" s="10">
        <v>1233496832</v>
      </c>
      <c r="AK85" s="10">
        <v>982624320</v>
      </c>
      <c r="AL85" s="10">
        <v>1309382912</v>
      </c>
      <c r="AM85" s="10">
        <v>1465448320</v>
      </c>
      <c r="AN85" s="10">
        <v>1498950912</v>
      </c>
      <c r="AO85" s="10">
        <v>1587345920</v>
      </c>
      <c r="AP85" s="10">
        <v>1576094592</v>
      </c>
      <c r="AQ85" s="10">
        <v>1488185728</v>
      </c>
      <c r="AR85" s="10">
        <v>1481141888</v>
      </c>
      <c r="AS85" s="10">
        <v>1698678656</v>
      </c>
      <c r="AT85" s="10">
        <v>2111093248</v>
      </c>
      <c r="AU85" s="10">
        <v>2255942144</v>
      </c>
      <c r="AV85" s="10">
        <v>2280575744</v>
      </c>
      <c r="AW85" s="10">
        <v>2349495552</v>
      </c>
      <c r="AX85" s="10">
        <v>2659095040</v>
      </c>
      <c r="AY85" s="10">
        <v>3310277888</v>
      </c>
      <c r="AZ85" s="10">
        <v>3365711872</v>
      </c>
      <c r="BA85" s="10">
        <v>3429461504</v>
      </c>
      <c r="BB85" s="10">
        <v>3872459264</v>
      </c>
      <c r="BC85" s="10">
        <v>3873308416</v>
      </c>
      <c r="BD85" s="10">
        <v>4321655808</v>
      </c>
      <c r="BE85" s="10">
        <v>4574986752</v>
      </c>
      <c r="BF85" s="10">
        <v>4180866304</v>
      </c>
      <c r="BG85" s="10">
        <v>4486979072</v>
      </c>
      <c r="BH85" s="10">
        <v>4819950080</v>
      </c>
      <c r="BI85" s="10">
        <v>5356344832</v>
      </c>
      <c r="BJ85" s="10">
        <v>5459979264</v>
      </c>
    </row>
    <row r="86" spans="1:62" x14ac:dyDescent="0.45">
      <c r="A86" t="s">
        <v>27</v>
      </c>
      <c r="B86" t="s">
        <v>157</v>
      </c>
      <c r="C86" s="10">
        <v>535670112</v>
      </c>
      <c r="D86" s="10">
        <v>584961216</v>
      </c>
      <c r="E86" s="10">
        <v>619319168</v>
      </c>
      <c r="F86" s="10">
        <v>678235392</v>
      </c>
      <c r="G86" s="10">
        <v>711893376</v>
      </c>
      <c r="H86" s="10">
        <v>736568832</v>
      </c>
      <c r="I86" s="10">
        <v>723735616</v>
      </c>
      <c r="J86" s="10">
        <v>761981504</v>
      </c>
      <c r="K86" s="10">
        <v>758899968</v>
      </c>
      <c r="L86" s="10">
        <v>779200000</v>
      </c>
      <c r="M86" s="10">
        <v>821849984</v>
      </c>
      <c r="N86" s="10">
        <v>896754304</v>
      </c>
      <c r="O86" s="10">
        <v>1083380992</v>
      </c>
      <c r="P86" s="10">
        <v>1308799488</v>
      </c>
      <c r="Q86" s="10">
        <v>2042031872</v>
      </c>
      <c r="R86" s="10">
        <v>2442667520</v>
      </c>
      <c r="S86" s="10">
        <v>2500410624</v>
      </c>
      <c r="T86" s="10">
        <v>3138666752</v>
      </c>
      <c r="U86" s="10">
        <v>3562333440</v>
      </c>
      <c r="V86" s="10">
        <v>4602416640</v>
      </c>
      <c r="W86" s="10">
        <v>6235833344</v>
      </c>
      <c r="X86" s="10">
        <v>6992083456</v>
      </c>
      <c r="Y86" s="10">
        <v>8140416512</v>
      </c>
      <c r="Z86" s="10">
        <v>7763749888</v>
      </c>
      <c r="AA86" s="10">
        <v>7757083136</v>
      </c>
      <c r="AB86" s="10">
        <v>7375918592</v>
      </c>
      <c r="AC86" s="10">
        <v>4794444288</v>
      </c>
      <c r="AD86" s="10">
        <v>4797777920</v>
      </c>
      <c r="AE86" s="10">
        <v>4496851968</v>
      </c>
      <c r="AF86" s="10">
        <v>4323058688</v>
      </c>
      <c r="AG86" s="10">
        <v>5068000256</v>
      </c>
      <c r="AH86" s="10">
        <v>5307906048</v>
      </c>
      <c r="AI86" s="10">
        <v>5439553024</v>
      </c>
      <c r="AJ86" s="10">
        <v>4669488640</v>
      </c>
      <c r="AK86" s="10">
        <v>4947205632</v>
      </c>
      <c r="AL86" s="10">
        <v>5329213952</v>
      </c>
      <c r="AM86" s="10">
        <v>5759537664</v>
      </c>
      <c r="AN86" s="10">
        <v>5737751552</v>
      </c>
      <c r="AO86" s="10">
        <v>6043694080</v>
      </c>
      <c r="AP86" s="10">
        <v>6808982528</v>
      </c>
      <c r="AQ86" s="10">
        <v>8154338304</v>
      </c>
      <c r="AR86" s="10">
        <v>8824872960</v>
      </c>
      <c r="AS86" s="10">
        <v>9008273408</v>
      </c>
      <c r="AT86" s="10">
        <v>11305459712</v>
      </c>
      <c r="AU86" s="10">
        <v>13280275456</v>
      </c>
      <c r="AV86" s="10">
        <v>15982282752</v>
      </c>
      <c r="AW86" s="10">
        <v>18369361920</v>
      </c>
      <c r="AX86" s="10">
        <v>21641619456</v>
      </c>
      <c r="AY86" s="10">
        <v>27871588352</v>
      </c>
      <c r="AZ86" s="10">
        <v>19172165632</v>
      </c>
      <c r="BA86" s="10">
        <v>22157948928</v>
      </c>
      <c r="BB86" s="10">
        <v>25433012224</v>
      </c>
      <c r="BC86" s="10">
        <v>25763219456</v>
      </c>
      <c r="BD86" s="10">
        <v>27268478976</v>
      </c>
      <c r="BE86" s="10">
        <v>27615842304</v>
      </c>
      <c r="BF86" s="10">
        <v>25062893568</v>
      </c>
      <c r="BG86" s="10">
        <v>22284779520</v>
      </c>
      <c r="BH86" s="10">
        <v>22474827776</v>
      </c>
      <c r="BI86" s="10">
        <v>23808147456</v>
      </c>
      <c r="BJ86" s="10">
        <v>24100202496</v>
      </c>
    </row>
    <row r="87" spans="1:62" x14ac:dyDescent="0.45">
      <c r="A87" t="s">
        <v>27</v>
      </c>
      <c r="B87" t="s">
        <v>158</v>
      </c>
      <c r="C87" s="10">
        <v>13995067392</v>
      </c>
      <c r="D87" s="10">
        <v>7988889088</v>
      </c>
      <c r="E87" s="10">
        <v>8922222592</v>
      </c>
      <c r="F87" s="10">
        <v>10355555328</v>
      </c>
      <c r="G87" s="10">
        <v>11177778176</v>
      </c>
      <c r="H87" s="10">
        <v>11966666752</v>
      </c>
      <c r="I87" s="10">
        <v>14099999744</v>
      </c>
      <c r="J87" s="10">
        <v>15644444672</v>
      </c>
      <c r="K87" s="10">
        <v>17500000256</v>
      </c>
      <c r="L87" s="10">
        <v>19466665984</v>
      </c>
      <c r="M87" s="10">
        <v>17086956544</v>
      </c>
      <c r="N87" s="10">
        <v>16256619520</v>
      </c>
      <c r="O87" s="10">
        <v>20431095808</v>
      </c>
      <c r="P87" s="10">
        <v>25724381184</v>
      </c>
      <c r="Q87" s="10">
        <v>35599912960</v>
      </c>
      <c r="R87" s="10">
        <v>44633706496</v>
      </c>
      <c r="S87" s="10">
        <v>51280134144</v>
      </c>
      <c r="T87" s="10">
        <v>58676813824</v>
      </c>
      <c r="U87" s="10">
        <v>65147023360</v>
      </c>
      <c r="V87" s="10">
        <v>89394085888</v>
      </c>
      <c r="W87" s="10">
        <v>68789288960</v>
      </c>
      <c r="X87" s="10">
        <v>71040016384</v>
      </c>
      <c r="Y87" s="10">
        <v>64546332672</v>
      </c>
      <c r="Z87" s="10">
        <v>61678280704</v>
      </c>
      <c r="AA87" s="10">
        <v>59989909504</v>
      </c>
      <c r="AB87" s="10">
        <v>67234947072</v>
      </c>
      <c r="AC87" s="10">
        <v>75728011264</v>
      </c>
      <c r="AD87" s="10">
        <v>87172792320</v>
      </c>
      <c r="AE87" s="10">
        <v>90852810752</v>
      </c>
      <c r="AF87" s="10">
        <v>107143348224</v>
      </c>
      <c r="AG87" s="10">
        <v>150676291584</v>
      </c>
      <c r="AH87" s="10">
        <v>150027829248</v>
      </c>
      <c r="AI87" s="10">
        <v>158459133952</v>
      </c>
      <c r="AJ87" s="10">
        <v>180169736192</v>
      </c>
      <c r="AK87" s="10">
        <v>130690170880</v>
      </c>
      <c r="AL87" s="10">
        <v>169485942784</v>
      </c>
      <c r="AM87" s="10">
        <v>181475557376</v>
      </c>
      <c r="AN87" s="10">
        <v>189834641408</v>
      </c>
      <c r="AO87" s="10">
        <v>275768705024</v>
      </c>
      <c r="AP87" s="10">
        <v>255884296192</v>
      </c>
      <c r="AQ87" s="10">
        <v>272979394560</v>
      </c>
      <c r="AR87" s="10">
        <v>200251932672</v>
      </c>
      <c r="AS87" s="10">
        <v>238428127232</v>
      </c>
      <c r="AT87" s="10">
        <v>311823007744</v>
      </c>
      <c r="AU87" s="10">
        <v>404786741248</v>
      </c>
      <c r="AV87" s="10">
        <v>501416296448</v>
      </c>
      <c r="AW87" s="10">
        <v>552486895616</v>
      </c>
      <c r="AX87" s="10">
        <v>675770138624</v>
      </c>
      <c r="AY87" s="10">
        <v>764335685632</v>
      </c>
      <c r="AZ87" s="10">
        <v>644639883264</v>
      </c>
      <c r="BA87" s="10">
        <v>771901751296</v>
      </c>
      <c r="BB87" s="10">
        <v>832523665408</v>
      </c>
      <c r="BC87" s="10">
        <v>873982263296</v>
      </c>
      <c r="BD87" s="10">
        <v>950579429376</v>
      </c>
      <c r="BE87" s="10">
        <v>934185926656</v>
      </c>
      <c r="BF87" s="10">
        <v>859796865024</v>
      </c>
      <c r="BG87" s="10">
        <v>863721619456</v>
      </c>
      <c r="BH87" s="10">
        <v>852676771840</v>
      </c>
      <c r="BI87" s="10">
        <v>771350331392</v>
      </c>
      <c r="BJ87" s="10">
        <v>754411700224</v>
      </c>
    </row>
    <row r="88" spans="1:62" x14ac:dyDescent="0.45">
      <c r="A88" t="s">
        <v>27</v>
      </c>
      <c r="B88" t="s">
        <v>159</v>
      </c>
      <c r="C88" s="10">
        <v>1242289280</v>
      </c>
      <c r="D88" s="10">
        <v>1547388800</v>
      </c>
      <c r="E88" s="10">
        <v>1710004352</v>
      </c>
      <c r="F88" s="10">
        <v>1539681536</v>
      </c>
      <c r="G88" s="10">
        <v>1975701760</v>
      </c>
      <c r="H88" s="10">
        <v>1890769280</v>
      </c>
      <c r="I88" s="10">
        <v>1809184000</v>
      </c>
      <c r="J88" s="10">
        <v>1597721088</v>
      </c>
      <c r="K88" s="10">
        <v>1593675392</v>
      </c>
      <c r="L88" s="10">
        <v>2004435456</v>
      </c>
      <c r="M88" s="10">
        <v>2137096832</v>
      </c>
      <c r="N88" s="10">
        <v>2807258112</v>
      </c>
      <c r="O88" s="10">
        <v>2189417984</v>
      </c>
      <c r="P88" s="10">
        <v>3964295680</v>
      </c>
      <c r="Q88" s="10">
        <v>4090209792</v>
      </c>
      <c r="R88" s="10">
        <v>3538283264</v>
      </c>
      <c r="S88" s="10">
        <v>3667161344</v>
      </c>
      <c r="T88" s="10">
        <v>4114667008</v>
      </c>
      <c r="U88" s="10">
        <v>4910257152</v>
      </c>
      <c r="V88" s="10">
        <v>7181185024</v>
      </c>
      <c r="W88" s="10">
        <v>10163019776</v>
      </c>
      <c r="X88" s="10">
        <v>11048335360</v>
      </c>
      <c r="Y88" s="10">
        <v>9178802176</v>
      </c>
      <c r="Z88" s="10">
        <v>5102281216</v>
      </c>
      <c r="AA88" s="10">
        <v>4850241536</v>
      </c>
      <c r="AB88" s="10">
        <v>4732017664</v>
      </c>
      <c r="AC88" s="10">
        <v>5880112640</v>
      </c>
      <c r="AD88" s="10">
        <v>7367494144</v>
      </c>
      <c r="AE88" s="10">
        <v>8213515264</v>
      </c>
      <c r="AF88" s="10">
        <v>8438951424</v>
      </c>
      <c r="AG88" s="10">
        <v>9298839552</v>
      </c>
      <c r="AH88" s="10">
        <v>11205970944</v>
      </c>
      <c r="AI88" s="10">
        <v>12878199808</v>
      </c>
      <c r="AJ88" s="10">
        <v>15002106880</v>
      </c>
      <c r="AK88" s="10">
        <v>17474648064</v>
      </c>
      <c r="AL88" s="10">
        <v>19297662976</v>
      </c>
      <c r="AM88" s="10">
        <v>20515543040</v>
      </c>
      <c r="AN88" s="10">
        <v>23969822720</v>
      </c>
      <c r="AO88" s="10">
        <v>25385928704</v>
      </c>
      <c r="AP88" s="10">
        <v>23983945728</v>
      </c>
      <c r="AQ88" s="10">
        <v>22823256064</v>
      </c>
      <c r="AR88" s="10">
        <v>20898789376</v>
      </c>
      <c r="AS88" s="10">
        <v>13606494208</v>
      </c>
      <c r="AT88" s="10">
        <v>12045631488</v>
      </c>
      <c r="AU88" s="10">
        <v>13686330368</v>
      </c>
      <c r="AV88" s="10">
        <v>17362857984</v>
      </c>
      <c r="AW88" s="10">
        <v>19579457536</v>
      </c>
      <c r="AX88" s="10">
        <v>23410573312</v>
      </c>
      <c r="AY88" s="10">
        <v>30366212096</v>
      </c>
      <c r="AZ88" s="10">
        <v>31660910592</v>
      </c>
      <c r="BA88" s="10">
        <v>40284483584</v>
      </c>
      <c r="BB88" s="10">
        <v>47962439680</v>
      </c>
      <c r="BC88" s="10">
        <v>51264389120</v>
      </c>
      <c r="BD88" s="10">
        <v>57531232256</v>
      </c>
      <c r="BE88" s="10">
        <v>57236013056</v>
      </c>
      <c r="BF88" s="10">
        <v>53274304512</v>
      </c>
      <c r="BG88" s="10">
        <v>52687613952</v>
      </c>
      <c r="BH88" s="10">
        <v>59530088448</v>
      </c>
      <c r="BI88" s="10">
        <v>59596886016</v>
      </c>
      <c r="BJ88" s="10">
        <v>56045912064</v>
      </c>
    </row>
    <row r="89" spans="1:62" x14ac:dyDescent="0.45">
      <c r="A89" t="s">
        <v>27</v>
      </c>
      <c r="B89" t="s">
        <v>160</v>
      </c>
      <c r="C89" s="10">
        <v>713000000</v>
      </c>
      <c r="D89" s="10">
        <v>696285696</v>
      </c>
      <c r="E89" s="10">
        <v>693142848</v>
      </c>
      <c r="F89" s="10">
        <v>718714304</v>
      </c>
      <c r="G89" s="10">
        <v>839428544</v>
      </c>
      <c r="H89" s="10">
        <v>1082857088</v>
      </c>
      <c r="I89" s="10">
        <v>1264285696</v>
      </c>
      <c r="J89" s="10">
        <v>1368000000</v>
      </c>
      <c r="K89" s="10">
        <v>1605857152</v>
      </c>
      <c r="L89" s="10">
        <v>1965714304</v>
      </c>
      <c r="M89" s="10">
        <v>1825285760</v>
      </c>
      <c r="N89" s="10">
        <v>1687000064</v>
      </c>
      <c r="O89" s="10">
        <v>1910714240</v>
      </c>
      <c r="P89" s="10">
        <v>2268714240</v>
      </c>
      <c r="Q89" s="10">
        <v>3121833216</v>
      </c>
      <c r="R89" s="10">
        <v>2618666752</v>
      </c>
      <c r="S89" s="10">
        <v>2746714368</v>
      </c>
      <c r="T89" s="10">
        <v>2483000064</v>
      </c>
      <c r="U89" s="10">
        <v>2813374976</v>
      </c>
      <c r="V89" s="10">
        <v>3325499904</v>
      </c>
      <c r="W89" s="10">
        <v>3829499904</v>
      </c>
      <c r="X89" s="10">
        <v>3872666624</v>
      </c>
      <c r="Y89" s="10">
        <v>3994777856</v>
      </c>
      <c r="Z89" s="10">
        <v>3216307712</v>
      </c>
      <c r="AA89" s="10">
        <v>2739444480</v>
      </c>
      <c r="AB89" s="10">
        <v>2281257984</v>
      </c>
      <c r="AC89" s="10">
        <v>1661948672</v>
      </c>
      <c r="AD89" s="10">
        <v>2269894656</v>
      </c>
      <c r="AE89" s="10">
        <v>3713614336</v>
      </c>
      <c r="AF89" s="10">
        <v>3998637568</v>
      </c>
      <c r="AG89" s="10">
        <v>3285217280</v>
      </c>
      <c r="AH89" s="10">
        <v>3378882304</v>
      </c>
      <c r="AI89" s="10">
        <v>3181921792</v>
      </c>
      <c r="AJ89" s="10">
        <v>3273237760</v>
      </c>
      <c r="AK89" s="10">
        <v>3656647680</v>
      </c>
      <c r="AL89" s="10">
        <v>3807067136</v>
      </c>
      <c r="AM89" s="10">
        <v>3597220864</v>
      </c>
      <c r="AN89" s="10">
        <v>4303282176</v>
      </c>
      <c r="AO89" s="10">
        <v>3537682944</v>
      </c>
      <c r="AP89" s="10">
        <v>3404312064</v>
      </c>
      <c r="AQ89" s="10">
        <v>3600683008</v>
      </c>
      <c r="AR89" s="10">
        <v>4094480896</v>
      </c>
      <c r="AS89" s="10">
        <v>4193845760</v>
      </c>
      <c r="AT89" s="10">
        <v>4901839872</v>
      </c>
      <c r="AU89" s="10">
        <v>6221077504</v>
      </c>
      <c r="AV89" s="10">
        <v>8331870208</v>
      </c>
      <c r="AW89" s="10">
        <v>12756858880</v>
      </c>
      <c r="AX89" s="10">
        <v>14056957952</v>
      </c>
      <c r="AY89" s="10">
        <v>17910857728</v>
      </c>
      <c r="AZ89" s="10">
        <v>15328342016</v>
      </c>
      <c r="BA89" s="10">
        <v>20265560064</v>
      </c>
      <c r="BB89" s="10">
        <v>23459514368</v>
      </c>
      <c r="BC89" s="10">
        <v>25503059968</v>
      </c>
      <c r="BD89" s="10">
        <v>28045512704</v>
      </c>
      <c r="BE89" s="10">
        <v>27150647296</v>
      </c>
      <c r="BF89" s="10">
        <v>21243346944</v>
      </c>
      <c r="BG89" s="10">
        <v>20954761216</v>
      </c>
      <c r="BH89" s="10">
        <v>25868142592</v>
      </c>
      <c r="BI89" s="10">
        <v>27005239296</v>
      </c>
      <c r="BJ89" s="10">
        <v>23064723456</v>
      </c>
    </row>
    <row r="90" spans="1:62" x14ac:dyDescent="0.45">
      <c r="A90" t="s">
        <v>27</v>
      </c>
      <c r="B90" t="s">
        <v>161</v>
      </c>
      <c r="C90" s="10">
        <v>1052990400</v>
      </c>
      <c r="D90" s="10">
        <v>1096646656</v>
      </c>
      <c r="E90" s="10">
        <v>1117601536</v>
      </c>
      <c r="F90" s="10">
        <v>1159511680</v>
      </c>
      <c r="G90" s="10">
        <v>1217138048</v>
      </c>
      <c r="H90" s="10">
        <v>1311435776</v>
      </c>
      <c r="I90" s="10">
        <v>1281749504</v>
      </c>
      <c r="J90" s="10">
        <v>1397001984</v>
      </c>
      <c r="K90" s="10">
        <v>1479599872</v>
      </c>
      <c r="L90" s="10">
        <v>1747998848</v>
      </c>
      <c r="M90" s="10">
        <v>1884206336</v>
      </c>
      <c r="N90" s="10">
        <v>2178716416</v>
      </c>
      <c r="O90" s="10">
        <v>2677729280</v>
      </c>
      <c r="P90" s="10">
        <v>3309353472</v>
      </c>
      <c r="Q90" s="10">
        <v>3982161408</v>
      </c>
      <c r="R90" s="10">
        <v>4371300864</v>
      </c>
      <c r="S90" s="10">
        <v>4318371840</v>
      </c>
      <c r="T90" s="10">
        <v>4364382208</v>
      </c>
      <c r="U90" s="10">
        <v>4351600640</v>
      </c>
      <c r="V90" s="10">
        <v>5177459200</v>
      </c>
      <c r="W90" s="10">
        <v>6678867968</v>
      </c>
      <c r="X90" s="10">
        <v>8011373568</v>
      </c>
      <c r="Y90" s="10">
        <v>8539700736</v>
      </c>
      <c r="Z90" s="10">
        <v>7764066816</v>
      </c>
      <c r="AA90" s="10">
        <v>6352125952</v>
      </c>
      <c r="AB90" s="10">
        <v>5637259264</v>
      </c>
      <c r="AC90" s="10">
        <v>6217523712</v>
      </c>
      <c r="AD90" s="10">
        <v>6741215232</v>
      </c>
      <c r="AE90" s="10">
        <v>7814784000</v>
      </c>
      <c r="AF90" s="10">
        <v>8286322688</v>
      </c>
      <c r="AG90" s="10">
        <v>8783816704</v>
      </c>
      <c r="AH90" s="10">
        <v>8641481728</v>
      </c>
      <c r="AI90" s="10">
        <v>6751472128</v>
      </c>
      <c r="AJ90" s="10">
        <v>6563813376</v>
      </c>
      <c r="AK90" s="10">
        <v>6890675200</v>
      </c>
      <c r="AL90" s="10">
        <v>7111270912</v>
      </c>
      <c r="AM90" s="10">
        <v>8553146368</v>
      </c>
      <c r="AN90" s="10">
        <v>8529571840</v>
      </c>
      <c r="AO90" s="10">
        <v>6401968128</v>
      </c>
      <c r="AP90" s="10">
        <v>6858013184</v>
      </c>
      <c r="AQ90" s="10">
        <v>6689957376</v>
      </c>
      <c r="AR90" s="10">
        <v>6777384448</v>
      </c>
      <c r="AS90" s="10">
        <v>6342116352</v>
      </c>
      <c r="AT90" s="10">
        <v>5727591936</v>
      </c>
      <c r="AU90" s="10">
        <v>5805598208</v>
      </c>
      <c r="AV90" s="10">
        <v>5755215360</v>
      </c>
      <c r="AW90" s="10">
        <v>5443896320</v>
      </c>
      <c r="AX90" s="10">
        <v>5291950080</v>
      </c>
      <c r="AY90" s="10">
        <v>4415703040</v>
      </c>
      <c r="AZ90" s="10">
        <v>9665793024</v>
      </c>
      <c r="BA90" s="10">
        <v>12041655296</v>
      </c>
      <c r="BB90" s="10">
        <v>14101920768</v>
      </c>
      <c r="BC90" s="10">
        <v>17114850304</v>
      </c>
      <c r="BD90" s="10">
        <v>19091019776</v>
      </c>
      <c r="BE90" s="10">
        <v>19495520256</v>
      </c>
      <c r="BF90" s="10">
        <v>19963119616</v>
      </c>
      <c r="BG90" s="10">
        <v>20548677632</v>
      </c>
      <c r="BH90" s="10">
        <v>22040901632</v>
      </c>
      <c r="BI90" s="10">
        <v>24311560192</v>
      </c>
      <c r="BJ90" s="10">
        <v>21440759808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183EB-A44F-4F40-830A-296B566B3DFF}">
  <dimension ref="A1:BR62"/>
  <sheetViews>
    <sheetView tabSelected="1" workbookViewId="0">
      <selection activeCell="C4" sqref="C4"/>
    </sheetView>
  </sheetViews>
  <sheetFormatPr defaultRowHeight="14.25" x14ac:dyDescent="0.45"/>
  <cols>
    <col min="1" max="1" width="21.3984375" bestFit="1" customWidth="1"/>
    <col min="2" max="2" width="17.19921875" bestFit="1" customWidth="1"/>
    <col min="3" max="3" width="19.3984375" bestFit="1" customWidth="1"/>
    <col min="4" max="28" width="16.9296875" bestFit="1" customWidth="1"/>
    <col min="29" max="62" width="17.9296875" bestFit="1" customWidth="1"/>
  </cols>
  <sheetData>
    <row r="1" spans="1:70" x14ac:dyDescent="0.45">
      <c r="C1" t="str">
        <f>GDP!C12</f>
        <v>1960</v>
      </c>
      <c r="D1" t="str">
        <f>GDP!D12</f>
        <v>1961</v>
      </c>
      <c r="E1" t="str">
        <f>GDP!E12</f>
        <v>1962</v>
      </c>
      <c r="F1" t="str">
        <f>GDP!F12</f>
        <v>1963</v>
      </c>
      <c r="G1" t="str">
        <f>GDP!G12</f>
        <v>1964</v>
      </c>
      <c r="H1" t="str">
        <f>GDP!H12</f>
        <v>1965</v>
      </c>
      <c r="I1" t="str">
        <f>GDP!I12</f>
        <v>1966</v>
      </c>
      <c r="J1" t="str">
        <f>GDP!J12</f>
        <v>1967</v>
      </c>
      <c r="K1" t="str">
        <f>GDP!K12</f>
        <v>1968</v>
      </c>
      <c r="L1" t="str">
        <f>GDP!L12</f>
        <v>1969</v>
      </c>
      <c r="M1" t="str">
        <f>GDP!M12</f>
        <v>1970</v>
      </c>
      <c r="N1" t="str">
        <f>GDP!N12</f>
        <v>1971</v>
      </c>
      <c r="O1" t="str">
        <f>GDP!O12</f>
        <v>1972</v>
      </c>
      <c r="P1" t="str">
        <f>GDP!P12</f>
        <v>1973</v>
      </c>
      <c r="Q1" t="str">
        <f>GDP!Q12</f>
        <v>1974</v>
      </c>
      <c r="R1" t="str">
        <f>GDP!R12</f>
        <v>1975</v>
      </c>
      <c r="S1" t="str">
        <f>GDP!S12</f>
        <v>1976</v>
      </c>
      <c r="T1" t="str">
        <f>GDP!T12</f>
        <v>1977</v>
      </c>
      <c r="U1" t="str">
        <f>GDP!U12</f>
        <v>1978</v>
      </c>
      <c r="V1" t="str">
        <f>GDP!V12</f>
        <v>1979</v>
      </c>
      <c r="W1" t="str">
        <f>GDP!W12</f>
        <v>1980</v>
      </c>
      <c r="X1" t="str">
        <f>GDP!X12</f>
        <v>1981</v>
      </c>
      <c r="Y1" t="str">
        <f>GDP!Y12</f>
        <v>1982</v>
      </c>
      <c r="Z1" t="str">
        <f>GDP!Z12</f>
        <v>1983</v>
      </c>
      <c r="AA1" t="str">
        <f>GDP!AA12</f>
        <v>1984</v>
      </c>
      <c r="AB1" t="str">
        <f>GDP!AB12</f>
        <v>1985</v>
      </c>
      <c r="AC1" t="str">
        <f>GDP!AC12</f>
        <v>1986</v>
      </c>
      <c r="AD1" t="str">
        <f>GDP!AD12</f>
        <v>1987</v>
      </c>
      <c r="AE1" t="str">
        <f>GDP!AE12</f>
        <v>1988</v>
      </c>
      <c r="AF1" t="str">
        <f>GDP!AF12</f>
        <v>1989</v>
      </c>
      <c r="AG1" t="str">
        <f>GDP!AG12</f>
        <v>1990</v>
      </c>
      <c r="AH1" t="str">
        <f>GDP!AH12</f>
        <v>1991</v>
      </c>
      <c r="AI1" t="str">
        <f>GDP!AI12</f>
        <v>1992</v>
      </c>
      <c r="AJ1" t="str">
        <f>GDP!AJ12</f>
        <v>1993</v>
      </c>
      <c r="AK1" t="str">
        <f>GDP!AK12</f>
        <v>1994</v>
      </c>
      <c r="AL1" t="str">
        <f>GDP!AL12</f>
        <v>1995</v>
      </c>
      <c r="AM1" t="str">
        <f>GDP!AM12</f>
        <v>1996</v>
      </c>
      <c r="AN1" t="str">
        <f>GDP!AN12</f>
        <v>1997</v>
      </c>
      <c r="AO1" t="str">
        <f>GDP!AO12</f>
        <v>1998</v>
      </c>
      <c r="AP1" t="str">
        <f>GDP!AP12</f>
        <v>1999</v>
      </c>
      <c r="AQ1" t="str">
        <f>GDP!AQ12</f>
        <v>2000</v>
      </c>
      <c r="AR1" t="str">
        <f>GDP!AR12</f>
        <v>2001</v>
      </c>
      <c r="AS1" t="str">
        <f>GDP!AS12</f>
        <v>2002</v>
      </c>
      <c r="AT1" t="str">
        <f>GDP!AT12</f>
        <v>2003</v>
      </c>
      <c r="AU1" t="str">
        <f>GDP!AU12</f>
        <v>2004</v>
      </c>
      <c r="AV1" t="str">
        <f>GDP!AV12</f>
        <v>2005</v>
      </c>
      <c r="AW1" t="str">
        <f>GDP!AW12</f>
        <v>2006</v>
      </c>
      <c r="AX1" t="str">
        <f>GDP!AX12</f>
        <v>2007</v>
      </c>
      <c r="AY1" t="str">
        <f>GDP!AY12</f>
        <v>2008</v>
      </c>
      <c r="AZ1" t="str">
        <f>GDP!AZ12</f>
        <v>2009</v>
      </c>
      <c r="BA1" t="str">
        <f>GDP!BA12</f>
        <v>2010</v>
      </c>
      <c r="BB1" t="str">
        <f>GDP!BB12</f>
        <v>2011</v>
      </c>
      <c r="BC1" t="str">
        <f>GDP!BC12</f>
        <v>2012</v>
      </c>
      <c r="BD1" t="str">
        <f>GDP!BD12</f>
        <v>2013</v>
      </c>
      <c r="BE1" t="str">
        <f>GDP!BE12</f>
        <v>2014</v>
      </c>
      <c r="BF1" t="str">
        <f>GDP!BF12</f>
        <v>2015</v>
      </c>
      <c r="BG1" t="str">
        <f>GDP!BG12</f>
        <v>2016</v>
      </c>
      <c r="BH1" t="str">
        <f>GDP!BH12</f>
        <v>2017</v>
      </c>
      <c r="BI1" t="str">
        <f>GDP!BI12</f>
        <v>2018</v>
      </c>
      <c r="BJ1" t="str">
        <f>GDP!BJ12</f>
        <v>2019</v>
      </c>
    </row>
    <row r="2" spans="1:70" x14ac:dyDescent="0.45">
      <c r="B2" t="s">
        <v>27</v>
      </c>
      <c r="C2" cm="1">
        <f t="array" ref="C2">[4]!TheilT2(Population!C33:C90,GDP!C33:C90)</f>
        <v>0.24239200483180226</v>
      </c>
      <c r="D2" cm="1">
        <f t="array" ref="D2">[4]!TheilT2(Population!D33:D90,GDP!D33:D90)</f>
        <v>0.20786622866128671</v>
      </c>
      <c r="E2" cm="1">
        <f t="array" ref="E2">[4]!TheilT2(Population!E33:E90,GDP!E33:E90)</f>
        <v>0.21323833068078607</v>
      </c>
      <c r="F2" cm="1">
        <f t="array" ref="F2">[4]!TheilT2(Population!F33:F90,GDP!F33:F90)</f>
        <v>0.21248076508079039</v>
      </c>
      <c r="G2" cm="1">
        <f t="array" ref="G2">[4]!TheilT2(Population!G33:G90,GDP!G33:G90)</f>
        <v>0.20014748564549906</v>
      </c>
      <c r="H2" cm="1">
        <f t="array" ref="H2">[4]!TheilT2(Population!H33:H90,GDP!H33:H90)</f>
        <v>0.198496418317018</v>
      </c>
      <c r="I2" cm="1">
        <f t="array" ref="I2">[4]!TheilT2(Population!I33:I90,GDP!I33:I90)</f>
        <v>0.27612605445251959</v>
      </c>
      <c r="J2" cm="1">
        <f t="array" ref="J2">[4]!TheilT2(Population!J33:J90,GDP!J33:J90)</f>
        <v>0.27932463863591694</v>
      </c>
      <c r="K2" cm="1">
        <f t="array" ref="K2">[4]!TheilT2(Population!K33:K90,GDP!K33:K90)</f>
        <v>0.28756554294252773</v>
      </c>
      <c r="L2" cm="1">
        <f t="array" ref="L2">[4]!TheilT2(Population!L33:L90,GDP!L33:L90)</f>
        <v>0.29047013174464553</v>
      </c>
      <c r="M2" cm="1">
        <f t="array" ref="M2">[4]!TheilT2(Population!M33:M90,GDP!M33:M90)</f>
        <v>0.28225720777686086</v>
      </c>
      <c r="N2" cm="1">
        <f t="array" ref="N2">[4]!TheilT2(Population!N33:N90,GDP!N33:N90)</f>
        <v>0.30368111779267021</v>
      </c>
      <c r="O2" cm="1">
        <f t="array" ref="O2">[4]!TheilT2(Population!O33:O90,GDP!O33:O90)</f>
        <v>0.33079110289224806</v>
      </c>
      <c r="P2" cm="1">
        <f t="array" ref="P2">[4]!TheilT2(Population!P33:P90,GDP!P33:P90)</f>
        <v>0.37001920899769286</v>
      </c>
      <c r="Q2" cm="1">
        <f t="array" ref="Q2">[4]!TheilT2(Population!Q33:Q90,GDP!Q33:Q90)</f>
        <v>0.37366059247153027</v>
      </c>
      <c r="R2" cm="1">
        <f t="array" ref="R2">[4]!TheilT2(Population!R33:R90,GDP!R33:R90)</f>
        <v>0.39283086146977403</v>
      </c>
      <c r="S2" cm="1">
        <f t="array" ref="S2">[4]!TheilT2(Population!S33:S90,GDP!S33:S90)</f>
        <v>0.42429541845998348</v>
      </c>
      <c r="T2" cm="1">
        <f t="array" ref="T2">[4]!TheilT2(Population!T33:T90,GDP!T33:T90)</f>
        <v>0.40558359663678306</v>
      </c>
      <c r="U2" cm="1">
        <f t="array" ref="U2">[4]!TheilT2(Population!U33:U90,GDP!U33:U90)</f>
        <v>0.40604149960298741</v>
      </c>
      <c r="V2" cm="1">
        <f t="array" ref="V2">[4]!TheilT2(Population!V33:V90,GDP!V33:V90)</f>
        <v>0.43526980139512395</v>
      </c>
      <c r="W2" cm="1">
        <f t="array" ref="W2">[4]!TheilT2(Population!W33:W90,GDP!W33:W90)</f>
        <v>0.44610075283405176</v>
      </c>
      <c r="X2" cm="1">
        <f t="array" ref="X2">[4]!TheilT2(Population!X33:X90,GDP!X33:X90)</f>
        <v>0.49280324929338798</v>
      </c>
      <c r="Y2" cm="1">
        <f t="array" ref="Y2">[4]!TheilT2(Population!Y33:Y90,GDP!Y33:Y90)</f>
        <v>0.43010372784301321</v>
      </c>
      <c r="Z2" cm="1">
        <f t="array" ref="Z2">[4]!TheilT2(Population!Z33:Z90,GDP!Z33:Z90)</f>
        <v>0.36630077670911576</v>
      </c>
      <c r="AA2" cm="1">
        <f t="array" ref="AA2">[4]!TheilT2(Population!AA33:AA90,GDP!AA33:AA90)</f>
        <v>0.39096198124974002</v>
      </c>
      <c r="AB2" cm="1">
        <f t="array" ref="AB2">[4]!TheilT2(Population!AB33:AB90,GDP!AB33:AB90)</f>
        <v>0.36970983872359547</v>
      </c>
      <c r="AC2" cm="1">
        <f t="array" ref="AC2">[4]!TheilT2(Population!AC33:AC90,GDP!AC33:AC90)</f>
        <v>0.34216614429000902</v>
      </c>
      <c r="AD2" cm="1">
        <f t="array" ref="AD2">[4]!TheilT2(Population!AD33:AD90,GDP!AD33:AD90)</f>
        <v>0.35321200651823537</v>
      </c>
      <c r="AE2" cm="1">
        <f t="array" ref="AE2">[4]!TheilT2(Population!AE33:AE90,GDP!AE33:AE90)</f>
        <v>0.37187163602085571</v>
      </c>
      <c r="AF2" cm="1">
        <f t="array" ref="AF2">[4]!TheilT2(Population!AF33:AF90,GDP!AF33:AF90)</f>
        <v>0.44112399685217862</v>
      </c>
      <c r="AG2" cm="1">
        <f t="array" ref="AG2">[4]!TheilT2(Population!AG33:AG90,GDP!AG33:AG90)</f>
        <v>0.46612117689063282</v>
      </c>
      <c r="AH2" cm="1">
        <f t="array" ref="AH2">[4]!TheilT2(Population!AH33:AH90,GDP!AH33:AH90)</f>
        <v>0.57934368709099782</v>
      </c>
      <c r="AI2" cm="1">
        <f t="array" ref="AI2">[4]!TheilT2(Population!AI33:AI90,GDP!AI33:AI90)</f>
        <v>0.54035626661761549</v>
      </c>
      <c r="AJ2" cm="1">
        <f t="array" ref="AJ2">[4]!TheilT2(Population!AJ33:AJ90,GDP!AJ33:AJ90)</f>
        <v>0.63749656074381877</v>
      </c>
      <c r="AK2" cm="1">
        <f t="array" ref="AK2">[4]!TheilT2(Population!AK33:AK90,GDP!AK33:AK90)</f>
        <v>0.6339486863733077</v>
      </c>
      <c r="AL2" cm="1">
        <f t="array" ref="AL2">[4]!TheilT2(Population!AL33:AL90,GDP!AL33:AL90)</f>
        <v>0.60396257961492306</v>
      </c>
      <c r="AM2" cm="1">
        <f t="array" ref="AM2">[4]!TheilT2(Population!AM33:AM90,GDP!AM33:AM90)</f>
        <v>0.60704920663152284</v>
      </c>
      <c r="AN2" cm="1">
        <f t="array" ref="AN2">[4]!TheilT2(Population!AN33:AN90,GDP!AN33:AN90)</f>
        <v>0.6233781184371876</v>
      </c>
      <c r="AO2" cm="1">
        <f t="array" ref="AO2">[4]!TheilT2(Population!AO33:AO90,GDP!AO33:AO90)</f>
        <v>0.63760803167604507</v>
      </c>
      <c r="AP2" cm="1">
        <f t="array" ref="AP2">[4]!TheilT2(Population!AP33:AP90,GDP!AP33:AP90)</f>
        <v>0.58564599288866104</v>
      </c>
      <c r="AQ2" cm="1">
        <f t="array" ref="AQ2">[4]!TheilT2(Population!AQ33:AQ90,GDP!AQ33:AQ90)</f>
        <v>0.61123537579785225</v>
      </c>
      <c r="AR2" cm="1">
        <f t="array" ref="AR2">[4]!TheilT2(Population!AR33:AR90,GDP!AR33:AR90)</f>
        <v>0.60891005115225494</v>
      </c>
      <c r="AS2" cm="1">
        <f t="array" ref="AS2">[4]!TheilT2(Population!AS33:AS90,GDP!AS33:AS90)</f>
        <v>0.58779984347071845</v>
      </c>
      <c r="AT2" cm="1">
        <f t="array" ref="AT2">[4]!TheilT2(Population!AT33:AT90,GDP!AT33:AT90)</f>
        <v>0.54113595067453513</v>
      </c>
      <c r="AU2" cm="1">
        <f t="array" ref="AU2">[4]!TheilT2(Population!AU33:AU90,GDP!AU33:AU90)</f>
        <v>0.53726901020930651</v>
      </c>
      <c r="AV2" cm="1">
        <f t="array" ref="AV2">[4]!TheilT2(Population!AV33:AV90,GDP!AV33:AV90)</f>
        <v>0.54658063192480777</v>
      </c>
      <c r="AW2" cm="1">
        <f t="array" ref="AW2">[4]!TheilT2(Population!AW33:AW90,GDP!AW33:AW90)</f>
        <v>0.53672089104177234</v>
      </c>
      <c r="AX2" cm="1">
        <f t="array" ref="AX2">[4]!TheilT2(Population!AX33:AX90,GDP!AX33:AX90)</f>
        <v>0.51161485979276766</v>
      </c>
      <c r="AY2" cm="1">
        <f t="array" ref="AY2">[4]!TheilT2(Population!AY33:AY90,GDP!AY33:AY90)</f>
        <v>0.5383561323214856</v>
      </c>
      <c r="AZ2" cm="1">
        <f t="array" ref="AZ2">[4]!TheilT2(Population!AZ33:AZ90,GDP!AZ33:AZ90)</f>
        <v>0.47700347679418054</v>
      </c>
      <c r="BA2" cm="1">
        <f t="array" ref="BA2">[4]!TheilT2(Population!BA33:BA90,GDP!BA33:BA90)</f>
        <v>0.49522497788103642</v>
      </c>
      <c r="BB2" cm="1">
        <f t="array" ref="BB2">[4]!TheilT2(Population!BB33:BB90,GDP!BB33:BB90)</f>
        <v>0.51172024469855282</v>
      </c>
      <c r="BC2" cm="1">
        <f t="array" ref="BC2">[4]!TheilT2(Population!BC33:BC90,GDP!BC33:BC90)</f>
        <v>0.49784526612231289</v>
      </c>
      <c r="BD2" cm="1">
        <f t="array" ref="BD2">[4]!TheilT2(Population!BD33:BD90,GDP!BD33:BD90)</f>
        <v>0.49339967234125848</v>
      </c>
      <c r="BE2" cm="1">
        <f t="array" ref="BE2">[4]!TheilT2(Population!BE33:BE90,GDP!BE33:BE90)</f>
        <v>0.45977014108275926</v>
      </c>
      <c r="BF2" cm="1">
        <f t="array" ref="BF2">[4]!TheilT2(Population!BF33:BF90,GDP!BF33:BF90)</f>
        <v>0.38633930566578401</v>
      </c>
      <c r="BG2" cm="1">
        <f t="array" ref="BG2">[4]!TheilT2(Population!BG33:BG90,GDP!BG33:BG90)</f>
        <v>0.36560379438920892</v>
      </c>
      <c r="BH2" cm="1">
        <f t="array" ref="BH2">[4]!TheilT2(Population!BH33:BH90,GDP!BH33:BH90)</f>
        <v>0.35817896459949056</v>
      </c>
      <c r="BI2" cm="1">
        <f t="array" ref="BI2">[4]!TheilT2(Population!BI33:BI90,GDP!BI33:BI90)</f>
        <v>0.34272434270845853</v>
      </c>
      <c r="BJ2" cm="1">
        <f t="array" ref="BJ2">[4]!TheilT2(Population!BJ33:BJ90,GDP!BJ33:BJ90)</f>
        <v>0.33063296702408396</v>
      </c>
    </row>
    <row r="3" spans="1:70" x14ac:dyDescent="0.45">
      <c r="B3" t="s">
        <v>26</v>
      </c>
      <c r="C3" cm="1">
        <f t="array" ref="C3">[4]!TheilT2(Population!C14:C32,GDP!C14:C32)</f>
        <v>0.24751014765127183</v>
      </c>
      <c r="D3" cm="1">
        <f t="array" ref="D3">[4]!TheilT2(Population!D14:D32,GDP!D14:D32)</f>
        <v>0.23225728713974048</v>
      </c>
      <c r="E3" cm="1">
        <f t="array" ref="E3">[4]!TheilT2(Population!E14:E32,GDP!E14:E32)</f>
        <v>0.22322886857938615</v>
      </c>
      <c r="F3" cm="1">
        <f t="array" ref="F3">[4]!TheilT2(Population!F14:F32,GDP!F14:F32)</f>
        <v>0.20486230463118457</v>
      </c>
      <c r="G3" cm="1">
        <f t="array" ref="G3">[4]!TheilT2(Population!G14:G32,GDP!G14:G32)</f>
        <v>0.19534307528767003</v>
      </c>
      <c r="H3" cm="1">
        <f t="array" ref="H3">[4]!TheilT2(Population!H14:H32,GDP!H14:H32)</f>
        <v>0.1929320108333242</v>
      </c>
      <c r="I3" cm="1">
        <f t="array" ref="I3">[4]!TheilT2(Population!I14:I32,GDP!I14:I32)</f>
        <v>0.18760331306036371</v>
      </c>
      <c r="J3" cm="1">
        <f t="array" ref="J3">[4]!TheilT2(Population!J14:J32,GDP!J14:J32)</f>
        <v>0.17542033864736131</v>
      </c>
      <c r="K3" cm="1">
        <f t="array" ref="K3">[4]!TheilT2(Population!K14:K32,GDP!K14:K32)</f>
        <v>0.17509325101944223</v>
      </c>
      <c r="L3" cm="1">
        <f t="array" ref="L3">[4]!TheilT2(Population!L14:L32,GDP!L14:L32)</f>
        <v>0.16461986817046367</v>
      </c>
      <c r="M3" cm="1">
        <f t="array" ref="M3">[4]!TheilT2(Population!M14:M32,GDP!M14:M32)</f>
        <v>0.1428498557736031</v>
      </c>
      <c r="N3" cm="1">
        <f t="array" ref="N3">[4]!TheilT2(Population!N14:N32,GDP!N14:N32)</f>
        <v>0.13566695384950214</v>
      </c>
      <c r="O3" cm="1">
        <f t="array" ref="O3">[4]!TheilT2(Population!O14:O32,GDP!O14:O32)</f>
        <v>0.1154165637358492</v>
      </c>
      <c r="P3" cm="1">
        <f t="array" ref="P3">[4]!TheilT2(Population!P14:P32,GDP!P14:P32)</f>
        <v>9.4766918085226332E-2</v>
      </c>
      <c r="Q3" cm="1">
        <f t="array" ref="Q3">[4]!TheilT2(Population!Q14:Q32,GDP!Q14:Q32)</f>
        <v>8.6562623135920294E-2</v>
      </c>
      <c r="R3" cm="1">
        <f t="array" ref="R3">[4]!TheilT2(Population!R14:R32,GDP!R14:R32)</f>
        <v>8.4230429500342277E-2</v>
      </c>
      <c r="S3" cm="1">
        <f t="array" ref="S3">[4]!TheilT2(Population!S14:S32,GDP!S14:S32)</f>
        <v>8.9136969768421712E-2</v>
      </c>
      <c r="T3" cm="1">
        <f t="array" ref="T3">[4]!TheilT2(Population!T14:T32,GDP!T14:T32)</f>
        <v>8.2011059139624781E-2</v>
      </c>
      <c r="U3" cm="1">
        <f t="array" ref="U3">[4]!TheilT2(Population!U14:U32,GDP!U14:U32)</f>
        <v>7.0324330554189324E-2</v>
      </c>
      <c r="V3" cm="1">
        <f t="array" ref="V3">[4]!TheilT2(Population!V14:V32,GDP!V14:V32)</f>
        <v>5.9372237078321573E-2</v>
      </c>
      <c r="W3" cm="1">
        <f t="array" ref="W3">[4]!TheilT2(Population!W14:W32,GDP!W14:W32)</f>
        <v>5.8868682838364467E-2</v>
      </c>
      <c r="X3" cm="1">
        <f t="array" ref="X3">[4]!TheilT2(Population!X14:X32,GDP!X14:X32)</f>
        <v>6.7553280703203045E-2</v>
      </c>
      <c r="Y3" cm="1">
        <f t="array" ref="Y3">[4]!TheilT2(Population!Y14:Y32,GDP!Y14:Y32)</f>
        <v>7.3248123736114029E-2</v>
      </c>
      <c r="Z3" cm="1">
        <f t="array" ref="Z3">[4]!TheilT2(Population!Z14:Z32,GDP!Z14:Z32)</f>
        <v>8.3399837735782301E-2</v>
      </c>
      <c r="AA3" cm="1">
        <f t="array" ref="AA3">[4]!TheilT2(Population!AA14:AA32,GDP!AA14:AA32)</f>
        <v>9.8632377145429717E-2</v>
      </c>
      <c r="AB3" cm="1">
        <f t="array" ref="AB3">[4]!TheilT2(Population!AB14:AB32,GDP!AB14:AB32)</f>
        <v>0.10314801439024122</v>
      </c>
      <c r="AC3" cm="1">
        <f t="array" ref="AC3">[4]!TheilT2(Population!AC14:AC32,GDP!AC14:AC32)</f>
        <v>7.4897792479270184E-2</v>
      </c>
      <c r="AD3" cm="1">
        <f t="array" ref="AD3">[4]!TheilT2(Population!AD14:AD32,GDP!AD14:AD32)</f>
        <v>6.2589288377732907E-2</v>
      </c>
      <c r="AE3" cm="1">
        <f t="array" ref="AE3">[4]!TheilT2(Population!AE14:AE32,GDP!AE14:AE32)</f>
        <v>5.7298446531876879E-2</v>
      </c>
      <c r="AF3" cm="1">
        <f t="array" ref="AF3">[4]!TheilT2(Population!AF14:AF32,GDP!AF14:AF32)</f>
        <v>5.1177722637423435E-2</v>
      </c>
      <c r="AG3" cm="1">
        <f t="array" ref="AG3">[4]!TheilT2(Population!AG14:AG32,GDP!AG14:AG32)</f>
        <v>3.870721847074679E-2</v>
      </c>
      <c r="AH3" cm="1">
        <f t="array" ref="AH3">[4]!TheilT2(Population!AH14:AH32,GDP!AH14:AH32)</f>
        <v>3.7949930290087273E-2</v>
      </c>
      <c r="AI3" cm="1">
        <f t="array" ref="AI3">[4]!TheilT2(Population!AI14:AI32,GDP!AI14:AI32)</f>
        <v>3.7960720265014673E-2</v>
      </c>
      <c r="AJ3" cm="1">
        <f t="array" ref="AJ3">[4]!TheilT2(Population!AJ14:AJ32,GDP!AJ14:AJ32)</f>
        <v>5.4536572807869235E-2</v>
      </c>
      <c r="AK3" cm="1">
        <f t="array" ref="AK3">[4]!TheilT2(Population!AK14:AK32,GDP!AK14:AK32)</f>
        <v>5.6631414798965961E-2</v>
      </c>
      <c r="AL3" cm="1">
        <f t="array" ref="AL3">[4]!TheilT2(Population!AL14:AL32,GDP!AL14:AL32)</f>
        <v>5.1816975185750569E-2</v>
      </c>
      <c r="AM3" cm="1">
        <f t="array" ref="AM3">[4]!TheilT2(Population!AM14:AM32,GDP!AM14:AM32)</f>
        <v>3.597466301099693E-2</v>
      </c>
      <c r="AN3" cm="1">
        <f t="array" ref="AN3">[4]!TheilT2(Population!AN14:AN32,GDP!AN14:AN32)</f>
        <v>3.6439134700754397E-2</v>
      </c>
      <c r="AO3" cm="1">
        <f t="array" ref="AO3">[4]!TheilT2(Population!AO14:AO32,GDP!AO14:AO32)</f>
        <v>4.342754491270906E-2</v>
      </c>
      <c r="AP3" cm="1">
        <f t="array" ref="AP3">[4]!TheilT2(Population!AP14:AP32,GDP!AP14:AP32)</f>
        <v>4.4585816048702112E-2</v>
      </c>
      <c r="AQ3" cm="1">
        <f t="array" ref="AQ3">[4]!TheilT2(Population!AQ14:AQ32,GDP!AQ14:AQ32)</f>
        <v>5.330140912194678E-2</v>
      </c>
      <c r="AR3" cm="1">
        <f t="array" ref="AR3">[4]!TheilT2(Population!AR14:AR32,GDP!AR14:AR32)</f>
        <v>5.1543814324237172E-2</v>
      </c>
      <c r="AS3" cm="1">
        <f t="array" ref="AS3">[4]!TheilT2(Population!AS14:AS32,GDP!AS14:AS32)</f>
        <v>4.3586711503730557E-2</v>
      </c>
      <c r="AT3" cm="1">
        <f t="array" ref="AT3">[4]!TheilT2(Population!AT14:AT32,GDP!AT14:AT32)</f>
        <v>3.1398660243602196E-2</v>
      </c>
      <c r="AU3" cm="1">
        <f t="array" ref="AU3">[4]!TheilT2(Population!AU14:AU32,GDP!AU14:AU32)</f>
        <v>2.6087623879924589E-2</v>
      </c>
      <c r="AV3" cm="1">
        <f t="array" ref="AV3">[4]!TheilT2(Population!AV14:AV32,GDP!AV14:AV32)</f>
        <v>2.4581379886806524E-2</v>
      </c>
      <c r="AW3" cm="1">
        <f t="array" ref="AW3">[4]!TheilT2(Population!AW14:AW32,GDP!AW14:AW32)</f>
        <v>2.431845941180602E-2</v>
      </c>
      <c r="AX3" cm="1">
        <f t="array" ref="AX3">[4]!TheilT2(Population!AX14:AX32,GDP!AX14:AX32)</f>
        <v>2.261045124895146E-2</v>
      </c>
      <c r="AY3" cm="1">
        <f t="array" ref="AY3">[4]!TheilT2(Population!AY14:AY32,GDP!AY14:AY32)</f>
        <v>2.2185372402706897E-2</v>
      </c>
      <c r="AZ3" cm="1">
        <f t="array" ref="AZ3">[4]!TheilT2(Population!AZ14:AZ32,GDP!AZ14:AZ32)</f>
        <v>2.2433333815242512E-2</v>
      </c>
      <c r="BA3" cm="1">
        <f t="array" ref="BA3">[4]!TheilT2(Population!BA14:BA32,GDP!BA14:BA32)</f>
        <v>2.2145685619337399E-2</v>
      </c>
      <c r="BB3" cm="1">
        <f t="array" ref="BB3">[4]!TheilT2(Population!BB14:BB32,GDP!BB14:BB32)</f>
        <v>2.3418491874559647E-2</v>
      </c>
      <c r="BC3" cm="1">
        <f t="array" ref="BC3">[4]!TheilT2(Population!BC14:BC32,GDP!BC14:BC32)</f>
        <v>2.9935724157291253E-2</v>
      </c>
      <c r="BD3" cm="1">
        <f t="array" ref="BD3">[4]!TheilT2(Population!BD14:BD32,GDP!BD14:BD32)</f>
        <v>3.045006981712433E-2</v>
      </c>
      <c r="BE3" cm="1">
        <f t="array" ref="BE3">[4]!TheilT2(Population!BE14:BE32,GDP!BE14:BE32)</f>
        <v>3.0343844864544368E-2</v>
      </c>
      <c r="BF3" cm="1">
        <f t="array" ref="BF3">[4]!TheilT2(Population!BF14:BF32,GDP!BF14:BF32)</f>
        <v>4.1505007515458714E-2</v>
      </c>
      <c r="BG3" cm="1">
        <f t="array" ref="BG3">[4]!TheilT2(Population!BG14:BG32,GDP!BG14:BG32)</f>
        <v>3.8049683473195955E-2</v>
      </c>
      <c r="BH3" cm="1">
        <f t="array" ref="BH3">[4]!TheilT2(Population!BH14:BH32,GDP!BH14:BH32)</f>
        <v>3.8043551745226806E-2</v>
      </c>
      <c r="BI3" cm="1">
        <f t="array" ref="BI3">[4]!TheilT2(Population!BI14:BI32,GDP!BI14:BI32)</f>
        <v>3.7407344990651889E-2</v>
      </c>
      <c r="BJ3" cm="1">
        <f t="array" ref="BJ3">[4]!TheilT2(Population!BJ14:BJ32,GDP!BJ14:BJ32)</f>
        <v>4.2805841326036848E-2</v>
      </c>
    </row>
    <row r="4" spans="1:70" x14ac:dyDescent="0.45">
      <c r="B4" t="s">
        <v>169</v>
      </c>
      <c r="C4" cm="1">
        <f t="array" ref="C4">[4]!TheilT2(Population!C1:C3,GDP!C1:C3)</f>
        <v>0.68772701460389718</v>
      </c>
      <c r="D4" cm="1">
        <f t="array" ref="D4">[4]!TheilT2(Population!D1:D3,GDP!D1:D3)</f>
        <v>0.72453819562944144</v>
      </c>
      <c r="E4" cm="1">
        <f t="array" ref="E4">[4]!TheilT2(Population!E1:E3,GDP!E1:E3)</f>
        <v>0.74197313113921171</v>
      </c>
      <c r="F4" cm="1">
        <f t="array" ref="F4">[4]!TheilT2(Population!F1:F3,GDP!F1:F3)</f>
        <v>0.73799126699810658</v>
      </c>
      <c r="G4" cm="1">
        <f t="array" ref="G4">[4]!TheilT2(Population!G1:G3,GDP!G1:G3)</f>
        <v>0.73852863042996497</v>
      </c>
      <c r="H4" cm="1">
        <f t="array" ref="H4">[4]!TheilT2(Population!H1:H3,GDP!H1:H3)</f>
        <v>0.74034874710419563</v>
      </c>
      <c r="I4" cm="1">
        <f t="array" ref="I4">[4]!TheilT2(Population!I1:I3,GDP!I1:I3)</f>
        <v>0.76853765682291297</v>
      </c>
      <c r="J4" cm="1">
        <f t="array" ref="J4">[4]!TheilT2(Population!J1:J3,GDP!J1:J3)</f>
        <v>0.79239302895005226</v>
      </c>
      <c r="K4" cm="1">
        <f t="array" ref="K4">[4]!TheilT2(Population!K1:K3,GDP!K1:K3)</f>
        <v>0.81792335982937925</v>
      </c>
      <c r="L4" cm="1">
        <f t="array" ref="L4">[4]!TheilT2(Population!L1:L3,GDP!L1:L3)</f>
        <v>0.82042342005918256</v>
      </c>
      <c r="M4" cm="1">
        <f t="array" ref="M4">[4]!TheilT2(Population!M1:M3,GDP!M1:M3)</f>
        <v>0.82495466047508859</v>
      </c>
      <c r="N4" cm="1">
        <f t="array" ref="N4">[4]!TheilT2(Population!N1:N3,GDP!N1:N3)</f>
        <v>0.84248261821603665</v>
      </c>
      <c r="O4" cm="1">
        <f t="array" ref="O4">[4]!TheilT2(Population!O1:O3,GDP!O1:O3)</f>
        <v>0.86429067562007811</v>
      </c>
      <c r="P4" cm="1">
        <f t="array" ref="P4">[4]!TheilT2(Population!P1:P3,GDP!P1:P3)</f>
        <v>0.85828657219993598</v>
      </c>
      <c r="Q4" cm="1">
        <f t="array" ref="Q4">[4]!TheilT2(Population!Q1:Q3,GDP!Q1:Q3)</f>
        <v>0.83604489911262914</v>
      </c>
      <c r="R4" cm="1">
        <f t="array" ref="R4">[4]!TheilT2(Population!R1:R3,GDP!R1:R3)</f>
        <v>0.84471962394668587</v>
      </c>
      <c r="S4" cm="1">
        <f t="array" ref="S4">[4]!TheilT2(Population!S1:S3,GDP!S1:S3)</f>
        <v>0.86374939682390972</v>
      </c>
      <c r="T4" cm="1">
        <f t="array" ref="T4">[4]!TheilT2(Population!T1:T3,GDP!T1:T3)</f>
        <v>0.87524027895762269</v>
      </c>
      <c r="U4" cm="1">
        <f t="array" ref="U4">[4]!TheilT2(Population!U1:U3,GDP!U1:U3)</f>
        <v>0.92799140079592379</v>
      </c>
      <c r="V4" cm="1">
        <f t="array" ref="V4">[4]!TheilT2(Population!V1:V3,GDP!V1:V3)</f>
        <v>0.91918826771872875</v>
      </c>
      <c r="W4" cm="1">
        <f t="array" ref="W4">[4]!TheilT2(Population!W1:W3,GDP!W1:W3)</f>
        <v>0.90915741729420607</v>
      </c>
      <c r="X4" cm="1">
        <f t="array" ref="X4">[4]!TheilT2(Population!X1:X3,GDP!X1:X3)</f>
        <v>0.87267901072453358</v>
      </c>
      <c r="Y4" cm="1">
        <f t="array" ref="Y4">[4]!TheilT2(Population!Y1:Y3,GDP!Y1:Y3)</f>
        <v>0.89669391067024062</v>
      </c>
      <c r="Z4" cm="1">
        <f t="array" ref="Z4">[4]!TheilT2(Population!Z1:Z3,GDP!Z1:Z3)</f>
        <v>0.94837488888258492</v>
      </c>
      <c r="AA4" cm="1">
        <f t="array" ref="AA4">[4]!TheilT2(Population!AA1:AA3,GDP!AA1:AA3)</f>
        <v>0.96771518227981046</v>
      </c>
      <c r="AB4" cm="1">
        <f t="array" ref="AB4">[4]!TheilT2(Population!AB1:AB3,GDP!AB1:AB3)</f>
        <v>0.97700945979798592</v>
      </c>
      <c r="AC4" cm="1">
        <f t="array" ref="AC4">[4]!TheilT2(Population!AC1:AC3,GDP!AC1:AC3)</f>
        <v>1.0593206058637326</v>
      </c>
      <c r="AD4" cm="1">
        <f t="array" ref="AD4">[4]!TheilT2(Population!AD1:AD3,GDP!AD1:AD3)</f>
        <v>1.0977422428225534</v>
      </c>
      <c r="AE4" cm="1">
        <f t="array" ref="AE4">[4]!TheilT2(Population!AE1:AE3,GDP!AE1:AE3)</f>
        <v>1.1172385120197303</v>
      </c>
      <c r="AF4" cm="1">
        <f t="array" ref="AF4">[4]!TheilT2(Population!AF1:AF3,GDP!AF1:AF3)</f>
        <v>1.102532507324719</v>
      </c>
      <c r="AG4" cm="1">
        <f t="array" ref="AG4">[4]!TheilT2(Population!AG1:AG3,GDP!AG1:AG3)</f>
        <v>1.1109695903170915</v>
      </c>
      <c r="AH4" cm="1">
        <f t="array" ref="AH4">[4]!TheilT2(Population!AH1:AH3,GDP!AH1:AH3)</f>
        <v>1.1068965383707301</v>
      </c>
      <c r="AI4" cm="1">
        <f t="array" ref="AI4">[4]!TheilT2(Population!AI1:AI3,GDP!AI1:AI3)</f>
        <v>1.1388878157754661</v>
      </c>
      <c r="AJ4" cm="1">
        <f t="array" ref="AJ4">[4]!TheilT2(Population!AJ1:AJ3,GDP!AJ1:AJ3)</f>
        <v>1.1171202401516278</v>
      </c>
      <c r="AK4" cm="1">
        <f t="array" ref="AK4">[4]!TheilT2(Population!AK1:AK3,GDP!AK1:AK3)</f>
        <v>1.1019543093700572</v>
      </c>
      <c r="AL4" cm="1">
        <f t="array" ref="AL4">[4]!TheilT2(Population!AL1:AL3,GDP!AL1:AL3)</f>
        <v>1.092179672850597</v>
      </c>
      <c r="AM4" cm="1">
        <f t="array" ref="AM4">[4]!TheilT2(Population!AM1:AM3,GDP!AM1:AM3)</f>
        <v>1.0591634868028243</v>
      </c>
      <c r="AN4" cm="1">
        <f t="array" ref="AN4">[4]!TheilT2(Population!AN1:AN3,GDP!AN1:AN3)</f>
        <v>1.0325924580344272</v>
      </c>
      <c r="AO4" cm="1">
        <f t="array" ref="AO4">[4]!TheilT2(Population!AO1:AO3,GDP!AO1:AO3)</f>
        <v>1.0321231523819245</v>
      </c>
      <c r="AP4" cm="1">
        <f t="array" ref="AP4">[4]!TheilT2(Population!AP1:AP3,GDP!AP1:AP3)</f>
        <v>1.0718644105783977</v>
      </c>
      <c r="AQ4" cm="1">
        <f t="array" ref="AQ4">[4]!TheilT2(Population!AQ1:AQ3,GDP!AQ1:AQ3)</f>
        <v>1.0510420487585621</v>
      </c>
      <c r="AR4" cm="1">
        <f t="array" ref="AR4">[4]!TheilT2(Population!AR1:AR3,GDP!AR1:AR3)</f>
        <v>1.0497519504465591</v>
      </c>
      <c r="AS4" cm="1">
        <f t="array" ref="AS4">[4]!TheilT2(Population!AS1:AS3,GDP!AS1:AS3)</f>
        <v>1.0497129209947753</v>
      </c>
      <c r="AT4" cm="1">
        <f t="array" ref="AT4">[4]!TheilT2(Population!AT1:AT3,GDP!AT1:AT3)</f>
        <v>1.0548318397563892</v>
      </c>
      <c r="AU4" cm="1">
        <f t="array" ref="AU4">[4]!TheilT2(Population!AU1:AU3,GDP!AU1:AU3)</f>
        <v>1.0337361943856243</v>
      </c>
      <c r="AV4" cm="1">
        <f t="array" ref="AV4">[4]!TheilT2(Population!AV1:AV3,GDP!AV1:AV3)</f>
        <v>0.98420774479762063</v>
      </c>
      <c r="AW4" cm="1">
        <f t="array" ref="AW4">[4]!TheilT2(Population!AW1:AW3,GDP!AW1:AW3)</f>
        <v>0.93444168570511565</v>
      </c>
      <c r="AX4" cm="1">
        <f t="array" ref="AX4">[4]!TheilT2(Population!AX1:AX3,GDP!AX1:AX3)</f>
        <v>0.87673906620263808</v>
      </c>
      <c r="AY4" cm="1">
        <f t="array" ref="AY4">[4]!TheilT2(Population!AY1:AY3,GDP!AY1:AY3)</f>
        <v>0.82503152813398639</v>
      </c>
      <c r="AZ4" cm="1">
        <f t="array" ref="AZ4">[4]!TheilT2(Population!AZ1:AZ3,GDP!AZ1:AZ3)</f>
        <v>0.7979102118971042</v>
      </c>
      <c r="BA4" cm="1">
        <f t="array" ref="BA4">[4]!TheilT2(Population!BA1:BA3,GDP!BA1:BA3)</f>
        <v>0.72151595830413084</v>
      </c>
      <c r="BB4" cm="1">
        <f t="array" ref="BB4">[4]!TheilT2(Population!BB1:BB3,GDP!BB1:BB3)</f>
        <v>0.67881329864683304</v>
      </c>
      <c r="BC4" cm="1">
        <f t="array" ref="BC4">[4]!TheilT2(Population!BC1:BC3,GDP!BC1:BC3)</f>
        <v>0.65835378662120581</v>
      </c>
      <c r="BD4" cm="1">
        <f t="array" ref="BD4">[4]!TheilT2(Population!BD1:BD3,GDP!BD1:BD3)</f>
        <v>0.63120681171082849</v>
      </c>
      <c r="BE4" cm="1">
        <f t="array" ref="BE4">[4]!TheilT2(Population!BE1:BE3,GDP!BE1:BE3)</f>
        <v>0.6207254636627817</v>
      </c>
      <c r="BF4" cm="1">
        <f t="array" ref="BF4">[4]!TheilT2(Population!BF1:BF3,GDP!BF1:BF3)</f>
        <v>0.62665499452524476</v>
      </c>
      <c r="BG4" cm="1">
        <f t="array" ref="BG4">[4]!TheilT2(Population!BG1:BG3,GDP!BG1:BG3)</f>
        <v>0.63809627922462298</v>
      </c>
      <c r="BH4" cm="1">
        <f t="array" ref="BH4">[4]!TheilT2(Population!BH1:BH3,GDP!BH1:BH3)</f>
        <v>0.61574002677393946</v>
      </c>
      <c r="BI4" cm="1">
        <f t="array" ref="BI4">[4]!TheilT2(Population!BI1:BI3,GDP!BI1:BI3)</f>
        <v>0.62227890783026441</v>
      </c>
      <c r="BJ4" cm="1">
        <f t="array" ref="BJ4">[4]!TheilT2(Population!BJ1:BJ3,GDP!BJ1:BJ3)</f>
        <v>0.62177410476711192</v>
      </c>
    </row>
    <row r="5" spans="1:70" x14ac:dyDescent="0.45">
      <c r="B5" t="s">
        <v>170</v>
      </c>
      <c r="C5" cm="1">
        <f t="array" ref="C5">[4]!TheilT2(Population!C13:C90,GDP!C13:C90)</f>
        <v>0.92075229812943882</v>
      </c>
      <c r="D5" cm="1">
        <f t="array" ref="D5">[4]!TheilT2(Population!D13:D90,GDP!D13:D90)</f>
        <v>0.94314236048178823</v>
      </c>
      <c r="E5" cm="1">
        <f t="array" ref="E5">[4]!TheilT2(Population!E13:E90,GDP!E13:E90)</f>
        <v>0.95507786936287087</v>
      </c>
      <c r="F5" cm="1">
        <f t="array" ref="F5">[4]!TheilT2(Population!F13:F90,GDP!F13:F90)</f>
        <v>0.93591027660026449</v>
      </c>
      <c r="G5" cm="1">
        <f t="array" ref="G5">[4]!TheilT2(Population!G13:G90,GDP!G13:G90)</f>
        <v>0.9263114553692654</v>
      </c>
      <c r="H5" cm="1">
        <f t="array" ref="H5">[4]!TheilT2(Population!H13:H90,GDP!H13:H90)</f>
        <v>0.92524221804512174</v>
      </c>
      <c r="I5" cm="1">
        <f t="array" ref="I5">[4]!TheilT2(Population!I13:I90,GDP!I13:I90)</f>
        <v>0.95879214457096451</v>
      </c>
      <c r="J5" cm="1">
        <f t="array" ref="J5">[4]!TheilT2(Population!J13:J90,GDP!J13:J90)</f>
        <v>0.97388575285799761</v>
      </c>
      <c r="K5" cm="1">
        <f t="array" ref="K5">[4]!TheilT2(Population!K13:K90,GDP!K13:K90)</f>
        <v>1.0008043438860708</v>
      </c>
      <c r="L5" cm="1">
        <f t="array" ref="L5">[4]!TheilT2(Population!L13:L90,GDP!L13:L90)</f>
        <v>0.99496613615489027</v>
      </c>
      <c r="M5" cm="1">
        <f t="array" ref="M5">[4]!TheilT2(Population!M13:M90,GDP!M13:M90)</f>
        <v>0.97978170513505169</v>
      </c>
      <c r="N5" cm="1">
        <f t="array" ref="N5">[4]!TheilT2(Population!N13:N90,GDP!N13:N90)</f>
        <v>0.99372619806841123</v>
      </c>
      <c r="O5" cm="1">
        <f t="array" ref="O5">[4]!TheilT2(Population!O13:O90,GDP!O13:O90)</f>
        <v>1.0010262077672474</v>
      </c>
      <c r="P5" cm="1">
        <f t="array" ref="P5">[4]!TheilT2(Population!P13:P90,GDP!P13:P90)</f>
        <v>0.9836615613738986</v>
      </c>
      <c r="Q5" cm="1">
        <f t="array" ref="Q5">[4]!TheilT2(Population!Q13:Q90,GDP!Q13:Q90)</f>
        <v>0.95977027140885895</v>
      </c>
      <c r="R5" cm="1">
        <f t="array" ref="R5">[4]!TheilT2(Population!R13:R90,GDP!R13:R90)</f>
        <v>0.96882906655759293</v>
      </c>
      <c r="S5" cm="1">
        <f t="array" ref="S5">[4]!TheilT2(Population!S13:S90,GDP!S13:S90)</f>
        <v>0.99734754089023447</v>
      </c>
      <c r="T5" cm="1">
        <f t="array" ref="T5">[4]!TheilT2(Population!T13:T90,GDP!T13:T90)</f>
        <v>0.99966463951860718</v>
      </c>
      <c r="U5" cm="1">
        <f t="array" ref="U5">[4]!TheilT2(Population!U13:U90,GDP!U13:U90)</f>
        <v>1.0418975441254217</v>
      </c>
      <c r="V5" cm="1">
        <f t="array" ref="V5">[4]!TheilT2(Population!V13:V90,GDP!V13:V90)</f>
        <v>1.0296195068964751</v>
      </c>
      <c r="W5" cm="1">
        <f t="array" ref="W5">[4]!TheilT2(Population!W13:W90,GDP!W13:W90)</f>
        <v>1.0239403115435113</v>
      </c>
      <c r="X5" cm="1">
        <f t="array" ref="X5">[4]!TheilT2(Population!X13:X90,GDP!X13:X90)</f>
        <v>1.0094624112895938</v>
      </c>
      <c r="Y5" cm="1">
        <f t="array" ref="Y5">[4]!TheilT2(Population!Y13:Y90,GDP!Y13:Y90)</f>
        <v>1.024543704838403</v>
      </c>
      <c r="Z5" cm="1">
        <f t="array" ref="Z5">[4]!TheilT2(Population!Z13:Z90,GDP!Z13:Z90)</f>
        <v>1.0685987853097412</v>
      </c>
      <c r="AA5" cm="1">
        <f t="array" ref="AA5">[4]!TheilT2(Population!AA13:AA90,GDP!AA13:AA90)</f>
        <v>1.1019900236782656</v>
      </c>
      <c r="AB5" cm="1">
        <f t="array" ref="AB5">[4]!TheilT2(Population!AB13:AB90,GDP!AB13:AB90)</f>
        <v>1.110631185061089</v>
      </c>
      <c r="AC5" cm="1">
        <f t="array" ref="AC5">[4]!TheilT2(Population!AC13:AC90,GDP!AC13:AC90)</f>
        <v>1.161293932590725</v>
      </c>
      <c r="AD5" cm="1">
        <f t="array" ref="AD5">[4]!TheilT2(Population!AD13:AD90,GDP!AD13:AD90)</f>
        <v>1.1898822471307362</v>
      </c>
      <c r="AE5" cm="1">
        <f t="array" ref="AE5">[4]!TheilT2(Population!AE13:AE90,GDP!AE13:AE90)</f>
        <v>1.205613279235777</v>
      </c>
      <c r="AF5" cm="1">
        <f t="array" ref="AF5">[4]!TheilT2(Population!AF13:AF90,GDP!AF13:AF90)</f>
        <v>1.1950080258900204</v>
      </c>
      <c r="AG5" cm="1">
        <f t="array" ref="AG5">[4]!TheilT2(Population!AG13:AG90,GDP!AG13:AG90)</f>
        <v>1.1961886454936634</v>
      </c>
      <c r="AH5" cm="1">
        <f t="array" ref="AH5">[4]!TheilT2(Population!AH13:AH90,GDP!AH13:AH90)</f>
        <v>1.2060038747099471</v>
      </c>
      <c r="AI5" cm="1">
        <f t="array" ref="AI5">[4]!TheilT2(Population!AI13:AI90,GDP!AI13:AI90)</f>
        <v>1.228724533682354</v>
      </c>
      <c r="AJ5" cm="1">
        <f t="array" ref="AJ5">[4]!TheilT2(Population!AJ13:AJ90,GDP!AJ13:AJ90)</f>
        <v>1.2365741347336463</v>
      </c>
      <c r="AK5" cm="1">
        <f t="array" ref="AK5">[4]!TheilT2(Population!AK13:AK90,GDP!AK13:AK90)</f>
        <v>1.2237743272890087</v>
      </c>
      <c r="AL5" cm="1">
        <f t="array" ref="AL5">[4]!TheilT2(Population!AL13:AL90,GDP!AL13:AL90)</f>
        <v>1.2059438080638107</v>
      </c>
      <c r="AM5" cm="1">
        <f t="array" ref="AM5">[4]!TheilT2(Population!AM13:AM90,GDP!AM13:AM90)</f>
        <v>1.1638051272855632</v>
      </c>
      <c r="AN5" cm="1">
        <f t="array" ref="AN5">[4]!TheilT2(Population!AN13:AN90,GDP!AN13:AN90)</f>
        <v>1.1432228388124459</v>
      </c>
      <c r="AO5" cm="1">
        <f t="array" ref="AO5">[4]!TheilT2(Population!AO13:AO90,GDP!AO13:AO90)</f>
        <v>1.1499250796489635</v>
      </c>
      <c r="AP5" cm="1">
        <f t="array" ref="AP5">[4]!TheilT2(Population!AP13:AP90,GDP!AP13:AP90)</f>
        <v>1.1775406029421054</v>
      </c>
      <c r="AQ5" cm="1">
        <f t="array" ref="AQ5">[4]!TheilT2(Population!AQ13:AQ90,GDP!AQ13:AQ90)</f>
        <v>1.1699481494609323</v>
      </c>
      <c r="AR5" cm="1">
        <f t="array" ref="AR5">[4]!TheilT2(Population!AR13:AR90,GDP!AR13:AR90)</f>
        <v>1.1646776670103351</v>
      </c>
      <c r="AS5" cm="1">
        <f t="array" ref="AS5">[4]!TheilT2(Population!AS13:AS90,GDP!AS13:AS90)</f>
        <v>1.1546999172111256</v>
      </c>
      <c r="AT5" cm="1">
        <f t="array" ref="AT5">[4]!TheilT2(Population!AT13:AT90,GDP!AT13:AT90)</f>
        <v>1.1436597139388041</v>
      </c>
      <c r="AU5" cm="1">
        <f t="array" ref="AU5">[4]!TheilT2(Population!AU13:AU90,GDP!AU13:AU90)</f>
        <v>1.1202901874006697</v>
      </c>
      <c r="AV5" cm="1">
        <f t="array" ref="AV5">[4]!TheilT2(Population!AV13:AV90,GDP!AV13:AV90)</f>
        <v>1.0770841198972916</v>
      </c>
      <c r="AW5" cm="1">
        <f t="array" ref="AW5">[4]!TheilT2(Population!AW13:AW90,GDP!AW13:AW90)</f>
        <v>1.0309971209991931</v>
      </c>
      <c r="AX5" cm="1">
        <f t="array" ref="AX5">[4]!TheilT2(Population!AX13:AX90,GDP!AX13:AX90)</f>
        <v>0.97320320451106934</v>
      </c>
      <c r="AY5" cm="1">
        <f t="array" ref="AY5">[4]!TheilT2(Population!AY13:AY90,GDP!AY13:AY90)</f>
        <v>0.92733416522425161</v>
      </c>
      <c r="AZ5" cm="1">
        <f t="array" ref="AZ5">[4]!TheilT2(Population!AZ13:AZ90,GDP!AZ13:AZ90)</f>
        <v>0.88967629250217406</v>
      </c>
      <c r="BA5" cm="1">
        <f t="array" ref="BA5">[4]!TheilT2(Population!BA13:BA90,GDP!BA13:BA90)</f>
        <v>0.82549177620543623</v>
      </c>
      <c r="BB5" cm="1">
        <f t="array" ref="BB5">[4]!TheilT2(Population!BB13:BB90,GDP!BB13:BB90)</f>
        <v>0.78875601085759095</v>
      </c>
      <c r="BC5" cm="1">
        <f t="array" ref="BC5">[4]!TheilT2(Population!BC13:BC90,GDP!BC13:BC90)</f>
        <v>0.76905517564563686</v>
      </c>
      <c r="BD5" cm="1">
        <f t="array" ref="BD5">[4]!TheilT2(Population!BD13:BD90,GDP!BD13:BD90)</f>
        <v>0.74194925209577745</v>
      </c>
      <c r="BE5" cm="1">
        <f t="array" ref="BE5">[4]!TheilT2(Population!BE13:BE90,GDP!BE13:BE90)</f>
        <v>0.72445492944484569</v>
      </c>
      <c r="BF5" cm="1">
        <f t="array" ref="BF5">[4]!TheilT2(Population!BF13:BF90,GDP!BF13:BF90)</f>
        <v>0.71961578166911433</v>
      </c>
      <c r="BG5" cm="1">
        <f t="array" ref="BG5">[4]!TheilT2(Population!BG13:BG90,GDP!BG13:BG90)</f>
        <v>0.72454567895886945</v>
      </c>
      <c r="BH5" cm="1">
        <f t="array" ref="BH5">[4]!TheilT2(Population!BH13:BH90,GDP!BH13:BH90)</f>
        <v>0.70263052257542669</v>
      </c>
      <c r="BI5" cm="1">
        <f t="array" ref="BI5">[4]!TheilT2(Population!BI13:BI90,GDP!BI13:BI90)</f>
        <v>0.70314850055386102</v>
      </c>
      <c r="BJ5" cm="1">
        <f t="array" ref="BJ5">[4]!TheilT2(Population!BJ13:BJ90,GDP!BJ13:BJ90)</f>
        <v>0.70396039880105621</v>
      </c>
    </row>
    <row r="6" spans="1:70" x14ac:dyDescent="0.45">
      <c r="A6" s="12" t="s">
        <v>205</v>
      </c>
    </row>
    <row r="7" spans="1:70" x14ac:dyDescent="0.45">
      <c r="C7" t="str">
        <f>Population!C12</f>
        <v>1960</v>
      </c>
      <c r="D7" t="str">
        <f>Population!D12</f>
        <v>1961</v>
      </c>
      <c r="E7" t="str">
        <f>Population!E12</f>
        <v>1962</v>
      </c>
      <c r="F7" t="str">
        <f>Population!F12</f>
        <v>1963</v>
      </c>
      <c r="G7" t="str">
        <f>Population!G12</f>
        <v>1964</v>
      </c>
      <c r="H7" t="str">
        <f>Population!H12</f>
        <v>1965</v>
      </c>
      <c r="I7" t="str">
        <f>Population!I12</f>
        <v>1966</v>
      </c>
      <c r="J7" t="str">
        <f>Population!J12</f>
        <v>1967</v>
      </c>
      <c r="K7" t="str">
        <f>Population!K12</f>
        <v>1968</v>
      </c>
      <c r="L7" t="str">
        <f>Population!L12</f>
        <v>1969</v>
      </c>
      <c r="M7" t="str">
        <f>Population!M12</f>
        <v>1970</v>
      </c>
      <c r="N7" t="str">
        <f>Population!N12</f>
        <v>1971</v>
      </c>
      <c r="O7" t="str">
        <f>Population!O12</f>
        <v>1972</v>
      </c>
      <c r="P7" t="str">
        <f>Population!P12</f>
        <v>1973</v>
      </c>
      <c r="Q7" t="str">
        <f>Population!Q12</f>
        <v>1974</v>
      </c>
      <c r="R7" t="str">
        <f>Population!R12</f>
        <v>1975</v>
      </c>
      <c r="S7" t="str">
        <f>Population!S12</f>
        <v>1976</v>
      </c>
      <c r="T7" t="str">
        <f>Population!T12</f>
        <v>1977</v>
      </c>
      <c r="U7" t="str">
        <f>Population!U12</f>
        <v>1978</v>
      </c>
      <c r="V7" t="str">
        <f>Population!V12</f>
        <v>1979</v>
      </c>
      <c r="W7" t="str">
        <f>Population!W12</f>
        <v>1980</v>
      </c>
      <c r="X7" t="str">
        <f>Population!X12</f>
        <v>1981</v>
      </c>
      <c r="Y7" t="str">
        <f>Population!Y12</f>
        <v>1982</v>
      </c>
      <c r="Z7" t="str">
        <f>Population!Z12</f>
        <v>1983</v>
      </c>
      <c r="AA7" t="str">
        <f>Population!AA12</f>
        <v>1984</v>
      </c>
      <c r="AB7" t="str">
        <f>Population!AB12</f>
        <v>1985</v>
      </c>
      <c r="AC7" t="str">
        <f>Population!AC12</f>
        <v>1986</v>
      </c>
      <c r="AD7" t="str">
        <f>Population!AD12</f>
        <v>1987</v>
      </c>
      <c r="AE7" t="str">
        <f>Population!AE12</f>
        <v>1988</v>
      </c>
      <c r="AF7" t="str">
        <f>Population!AF12</f>
        <v>1989</v>
      </c>
      <c r="AG7" t="str">
        <f>Population!AG12</f>
        <v>1990</v>
      </c>
      <c r="AH7" t="str">
        <f>Population!AH12</f>
        <v>1991</v>
      </c>
      <c r="AI7" t="str">
        <f>Population!AI12</f>
        <v>1992</v>
      </c>
      <c r="AJ7" t="str">
        <f>Population!AJ12</f>
        <v>1993</v>
      </c>
      <c r="AK7" t="str">
        <f>Population!AK12</f>
        <v>1994</v>
      </c>
      <c r="AL7" t="str">
        <f>Population!AL12</f>
        <v>1995</v>
      </c>
      <c r="AM7" t="str">
        <f>Population!AM12</f>
        <v>1996</v>
      </c>
      <c r="AN7" t="str">
        <f>Population!AN12</f>
        <v>1997</v>
      </c>
      <c r="AO7" t="str">
        <f>Population!AO12</f>
        <v>1998</v>
      </c>
      <c r="AP7" t="str">
        <f>Population!AP12</f>
        <v>1999</v>
      </c>
      <c r="AQ7" t="str">
        <f>Population!AQ12</f>
        <v>2000</v>
      </c>
      <c r="AR7" t="str">
        <f>Population!AR12</f>
        <v>2001</v>
      </c>
      <c r="AS7" t="str">
        <f>Population!AS12</f>
        <v>2002</v>
      </c>
      <c r="AT7" t="str">
        <f>Population!AT12</f>
        <v>2003</v>
      </c>
      <c r="AU7" t="str">
        <f>Population!AU12</f>
        <v>2004</v>
      </c>
      <c r="AV7" t="str">
        <f>Population!AV12</f>
        <v>2005</v>
      </c>
      <c r="AW7" t="str">
        <f>Population!AW12</f>
        <v>2006</v>
      </c>
      <c r="AX7" t="str">
        <f>Population!AX12</f>
        <v>2007</v>
      </c>
      <c r="AY7" t="str">
        <f>Population!AY12</f>
        <v>2008</v>
      </c>
      <c r="AZ7" t="str">
        <f>Population!AZ12</f>
        <v>2009</v>
      </c>
      <c r="BA7" t="str">
        <f>Population!BA12</f>
        <v>2010</v>
      </c>
      <c r="BB7" t="str">
        <f>Population!BB12</f>
        <v>2011</v>
      </c>
      <c r="BC7" t="str">
        <f>Population!BC12</f>
        <v>2012</v>
      </c>
      <c r="BD7" t="str">
        <f>Population!BD12</f>
        <v>2013</v>
      </c>
      <c r="BE7" t="str">
        <f>Population!BE12</f>
        <v>2014</v>
      </c>
      <c r="BF7" t="str">
        <f>Population!BF12</f>
        <v>2015</v>
      </c>
      <c r="BG7" t="str">
        <f>Population!BG12</f>
        <v>2016</v>
      </c>
      <c r="BH7" t="str">
        <f>Population!BH12</f>
        <v>2017</v>
      </c>
      <c r="BI7" t="str">
        <f>Population!BI12</f>
        <v>2018</v>
      </c>
      <c r="BJ7" t="str">
        <f>Population!BJ12</f>
        <v>2019</v>
      </c>
    </row>
    <row r="8" spans="1:70" x14ac:dyDescent="0.45">
      <c r="A8" t="s">
        <v>187</v>
      </c>
      <c r="B8" t="s">
        <v>27</v>
      </c>
      <c r="C8" s="11">
        <f>GDP!C1</f>
        <v>145912389081</v>
      </c>
      <c r="D8" s="11">
        <f>GDP!D1</f>
        <v>147801382010</v>
      </c>
      <c r="E8" s="11">
        <f>GDP!E1</f>
        <v>159929834849</v>
      </c>
      <c r="F8" s="11">
        <f>GDP!F1</f>
        <v>179793640645</v>
      </c>
      <c r="G8" s="11">
        <f>GDP!G1</f>
        <v>194403622468</v>
      </c>
      <c r="H8" s="11">
        <f>GDP!H1</f>
        <v>208333333521</v>
      </c>
      <c r="I8" s="11">
        <f>GDP!I1</f>
        <v>212889788243</v>
      </c>
      <c r="J8" s="11">
        <f>GDP!J1</f>
        <v>227794355293</v>
      </c>
      <c r="K8" s="11">
        <f>GDP!K1</f>
        <v>244289214435</v>
      </c>
      <c r="L8" s="11">
        <f>GDP!L1</f>
        <v>272444783232</v>
      </c>
      <c r="M8" s="11">
        <f>GDP!M1</f>
        <v>295223471860</v>
      </c>
      <c r="N8" s="11">
        <f>GDP!N1</f>
        <v>317764298740</v>
      </c>
      <c r="O8" s="11">
        <f>GDP!O1</f>
        <v>351949334284</v>
      </c>
      <c r="P8" s="11">
        <f>GDP!P1</f>
        <v>440314169304</v>
      </c>
      <c r="Q8" s="11">
        <f>GDP!Q1</f>
        <v>559962613852</v>
      </c>
      <c r="R8" s="11">
        <f>GDP!R1</f>
        <v>623649340032</v>
      </c>
      <c r="S8" s="11">
        <f>GDP!S1</f>
        <v>682456611452</v>
      </c>
      <c r="T8" s="11">
        <f>GDP!T1</f>
        <v>761029115088</v>
      </c>
      <c r="U8" s="11">
        <f>GDP!U1</f>
        <v>872425263616</v>
      </c>
      <c r="V8" s="11">
        <f>GDP!V1</f>
        <v>1043591392424</v>
      </c>
      <c r="W8" s="11">
        <f>GDP!W1</f>
        <v>1239186689072</v>
      </c>
      <c r="X8" s="11">
        <f>GDP!X1</f>
        <v>1471517764368</v>
      </c>
      <c r="Y8" s="11">
        <f>GDP!Y1</f>
        <v>1380037286256</v>
      </c>
      <c r="Z8" s="11">
        <f>GDP!Z1</f>
        <v>1229984960672</v>
      </c>
      <c r="AA8" s="11">
        <f>GDP!AA1</f>
        <v>1232251851040</v>
      </c>
      <c r="AB8" s="11">
        <f>GDP!AB1</f>
        <v>1253749786800</v>
      </c>
      <c r="AC8" s="11">
        <f>GDP!AC1</f>
        <v>1266139345008</v>
      </c>
      <c r="AD8" s="11">
        <f>GDP!AD1</f>
        <v>1409411657216</v>
      </c>
      <c r="AE8" s="11">
        <f>GDP!AE1</f>
        <v>1537029355936</v>
      </c>
      <c r="AF8" s="11">
        <f>GDP!AF1</f>
        <v>1722601083072</v>
      </c>
      <c r="AG8" s="11">
        <f>GDP!AG1</f>
        <v>1945157529696</v>
      </c>
      <c r="AH8" s="11">
        <f>GDP!AH1</f>
        <v>2141065382240</v>
      </c>
      <c r="AI8" s="11">
        <f>GDP!AI1</f>
        <v>2080614294368</v>
      </c>
      <c r="AJ8" s="11">
        <f>GDP!AJ1</f>
        <v>2300464285440</v>
      </c>
      <c r="AK8" s="11">
        <f>GDP!AK1</f>
        <v>2530590690816</v>
      </c>
      <c r="AL8" s="11">
        <f>GDP!AL1</f>
        <v>2793225049472</v>
      </c>
      <c r="AM8" s="11">
        <f>GDP!AM1</f>
        <v>3042474791296</v>
      </c>
      <c r="AN8" s="11">
        <f>GDP!AN1</f>
        <v>3213334508032</v>
      </c>
      <c r="AO8" s="11">
        <f>GDP!AO1</f>
        <v>3221335171840</v>
      </c>
      <c r="AP8" s="11">
        <f>GDP!AP1</f>
        <v>3057572145600</v>
      </c>
      <c r="AQ8" s="11">
        <f>GDP!AQ1</f>
        <v>3330665685248</v>
      </c>
      <c r="AR8" s="11">
        <f>GDP!AR1</f>
        <v>3202739511232</v>
      </c>
      <c r="AS8" s="11">
        <f>GDP!AS1</f>
        <v>3295317594368</v>
      </c>
      <c r="AT8" s="11">
        <f>GDP!AT1</f>
        <v>3622123760704</v>
      </c>
      <c r="AU8" s="11">
        <f>GDP!AU1</f>
        <v>4229233275264</v>
      </c>
      <c r="AV8" s="11">
        <f>GDP!AV1</f>
        <v>5015567037504</v>
      </c>
      <c r="AW8" s="11">
        <f>GDP!AW1</f>
        <v>5801783146560</v>
      </c>
      <c r="AX8" s="11">
        <f>GDP!AX1</f>
        <v>6919243241792</v>
      </c>
      <c r="AY8" s="11">
        <f>GDP!AY1</f>
        <v>7684460041984</v>
      </c>
      <c r="AZ8" s="11">
        <f>GDP!AZ1</f>
        <v>7367048989632</v>
      </c>
      <c r="BA8" s="11">
        <f>GDP!BA1</f>
        <v>9066043917824</v>
      </c>
      <c r="BB8" s="11">
        <f>GDP!BB1</f>
        <v>10245588401792</v>
      </c>
      <c r="BC8" s="11">
        <f>GDP!BC1</f>
        <v>10400885893440</v>
      </c>
      <c r="BD8" s="11">
        <f>GDP!BD1</f>
        <v>10810007105280</v>
      </c>
      <c r="BE8" s="11">
        <f>GDP!BE1</f>
        <v>11121052034944</v>
      </c>
      <c r="BF8" s="11">
        <f>GDP!BF1</f>
        <v>10103201765120</v>
      </c>
      <c r="BG8" s="11">
        <f>GDP!BG1</f>
        <v>10152431583872</v>
      </c>
      <c r="BH8" s="11">
        <f>GDP!BH1</f>
        <v>11140912240000</v>
      </c>
      <c r="BI8" s="11">
        <f>GDP!BI1</f>
        <v>11302836297600</v>
      </c>
      <c r="BJ8" s="11">
        <f>GDP!BJ1</f>
        <v>11529196083200</v>
      </c>
      <c r="BK8" s="11"/>
      <c r="BL8" s="11"/>
      <c r="BM8" s="11"/>
      <c r="BN8" s="11"/>
      <c r="BO8" s="11"/>
      <c r="BP8" s="11"/>
      <c r="BQ8" s="11"/>
      <c r="BR8" s="11"/>
    </row>
    <row r="9" spans="1:70" x14ac:dyDescent="0.45">
      <c r="B9" t="s">
        <v>186</v>
      </c>
      <c r="C9" s="11">
        <f>GDP!C2</f>
        <v>866333730560</v>
      </c>
      <c r="D9" s="11">
        <f>GDP!D2</f>
        <v>917718404224</v>
      </c>
      <c r="E9" s="11">
        <f>GDP!E2</f>
        <v>991608361344</v>
      </c>
      <c r="F9" s="11">
        <f>GDP!F2</f>
        <v>1068329762752</v>
      </c>
      <c r="G9" s="11">
        <f>GDP!G2</f>
        <v>1165102469696</v>
      </c>
      <c r="H9" s="11">
        <f>GDP!H2</f>
        <v>1267550881344</v>
      </c>
      <c r="I9" s="11">
        <f>GDP!I2</f>
        <v>1389874987712</v>
      </c>
      <c r="J9" s="11">
        <f>GDP!J2</f>
        <v>1491682598400</v>
      </c>
      <c r="K9" s="11">
        <f>GDP!K2</f>
        <v>1620089447936</v>
      </c>
      <c r="L9" s="11">
        <f>GDP!L2</f>
        <v>1780913526912</v>
      </c>
      <c r="M9" s="11">
        <f>GDP!M2</f>
        <v>1943939481344</v>
      </c>
      <c r="N9" s="11">
        <f>GDP!N2</f>
        <v>2140704497920</v>
      </c>
      <c r="O9" s="11">
        <f>GDP!O2</f>
        <v>2474444143744</v>
      </c>
      <c r="P9" s="11">
        <f>GDP!P2</f>
        <v>2951846527744</v>
      </c>
      <c r="Q9" s="11">
        <f>GDP!Q2</f>
        <v>3285962257664</v>
      </c>
      <c r="R9" s="11">
        <f>GDP!R2</f>
        <v>3693785925120</v>
      </c>
      <c r="S9" s="11">
        <f>GDP!S2</f>
        <v>3999492140288</v>
      </c>
      <c r="T9" s="11">
        <f>GDP!T2</f>
        <v>4531686935552</v>
      </c>
      <c r="U9" s="11">
        <f>GDP!U2</f>
        <v>5457153799680</v>
      </c>
      <c r="V9" s="11">
        <f>GDP!V2</f>
        <v>6253764610560</v>
      </c>
      <c r="W9" s="11">
        <f>GDP!W2</f>
        <v>6950362182656</v>
      </c>
      <c r="X9" s="11">
        <f>GDP!X2</f>
        <v>7180375587840</v>
      </c>
      <c r="Y9" s="11">
        <f>GDP!Y2</f>
        <v>7159140354560</v>
      </c>
      <c r="Z9" s="11">
        <f>GDP!Z2</f>
        <v>7466227553792</v>
      </c>
      <c r="AA9" s="11">
        <f>GDP!AA2</f>
        <v>7895046888448</v>
      </c>
      <c r="AB9" s="11">
        <f>GDP!AB2</f>
        <v>8356090895872</v>
      </c>
      <c r="AC9" s="11">
        <f>GDP!AC2</f>
        <v>10099459888128</v>
      </c>
      <c r="AD9" s="11">
        <f>GDP!AD2</f>
        <v>11600605321216</v>
      </c>
      <c r="AE9" s="11">
        <f>GDP!AE2</f>
        <v>13133434789888</v>
      </c>
      <c r="AF9" s="11">
        <f>GDP!AF2</f>
        <v>13763984291840</v>
      </c>
      <c r="AG9" s="11">
        <f>GDP!AG2</f>
        <v>15268428614656</v>
      </c>
      <c r="AH9" s="11">
        <f>GDP!AH2</f>
        <v>16191372101632</v>
      </c>
      <c r="AI9" s="11">
        <f>GDP!AI2</f>
        <v>17329877905408</v>
      </c>
      <c r="AJ9" s="11">
        <f>GDP!AJ2</f>
        <v>17539444568064</v>
      </c>
      <c r="AK9" s="11">
        <f>GDP!AK2</f>
        <v>18826020831232</v>
      </c>
      <c r="AL9" s="11">
        <f>GDP!AL2</f>
        <v>20754290759680</v>
      </c>
      <c r="AM9" s="11">
        <f>GDP!AM2</f>
        <v>20944252014592</v>
      </c>
      <c r="AN9" s="11">
        <f>GDP!AN2</f>
        <v>20773978986496</v>
      </c>
      <c r="AO9" s="11">
        <f>GDP!AO2</f>
        <v>20884158953472</v>
      </c>
      <c r="AP9" s="11">
        <f>GDP!AP2</f>
        <v>22130045769728</v>
      </c>
      <c r="AQ9" s="11">
        <f>GDP!AQ2</f>
        <v>22799401328640</v>
      </c>
      <c r="AR9" s="11">
        <f>GDP!AR2</f>
        <v>22532806506496</v>
      </c>
      <c r="AS9" s="11">
        <f>GDP!AS2</f>
        <v>23397823830016</v>
      </c>
      <c r="AT9" s="11">
        <f>GDP!AT2</f>
        <v>25959540056064</v>
      </c>
      <c r="AU9" s="11">
        <f>GDP!AU2</f>
        <v>28725651619840</v>
      </c>
      <c r="AV9" s="11">
        <f>GDP!AV2</f>
        <v>30211172564992</v>
      </c>
      <c r="AW9" s="11">
        <f>GDP!AW2</f>
        <v>31673685147648</v>
      </c>
      <c r="AX9" s="11">
        <f>GDP!AX2</f>
        <v>34257573187584</v>
      </c>
      <c r="AY9" s="11">
        <f>GDP!AY2</f>
        <v>35957617364992</v>
      </c>
      <c r="AZ9" s="11">
        <f>GDP!AZ2</f>
        <v>34181532553216</v>
      </c>
      <c r="BA9" s="11">
        <f>GDP!BA2</f>
        <v>35612360290304</v>
      </c>
      <c r="BB9" s="11">
        <f>GDP!BB2</f>
        <v>37980287795200</v>
      </c>
      <c r="BC9" s="11">
        <f>GDP!BC2</f>
        <v>38161135423488</v>
      </c>
      <c r="BD9" s="11">
        <f>GDP!BD2</f>
        <v>38318426832896</v>
      </c>
      <c r="BE9" s="11">
        <f>GDP!BE2</f>
        <v>39148130385920</v>
      </c>
      <c r="BF9" s="11">
        <f>GDP!BF2</f>
        <v>37620102266880</v>
      </c>
      <c r="BG9" s="11">
        <f>GDP!BG2</f>
        <v>38491668172800</v>
      </c>
      <c r="BH9" s="11">
        <f>GDP!BH2</f>
        <v>39976778661888</v>
      </c>
      <c r="BI9" s="11">
        <f>GDP!BI2</f>
        <v>42244322041856</v>
      </c>
      <c r="BJ9" s="11">
        <f>GDP!BJ2</f>
        <v>42802971230208</v>
      </c>
      <c r="BK9" s="11"/>
      <c r="BL9" s="11"/>
      <c r="BM9" s="11"/>
      <c r="BN9" s="11"/>
      <c r="BO9" s="11"/>
      <c r="BP9" s="11"/>
      <c r="BQ9" s="11"/>
      <c r="BR9" s="11"/>
    </row>
    <row r="10" spans="1:70" x14ac:dyDescent="0.45">
      <c r="B10" t="s">
        <v>174</v>
      </c>
      <c r="C10" s="11">
        <f>GDP!C3</f>
        <v>59716468736</v>
      </c>
      <c r="D10" s="11">
        <f>GDP!D3</f>
        <v>50056867840</v>
      </c>
      <c r="E10" s="11">
        <f>GDP!E3</f>
        <v>47209357312</v>
      </c>
      <c r="F10" s="11">
        <f>GDP!F3</f>
        <v>50706800640</v>
      </c>
      <c r="G10" s="11">
        <f>GDP!G3</f>
        <v>59708342272</v>
      </c>
      <c r="H10" s="11">
        <f>GDP!H3</f>
        <v>70436265984</v>
      </c>
      <c r="I10" s="11">
        <f>GDP!I3</f>
        <v>76720283648</v>
      </c>
      <c r="J10" s="11">
        <f>GDP!J3</f>
        <v>72881635328</v>
      </c>
      <c r="K10" s="11">
        <f>GDP!K3</f>
        <v>70846537728</v>
      </c>
      <c r="L10" s="11">
        <f>GDP!L3</f>
        <v>79705907200</v>
      </c>
      <c r="M10" s="11">
        <f>GDP!M3</f>
        <v>92602974208</v>
      </c>
      <c r="N10" s="11">
        <f>GDP!N3</f>
        <v>99800956928</v>
      </c>
      <c r="O10" s="11">
        <f>GDP!O3</f>
        <v>113687584768</v>
      </c>
      <c r="P10" s="11">
        <f>GDP!P3</f>
        <v>138544283648</v>
      </c>
      <c r="Q10" s="11">
        <f>GDP!Q3</f>
        <v>144182132736</v>
      </c>
      <c r="R10" s="11">
        <f>GDP!R3</f>
        <v>163431546880</v>
      </c>
      <c r="S10" s="11">
        <f>GDP!S3</f>
        <v>153940459520</v>
      </c>
      <c r="T10" s="11">
        <f>GDP!T3</f>
        <v>174938095616</v>
      </c>
      <c r="U10" s="11">
        <f>GDP!U3</f>
        <v>149540749312</v>
      </c>
      <c r="V10" s="11">
        <f>GDP!V3</f>
        <v>178280595456</v>
      </c>
      <c r="W10" s="11">
        <f>GDP!W3</f>
        <v>191149211648</v>
      </c>
      <c r="X10" s="11">
        <f>GDP!X3</f>
        <v>195866378240</v>
      </c>
      <c r="Y10" s="11">
        <f>GDP!Y3</f>
        <v>205089701888</v>
      </c>
      <c r="Z10" s="11">
        <f>GDP!Z3</f>
        <v>230686752768</v>
      </c>
      <c r="AA10" s="11">
        <f>GDP!AA3</f>
        <v>259946512384</v>
      </c>
      <c r="AB10" s="11">
        <f>GDP!AB3</f>
        <v>309488025600</v>
      </c>
      <c r="AC10" s="11">
        <f>GDP!AC3</f>
        <v>300758106112</v>
      </c>
      <c r="AD10" s="11">
        <f>GDP!AD3</f>
        <v>272972972032</v>
      </c>
      <c r="AE10" s="11">
        <f>GDP!AE3</f>
        <v>312353619968</v>
      </c>
      <c r="AF10" s="11">
        <f>GDP!AF3</f>
        <v>347768061952</v>
      </c>
      <c r="AG10" s="11">
        <f>GDP!AG3</f>
        <v>360857927680</v>
      </c>
      <c r="AH10" s="11">
        <f>GDP!AH3</f>
        <v>383373312000</v>
      </c>
      <c r="AI10" s="11">
        <f>GDP!AI3</f>
        <v>426915725312</v>
      </c>
      <c r="AJ10" s="11">
        <f>GDP!AJ3</f>
        <v>444731293696</v>
      </c>
      <c r="AK10" s="11">
        <f>GDP!AK3</f>
        <v>564324663296</v>
      </c>
      <c r="AL10" s="11">
        <f>GDP!AL3</f>
        <v>734547869696</v>
      </c>
      <c r="AM10" s="11">
        <f>GDP!AM3</f>
        <v>863746719744</v>
      </c>
      <c r="AN10" s="11">
        <f>GDP!AN3</f>
        <v>961603960832</v>
      </c>
      <c r="AO10" s="11">
        <f>GDP!AO3</f>
        <v>1029043126272</v>
      </c>
      <c r="AP10" s="11">
        <f>GDP!AP3</f>
        <v>1093997297664</v>
      </c>
      <c r="AQ10" s="11">
        <f>GDP!AQ3</f>
        <v>1211346845696</v>
      </c>
      <c r="AR10" s="11">
        <f>GDP!AR3</f>
        <v>1339395670016</v>
      </c>
      <c r="AS10" s="11">
        <f>GDP!AS3</f>
        <v>1470549983232</v>
      </c>
      <c r="AT10" s="11">
        <f>GDP!AT3</f>
        <v>1660287975424</v>
      </c>
      <c r="AU10" s="11">
        <f>GDP!AU3</f>
        <v>1955347038208</v>
      </c>
      <c r="AV10" s="11">
        <f>GDP!AV3</f>
        <v>2285965934592</v>
      </c>
      <c r="AW10" s="11">
        <f>GDP!AW3</f>
        <v>2752131891200</v>
      </c>
      <c r="AX10" s="11">
        <f>GDP!AX3</f>
        <v>3550342545408</v>
      </c>
      <c r="AY10" s="11">
        <f>GDP!AY3</f>
        <v>4594306908160</v>
      </c>
      <c r="AZ10" s="11">
        <f>GDP!AZ3</f>
        <v>5101702348800</v>
      </c>
      <c r="BA10" s="11">
        <f>GDP!BA3</f>
        <v>6087164559360</v>
      </c>
      <c r="BB10" s="11">
        <f>GDP!BB3</f>
        <v>7551500419072</v>
      </c>
      <c r="BC10" s="11">
        <f>GDP!BC3</f>
        <v>8532230930432</v>
      </c>
      <c r="BD10" s="11">
        <f>GDP!BD3</f>
        <v>9570405580800</v>
      </c>
      <c r="BE10" s="11">
        <f>GDP!BE3</f>
        <v>10475683184640</v>
      </c>
      <c r="BF10" s="11">
        <f>GDP!BF3</f>
        <v>11061553004544</v>
      </c>
      <c r="BG10" s="11">
        <f>GDP!BG3</f>
        <v>11233277247488</v>
      </c>
      <c r="BH10" s="11">
        <f>GDP!BH3</f>
        <v>12310409117696</v>
      </c>
      <c r="BI10" s="11">
        <f>GDP!BI3</f>
        <v>13894816890880</v>
      </c>
      <c r="BJ10" s="11">
        <f>GDP!BJ3</f>
        <v>14342902775808</v>
      </c>
      <c r="BK10" s="11"/>
      <c r="BL10" s="11"/>
      <c r="BM10" s="11"/>
      <c r="BN10" s="11"/>
      <c r="BO10" s="11"/>
      <c r="BP10" s="11"/>
      <c r="BQ10" s="11"/>
      <c r="BR10" s="11"/>
    </row>
    <row r="11" spans="1:70" x14ac:dyDescent="0.45">
      <c r="B11" t="s">
        <v>189</v>
      </c>
      <c r="C11" s="11">
        <f t="shared" ref="C11:AX11" si="0">SUM(C8:C10)</f>
        <v>1071962588377</v>
      </c>
      <c r="D11" s="11">
        <f t="shared" si="0"/>
        <v>1115576654074</v>
      </c>
      <c r="E11" s="11">
        <f t="shared" si="0"/>
        <v>1198747553505</v>
      </c>
      <c r="F11" s="11">
        <f t="shared" si="0"/>
        <v>1298830204037</v>
      </c>
      <c r="G11" s="11">
        <f t="shared" si="0"/>
        <v>1419214434436</v>
      </c>
      <c r="H11" s="11">
        <f t="shared" si="0"/>
        <v>1546320480849</v>
      </c>
      <c r="I11" s="11">
        <f t="shared" si="0"/>
        <v>1679485059603</v>
      </c>
      <c r="J11" s="11">
        <f t="shared" si="0"/>
        <v>1792358589021</v>
      </c>
      <c r="K11" s="11">
        <f t="shared" si="0"/>
        <v>1935225200099</v>
      </c>
      <c r="L11" s="11">
        <f t="shared" si="0"/>
        <v>2133064217344</v>
      </c>
      <c r="M11" s="11">
        <f t="shared" si="0"/>
        <v>2331765927412</v>
      </c>
      <c r="N11" s="11">
        <f t="shared" si="0"/>
        <v>2558269753588</v>
      </c>
      <c r="O11" s="11">
        <f t="shared" si="0"/>
        <v>2940081062796</v>
      </c>
      <c r="P11" s="11">
        <f t="shared" si="0"/>
        <v>3530704980696</v>
      </c>
      <c r="Q11" s="11">
        <f t="shared" si="0"/>
        <v>3990107004252</v>
      </c>
      <c r="R11" s="11">
        <f t="shared" si="0"/>
        <v>4480866812032</v>
      </c>
      <c r="S11" s="11">
        <f t="shared" si="0"/>
        <v>4835889211260</v>
      </c>
      <c r="T11" s="11">
        <f t="shared" si="0"/>
        <v>5467654146256</v>
      </c>
      <c r="U11" s="11">
        <f t="shared" si="0"/>
        <v>6479119812608</v>
      </c>
      <c r="V11" s="11">
        <f t="shared" si="0"/>
        <v>7475636598440</v>
      </c>
      <c r="W11" s="11">
        <f t="shared" si="0"/>
        <v>8380698083376</v>
      </c>
      <c r="X11" s="11">
        <f t="shared" si="0"/>
        <v>8847759730448</v>
      </c>
      <c r="Y11" s="11">
        <f t="shared" si="0"/>
        <v>8744267342704</v>
      </c>
      <c r="Z11" s="11">
        <f t="shared" si="0"/>
        <v>8926899267232</v>
      </c>
      <c r="AA11" s="11">
        <f t="shared" si="0"/>
        <v>9387245251872</v>
      </c>
      <c r="AB11" s="11">
        <f t="shared" si="0"/>
        <v>9919328708272</v>
      </c>
      <c r="AC11" s="11">
        <f t="shared" si="0"/>
        <v>11666357339248</v>
      </c>
      <c r="AD11" s="11">
        <f t="shared" si="0"/>
        <v>13282989950464</v>
      </c>
      <c r="AE11" s="11">
        <f t="shared" si="0"/>
        <v>14982817765792</v>
      </c>
      <c r="AF11" s="11">
        <f t="shared" si="0"/>
        <v>15834353436864</v>
      </c>
      <c r="AG11" s="11">
        <f t="shared" si="0"/>
        <v>17574444072032</v>
      </c>
      <c r="AH11" s="11">
        <f t="shared" si="0"/>
        <v>18715810795872</v>
      </c>
      <c r="AI11" s="11">
        <f t="shared" si="0"/>
        <v>19837407925088</v>
      </c>
      <c r="AJ11" s="11">
        <f t="shared" si="0"/>
        <v>20284640147200</v>
      </c>
      <c r="AK11" s="11">
        <f t="shared" si="0"/>
        <v>21920936185344</v>
      </c>
      <c r="AL11" s="11">
        <f t="shared" si="0"/>
        <v>24282063678848</v>
      </c>
      <c r="AM11" s="11">
        <f t="shared" si="0"/>
        <v>24850473525632</v>
      </c>
      <c r="AN11" s="11">
        <f t="shared" si="0"/>
        <v>24948917455360</v>
      </c>
      <c r="AO11" s="11">
        <f t="shared" si="0"/>
        <v>25134537251584</v>
      </c>
      <c r="AP11" s="11">
        <f t="shared" si="0"/>
        <v>26281615212992</v>
      </c>
      <c r="AQ11" s="11">
        <f t="shared" si="0"/>
        <v>27341413859584</v>
      </c>
      <c r="AR11" s="11">
        <f t="shared" si="0"/>
        <v>27074941687744</v>
      </c>
      <c r="AS11" s="11">
        <f t="shared" si="0"/>
        <v>28163691407616</v>
      </c>
      <c r="AT11" s="11">
        <f t="shared" si="0"/>
        <v>31241951792192</v>
      </c>
      <c r="AU11" s="11">
        <f t="shared" si="0"/>
        <v>34910231933312</v>
      </c>
      <c r="AV11" s="11">
        <f t="shared" si="0"/>
        <v>37512705537088</v>
      </c>
      <c r="AW11" s="11">
        <f t="shared" si="0"/>
        <v>40227600185408</v>
      </c>
      <c r="AX11" s="11">
        <f t="shared" si="0"/>
        <v>44727158974784</v>
      </c>
      <c r="AY11" s="11">
        <f t="shared" ref="AY11:BJ11" si="1">SUM(AY8:AY10)</f>
        <v>48236384315136</v>
      </c>
      <c r="AZ11" s="11">
        <f t="shared" si="1"/>
        <v>46650283891648</v>
      </c>
      <c r="BA11" s="11">
        <f t="shared" si="1"/>
        <v>50765568767488</v>
      </c>
      <c r="BB11" s="11">
        <f t="shared" si="1"/>
        <v>55777376616064</v>
      </c>
      <c r="BC11" s="11">
        <f t="shared" si="1"/>
        <v>57094252247360</v>
      </c>
      <c r="BD11" s="11">
        <f t="shared" si="1"/>
        <v>58698839518976</v>
      </c>
      <c r="BE11" s="11">
        <f t="shared" si="1"/>
        <v>60744865605504</v>
      </c>
      <c r="BF11" s="11">
        <f t="shared" si="1"/>
        <v>58784857036544</v>
      </c>
      <c r="BG11" s="11">
        <f t="shared" si="1"/>
        <v>59877377004160</v>
      </c>
      <c r="BH11" s="11">
        <f t="shared" si="1"/>
        <v>63428100019584</v>
      </c>
      <c r="BI11" s="11">
        <f t="shared" si="1"/>
        <v>67441975230336</v>
      </c>
      <c r="BJ11" s="11">
        <f t="shared" si="1"/>
        <v>68675070089216</v>
      </c>
      <c r="BK11" s="11"/>
      <c r="BL11" s="11"/>
      <c r="BM11" s="11"/>
      <c r="BN11" s="11"/>
      <c r="BO11" s="11"/>
      <c r="BP11" s="11"/>
      <c r="BQ11" s="11"/>
      <c r="BR11" s="11"/>
    </row>
    <row r="12" spans="1:70" x14ac:dyDescent="0.45">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row>
    <row r="13" spans="1:70" x14ac:dyDescent="0.45">
      <c r="A13" t="s">
        <v>188</v>
      </c>
      <c r="B13" t="s">
        <v>27</v>
      </c>
      <c r="C13" s="11">
        <f>Population!C1</f>
        <v>977433934</v>
      </c>
      <c r="D13" s="11">
        <f>Population!D1</f>
        <v>1000661463</v>
      </c>
      <c r="E13" s="11">
        <f>Population!E1</f>
        <v>1024719298</v>
      </c>
      <c r="F13" s="11">
        <f>Population!F1</f>
        <v>1049568603</v>
      </c>
      <c r="G13" s="11">
        <f>Population!G1</f>
        <v>1075153775</v>
      </c>
      <c r="H13" s="11">
        <f>Population!H1</f>
        <v>1101434985</v>
      </c>
      <c r="I13" s="11">
        <f>Population!I1</f>
        <v>1128416566</v>
      </c>
      <c r="J13" s="11">
        <f>Population!J1</f>
        <v>1156108444</v>
      </c>
      <c r="K13" s="11">
        <f>Population!K1</f>
        <v>1184502788</v>
      </c>
      <c r="L13" s="11">
        <f>Population!L1</f>
        <v>1213594304</v>
      </c>
      <c r="M13" s="11">
        <f>Population!M1</f>
        <v>1243387892</v>
      </c>
      <c r="N13" s="11">
        <f>Population!N1</f>
        <v>1273871027</v>
      </c>
      <c r="O13" s="11">
        <f>Population!O1</f>
        <v>1305074950</v>
      </c>
      <c r="P13" s="11">
        <f>Population!P1</f>
        <v>1337087498</v>
      </c>
      <c r="Q13" s="11">
        <f>Population!Q1</f>
        <v>1370024373</v>
      </c>
      <c r="R13" s="11">
        <f>Population!R1</f>
        <v>1403969870</v>
      </c>
      <c r="S13" s="11">
        <f>Population!S1</f>
        <v>1438938757</v>
      </c>
      <c r="T13" s="11">
        <f>Population!T1</f>
        <v>1474910374</v>
      </c>
      <c r="U13" s="11">
        <f>Population!U1</f>
        <v>1511892167</v>
      </c>
      <c r="V13" s="11">
        <f>Population!V1</f>
        <v>1549885129</v>
      </c>
      <c r="W13" s="11">
        <f>Population!W1</f>
        <v>1588872219</v>
      </c>
      <c r="X13" s="11">
        <f>Population!X1</f>
        <v>1628833387</v>
      </c>
      <c r="Y13" s="11">
        <f>Population!Y1</f>
        <v>1669718190</v>
      </c>
      <c r="Z13" s="11">
        <f>Population!Z1</f>
        <v>1711431948</v>
      </c>
      <c r="AA13" s="11">
        <f>Population!AA1</f>
        <v>1753857484</v>
      </c>
      <c r="AB13" s="11">
        <f>Population!AB1</f>
        <v>1796886055</v>
      </c>
      <c r="AC13" s="11">
        <f>Population!AC1</f>
        <v>1840492564</v>
      </c>
      <c r="AD13" s="11">
        <f>Population!AD1</f>
        <v>1884626310</v>
      </c>
      <c r="AE13" s="11">
        <f>Population!AE1</f>
        <v>1929112680</v>
      </c>
      <c r="AF13" s="11">
        <f>Population!AF1</f>
        <v>1973749340</v>
      </c>
      <c r="AG13" s="11">
        <f>Population!AG1</f>
        <v>2018392238</v>
      </c>
      <c r="AH13" s="11">
        <f>Population!AH1</f>
        <v>2062919226</v>
      </c>
      <c r="AI13" s="11">
        <f>Population!AI1</f>
        <v>2107361144</v>
      </c>
      <c r="AJ13" s="11">
        <f>Population!AJ1</f>
        <v>2151909344</v>
      </c>
      <c r="AK13" s="11">
        <f>Population!AK1</f>
        <v>2196831419</v>
      </c>
      <c r="AL13" s="11">
        <f>Population!AL1</f>
        <v>2242306667</v>
      </c>
      <c r="AM13" s="11">
        <f>Population!AM1</f>
        <v>2288404631</v>
      </c>
      <c r="AN13" s="11">
        <f>Population!AN1</f>
        <v>2335004621</v>
      </c>
      <c r="AO13" s="11">
        <f>Population!AO1</f>
        <v>2381915859</v>
      </c>
      <c r="AP13" s="11">
        <f>Population!AP1</f>
        <v>2428876896</v>
      </c>
      <c r="AQ13" s="11">
        <f>Population!AQ1</f>
        <v>2475690529</v>
      </c>
      <c r="AR13" s="11">
        <f>Population!AR1</f>
        <v>2522283224</v>
      </c>
      <c r="AS13" s="11">
        <f>Population!AS1</f>
        <v>2568701171</v>
      </c>
      <c r="AT13" s="11">
        <f>Population!AT1</f>
        <v>2615010246</v>
      </c>
      <c r="AU13" s="11">
        <f>Population!AU1</f>
        <v>2661346015</v>
      </c>
      <c r="AV13" s="11">
        <f>Population!AV1</f>
        <v>2707793841</v>
      </c>
      <c r="AW13" s="11">
        <f>Population!AW1</f>
        <v>2754374297</v>
      </c>
      <c r="AX13" s="11">
        <f>Population!AX1</f>
        <v>2801054133</v>
      </c>
      <c r="AY13" s="11">
        <f>Population!AY1</f>
        <v>2847802924</v>
      </c>
      <c r="AZ13" s="11">
        <f>Population!AZ1</f>
        <v>2894558379</v>
      </c>
      <c r="BA13" s="11">
        <f>Population!BA1</f>
        <v>2941288122</v>
      </c>
      <c r="BB13" s="11">
        <f>Population!BB1</f>
        <v>2987917132</v>
      </c>
      <c r="BC13" s="11">
        <f>Population!BC1</f>
        <v>3034503241</v>
      </c>
      <c r="BD13" s="11">
        <f>Population!BD1</f>
        <v>3081181655</v>
      </c>
      <c r="BE13" s="11">
        <f>Population!BE1</f>
        <v>3128109814</v>
      </c>
      <c r="BF13" s="11">
        <f>Population!BF1</f>
        <v>3175410810</v>
      </c>
      <c r="BG13" s="11">
        <f>Population!BG1</f>
        <v>3223139404</v>
      </c>
      <c r="BH13" s="11">
        <f>Population!BH1</f>
        <v>3271196203</v>
      </c>
      <c r="BI13" s="11">
        <f>Population!BI1</f>
        <v>3319325725</v>
      </c>
      <c r="BJ13" s="11">
        <f>Population!BJ1</f>
        <v>3367494870</v>
      </c>
      <c r="BK13" s="11"/>
      <c r="BL13" s="11"/>
      <c r="BM13" s="11"/>
      <c r="BN13" s="11"/>
      <c r="BO13" s="11"/>
      <c r="BP13" s="11"/>
      <c r="BQ13" s="11"/>
      <c r="BR13" s="11"/>
    </row>
    <row r="14" spans="1:70" x14ac:dyDescent="0.45">
      <c r="B14" t="s">
        <v>26</v>
      </c>
      <c r="C14" s="11">
        <f>Population!C2</f>
        <v>552583822</v>
      </c>
      <c r="D14" s="11">
        <f>Population!D2</f>
        <v>561230199</v>
      </c>
      <c r="E14" s="11">
        <f>Population!E2</f>
        <v>568336968</v>
      </c>
      <c r="F14" s="11">
        <f>Population!F2</f>
        <v>575280813</v>
      </c>
      <c r="G14" s="11">
        <f>Population!G2</f>
        <v>582204706</v>
      </c>
      <c r="H14" s="11">
        <f>Population!H2</f>
        <v>588891771</v>
      </c>
      <c r="I14" s="11">
        <f>Population!I2</f>
        <v>595107268</v>
      </c>
      <c r="J14" s="11">
        <f>Population!J2</f>
        <v>601100431</v>
      </c>
      <c r="K14" s="11">
        <f>Population!K2</f>
        <v>606197769</v>
      </c>
      <c r="L14" s="11">
        <f>Population!L2</f>
        <v>612830956</v>
      </c>
      <c r="M14" s="11">
        <f>Population!M2</f>
        <v>618949139</v>
      </c>
      <c r="N14" s="11">
        <f>Population!N2</f>
        <v>625723991</v>
      </c>
      <c r="O14" s="11">
        <f>Population!O2</f>
        <v>632076346</v>
      </c>
      <c r="P14" s="11">
        <f>Population!P2</f>
        <v>637527558</v>
      </c>
      <c r="Q14" s="11">
        <f>Population!Q2</f>
        <v>644168213</v>
      </c>
      <c r="R14" s="11">
        <f>Population!R2</f>
        <v>650616497</v>
      </c>
      <c r="S14" s="11">
        <f>Population!S2</f>
        <v>655838478</v>
      </c>
      <c r="T14" s="11">
        <f>Population!T2</f>
        <v>661186484</v>
      </c>
      <c r="U14" s="11">
        <f>Population!U2</f>
        <v>666542725</v>
      </c>
      <c r="V14" s="11">
        <f>Population!V2</f>
        <v>671955233</v>
      </c>
      <c r="W14" s="11">
        <f>Population!W2</f>
        <v>677022633</v>
      </c>
      <c r="X14" s="11">
        <f>Population!X2</f>
        <v>682118521</v>
      </c>
      <c r="Y14" s="11">
        <f>Population!Y2</f>
        <v>686933875</v>
      </c>
      <c r="Z14" s="11">
        <f>Population!Z2</f>
        <v>691476543</v>
      </c>
      <c r="AA14" s="11">
        <f>Population!AA2</f>
        <v>695808544</v>
      </c>
      <c r="AB14" s="11">
        <f>Population!AB2</f>
        <v>700122901</v>
      </c>
      <c r="AC14" s="11">
        <f>Population!AC2</f>
        <v>704555271</v>
      </c>
      <c r="AD14" s="11">
        <f>Population!AD2</f>
        <v>708828894</v>
      </c>
      <c r="AE14" s="11">
        <f>Population!AE2</f>
        <v>713184800</v>
      </c>
      <c r="AF14" s="11">
        <f>Population!AF2</f>
        <v>717725822</v>
      </c>
      <c r="AG14" s="11">
        <f>Population!AG2</f>
        <v>722816702</v>
      </c>
      <c r="AH14" s="11">
        <f>Population!AH2</f>
        <v>728664067</v>
      </c>
      <c r="AI14" s="11">
        <f>Population!AI2</f>
        <v>734536269</v>
      </c>
      <c r="AJ14" s="11">
        <f>Population!AJ2</f>
        <v>740109615</v>
      </c>
      <c r="AK14" s="11">
        <f>Population!AK2</f>
        <v>745534654</v>
      </c>
      <c r="AL14" s="11">
        <f>Population!AL2</f>
        <v>750915744</v>
      </c>
      <c r="AM14" s="11">
        <f>Population!AM2</f>
        <v>756099581</v>
      </c>
      <c r="AN14" s="11">
        <f>Population!AN2</f>
        <v>761386850</v>
      </c>
      <c r="AO14" s="11">
        <f>Population!AO2</f>
        <v>766581760</v>
      </c>
      <c r="AP14" s="11">
        <f>Population!AP2</f>
        <v>771705868</v>
      </c>
      <c r="AQ14" s="11">
        <f>Population!AQ2</f>
        <v>777058003</v>
      </c>
      <c r="AR14" s="11">
        <f>Population!AR2</f>
        <v>782418893</v>
      </c>
      <c r="AS14" s="11">
        <f>Population!AS2</f>
        <v>787773800</v>
      </c>
      <c r="AT14" s="11">
        <f>Population!AT2</f>
        <v>793108979</v>
      </c>
      <c r="AU14" s="11">
        <f>Population!AU2</f>
        <v>798637512</v>
      </c>
      <c r="AV14" s="11">
        <f>Population!AV2</f>
        <v>804149105</v>
      </c>
      <c r="AW14" s="11">
        <f>Population!AW2</f>
        <v>810020098</v>
      </c>
      <c r="AX14" s="11">
        <f>Population!AX2</f>
        <v>816036221</v>
      </c>
      <c r="AY14" s="11">
        <f>Population!AY2</f>
        <v>822474850</v>
      </c>
      <c r="AZ14" s="11">
        <f>Population!AZ2</f>
        <v>828042212</v>
      </c>
      <c r="BA14" s="11">
        <f>Population!BA2</f>
        <v>833032550</v>
      </c>
      <c r="BB14" s="11">
        <f>Population!BB2</f>
        <v>837434108</v>
      </c>
      <c r="BC14" s="11">
        <f>Population!BC2</f>
        <v>841623629</v>
      </c>
      <c r="BD14" s="11">
        <f>Population!BD2</f>
        <v>845963864</v>
      </c>
      <c r="BE14" s="11">
        <f>Population!BE2</f>
        <v>850434215</v>
      </c>
      <c r="BF14" s="11">
        <f>Population!BF2</f>
        <v>854434828</v>
      </c>
      <c r="BG14" s="11">
        <f>Population!BG2</f>
        <v>858379823</v>
      </c>
      <c r="BH14" s="11">
        <f>Population!BH2</f>
        <v>861912060</v>
      </c>
      <c r="BI14" s="11">
        <f>Population!BI2</f>
        <v>865099664</v>
      </c>
      <c r="BJ14" s="11">
        <f>Population!BJ2</f>
        <v>868056459</v>
      </c>
      <c r="BK14" s="11"/>
      <c r="BL14" s="11"/>
      <c r="BM14" s="11"/>
      <c r="BN14" s="11"/>
      <c r="BO14" s="11"/>
      <c r="BP14" s="11"/>
      <c r="BQ14" s="11"/>
      <c r="BR14" s="11"/>
    </row>
    <row r="15" spans="1:70" x14ac:dyDescent="0.45">
      <c r="B15" t="s">
        <v>174</v>
      </c>
      <c r="C15" s="11">
        <f>Population!C3</f>
        <v>667070016</v>
      </c>
      <c r="D15" s="11">
        <f>Population!D3</f>
        <v>660329984</v>
      </c>
      <c r="E15" s="11">
        <f>Population!E3</f>
        <v>665769984</v>
      </c>
      <c r="F15" s="11">
        <f>Population!F3</f>
        <v>682334976</v>
      </c>
      <c r="G15" s="11">
        <f>Population!G3</f>
        <v>698355008</v>
      </c>
      <c r="H15" s="11">
        <f>Population!H3</f>
        <v>715185024</v>
      </c>
      <c r="I15" s="11">
        <f>Population!I3</f>
        <v>735400000</v>
      </c>
      <c r="J15" s="11">
        <f>Population!J3</f>
        <v>754550016</v>
      </c>
      <c r="K15" s="11">
        <f>Population!K3</f>
        <v>774510016</v>
      </c>
      <c r="L15" s="11">
        <f>Population!L3</f>
        <v>796025024</v>
      </c>
      <c r="M15" s="11">
        <f>Population!M3</f>
        <v>818315008</v>
      </c>
      <c r="N15" s="11">
        <f>Population!N3</f>
        <v>841105024</v>
      </c>
      <c r="O15" s="11">
        <f>Population!O3</f>
        <v>862030016</v>
      </c>
      <c r="P15" s="11">
        <f>Population!P3</f>
        <v>881939968</v>
      </c>
      <c r="Q15" s="11">
        <f>Population!Q3</f>
        <v>900350016</v>
      </c>
      <c r="R15" s="11">
        <f>Population!R3</f>
        <v>916395008</v>
      </c>
      <c r="S15" s="11">
        <f>Population!S3</f>
        <v>930684992</v>
      </c>
      <c r="T15" s="11">
        <f>Population!T3</f>
        <v>943454976</v>
      </c>
      <c r="U15" s="11">
        <f>Population!U3</f>
        <v>956164992</v>
      </c>
      <c r="V15" s="11">
        <f>Population!V3</f>
        <v>969004992</v>
      </c>
      <c r="W15" s="11">
        <f>Population!W3</f>
        <v>981235008</v>
      </c>
      <c r="X15" s="11">
        <f>Population!X3</f>
        <v>993884992</v>
      </c>
      <c r="Y15" s="11">
        <f>Population!Y3</f>
        <v>1008630016</v>
      </c>
      <c r="Z15" s="11">
        <f>Population!Z3</f>
        <v>1023310016</v>
      </c>
      <c r="AA15" s="11">
        <f>Population!AA3</f>
        <v>1036825024</v>
      </c>
      <c r="AB15" s="11">
        <f>Population!AB3</f>
        <v>1051040000</v>
      </c>
      <c r="AC15" s="11">
        <f>Population!AC3</f>
        <v>1066790016</v>
      </c>
      <c r="AD15" s="11">
        <f>Population!AD3</f>
        <v>1084034944</v>
      </c>
      <c r="AE15" s="11">
        <f>Population!AE3</f>
        <v>1101629952</v>
      </c>
      <c r="AF15" s="11">
        <f>Population!AF3</f>
        <v>1118649984</v>
      </c>
      <c r="AG15" s="11">
        <f>Population!AG3</f>
        <v>1135185024</v>
      </c>
      <c r="AH15" s="11">
        <f>Population!AH3</f>
        <v>1150780032</v>
      </c>
      <c r="AI15" s="11">
        <f>Population!AI3</f>
        <v>1164969984</v>
      </c>
      <c r="AJ15" s="11">
        <f>Population!AJ3</f>
        <v>1178439936</v>
      </c>
      <c r="AK15" s="11">
        <f>Population!AK3</f>
        <v>1191835008</v>
      </c>
      <c r="AL15" s="11">
        <f>Population!AL3</f>
        <v>1204855040</v>
      </c>
      <c r="AM15" s="11">
        <f>Population!AM3</f>
        <v>1217549952</v>
      </c>
      <c r="AN15" s="11">
        <f>Population!AN3</f>
        <v>1230075008</v>
      </c>
      <c r="AO15" s="11">
        <f>Population!AO3</f>
        <v>1241934976</v>
      </c>
      <c r="AP15" s="11">
        <f>Population!AP3</f>
        <v>1252734976</v>
      </c>
      <c r="AQ15" s="11">
        <f>Population!AQ3</f>
        <v>1262644992</v>
      </c>
      <c r="AR15" s="11">
        <f>Population!AR3</f>
        <v>1271849984</v>
      </c>
      <c r="AS15" s="11">
        <f>Population!AS3</f>
        <v>1280400000</v>
      </c>
      <c r="AT15" s="11">
        <f>Population!AT3</f>
        <v>1288400000</v>
      </c>
      <c r="AU15" s="11">
        <f>Population!AU3</f>
        <v>1296075008</v>
      </c>
      <c r="AV15" s="11">
        <f>Population!AV3</f>
        <v>1303719936</v>
      </c>
      <c r="AW15" s="11">
        <f>Population!AW3</f>
        <v>1311020032</v>
      </c>
      <c r="AX15" s="11">
        <f>Population!AX3</f>
        <v>1317885056</v>
      </c>
      <c r="AY15" s="11">
        <f>Population!AY3</f>
        <v>1324654976</v>
      </c>
      <c r="AZ15" s="11">
        <f>Population!AZ3</f>
        <v>1331260032</v>
      </c>
      <c r="BA15" s="11">
        <f>Population!BA3</f>
        <v>1337704960</v>
      </c>
      <c r="BB15" s="11">
        <f>Population!BB3</f>
        <v>1344130048</v>
      </c>
      <c r="BC15" s="11">
        <f>Population!BC3</f>
        <v>1350695040</v>
      </c>
      <c r="BD15" s="11">
        <f>Population!BD3</f>
        <v>1357379968</v>
      </c>
      <c r="BE15" s="11">
        <f>Population!BE3</f>
        <v>1364269952</v>
      </c>
      <c r="BF15" s="11">
        <f>Population!BF3</f>
        <v>1371219968</v>
      </c>
      <c r="BG15" s="11">
        <f>Population!BG3</f>
        <v>1378664960</v>
      </c>
      <c r="BH15" s="11">
        <f>Population!BH3</f>
        <v>1386395008</v>
      </c>
      <c r="BI15" s="11">
        <f>Population!BI3</f>
        <v>1392729984</v>
      </c>
      <c r="BJ15" s="11">
        <f>Population!BJ3</f>
        <v>1397714944</v>
      </c>
      <c r="BK15" s="11"/>
      <c r="BL15" s="11"/>
      <c r="BM15" s="11"/>
      <c r="BN15" s="11"/>
      <c r="BO15" s="11"/>
      <c r="BP15" s="11"/>
      <c r="BQ15" s="11"/>
      <c r="BR15" s="11"/>
    </row>
    <row r="16" spans="1:70" x14ac:dyDescent="0.45">
      <c r="B16" t="s">
        <v>171</v>
      </c>
      <c r="C16" s="11">
        <f>Population!C4</f>
        <v>2197087772</v>
      </c>
      <c r="D16" s="11">
        <f>Population!D4</f>
        <v>2222221646</v>
      </c>
      <c r="E16" s="11">
        <f>Population!E4</f>
        <v>2258826250</v>
      </c>
      <c r="F16" s="11">
        <f>Population!F4</f>
        <v>2307184392</v>
      </c>
      <c r="G16" s="11">
        <f>Population!G4</f>
        <v>2355713489</v>
      </c>
      <c r="H16" s="11">
        <f>Population!H4</f>
        <v>2405511780</v>
      </c>
      <c r="I16" s="11">
        <f>Population!I4</f>
        <v>2458923834</v>
      </c>
      <c r="J16" s="11">
        <f>Population!J4</f>
        <v>2511758891</v>
      </c>
      <c r="K16" s="11">
        <f>Population!K4</f>
        <v>2565210573</v>
      </c>
      <c r="L16" s="11">
        <f>Population!L4</f>
        <v>2622450284</v>
      </c>
      <c r="M16" s="11">
        <f>Population!M4</f>
        <v>2680652039</v>
      </c>
      <c r="N16" s="11">
        <f>Population!N4</f>
        <v>2740700042</v>
      </c>
      <c r="O16" s="11">
        <f>Population!O4</f>
        <v>2799181312</v>
      </c>
      <c r="P16" s="11">
        <f>Population!P4</f>
        <v>2856555024</v>
      </c>
      <c r="Q16" s="11">
        <f>Population!Q4</f>
        <v>2914542602</v>
      </c>
      <c r="R16" s="11">
        <f>Population!R4</f>
        <v>2970981375</v>
      </c>
      <c r="S16" s="11">
        <f>Population!S4</f>
        <v>3025462227</v>
      </c>
      <c r="T16" s="11">
        <f>Population!T4</f>
        <v>3079551834</v>
      </c>
      <c r="U16" s="11">
        <f>Population!U4</f>
        <v>3134599884</v>
      </c>
      <c r="V16" s="11">
        <f>Population!V4</f>
        <v>3190845354</v>
      </c>
      <c r="W16" s="11">
        <f>Population!W4</f>
        <v>3247129860</v>
      </c>
      <c r="X16" s="11">
        <f>Population!X4</f>
        <v>3304836900</v>
      </c>
      <c r="Y16" s="11">
        <f>Population!Y4</f>
        <v>3365282081</v>
      </c>
      <c r="Z16" s="11">
        <f>Population!Z4</f>
        <v>3426218507</v>
      </c>
      <c r="AA16" s="11">
        <f>Population!AA4</f>
        <v>3486491052</v>
      </c>
      <c r="AB16" s="11">
        <f>Population!AB4</f>
        <v>3548048956</v>
      </c>
      <c r="AC16" s="11">
        <f>Population!AC4</f>
        <v>3611837851</v>
      </c>
      <c r="AD16" s="11">
        <f>Population!AD4</f>
        <v>3677490148</v>
      </c>
      <c r="AE16" s="11">
        <f>Population!AE4</f>
        <v>3743927432</v>
      </c>
      <c r="AF16" s="11">
        <f>Population!AF4</f>
        <v>3810125146</v>
      </c>
      <c r="AG16" s="11">
        <f>Population!AG4</f>
        <v>3876393964</v>
      </c>
      <c r="AH16" s="11">
        <f>Population!AH4</f>
        <v>3942363325</v>
      </c>
      <c r="AI16" s="11">
        <f>Population!AI4</f>
        <v>4006867397</v>
      </c>
      <c r="AJ16" s="11">
        <f>Population!AJ4</f>
        <v>4070458895</v>
      </c>
      <c r="AK16" s="11">
        <f>Population!AK4</f>
        <v>4134201081</v>
      </c>
      <c r="AL16" s="11">
        <f>Population!AL4</f>
        <v>4198077451</v>
      </c>
      <c r="AM16" s="11">
        <f>Population!AM4</f>
        <v>4262054164</v>
      </c>
      <c r="AN16" s="11">
        <f>Population!AN4</f>
        <v>4326466479</v>
      </c>
      <c r="AO16" s="11">
        <f>Population!AO4</f>
        <v>4390432595</v>
      </c>
      <c r="AP16" s="11">
        <f>Population!AP4</f>
        <v>4453317740</v>
      </c>
      <c r="AQ16" s="11">
        <f>Population!AQ4</f>
        <v>4515393524</v>
      </c>
      <c r="AR16" s="11">
        <f>Population!AR4</f>
        <v>4576552101</v>
      </c>
      <c r="AS16" s="11">
        <f>Population!AS4</f>
        <v>4636874971</v>
      </c>
      <c r="AT16" s="11">
        <f>Population!AT4</f>
        <v>4696519225</v>
      </c>
      <c r="AU16" s="11">
        <f>Population!AU4</f>
        <v>4756058535</v>
      </c>
      <c r="AV16" s="11">
        <f>Population!AV4</f>
        <v>4815662882</v>
      </c>
      <c r="AW16" s="11">
        <f>Population!AW4</f>
        <v>4875414427</v>
      </c>
      <c r="AX16" s="11">
        <f>Population!AX4</f>
        <v>4934975410</v>
      </c>
      <c r="AY16" s="11">
        <f>Population!AY4</f>
        <v>4994932750</v>
      </c>
      <c r="AZ16" s="11">
        <f>Population!AZ4</f>
        <v>5053860623</v>
      </c>
      <c r="BA16" s="11">
        <f>Population!BA4</f>
        <v>5112025632</v>
      </c>
      <c r="BB16" s="11">
        <f>Population!BB4</f>
        <v>5169481288</v>
      </c>
      <c r="BC16" s="11">
        <f>Population!BC4</f>
        <v>5226821910</v>
      </c>
      <c r="BD16" s="11">
        <f>Population!BD4</f>
        <v>5284525487</v>
      </c>
      <c r="BE16" s="11">
        <f>Population!BE4</f>
        <v>5342813981</v>
      </c>
      <c r="BF16" s="11">
        <f>Population!BF4</f>
        <v>5401065606</v>
      </c>
      <c r="BG16" s="11">
        <f>Population!BG4</f>
        <v>5460184187</v>
      </c>
      <c r="BH16" s="11">
        <f>Population!BH4</f>
        <v>5519503271</v>
      </c>
      <c r="BI16" s="11">
        <f>Population!BI4</f>
        <v>5577155373</v>
      </c>
      <c r="BJ16" s="11">
        <f>Population!BJ4</f>
        <v>5633266273</v>
      </c>
      <c r="BK16" s="11"/>
      <c r="BL16" s="11"/>
      <c r="BM16" s="11"/>
      <c r="BN16" s="11"/>
      <c r="BO16" s="11"/>
      <c r="BP16" s="11"/>
      <c r="BQ16" s="11"/>
      <c r="BR16" s="11"/>
    </row>
    <row r="18" spans="1:70" x14ac:dyDescent="0.45">
      <c r="A18" t="s">
        <v>190</v>
      </c>
      <c r="B18" t="s">
        <v>172</v>
      </c>
      <c r="C18" s="13">
        <f>Theil!C2</f>
        <v>0.24239200483180226</v>
      </c>
      <c r="D18" s="13">
        <f>Theil!D2</f>
        <v>0.20786622866128671</v>
      </c>
      <c r="E18" s="13">
        <f>Theil!E2</f>
        <v>0.21323833068078607</v>
      </c>
      <c r="F18" s="13">
        <f>Theil!F2</f>
        <v>0.21248076508079039</v>
      </c>
      <c r="G18" s="13">
        <f>Theil!G2</f>
        <v>0.20014748564549906</v>
      </c>
      <c r="H18" s="13">
        <f>Theil!H2</f>
        <v>0.198496418317018</v>
      </c>
      <c r="I18" s="13">
        <f>Theil!I2</f>
        <v>0.27612605445251959</v>
      </c>
      <c r="J18" s="13">
        <f>Theil!J2</f>
        <v>0.27932463863591694</v>
      </c>
      <c r="K18" s="13">
        <f>Theil!K2</f>
        <v>0.28756554294252773</v>
      </c>
      <c r="L18" s="13">
        <f>Theil!L2</f>
        <v>0.29047013174464553</v>
      </c>
      <c r="M18" s="13">
        <f>Theil!M2</f>
        <v>0.28225720777686086</v>
      </c>
      <c r="N18" s="13">
        <f>Theil!N2</f>
        <v>0.30368111779267021</v>
      </c>
      <c r="O18" s="13">
        <f>Theil!O2</f>
        <v>0.33079110289224806</v>
      </c>
      <c r="P18" s="13">
        <f>Theil!P2</f>
        <v>0.37001920899769286</v>
      </c>
      <c r="Q18" s="13">
        <f>Theil!Q2</f>
        <v>0.37366059247153027</v>
      </c>
      <c r="R18" s="13">
        <f>Theil!R2</f>
        <v>0.39283086146977403</v>
      </c>
      <c r="S18" s="13">
        <f>Theil!S2</f>
        <v>0.42429541845998348</v>
      </c>
      <c r="T18" s="13">
        <f>Theil!T2</f>
        <v>0.40558359663678306</v>
      </c>
      <c r="U18" s="13">
        <f>Theil!U2</f>
        <v>0.40604149960298741</v>
      </c>
      <c r="V18" s="13">
        <f>Theil!V2</f>
        <v>0.43526980139512395</v>
      </c>
      <c r="W18" s="13">
        <f>Theil!W2</f>
        <v>0.44610075283405176</v>
      </c>
      <c r="X18" s="13">
        <f>Theil!X2</f>
        <v>0.49280324929338798</v>
      </c>
      <c r="Y18" s="13">
        <f>Theil!Y2</f>
        <v>0.43010372784301321</v>
      </c>
      <c r="Z18" s="13">
        <f>Theil!Z2</f>
        <v>0.36630077670911576</v>
      </c>
      <c r="AA18" s="13">
        <f>Theil!AA2</f>
        <v>0.39096198124974002</v>
      </c>
      <c r="AB18" s="13">
        <f>Theil!AB2</f>
        <v>0.36970983872359547</v>
      </c>
      <c r="AC18" s="13">
        <f>Theil!AC2</f>
        <v>0.34216614429000902</v>
      </c>
      <c r="AD18" s="13">
        <f>Theil!AD2</f>
        <v>0.35321200651823537</v>
      </c>
      <c r="AE18" s="13">
        <f>Theil!AE2</f>
        <v>0.37187163602085571</v>
      </c>
      <c r="AF18" s="13">
        <f>Theil!AF2</f>
        <v>0.44112399685217862</v>
      </c>
      <c r="AG18" s="13">
        <f>Theil!AG2</f>
        <v>0.46612117689063282</v>
      </c>
      <c r="AH18" s="13">
        <f>Theil!AH2</f>
        <v>0.57934368709099782</v>
      </c>
      <c r="AI18" s="13">
        <f>Theil!AI2</f>
        <v>0.54035626661761549</v>
      </c>
      <c r="AJ18" s="13">
        <f>Theil!AJ2</f>
        <v>0.63749656074381877</v>
      </c>
      <c r="AK18" s="13">
        <f>Theil!AK2</f>
        <v>0.6339486863733077</v>
      </c>
      <c r="AL18" s="13">
        <f>Theil!AL2</f>
        <v>0.60396257961492306</v>
      </c>
      <c r="AM18" s="13">
        <f>Theil!AM2</f>
        <v>0.60704920663152284</v>
      </c>
      <c r="AN18" s="13">
        <f>Theil!AN2</f>
        <v>0.6233781184371876</v>
      </c>
      <c r="AO18" s="13">
        <f>Theil!AO2</f>
        <v>0.63760803167604507</v>
      </c>
      <c r="AP18" s="13">
        <f>Theil!AP2</f>
        <v>0.58564599288866104</v>
      </c>
      <c r="AQ18" s="13">
        <f>Theil!AQ2</f>
        <v>0.61123537579785225</v>
      </c>
      <c r="AR18" s="13">
        <f>Theil!AR2</f>
        <v>0.60891005115225494</v>
      </c>
      <c r="AS18" s="13">
        <f>Theil!AS2</f>
        <v>0.58779984347071845</v>
      </c>
      <c r="AT18" s="13">
        <f>Theil!AT2</f>
        <v>0.54113595067453513</v>
      </c>
      <c r="AU18" s="13">
        <f>Theil!AU2</f>
        <v>0.53726901020930651</v>
      </c>
      <c r="AV18" s="13">
        <f>Theil!AV2</f>
        <v>0.54658063192480777</v>
      </c>
      <c r="AW18" s="13">
        <f>Theil!AW2</f>
        <v>0.53672089104177234</v>
      </c>
      <c r="AX18" s="13">
        <f>Theil!AX2</f>
        <v>0.51161485979276766</v>
      </c>
      <c r="AY18" s="13">
        <f>Theil!AY2</f>
        <v>0.5383561323214856</v>
      </c>
      <c r="AZ18" s="13">
        <f>Theil!AZ2</f>
        <v>0.47700347679418054</v>
      </c>
      <c r="BA18" s="13">
        <f>Theil!BA2</f>
        <v>0.49522497788103642</v>
      </c>
      <c r="BB18" s="13">
        <f>Theil!BB2</f>
        <v>0.51172024469855282</v>
      </c>
      <c r="BC18" s="13">
        <f>Theil!BC2</f>
        <v>0.49784526612231289</v>
      </c>
      <c r="BD18" s="13">
        <f>Theil!BD2</f>
        <v>0.49339967234125848</v>
      </c>
      <c r="BE18" s="13">
        <f>Theil!BE2</f>
        <v>0.45977014108275926</v>
      </c>
      <c r="BF18" s="13">
        <f>Theil!BF2</f>
        <v>0.38633930566578401</v>
      </c>
      <c r="BG18" s="13">
        <f>Theil!BG2</f>
        <v>0.36560379438920892</v>
      </c>
      <c r="BH18" s="13">
        <f>Theil!BH2</f>
        <v>0.35817896459949056</v>
      </c>
      <c r="BI18" s="13">
        <f>Theil!BI2</f>
        <v>0.34272434270845853</v>
      </c>
      <c r="BJ18" s="13">
        <f>Theil!BJ2</f>
        <v>0.33063296702408396</v>
      </c>
      <c r="BK18" s="13"/>
      <c r="BL18" s="13"/>
      <c r="BM18" s="13"/>
      <c r="BN18" s="13"/>
      <c r="BO18" s="13"/>
      <c r="BP18" s="13"/>
      <c r="BQ18" s="13"/>
      <c r="BR18" s="13"/>
    </row>
    <row r="19" spans="1:70" x14ac:dyDescent="0.45">
      <c r="B19" t="s">
        <v>191</v>
      </c>
      <c r="C19" s="13">
        <f>Theil!C3</f>
        <v>0.24751014765127183</v>
      </c>
      <c r="D19" s="13">
        <f>Theil!D3</f>
        <v>0.23225728713974048</v>
      </c>
      <c r="E19" s="13">
        <f>Theil!E3</f>
        <v>0.22322886857938615</v>
      </c>
      <c r="F19" s="13">
        <f>Theil!F3</f>
        <v>0.20486230463118457</v>
      </c>
      <c r="G19" s="13">
        <f>Theil!G3</f>
        <v>0.19534307528767003</v>
      </c>
      <c r="H19" s="13">
        <f>Theil!H3</f>
        <v>0.1929320108333242</v>
      </c>
      <c r="I19" s="13">
        <f>Theil!I3</f>
        <v>0.18760331306036371</v>
      </c>
      <c r="J19" s="13">
        <f>Theil!J3</f>
        <v>0.17542033864736131</v>
      </c>
      <c r="K19" s="13">
        <f>Theil!K3</f>
        <v>0.17509325101944223</v>
      </c>
      <c r="L19" s="13">
        <f>Theil!L3</f>
        <v>0.16461986817046367</v>
      </c>
      <c r="M19" s="13">
        <f>Theil!M3</f>
        <v>0.1428498557736031</v>
      </c>
      <c r="N19" s="13">
        <f>Theil!N3</f>
        <v>0.13566695384950214</v>
      </c>
      <c r="O19" s="13">
        <f>Theil!O3</f>
        <v>0.1154165637358492</v>
      </c>
      <c r="P19" s="13">
        <f>Theil!P3</f>
        <v>9.4766918085226332E-2</v>
      </c>
      <c r="Q19" s="13">
        <f>Theil!Q3</f>
        <v>8.6562623135920294E-2</v>
      </c>
      <c r="R19" s="13">
        <f>Theil!R3</f>
        <v>8.4230429500342277E-2</v>
      </c>
      <c r="S19" s="13">
        <f>Theil!S3</f>
        <v>8.9136969768421712E-2</v>
      </c>
      <c r="T19" s="13">
        <f>Theil!T3</f>
        <v>8.2011059139624781E-2</v>
      </c>
      <c r="U19" s="13">
        <f>Theil!U3</f>
        <v>7.0324330554189324E-2</v>
      </c>
      <c r="V19" s="13">
        <f>Theil!V3</f>
        <v>5.9372237078321573E-2</v>
      </c>
      <c r="W19" s="13">
        <f>Theil!W3</f>
        <v>5.8868682838364467E-2</v>
      </c>
      <c r="X19" s="13">
        <f>Theil!X3</f>
        <v>6.7553280703203045E-2</v>
      </c>
      <c r="Y19" s="13">
        <f>Theil!Y3</f>
        <v>7.3248123736114029E-2</v>
      </c>
      <c r="Z19" s="13">
        <f>Theil!Z3</f>
        <v>8.3399837735782301E-2</v>
      </c>
      <c r="AA19" s="13">
        <f>Theil!AA3</f>
        <v>9.8632377145429717E-2</v>
      </c>
      <c r="AB19" s="13">
        <f>Theil!AB3</f>
        <v>0.10314801439024122</v>
      </c>
      <c r="AC19" s="13">
        <f>Theil!AC3</f>
        <v>7.4897792479270184E-2</v>
      </c>
      <c r="AD19" s="13">
        <f>Theil!AD3</f>
        <v>6.2589288377732907E-2</v>
      </c>
      <c r="AE19" s="13">
        <f>Theil!AE3</f>
        <v>5.7298446531876879E-2</v>
      </c>
      <c r="AF19" s="13">
        <f>Theil!AF3</f>
        <v>5.1177722637423435E-2</v>
      </c>
      <c r="AG19" s="13">
        <f>Theil!AG3</f>
        <v>3.870721847074679E-2</v>
      </c>
      <c r="AH19" s="13">
        <f>Theil!AH3</f>
        <v>3.7949930290087273E-2</v>
      </c>
      <c r="AI19" s="13">
        <f>Theil!AI3</f>
        <v>3.7960720265014673E-2</v>
      </c>
      <c r="AJ19" s="13">
        <f>Theil!AJ3</f>
        <v>5.4536572807869235E-2</v>
      </c>
      <c r="AK19" s="13">
        <f>Theil!AK3</f>
        <v>5.6631414798965961E-2</v>
      </c>
      <c r="AL19" s="13">
        <f>Theil!AL3</f>
        <v>5.1816975185750569E-2</v>
      </c>
      <c r="AM19" s="13">
        <f>Theil!AM3</f>
        <v>3.597466301099693E-2</v>
      </c>
      <c r="AN19" s="13">
        <f>Theil!AN3</f>
        <v>3.6439134700754397E-2</v>
      </c>
      <c r="AO19" s="13">
        <f>Theil!AO3</f>
        <v>4.342754491270906E-2</v>
      </c>
      <c r="AP19" s="13">
        <f>Theil!AP3</f>
        <v>4.4585816048702112E-2</v>
      </c>
      <c r="AQ19" s="13">
        <f>Theil!AQ3</f>
        <v>5.330140912194678E-2</v>
      </c>
      <c r="AR19" s="13">
        <f>Theil!AR3</f>
        <v>5.1543814324237172E-2</v>
      </c>
      <c r="AS19" s="13">
        <f>Theil!AS3</f>
        <v>4.3586711503730557E-2</v>
      </c>
      <c r="AT19" s="13">
        <f>Theil!AT3</f>
        <v>3.1398660243602196E-2</v>
      </c>
      <c r="AU19" s="13">
        <f>Theil!AU3</f>
        <v>2.6087623879924589E-2</v>
      </c>
      <c r="AV19" s="13">
        <f>Theil!AV3</f>
        <v>2.4581379886806524E-2</v>
      </c>
      <c r="AW19" s="13">
        <f>Theil!AW3</f>
        <v>2.431845941180602E-2</v>
      </c>
      <c r="AX19" s="13">
        <f>Theil!AX3</f>
        <v>2.261045124895146E-2</v>
      </c>
      <c r="AY19" s="13">
        <f>Theil!AY3</f>
        <v>2.2185372402706897E-2</v>
      </c>
      <c r="AZ19" s="13">
        <f>Theil!AZ3</f>
        <v>2.2433333815242512E-2</v>
      </c>
      <c r="BA19" s="13">
        <f>Theil!BA3</f>
        <v>2.2145685619337399E-2</v>
      </c>
      <c r="BB19" s="13">
        <f>Theil!BB3</f>
        <v>2.3418491874559647E-2</v>
      </c>
      <c r="BC19" s="13">
        <f>Theil!BC3</f>
        <v>2.9935724157291253E-2</v>
      </c>
      <c r="BD19" s="13">
        <f>Theil!BD3</f>
        <v>3.045006981712433E-2</v>
      </c>
      <c r="BE19" s="13">
        <f>Theil!BE3</f>
        <v>3.0343844864544368E-2</v>
      </c>
      <c r="BF19" s="13">
        <f>Theil!BF3</f>
        <v>4.1505007515458714E-2</v>
      </c>
      <c r="BG19" s="13">
        <f>Theil!BG3</f>
        <v>3.8049683473195955E-2</v>
      </c>
      <c r="BH19" s="13">
        <f>Theil!BH3</f>
        <v>3.8043551745226806E-2</v>
      </c>
      <c r="BI19" s="13">
        <f>Theil!BI3</f>
        <v>3.7407344990651889E-2</v>
      </c>
      <c r="BJ19" s="13">
        <f>Theil!BJ3</f>
        <v>4.2805841326036848E-2</v>
      </c>
      <c r="BK19" s="13"/>
      <c r="BL19" s="13"/>
      <c r="BM19" s="13"/>
      <c r="BN19" s="13"/>
      <c r="BO19" s="13"/>
      <c r="BP19" s="13"/>
      <c r="BQ19" s="13"/>
      <c r="BR19" s="13"/>
    </row>
    <row r="20" spans="1:70" x14ac:dyDescent="0.45">
      <c r="B20" t="s">
        <v>192</v>
      </c>
      <c r="C20" s="13">
        <v>0</v>
      </c>
      <c r="D20" s="13">
        <v>0</v>
      </c>
      <c r="E20" s="13">
        <v>0</v>
      </c>
      <c r="F20" s="13">
        <v>0</v>
      </c>
      <c r="G20" s="13">
        <v>0</v>
      </c>
      <c r="H20" s="13">
        <v>0</v>
      </c>
      <c r="I20" s="13">
        <v>0</v>
      </c>
      <c r="J20" s="13">
        <v>0</v>
      </c>
      <c r="K20" s="13">
        <v>0</v>
      </c>
      <c r="L20" s="13">
        <v>0</v>
      </c>
      <c r="M20" s="13">
        <v>0</v>
      </c>
      <c r="N20" s="13">
        <v>0</v>
      </c>
      <c r="O20" s="13">
        <v>0</v>
      </c>
      <c r="P20" s="13">
        <v>0</v>
      </c>
      <c r="Q20" s="13">
        <v>0</v>
      </c>
      <c r="R20" s="13">
        <v>0</v>
      </c>
      <c r="S20" s="13">
        <v>0</v>
      </c>
      <c r="T20" s="13">
        <v>0</v>
      </c>
      <c r="U20" s="13">
        <v>0</v>
      </c>
      <c r="V20" s="13">
        <v>0</v>
      </c>
      <c r="W20" s="13">
        <v>0</v>
      </c>
      <c r="X20" s="13">
        <v>0</v>
      </c>
      <c r="Y20" s="13">
        <v>0</v>
      </c>
      <c r="Z20" s="13">
        <v>0</v>
      </c>
      <c r="AA20" s="13">
        <v>0</v>
      </c>
      <c r="AB20" s="13">
        <v>0</v>
      </c>
      <c r="AC20" s="13">
        <v>0</v>
      </c>
      <c r="AD20" s="13">
        <v>0</v>
      </c>
      <c r="AE20" s="13">
        <v>0</v>
      </c>
      <c r="AF20" s="13">
        <v>0</v>
      </c>
      <c r="AG20" s="13">
        <v>0</v>
      </c>
      <c r="AH20" s="13">
        <v>0</v>
      </c>
      <c r="AI20" s="13">
        <v>0</v>
      </c>
      <c r="AJ20" s="13">
        <v>0</v>
      </c>
      <c r="AK20" s="13">
        <v>0</v>
      </c>
      <c r="AL20" s="13">
        <v>0</v>
      </c>
      <c r="AM20" s="13">
        <v>0</v>
      </c>
      <c r="AN20" s="13">
        <v>0</v>
      </c>
      <c r="AO20" s="13">
        <v>0</v>
      </c>
      <c r="AP20" s="13">
        <v>0</v>
      </c>
      <c r="AQ20" s="13">
        <v>0</v>
      </c>
      <c r="AR20" s="13">
        <v>0</v>
      </c>
      <c r="AS20" s="13">
        <v>0</v>
      </c>
      <c r="AT20" s="13">
        <v>0</v>
      </c>
      <c r="AU20" s="13">
        <v>0</v>
      </c>
      <c r="AV20" s="13">
        <v>0</v>
      </c>
      <c r="AW20" s="13">
        <v>0</v>
      </c>
      <c r="AX20" s="13">
        <v>0</v>
      </c>
      <c r="AY20" s="13">
        <v>0</v>
      </c>
      <c r="AZ20" s="13">
        <v>0</v>
      </c>
      <c r="BA20" s="13">
        <v>0</v>
      </c>
      <c r="BB20" s="13">
        <v>0</v>
      </c>
      <c r="BC20" s="13">
        <v>0</v>
      </c>
      <c r="BD20" s="13">
        <v>0</v>
      </c>
      <c r="BE20" s="13">
        <v>0</v>
      </c>
      <c r="BF20" s="13">
        <v>0</v>
      </c>
      <c r="BG20" s="13">
        <v>0</v>
      </c>
      <c r="BH20" s="13">
        <v>0</v>
      </c>
      <c r="BI20" s="13">
        <v>0</v>
      </c>
      <c r="BJ20" s="13">
        <v>0</v>
      </c>
      <c r="BK20" s="13"/>
      <c r="BL20" s="13"/>
      <c r="BM20" s="13"/>
      <c r="BN20" s="13"/>
      <c r="BO20" s="13"/>
      <c r="BP20" s="13"/>
      <c r="BQ20" s="13"/>
      <c r="BR20" s="13"/>
    </row>
    <row r="21" spans="1:70" x14ac:dyDescent="0.45">
      <c r="B21" t="s">
        <v>169</v>
      </c>
      <c r="C21" s="13">
        <f>Theil!C4</f>
        <v>0.68772701460389718</v>
      </c>
      <c r="D21" s="13">
        <f>Theil!D4</f>
        <v>0.72453819562944144</v>
      </c>
      <c r="E21" s="13">
        <f>Theil!E4</f>
        <v>0.74197313113921171</v>
      </c>
      <c r="F21" s="13">
        <f>Theil!F4</f>
        <v>0.73799126699810658</v>
      </c>
      <c r="G21" s="13">
        <f>Theil!G4</f>
        <v>0.73852863042996497</v>
      </c>
      <c r="H21" s="13">
        <f>Theil!H4</f>
        <v>0.74034874710419563</v>
      </c>
      <c r="I21" s="13">
        <f>Theil!I4</f>
        <v>0.76853765682291297</v>
      </c>
      <c r="J21" s="13">
        <f>Theil!J4</f>
        <v>0.79239302895005226</v>
      </c>
      <c r="K21" s="13">
        <f>Theil!K4</f>
        <v>0.81792335982937925</v>
      </c>
      <c r="L21" s="13">
        <f>Theil!L4</f>
        <v>0.82042342005918256</v>
      </c>
      <c r="M21" s="13">
        <f>Theil!M4</f>
        <v>0.82495466047508859</v>
      </c>
      <c r="N21" s="13">
        <f>Theil!N4</f>
        <v>0.84248261821603665</v>
      </c>
      <c r="O21" s="13">
        <f>Theil!O4</f>
        <v>0.86429067562007811</v>
      </c>
      <c r="P21" s="13">
        <f>Theil!P4</f>
        <v>0.85828657219993598</v>
      </c>
      <c r="Q21" s="13">
        <f>Theil!Q4</f>
        <v>0.83604489911262914</v>
      </c>
      <c r="R21" s="13">
        <f>Theil!R4</f>
        <v>0.84471962394668587</v>
      </c>
      <c r="S21" s="13">
        <f>Theil!S4</f>
        <v>0.86374939682390972</v>
      </c>
      <c r="T21" s="13">
        <f>Theil!T4</f>
        <v>0.87524027895762269</v>
      </c>
      <c r="U21" s="13">
        <f>Theil!U4</f>
        <v>0.92799140079592379</v>
      </c>
      <c r="V21" s="13">
        <f>Theil!V4</f>
        <v>0.91918826771872875</v>
      </c>
      <c r="W21" s="13">
        <f>Theil!W4</f>
        <v>0.90915741729420607</v>
      </c>
      <c r="X21" s="13">
        <f>Theil!X4</f>
        <v>0.87267901072453358</v>
      </c>
      <c r="Y21" s="13">
        <f>Theil!Y4</f>
        <v>0.89669391067024062</v>
      </c>
      <c r="Z21" s="13">
        <f>Theil!Z4</f>
        <v>0.94837488888258492</v>
      </c>
      <c r="AA21" s="13">
        <f>Theil!AA4</f>
        <v>0.96771518227981046</v>
      </c>
      <c r="AB21" s="13">
        <f>Theil!AB4</f>
        <v>0.97700945979798592</v>
      </c>
      <c r="AC21" s="13">
        <f>Theil!AC4</f>
        <v>1.0593206058637326</v>
      </c>
      <c r="AD21" s="13">
        <f>Theil!AD4</f>
        <v>1.0977422428225534</v>
      </c>
      <c r="AE21" s="13">
        <f>Theil!AE4</f>
        <v>1.1172385120197303</v>
      </c>
      <c r="AF21" s="13">
        <f>Theil!AF4</f>
        <v>1.102532507324719</v>
      </c>
      <c r="AG21" s="13">
        <f>Theil!AG4</f>
        <v>1.1109695903170915</v>
      </c>
      <c r="AH21" s="13">
        <f>Theil!AH4</f>
        <v>1.1068965383707301</v>
      </c>
      <c r="AI21" s="13">
        <f>Theil!AI4</f>
        <v>1.1388878157754661</v>
      </c>
      <c r="AJ21" s="13">
        <f>Theil!AJ4</f>
        <v>1.1171202401516278</v>
      </c>
      <c r="AK21" s="13">
        <f>Theil!AK4</f>
        <v>1.1019543093700572</v>
      </c>
      <c r="AL21" s="13">
        <f>Theil!AL4</f>
        <v>1.092179672850597</v>
      </c>
      <c r="AM21" s="13">
        <f>Theil!AM4</f>
        <v>1.0591634868028243</v>
      </c>
      <c r="AN21" s="13">
        <f>Theil!AN4</f>
        <v>1.0325924580344272</v>
      </c>
      <c r="AO21" s="13">
        <f>Theil!AO4</f>
        <v>1.0321231523819245</v>
      </c>
      <c r="AP21" s="13">
        <f>Theil!AP4</f>
        <v>1.0718644105783977</v>
      </c>
      <c r="AQ21" s="13">
        <f>Theil!AQ4</f>
        <v>1.0510420487585621</v>
      </c>
      <c r="AR21" s="13">
        <f>Theil!AR4</f>
        <v>1.0497519504465591</v>
      </c>
      <c r="AS21" s="13">
        <f>Theil!AS4</f>
        <v>1.0497129209947753</v>
      </c>
      <c r="AT21" s="13">
        <f>Theil!AT4</f>
        <v>1.0548318397563892</v>
      </c>
      <c r="AU21" s="13">
        <f>Theil!AU4</f>
        <v>1.0337361943856243</v>
      </c>
      <c r="AV21" s="13">
        <f>Theil!AV4</f>
        <v>0.98420774479762063</v>
      </c>
      <c r="AW21" s="13">
        <f>Theil!AW4</f>
        <v>0.93444168570511565</v>
      </c>
      <c r="AX21" s="13">
        <f>Theil!AX4</f>
        <v>0.87673906620263808</v>
      </c>
      <c r="AY21" s="13">
        <f>Theil!AY4</f>
        <v>0.82503152813398639</v>
      </c>
      <c r="AZ21" s="13">
        <f>Theil!AZ4</f>
        <v>0.7979102118971042</v>
      </c>
      <c r="BA21" s="13">
        <f>Theil!BA4</f>
        <v>0.72151595830413084</v>
      </c>
      <c r="BB21" s="13">
        <f>Theil!BB4</f>
        <v>0.67881329864683304</v>
      </c>
      <c r="BC21" s="13">
        <f>Theil!BC4</f>
        <v>0.65835378662120581</v>
      </c>
      <c r="BD21" s="13">
        <f>Theil!BD4</f>
        <v>0.63120681171082849</v>
      </c>
      <c r="BE21" s="13">
        <f>Theil!BE4</f>
        <v>0.6207254636627817</v>
      </c>
      <c r="BF21" s="13">
        <f>Theil!BF4</f>
        <v>0.62665499452524476</v>
      </c>
      <c r="BG21" s="13">
        <f>Theil!BG4</f>
        <v>0.63809627922462298</v>
      </c>
      <c r="BH21" s="13">
        <f>Theil!BH4</f>
        <v>0.61574002677393946</v>
      </c>
      <c r="BI21" s="13">
        <f>Theil!BI4</f>
        <v>0.62227890783026441</v>
      </c>
      <c r="BJ21" s="13">
        <f>Theil!BJ4</f>
        <v>0.62177410476711192</v>
      </c>
      <c r="BK21" s="13"/>
      <c r="BL21" s="13"/>
      <c r="BM21" s="13"/>
      <c r="BN21" s="13"/>
      <c r="BO21" s="13"/>
      <c r="BP21" s="13"/>
      <c r="BQ21" s="13"/>
      <c r="BR21" s="13"/>
    </row>
    <row r="22" spans="1:70" x14ac:dyDescent="0.45">
      <c r="B22" t="s">
        <v>193</v>
      </c>
      <c r="C22" s="13">
        <f>Theil!C5</f>
        <v>0.92075229812943882</v>
      </c>
      <c r="D22" s="13">
        <f>Theil!D5</f>
        <v>0.94314236048178823</v>
      </c>
      <c r="E22" s="13">
        <f>Theil!E5</f>
        <v>0.95507786936287087</v>
      </c>
      <c r="F22" s="13">
        <f>Theil!F5</f>
        <v>0.93591027660026449</v>
      </c>
      <c r="G22" s="13">
        <f>Theil!G5</f>
        <v>0.9263114553692654</v>
      </c>
      <c r="H22" s="13">
        <f>Theil!H5</f>
        <v>0.92524221804512174</v>
      </c>
      <c r="I22" s="13">
        <f>Theil!I5</f>
        <v>0.95879214457096451</v>
      </c>
      <c r="J22" s="13">
        <f>Theil!J5</f>
        <v>0.97388575285799761</v>
      </c>
      <c r="K22" s="13">
        <f>Theil!K5</f>
        <v>1.0008043438860708</v>
      </c>
      <c r="L22" s="13">
        <f>Theil!L5</f>
        <v>0.99496613615489027</v>
      </c>
      <c r="M22" s="13">
        <f>Theil!M5</f>
        <v>0.97978170513505169</v>
      </c>
      <c r="N22" s="13">
        <f>Theil!N5</f>
        <v>0.99372619806841123</v>
      </c>
      <c r="O22" s="13">
        <f>Theil!O5</f>
        <v>1.0010262077672474</v>
      </c>
      <c r="P22" s="13">
        <f>Theil!P5</f>
        <v>0.9836615613738986</v>
      </c>
      <c r="Q22" s="13">
        <f>Theil!Q5</f>
        <v>0.95977027140885895</v>
      </c>
      <c r="R22" s="13">
        <f>Theil!R5</f>
        <v>0.96882906655759293</v>
      </c>
      <c r="S22" s="13">
        <f>Theil!S5</f>
        <v>0.99734754089023447</v>
      </c>
      <c r="T22" s="13">
        <f>Theil!T5</f>
        <v>0.99966463951860718</v>
      </c>
      <c r="U22" s="13">
        <f>Theil!U5</f>
        <v>1.0418975441254217</v>
      </c>
      <c r="V22" s="13">
        <f>Theil!V5</f>
        <v>1.0296195068964751</v>
      </c>
      <c r="W22" s="13">
        <f>Theil!W5</f>
        <v>1.0239403115435113</v>
      </c>
      <c r="X22" s="13">
        <f>Theil!X5</f>
        <v>1.0094624112895938</v>
      </c>
      <c r="Y22" s="13">
        <f>Theil!Y5</f>
        <v>1.024543704838403</v>
      </c>
      <c r="Z22" s="13">
        <f>Theil!Z5</f>
        <v>1.0685987853097412</v>
      </c>
      <c r="AA22" s="13">
        <f>Theil!AA5</f>
        <v>1.1019900236782656</v>
      </c>
      <c r="AB22" s="13">
        <f>Theil!AB5</f>
        <v>1.110631185061089</v>
      </c>
      <c r="AC22" s="13">
        <f>Theil!AC5</f>
        <v>1.161293932590725</v>
      </c>
      <c r="AD22" s="13">
        <f>Theil!AD5</f>
        <v>1.1898822471307362</v>
      </c>
      <c r="AE22" s="13">
        <f>Theil!AE5</f>
        <v>1.205613279235777</v>
      </c>
      <c r="AF22" s="13">
        <f>Theil!AF5</f>
        <v>1.1950080258900204</v>
      </c>
      <c r="AG22" s="13">
        <f>Theil!AG5</f>
        <v>1.1961886454936634</v>
      </c>
      <c r="AH22" s="13">
        <f>Theil!AH5</f>
        <v>1.2060038747099471</v>
      </c>
      <c r="AI22" s="13">
        <f>Theil!AI5</f>
        <v>1.228724533682354</v>
      </c>
      <c r="AJ22" s="13">
        <f>Theil!AJ5</f>
        <v>1.2365741347336463</v>
      </c>
      <c r="AK22" s="13">
        <f>Theil!AK5</f>
        <v>1.2237743272890087</v>
      </c>
      <c r="AL22" s="13">
        <f>Theil!AL5</f>
        <v>1.2059438080638107</v>
      </c>
      <c r="AM22" s="13">
        <f>Theil!AM5</f>
        <v>1.1638051272855632</v>
      </c>
      <c r="AN22" s="13">
        <f>Theil!AN5</f>
        <v>1.1432228388124459</v>
      </c>
      <c r="AO22" s="13">
        <f>Theil!AO5</f>
        <v>1.1499250796489635</v>
      </c>
      <c r="AP22" s="13">
        <f>Theil!AP5</f>
        <v>1.1775406029421054</v>
      </c>
      <c r="AQ22" s="13">
        <f>Theil!AQ5</f>
        <v>1.1699481494609323</v>
      </c>
      <c r="AR22" s="13">
        <f>Theil!AR5</f>
        <v>1.1646776670103351</v>
      </c>
      <c r="AS22" s="13">
        <f>Theil!AS5</f>
        <v>1.1546999172111256</v>
      </c>
      <c r="AT22" s="13">
        <f>Theil!AT5</f>
        <v>1.1436597139388041</v>
      </c>
      <c r="AU22" s="13">
        <f>Theil!AU5</f>
        <v>1.1202901874006697</v>
      </c>
      <c r="AV22" s="13">
        <f>Theil!AV5</f>
        <v>1.0770841198972916</v>
      </c>
      <c r="AW22" s="13">
        <f>Theil!AW5</f>
        <v>1.0309971209991931</v>
      </c>
      <c r="AX22" s="13">
        <f>Theil!AX5</f>
        <v>0.97320320451106934</v>
      </c>
      <c r="AY22" s="13">
        <f>Theil!AY5</f>
        <v>0.92733416522425161</v>
      </c>
      <c r="AZ22" s="13">
        <f>Theil!AZ5</f>
        <v>0.88967629250217406</v>
      </c>
      <c r="BA22" s="13">
        <f>Theil!BA5</f>
        <v>0.82549177620543623</v>
      </c>
      <c r="BB22" s="13">
        <f>Theil!BB5</f>
        <v>0.78875601085759095</v>
      </c>
      <c r="BC22" s="13">
        <f>Theil!BC5</f>
        <v>0.76905517564563686</v>
      </c>
      <c r="BD22" s="13">
        <f>Theil!BD5</f>
        <v>0.74194925209577745</v>
      </c>
      <c r="BE22" s="13">
        <f>Theil!BE5</f>
        <v>0.72445492944484569</v>
      </c>
      <c r="BF22" s="13">
        <f>Theil!BF5</f>
        <v>0.71961578166911433</v>
      </c>
      <c r="BG22" s="13">
        <f>Theil!BG5</f>
        <v>0.72454567895886945</v>
      </c>
      <c r="BH22" s="13">
        <f>Theil!BH5</f>
        <v>0.70263052257542669</v>
      </c>
      <c r="BI22" s="13">
        <f>Theil!BI5</f>
        <v>0.70314850055386102</v>
      </c>
      <c r="BJ22" s="13">
        <f>Theil!BJ5</f>
        <v>0.70396039880105621</v>
      </c>
      <c r="BK22" s="13"/>
      <c r="BL22" s="13"/>
      <c r="BM22" s="13"/>
      <c r="BN22" s="13"/>
      <c r="BO22" s="13"/>
      <c r="BP22" s="13"/>
      <c r="BQ22" s="13"/>
      <c r="BR22" s="13"/>
    </row>
    <row r="24" spans="1:70" x14ac:dyDescent="0.45">
      <c r="A24" t="s">
        <v>173</v>
      </c>
      <c r="B24" t="s">
        <v>27</v>
      </c>
      <c r="C24">
        <f>COUNT(Population!C42:C116)</f>
        <v>49</v>
      </c>
      <c r="D24">
        <f>COUNT(Population!D42:D116)</f>
        <v>49</v>
      </c>
      <c r="E24">
        <f>COUNT(Population!E42:E116)</f>
        <v>49</v>
      </c>
      <c r="F24">
        <f>COUNT(Population!F42:F116)</f>
        <v>49</v>
      </c>
      <c r="G24">
        <f>COUNT(Population!G42:G116)</f>
        <v>49</v>
      </c>
      <c r="H24">
        <f>COUNT(Population!H42:H116)</f>
        <v>49</v>
      </c>
      <c r="I24">
        <f>COUNT(Population!I42:I116)</f>
        <v>49</v>
      </c>
      <c r="J24">
        <f>COUNT(Population!J42:J116)</f>
        <v>49</v>
      </c>
      <c r="K24">
        <f>COUNT(Population!K42:K116)</f>
        <v>49</v>
      </c>
      <c r="L24">
        <f>COUNT(Population!L42:L116)</f>
        <v>49</v>
      </c>
      <c r="M24">
        <f>COUNT(Population!M42:M116)</f>
        <v>49</v>
      </c>
      <c r="N24">
        <f>COUNT(Population!N42:N116)</f>
        <v>49</v>
      </c>
      <c r="O24">
        <f>COUNT(Population!O42:O116)</f>
        <v>49</v>
      </c>
      <c r="P24">
        <f>COUNT(Population!P42:P116)</f>
        <v>49</v>
      </c>
      <c r="Q24">
        <f>COUNT(Population!Q42:Q116)</f>
        <v>49</v>
      </c>
      <c r="R24">
        <f>COUNT(Population!R42:R116)</f>
        <v>49</v>
      </c>
      <c r="S24">
        <f>COUNT(Population!S42:S116)</f>
        <v>49</v>
      </c>
      <c r="T24">
        <f>COUNT(Population!T42:T116)</f>
        <v>49</v>
      </c>
      <c r="U24">
        <f>COUNT(Population!U42:U116)</f>
        <v>49</v>
      </c>
      <c r="V24">
        <f>COUNT(Population!V42:V116)</f>
        <v>49</v>
      </c>
      <c r="W24">
        <f>COUNT(Population!W42:W116)</f>
        <v>49</v>
      </c>
      <c r="X24">
        <f>COUNT(Population!X42:X116)</f>
        <v>49</v>
      </c>
      <c r="Y24">
        <f>COUNT(Population!Y42:Y116)</f>
        <v>49</v>
      </c>
      <c r="Z24">
        <f>COUNT(Population!Z42:Z116)</f>
        <v>49</v>
      </c>
      <c r="AA24">
        <f>COUNT(Population!AA42:AA116)</f>
        <v>49</v>
      </c>
      <c r="AB24">
        <f>COUNT(Population!AB42:AB116)</f>
        <v>49</v>
      </c>
      <c r="AC24">
        <f>COUNT(Population!AC42:AC116)</f>
        <v>49</v>
      </c>
      <c r="AD24">
        <f>COUNT(Population!AD42:AD116)</f>
        <v>49</v>
      </c>
      <c r="AE24">
        <f>COUNT(Population!AE42:AE116)</f>
        <v>49</v>
      </c>
      <c r="AF24">
        <f>COUNT(Population!AF42:AF116)</f>
        <v>49</v>
      </c>
      <c r="AG24">
        <f>COUNT(Population!AG42:AG116)</f>
        <v>49</v>
      </c>
      <c r="AH24">
        <f>COUNT(Population!AH42:AH116)</f>
        <v>49</v>
      </c>
      <c r="AI24">
        <f>COUNT(Population!AI42:AI116)</f>
        <v>49</v>
      </c>
      <c r="AJ24">
        <f>COUNT(Population!AJ42:AJ116)</f>
        <v>49</v>
      </c>
      <c r="AK24">
        <f>COUNT(Population!AK42:AK116)</f>
        <v>49</v>
      </c>
      <c r="AL24">
        <f>COUNT(Population!AL42:AL116)</f>
        <v>49</v>
      </c>
      <c r="AM24">
        <f>COUNT(Population!AM42:AM116)</f>
        <v>49</v>
      </c>
      <c r="AN24">
        <f>COUNT(Population!AN42:AN116)</f>
        <v>49</v>
      </c>
      <c r="AO24">
        <f>COUNT(Population!AO42:AO116)</f>
        <v>49</v>
      </c>
      <c r="AP24">
        <f>COUNT(Population!AP42:AP116)</f>
        <v>49</v>
      </c>
      <c r="AQ24">
        <f>COUNT(Population!AQ42:AQ116)</f>
        <v>49</v>
      </c>
      <c r="AR24">
        <f>COUNT(Population!AR42:AR116)</f>
        <v>49</v>
      </c>
      <c r="AS24">
        <f>COUNT(Population!AS42:AS116)</f>
        <v>49</v>
      </c>
      <c r="AT24">
        <f>COUNT(Population!AT42:AT116)</f>
        <v>49</v>
      </c>
      <c r="AU24">
        <f>COUNT(Population!AU42:AU116)</f>
        <v>49</v>
      </c>
      <c r="AV24">
        <f>COUNT(Population!AV42:AV116)</f>
        <v>49</v>
      </c>
      <c r="AW24">
        <f>COUNT(Population!AW42:AW116)</f>
        <v>49</v>
      </c>
      <c r="AX24">
        <f>COUNT(Population!AX42:AX116)</f>
        <v>49</v>
      </c>
      <c r="AY24">
        <f>COUNT(Population!AY42:AY116)</f>
        <v>49</v>
      </c>
      <c r="AZ24">
        <f>COUNT(Population!AZ42:AZ116)</f>
        <v>49</v>
      </c>
      <c r="BA24">
        <f>COUNT(Population!BA42:BA116)</f>
        <v>49</v>
      </c>
      <c r="BB24">
        <f>COUNT(Population!BB42:BB116)</f>
        <v>49</v>
      </c>
      <c r="BC24">
        <f>COUNT(Population!BC42:BC116)</f>
        <v>49</v>
      </c>
      <c r="BD24">
        <f>COUNT(Population!BD42:BD116)</f>
        <v>49</v>
      </c>
      <c r="BE24">
        <f>COUNT(Population!BE42:BE116)</f>
        <v>49</v>
      </c>
      <c r="BF24">
        <f>COUNT(Population!BF42:BF116)</f>
        <v>49</v>
      </c>
      <c r="BG24">
        <f>COUNT(Population!BG42:BG116)</f>
        <v>49</v>
      </c>
      <c r="BH24">
        <f>COUNT(Population!BH42:BH116)</f>
        <v>49</v>
      </c>
      <c r="BI24">
        <f>COUNT(Population!BI42:BI116)</f>
        <v>49</v>
      </c>
      <c r="BJ24">
        <f>COUNT(Population!BJ42:BJ116)</f>
        <v>49</v>
      </c>
    </row>
    <row r="25" spans="1:70" x14ac:dyDescent="0.45">
      <c r="B25" t="s">
        <v>26</v>
      </c>
      <c r="C25">
        <f>COUNT(Population!C14:C41)</f>
        <v>28</v>
      </c>
      <c r="D25">
        <f>COUNT(Population!D14:D41)</f>
        <v>28</v>
      </c>
      <c r="E25">
        <f>COUNT(Population!E14:E41)</f>
        <v>28</v>
      </c>
      <c r="F25">
        <f>COUNT(Population!F14:F41)</f>
        <v>28</v>
      </c>
      <c r="G25">
        <f>COUNT(Population!G14:G41)</f>
        <v>28</v>
      </c>
      <c r="H25">
        <f>COUNT(Population!H14:H41)</f>
        <v>28</v>
      </c>
      <c r="I25">
        <f>COUNT(Population!I14:I41)</f>
        <v>28</v>
      </c>
      <c r="J25">
        <f>COUNT(Population!J14:J41)</f>
        <v>28</v>
      </c>
      <c r="K25">
        <f>COUNT(Population!K14:K41)</f>
        <v>28</v>
      </c>
      <c r="L25">
        <f>COUNT(Population!L14:L41)</f>
        <v>28</v>
      </c>
      <c r="M25">
        <f>COUNT(Population!M14:M41)</f>
        <v>28</v>
      </c>
      <c r="N25">
        <f>COUNT(Population!N14:N41)</f>
        <v>28</v>
      </c>
      <c r="O25">
        <f>COUNT(Population!O14:O41)</f>
        <v>28</v>
      </c>
      <c r="P25">
        <f>COUNT(Population!P14:P41)</f>
        <v>28</v>
      </c>
      <c r="Q25">
        <f>COUNT(Population!Q14:Q41)</f>
        <v>28</v>
      </c>
      <c r="R25">
        <f>COUNT(Population!R14:R41)</f>
        <v>28</v>
      </c>
      <c r="S25">
        <f>COUNT(Population!S14:S41)</f>
        <v>28</v>
      </c>
      <c r="T25">
        <f>COUNT(Population!T14:T41)</f>
        <v>28</v>
      </c>
      <c r="U25">
        <f>COUNT(Population!U14:U41)</f>
        <v>28</v>
      </c>
      <c r="V25">
        <f>COUNT(Population!V14:V41)</f>
        <v>28</v>
      </c>
      <c r="W25">
        <f>COUNT(Population!W14:W41)</f>
        <v>28</v>
      </c>
      <c r="X25">
        <f>COUNT(Population!X14:X41)</f>
        <v>28</v>
      </c>
      <c r="Y25">
        <f>COUNT(Population!Y14:Y41)</f>
        <v>28</v>
      </c>
      <c r="Z25">
        <f>COUNT(Population!Z14:Z41)</f>
        <v>28</v>
      </c>
      <c r="AA25">
        <f>COUNT(Population!AA14:AA41)</f>
        <v>28</v>
      </c>
      <c r="AB25">
        <f>COUNT(Population!AB14:AB41)</f>
        <v>28</v>
      </c>
      <c r="AC25">
        <f>COUNT(Population!AC14:AC41)</f>
        <v>28</v>
      </c>
      <c r="AD25">
        <f>COUNT(Population!AD14:AD41)</f>
        <v>28</v>
      </c>
      <c r="AE25">
        <f>COUNT(Population!AE14:AE41)</f>
        <v>28</v>
      </c>
      <c r="AF25">
        <f>COUNT(Population!AF14:AF41)</f>
        <v>28</v>
      </c>
      <c r="AG25">
        <f>COUNT(Population!AG14:AG41)</f>
        <v>28</v>
      </c>
      <c r="AH25">
        <f>COUNT(Population!AH14:AH41)</f>
        <v>28</v>
      </c>
      <c r="AI25">
        <f>COUNT(Population!AI14:AI41)</f>
        <v>28</v>
      </c>
      <c r="AJ25">
        <f>COUNT(Population!AJ14:AJ41)</f>
        <v>28</v>
      </c>
      <c r="AK25">
        <f>COUNT(Population!AK14:AK41)</f>
        <v>28</v>
      </c>
      <c r="AL25">
        <f>COUNT(Population!AL14:AL41)</f>
        <v>28</v>
      </c>
      <c r="AM25">
        <f>COUNT(Population!AM14:AM41)</f>
        <v>28</v>
      </c>
      <c r="AN25">
        <f>COUNT(Population!AN14:AN41)</f>
        <v>28</v>
      </c>
      <c r="AO25">
        <f>COUNT(Population!AO14:AO41)</f>
        <v>28</v>
      </c>
      <c r="AP25">
        <f>COUNT(Population!AP14:AP41)</f>
        <v>28</v>
      </c>
      <c r="AQ25">
        <f>COUNT(Population!AQ14:AQ41)</f>
        <v>28</v>
      </c>
      <c r="AR25">
        <f>COUNT(Population!AR14:AR41)</f>
        <v>28</v>
      </c>
      <c r="AS25">
        <f>COUNT(Population!AS14:AS41)</f>
        <v>28</v>
      </c>
      <c r="AT25">
        <f>COUNT(Population!AT14:AT41)</f>
        <v>28</v>
      </c>
      <c r="AU25">
        <f>COUNT(Population!AU14:AU41)</f>
        <v>28</v>
      </c>
      <c r="AV25">
        <f>COUNT(Population!AV14:AV41)</f>
        <v>28</v>
      </c>
      <c r="AW25">
        <f>COUNT(Population!AW14:AW41)</f>
        <v>28</v>
      </c>
      <c r="AX25">
        <f>COUNT(Population!AX14:AX41)</f>
        <v>28</v>
      </c>
      <c r="AY25">
        <f>COUNT(Population!AY14:AY41)</f>
        <v>28</v>
      </c>
      <c r="AZ25">
        <f>COUNT(Population!AZ14:AZ41)</f>
        <v>28</v>
      </c>
      <c r="BA25">
        <f>COUNT(Population!BA14:BA41)</f>
        <v>28</v>
      </c>
      <c r="BB25">
        <f>COUNT(Population!BB14:BB41)</f>
        <v>28</v>
      </c>
      <c r="BC25">
        <f>COUNT(Population!BC14:BC41)</f>
        <v>28</v>
      </c>
      <c r="BD25">
        <f>COUNT(Population!BD14:BD41)</f>
        <v>28</v>
      </c>
      <c r="BE25">
        <f>COUNT(Population!BE14:BE41)</f>
        <v>28</v>
      </c>
      <c r="BF25">
        <f>COUNT(Population!BF14:BF41)</f>
        <v>28</v>
      </c>
      <c r="BG25">
        <f>COUNT(Population!BG14:BG41)</f>
        <v>28</v>
      </c>
      <c r="BH25">
        <f>COUNT(Population!BH14:BH41)</f>
        <v>28</v>
      </c>
      <c r="BI25">
        <f>COUNT(Population!BI14:BI41)</f>
        <v>28</v>
      </c>
      <c r="BJ25">
        <f>COUNT(Population!BJ14:BJ41)</f>
        <v>28</v>
      </c>
    </row>
    <row r="26" spans="1:70" x14ac:dyDescent="0.45">
      <c r="B26" t="s">
        <v>174</v>
      </c>
      <c r="C26">
        <v>1</v>
      </c>
      <c r="D26">
        <v>1</v>
      </c>
      <c r="E26">
        <v>1</v>
      </c>
      <c r="F26">
        <v>1</v>
      </c>
      <c r="G26">
        <v>1</v>
      </c>
      <c r="H26">
        <v>1</v>
      </c>
      <c r="I26">
        <v>1</v>
      </c>
      <c r="J26">
        <v>1</v>
      </c>
      <c r="K26">
        <v>1</v>
      </c>
      <c r="L26">
        <v>1</v>
      </c>
      <c r="M26">
        <v>1</v>
      </c>
      <c r="N26">
        <v>1</v>
      </c>
      <c r="O26">
        <v>1</v>
      </c>
      <c r="P26">
        <v>1</v>
      </c>
      <c r="Q26">
        <v>1</v>
      </c>
      <c r="R26">
        <v>1</v>
      </c>
      <c r="S26">
        <v>1</v>
      </c>
      <c r="T26">
        <v>1</v>
      </c>
      <c r="U26">
        <v>1</v>
      </c>
      <c r="V26">
        <v>1</v>
      </c>
      <c r="W26">
        <v>1</v>
      </c>
      <c r="X26">
        <v>1</v>
      </c>
      <c r="Y26">
        <v>1</v>
      </c>
      <c r="Z26">
        <v>1</v>
      </c>
      <c r="AA26">
        <v>1</v>
      </c>
      <c r="AB26">
        <v>1</v>
      </c>
      <c r="AC26">
        <v>1</v>
      </c>
      <c r="AD26">
        <v>1</v>
      </c>
      <c r="AE26">
        <v>1</v>
      </c>
      <c r="AF26">
        <v>1</v>
      </c>
      <c r="AG26">
        <v>1</v>
      </c>
      <c r="AH26">
        <v>1</v>
      </c>
      <c r="AI26">
        <v>1</v>
      </c>
      <c r="AJ26">
        <v>1</v>
      </c>
      <c r="AK26">
        <v>1</v>
      </c>
      <c r="AL26">
        <v>1</v>
      </c>
      <c r="AM26">
        <v>1</v>
      </c>
      <c r="AN26">
        <v>1</v>
      </c>
      <c r="AO26">
        <v>1</v>
      </c>
      <c r="AP26">
        <v>1</v>
      </c>
      <c r="AQ26">
        <v>1</v>
      </c>
      <c r="AR26">
        <v>1</v>
      </c>
      <c r="AS26">
        <v>1</v>
      </c>
      <c r="AT26">
        <v>1</v>
      </c>
      <c r="AU26">
        <v>1</v>
      </c>
      <c r="AV26">
        <v>1</v>
      </c>
      <c r="AW26">
        <v>1</v>
      </c>
      <c r="AX26">
        <v>1</v>
      </c>
      <c r="AY26">
        <v>1</v>
      </c>
      <c r="AZ26">
        <v>1</v>
      </c>
      <c r="BA26">
        <v>1</v>
      </c>
      <c r="BB26">
        <v>1</v>
      </c>
      <c r="BC26">
        <v>1</v>
      </c>
      <c r="BD26">
        <v>1</v>
      </c>
      <c r="BE26">
        <v>1</v>
      </c>
      <c r="BF26">
        <v>1</v>
      </c>
      <c r="BG26">
        <v>1</v>
      </c>
      <c r="BH26">
        <v>1</v>
      </c>
      <c r="BI26">
        <v>1</v>
      </c>
      <c r="BJ26">
        <v>1</v>
      </c>
    </row>
    <row r="27" spans="1:70" x14ac:dyDescent="0.45">
      <c r="B27" t="s">
        <v>82</v>
      </c>
      <c r="C27">
        <f t="shared" ref="C27:AX27" si="2">C24+C25+C26</f>
        <v>78</v>
      </c>
      <c r="D27">
        <f t="shared" si="2"/>
        <v>78</v>
      </c>
      <c r="E27">
        <f t="shared" si="2"/>
        <v>78</v>
      </c>
      <c r="F27">
        <f t="shared" si="2"/>
        <v>78</v>
      </c>
      <c r="G27">
        <f t="shared" si="2"/>
        <v>78</v>
      </c>
      <c r="H27">
        <f t="shared" si="2"/>
        <v>78</v>
      </c>
      <c r="I27">
        <f t="shared" si="2"/>
        <v>78</v>
      </c>
      <c r="J27">
        <f t="shared" si="2"/>
        <v>78</v>
      </c>
      <c r="K27">
        <f t="shared" si="2"/>
        <v>78</v>
      </c>
      <c r="L27">
        <f t="shared" si="2"/>
        <v>78</v>
      </c>
      <c r="M27">
        <f t="shared" si="2"/>
        <v>78</v>
      </c>
      <c r="N27">
        <f t="shared" si="2"/>
        <v>78</v>
      </c>
      <c r="O27">
        <f t="shared" si="2"/>
        <v>78</v>
      </c>
      <c r="P27">
        <f t="shared" si="2"/>
        <v>78</v>
      </c>
      <c r="Q27">
        <f t="shared" si="2"/>
        <v>78</v>
      </c>
      <c r="R27">
        <f t="shared" si="2"/>
        <v>78</v>
      </c>
      <c r="S27">
        <f t="shared" si="2"/>
        <v>78</v>
      </c>
      <c r="T27">
        <f t="shared" si="2"/>
        <v>78</v>
      </c>
      <c r="U27">
        <f t="shared" si="2"/>
        <v>78</v>
      </c>
      <c r="V27">
        <f t="shared" si="2"/>
        <v>78</v>
      </c>
      <c r="W27">
        <f t="shared" si="2"/>
        <v>78</v>
      </c>
      <c r="X27">
        <f t="shared" si="2"/>
        <v>78</v>
      </c>
      <c r="Y27">
        <f t="shared" si="2"/>
        <v>78</v>
      </c>
      <c r="Z27">
        <f t="shared" si="2"/>
        <v>78</v>
      </c>
      <c r="AA27">
        <f t="shared" si="2"/>
        <v>78</v>
      </c>
      <c r="AB27">
        <f t="shared" si="2"/>
        <v>78</v>
      </c>
      <c r="AC27">
        <f t="shared" si="2"/>
        <v>78</v>
      </c>
      <c r="AD27">
        <f t="shared" si="2"/>
        <v>78</v>
      </c>
      <c r="AE27">
        <f t="shared" si="2"/>
        <v>78</v>
      </c>
      <c r="AF27">
        <f t="shared" si="2"/>
        <v>78</v>
      </c>
      <c r="AG27">
        <f t="shared" si="2"/>
        <v>78</v>
      </c>
      <c r="AH27">
        <f t="shared" si="2"/>
        <v>78</v>
      </c>
      <c r="AI27">
        <f t="shared" si="2"/>
        <v>78</v>
      </c>
      <c r="AJ27">
        <f t="shared" si="2"/>
        <v>78</v>
      </c>
      <c r="AK27">
        <f t="shared" si="2"/>
        <v>78</v>
      </c>
      <c r="AL27">
        <f t="shared" si="2"/>
        <v>78</v>
      </c>
      <c r="AM27">
        <f t="shared" si="2"/>
        <v>78</v>
      </c>
      <c r="AN27">
        <f t="shared" si="2"/>
        <v>78</v>
      </c>
      <c r="AO27">
        <f t="shared" si="2"/>
        <v>78</v>
      </c>
      <c r="AP27">
        <f t="shared" si="2"/>
        <v>78</v>
      </c>
      <c r="AQ27">
        <f t="shared" si="2"/>
        <v>78</v>
      </c>
      <c r="AR27">
        <f t="shared" si="2"/>
        <v>78</v>
      </c>
      <c r="AS27">
        <f t="shared" si="2"/>
        <v>78</v>
      </c>
      <c r="AT27">
        <f t="shared" si="2"/>
        <v>78</v>
      </c>
      <c r="AU27">
        <f t="shared" si="2"/>
        <v>78</v>
      </c>
      <c r="AV27">
        <f t="shared" si="2"/>
        <v>78</v>
      </c>
      <c r="AW27">
        <f t="shared" si="2"/>
        <v>78</v>
      </c>
      <c r="AX27">
        <f t="shared" si="2"/>
        <v>78</v>
      </c>
      <c r="AY27">
        <f t="shared" ref="AY27:BJ27" si="3">AY24+AY25+AY26</f>
        <v>78</v>
      </c>
      <c r="AZ27">
        <f t="shared" si="3"/>
        <v>78</v>
      </c>
      <c r="BA27">
        <f t="shared" si="3"/>
        <v>78</v>
      </c>
      <c r="BB27">
        <f t="shared" si="3"/>
        <v>78</v>
      </c>
      <c r="BC27">
        <f t="shared" si="3"/>
        <v>78</v>
      </c>
      <c r="BD27">
        <f t="shared" si="3"/>
        <v>78</v>
      </c>
      <c r="BE27">
        <f t="shared" si="3"/>
        <v>78</v>
      </c>
      <c r="BF27">
        <f t="shared" si="3"/>
        <v>78</v>
      </c>
      <c r="BG27">
        <f t="shared" si="3"/>
        <v>78</v>
      </c>
      <c r="BH27">
        <f t="shared" si="3"/>
        <v>78</v>
      </c>
      <c r="BI27">
        <f t="shared" si="3"/>
        <v>78</v>
      </c>
      <c r="BJ27">
        <f t="shared" si="3"/>
        <v>78</v>
      </c>
    </row>
    <row r="29" spans="1:70" x14ac:dyDescent="0.45">
      <c r="A29" t="s">
        <v>175</v>
      </c>
      <c r="B29" t="s">
        <v>27</v>
      </c>
      <c r="C29" s="13">
        <f t="shared" ref="C29:AX29" si="4">C24/C27</f>
        <v>0.62820512820512819</v>
      </c>
      <c r="D29" s="13">
        <f t="shared" si="4"/>
        <v>0.62820512820512819</v>
      </c>
      <c r="E29" s="13">
        <f t="shared" si="4"/>
        <v>0.62820512820512819</v>
      </c>
      <c r="F29" s="13">
        <f t="shared" si="4"/>
        <v>0.62820512820512819</v>
      </c>
      <c r="G29" s="13">
        <f t="shared" si="4"/>
        <v>0.62820512820512819</v>
      </c>
      <c r="H29" s="13">
        <f t="shared" si="4"/>
        <v>0.62820512820512819</v>
      </c>
      <c r="I29" s="13">
        <f t="shared" si="4"/>
        <v>0.62820512820512819</v>
      </c>
      <c r="J29" s="13">
        <f t="shared" si="4"/>
        <v>0.62820512820512819</v>
      </c>
      <c r="K29" s="13">
        <f t="shared" si="4"/>
        <v>0.62820512820512819</v>
      </c>
      <c r="L29" s="13">
        <f t="shared" si="4"/>
        <v>0.62820512820512819</v>
      </c>
      <c r="M29" s="13">
        <f t="shared" si="4"/>
        <v>0.62820512820512819</v>
      </c>
      <c r="N29" s="13">
        <f t="shared" si="4"/>
        <v>0.62820512820512819</v>
      </c>
      <c r="O29" s="13">
        <f t="shared" si="4"/>
        <v>0.62820512820512819</v>
      </c>
      <c r="P29" s="13">
        <f t="shared" si="4"/>
        <v>0.62820512820512819</v>
      </c>
      <c r="Q29" s="13">
        <f t="shared" si="4"/>
        <v>0.62820512820512819</v>
      </c>
      <c r="R29" s="13">
        <f t="shared" si="4"/>
        <v>0.62820512820512819</v>
      </c>
      <c r="S29" s="13">
        <f t="shared" si="4"/>
        <v>0.62820512820512819</v>
      </c>
      <c r="T29" s="13">
        <f t="shared" si="4"/>
        <v>0.62820512820512819</v>
      </c>
      <c r="U29" s="13">
        <f t="shared" si="4"/>
        <v>0.62820512820512819</v>
      </c>
      <c r="V29" s="13">
        <f t="shared" si="4"/>
        <v>0.62820512820512819</v>
      </c>
      <c r="W29" s="13">
        <f t="shared" si="4"/>
        <v>0.62820512820512819</v>
      </c>
      <c r="X29" s="13">
        <f t="shared" si="4"/>
        <v>0.62820512820512819</v>
      </c>
      <c r="Y29" s="13">
        <f t="shared" si="4"/>
        <v>0.62820512820512819</v>
      </c>
      <c r="Z29" s="13">
        <f t="shared" si="4"/>
        <v>0.62820512820512819</v>
      </c>
      <c r="AA29" s="13">
        <f t="shared" si="4"/>
        <v>0.62820512820512819</v>
      </c>
      <c r="AB29" s="13">
        <f t="shared" si="4"/>
        <v>0.62820512820512819</v>
      </c>
      <c r="AC29" s="13">
        <f t="shared" si="4"/>
        <v>0.62820512820512819</v>
      </c>
      <c r="AD29" s="13">
        <f t="shared" si="4"/>
        <v>0.62820512820512819</v>
      </c>
      <c r="AE29" s="13">
        <f t="shared" si="4"/>
        <v>0.62820512820512819</v>
      </c>
      <c r="AF29" s="13">
        <f t="shared" si="4"/>
        <v>0.62820512820512819</v>
      </c>
      <c r="AG29" s="13">
        <f t="shared" si="4"/>
        <v>0.62820512820512819</v>
      </c>
      <c r="AH29" s="13">
        <f t="shared" si="4"/>
        <v>0.62820512820512819</v>
      </c>
      <c r="AI29" s="13">
        <f t="shared" si="4"/>
        <v>0.62820512820512819</v>
      </c>
      <c r="AJ29" s="13">
        <f t="shared" si="4"/>
        <v>0.62820512820512819</v>
      </c>
      <c r="AK29" s="13">
        <f t="shared" si="4"/>
        <v>0.62820512820512819</v>
      </c>
      <c r="AL29" s="13">
        <f t="shared" si="4"/>
        <v>0.62820512820512819</v>
      </c>
      <c r="AM29" s="13">
        <f t="shared" si="4"/>
        <v>0.62820512820512819</v>
      </c>
      <c r="AN29" s="13">
        <f t="shared" si="4"/>
        <v>0.62820512820512819</v>
      </c>
      <c r="AO29" s="13">
        <f t="shared" si="4"/>
        <v>0.62820512820512819</v>
      </c>
      <c r="AP29" s="13">
        <f t="shared" si="4"/>
        <v>0.62820512820512819</v>
      </c>
      <c r="AQ29" s="13">
        <f t="shared" si="4"/>
        <v>0.62820512820512819</v>
      </c>
      <c r="AR29" s="13">
        <f t="shared" si="4"/>
        <v>0.62820512820512819</v>
      </c>
      <c r="AS29" s="13">
        <f t="shared" si="4"/>
        <v>0.62820512820512819</v>
      </c>
      <c r="AT29" s="13">
        <f t="shared" si="4"/>
        <v>0.62820512820512819</v>
      </c>
      <c r="AU29" s="13">
        <f t="shared" si="4"/>
        <v>0.62820512820512819</v>
      </c>
      <c r="AV29" s="13">
        <f t="shared" si="4"/>
        <v>0.62820512820512819</v>
      </c>
      <c r="AW29" s="13">
        <f t="shared" si="4"/>
        <v>0.62820512820512819</v>
      </c>
      <c r="AX29" s="13">
        <f t="shared" si="4"/>
        <v>0.62820512820512819</v>
      </c>
      <c r="AY29" s="13">
        <f t="shared" ref="AY29:BJ29" si="5">AY24/AY27</f>
        <v>0.62820512820512819</v>
      </c>
      <c r="AZ29" s="13">
        <f t="shared" si="5"/>
        <v>0.62820512820512819</v>
      </c>
      <c r="BA29" s="13">
        <f t="shared" si="5"/>
        <v>0.62820512820512819</v>
      </c>
      <c r="BB29" s="13">
        <f t="shared" si="5"/>
        <v>0.62820512820512819</v>
      </c>
      <c r="BC29" s="13">
        <f t="shared" si="5"/>
        <v>0.62820512820512819</v>
      </c>
      <c r="BD29" s="13">
        <f t="shared" si="5"/>
        <v>0.62820512820512819</v>
      </c>
      <c r="BE29" s="13">
        <f t="shared" si="5"/>
        <v>0.62820512820512819</v>
      </c>
      <c r="BF29" s="13">
        <f t="shared" si="5"/>
        <v>0.62820512820512819</v>
      </c>
      <c r="BG29" s="13">
        <f t="shared" si="5"/>
        <v>0.62820512820512819</v>
      </c>
      <c r="BH29" s="13">
        <f t="shared" si="5"/>
        <v>0.62820512820512819</v>
      </c>
      <c r="BI29" s="13">
        <f t="shared" si="5"/>
        <v>0.62820512820512819</v>
      </c>
      <c r="BJ29" s="13">
        <f t="shared" si="5"/>
        <v>0.62820512820512819</v>
      </c>
      <c r="BK29" s="13"/>
      <c r="BL29" s="13"/>
      <c r="BM29" s="13"/>
      <c r="BN29" s="13"/>
      <c r="BO29" s="13"/>
      <c r="BP29" s="13"/>
      <c r="BQ29" s="13"/>
      <c r="BR29" s="13"/>
    </row>
    <row r="30" spans="1:70" x14ac:dyDescent="0.45">
      <c r="B30" t="s">
        <v>26</v>
      </c>
      <c r="C30" s="13">
        <f t="shared" ref="C30:AX30" si="6">C25/C27</f>
        <v>0.35897435897435898</v>
      </c>
      <c r="D30" s="13">
        <f t="shared" si="6"/>
        <v>0.35897435897435898</v>
      </c>
      <c r="E30" s="13">
        <f t="shared" si="6"/>
        <v>0.35897435897435898</v>
      </c>
      <c r="F30" s="13">
        <f t="shared" si="6"/>
        <v>0.35897435897435898</v>
      </c>
      <c r="G30" s="13">
        <f t="shared" si="6"/>
        <v>0.35897435897435898</v>
      </c>
      <c r="H30" s="13">
        <f t="shared" si="6"/>
        <v>0.35897435897435898</v>
      </c>
      <c r="I30" s="13">
        <f t="shared" si="6"/>
        <v>0.35897435897435898</v>
      </c>
      <c r="J30" s="13">
        <f t="shared" si="6"/>
        <v>0.35897435897435898</v>
      </c>
      <c r="K30" s="13">
        <f t="shared" si="6"/>
        <v>0.35897435897435898</v>
      </c>
      <c r="L30" s="13">
        <f t="shared" si="6"/>
        <v>0.35897435897435898</v>
      </c>
      <c r="M30" s="13">
        <f t="shared" si="6"/>
        <v>0.35897435897435898</v>
      </c>
      <c r="N30" s="13">
        <f t="shared" si="6"/>
        <v>0.35897435897435898</v>
      </c>
      <c r="O30" s="13">
        <f t="shared" si="6"/>
        <v>0.35897435897435898</v>
      </c>
      <c r="P30" s="13">
        <f t="shared" si="6"/>
        <v>0.35897435897435898</v>
      </c>
      <c r="Q30" s="13">
        <f t="shared" si="6"/>
        <v>0.35897435897435898</v>
      </c>
      <c r="R30" s="13">
        <f t="shared" si="6"/>
        <v>0.35897435897435898</v>
      </c>
      <c r="S30" s="13">
        <f t="shared" si="6"/>
        <v>0.35897435897435898</v>
      </c>
      <c r="T30" s="13">
        <f t="shared" si="6"/>
        <v>0.35897435897435898</v>
      </c>
      <c r="U30" s="13">
        <f t="shared" si="6"/>
        <v>0.35897435897435898</v>
      </c>
      <c r="V30" s="13">
        <f t="shared" si="6"/>
        <v>0.35897435897435898</v>
      </c>
      <c r="W30" s="13">
        <f t="shared" si="6"/>
        <v>0.35897435897435898</v>
      </c>
      <c r="X30" s="13">
        <f t="shared" si="6"/>
        <v>0.35897435897435898</v>
      </c>
      <c r="Y30" s="13">
        <f t="shared" si="6"/>
        <v>0.35897435897435898</v>
      </c>
      <c r="Z30" s="13">
        <f t="shared" si="6"/>
        <v>0.35897435897435898</v>
      </c>
      <c r="AA30" s="13">
        <f t="shared" si="6"/>
        <v>0.35897435897435898</v>
      </c>
      <c r="AB30" s="13">
        <f t="shared" si="6"/>
        <v>0.35897435897435898</v>
      </c>
      <c r="AC30" s="13">
        <f t="shared" si="6"/>
        <v>0.35897435897435898</v>
      </c>
      <c r="AD30" s="13">
        <f t="shared" si="6"/>
        <v>0.35897435897435898</v>
      </c>
      <c r="AE30" s="13">
        <f t="shared" si="6"/>
        <v>0.35897435897435898</v>
      </c>
      <c r="AF30" s="13">
        <f t="shared" si="6"/>
        <v>0.35897435897435898</v>
      </c>
      <c r="AG30" s="13">
        <f t="shared" si="6"/>
        <v>0.35897435897435898</v>
      </c>
      <c r="AH30" s="13">
        <f t="shared" si="6"/>
        <v>0.35897435897435898</v>
      </c>
      <c r="AI30" s="13">
        <f t="shared" si="6"/>
        <v>0.35897435897435898</v>
      </c>
      <c r="AJ30" s="13">
        <f t="shared" si="6"/>
        <v>0.35897435897435898</v>
      </c>
      <c r="AK30" s="13">
        <f t="shared" si="6"/>
        <v>0.35897435897435898</v>
      </c>
      <c r="AL30" s="13">
        <f t="shared" si="6"/>
        <v>0.35897435897435898</v>
      </c>
      <c r="AM30" s="13">
        <f t="shared" si="6"/>
        <v>0.35897435897435898</v>
      </c>
      <c r="AN30" s="13">
        <f t="shared" si="6"/>
        <v>0.35897435897435898</v>
      </c>
      <c r="AO30" s="13">
        <f t="shared" si="6"/>
        <v>0.35897435897435898</v>
      </c>
      <c r="AP30" s="13">
        <f t="shared" si="6"/>
        <v>0.35897435897435898</v>
      </c>
      <c r="AQ30" s="13">
        <f t="shared" si="6"/>
        <v>0.35897435897435898</v>
      </c>
      <c r="AR30" s="13">
        <f t="shared" si="6"/>
        <v>0.35897435897435898</v>
      </c>
      <c r="AS30" s="13">
        <f t="shared" si="6"/>
        <v>0.35897435897435898</v>
      </c>
      <c r="AT30" s="13">
        <f t="shared" si="6"/>
        <v>0.35897435897435898</v>
      </c>
      <c r="AU30" s="13">
        <f t="shared" si="6"/>
        <v>0.35897435897435898</v>
      </c>
      <c r="AV30" s="13">
        <f t="shared" si="6"/>
        <v>0.35897435897435898</v>
      </c>
      <c r="AW30" s="13">
        <f t="shared" si="6"/>
        <v>0.35897435897435898</v>
      </c>
      <c r="AX30" s="13">
        <f t="shared" si="6"/>
        <v>0.35897435897435898</v>
      </c>
      <c r="AY30" s="13">
        <f t="shared" ref="AY30:BJ30" si="7">AY25/AY27</f>
        <v>0.35897435897435898</v>
      </c>
      <c r="AZ30" s="13">
        <f t="shared" si="7"/>
        <v>0.35897435897435898</v>
      </c>
      <c r="BA30" s="13">
        <f t="shared" si="7"/>
        <v>0.35897435897435898</v>
      </c>
      <c r="BB30" s="13">
        <f t="shared" si="7"/>
        <v>0.35897435897435898</v>
      </c>
      <c r="BC30" s="13">
        <f t="shared" si="7"/>
        <v>0.35897435897435898</v>
      </c>
      <c r="BD30" s="13">
        <f t="shared" si="7"/>
        <v>0.35897435897435898</v>
      </c>
      <c r="BE30" s="13">
        <f t="shared" si="7"/>
        <v>0.35897435897435898</v>
      </c>
      <c r="BF30" s="13">
        <f t="shared" si="7"/>
        <v>0.35897435897435898</v>
      </c>
      <c r="BG30" s="13">
        <f t="shared" si="7"/>
        <v>0.35897435897435898</v>
      </c>
      <c r="BH30" s="13">
        <f t="shared" si="7"/>
        <v>0.35897435897435898</v>
      </c>
      <c r="BI30" s="13">
        <f t="shared" si="7"/>
        <v>0.35897435897435898</v>
      </c>
      <c r="BJ30" s="13">
        <f t="shared" si="7"/>
        <v>0.35897435897435898</v>
      </c>
      <c r="BK30" s="13"/>
      <c r="BL30" s="13"/>
      <c r="BM30" s="13"/>
      <c r="BN30" s="13"/>
      <c r="BO30" s="13"/>
      <c r="BP30" s="13"/>
      <c r="BQ30" s="13"/>
      <c r="BR30" s="13"/>
    </row>
    <row r="31" spans="1:70" x14ac:dyDescent="0.45">
      <c r="B31" t="s">
        <v>174</v>
      </c>
      <c r="C31" s="13">
        <f t="shared" ref="C31:AX31" si="8">C26/C27</f>
        <v>1.282051282051282E-2</v>
      </c>
      <c r="D31" s="13">
        <f t="shared" si="8"/>
        <v>1.282051282051282E-2</v>
      </c>
      <c r="E31" s="13">
        <f t="shared" si="8"/>
        <v>1.282051282051282E-2</v>
      </c>
      <c r="F31" s="13">
        <f t="shared" si="8"/>
        <v>1.282051282051282E-2</v>
      </c>
      <c r="G31" s="13">
        <f t="shared" si="8"/>
        <v>1.282051282051282E-2</v>
      </c>
      <c r="H31" s="13">
        <f t="shared" si="8"/>
        <v>1.282051282051282E-2</v>
      </c>
      <c r="I31" s="13">
        <f t="shared" si="8"/>
        <v>1.282051282051282E-2</v>
      </c>
      <c r="J31" s="13">
        <f t="shared" si="8"/>
        <v>1.282051282051282E-2</v>
      </c>
      <c r="K31" s="13">
        <f t="shared" si="8"/>
        <v>1.282051282051282E-2</v>
      </c>
      <c r="L31" s="13">
        <f t="shared" si="8"/>
        <v>1.282051282051282E-2</v>
      </c>
      <c r="M31" s="13">
        <f t="shared" si="8"/>
        <v>1.282051282051282E-2</v>
      </c>
      <c r="N31" s="13">
        <f t="shared" si="8"/>
        <v>1.282051282051282E-2</v>
      </c>
      <c r="O31" s="13">
        <f t="shared" si="8"/>
        <v>1.282051282051282E-2</v>
      </c>
      <c r="P31" s="13">
        <f t="shared" si="8"/>
        <v>1.282051282051282E-2</v>
      </c>
      <c r="Q31" s="13">
        <f t="shared" si="8"/>
        <v>1.282051282051282E-2</v>
      </c>
      <c r="R31" s="13">
        <f t="shared" si="8"/>
        <v>1.282051282051282E-2</v>
      </c>
      <c r="S31" s="13">
        <f t="shared" si="8"/>
        <v>1.282051282051282E-2</v>
      </c>
      <c r="T31" s="13">
        <f t="shared" si="8"/>
        <v>1.282051282051282E-2</v>
      </c>
      <c r="U31" s="13">
        <f t="shared" si="8"/>
        <v>1.282051282051282E-2</v>
      </c>
      <c r="V31" s="13">
        <f t="shared" si="8"/>
        <v>1.282051282051282E-2</v>
      </c>
      <c r="W31" s="13">
        <f t="shared" si="8"/>
        <v>1.282051282051282E-2</v>
      </c>
      <c r="X31" s="13">
        <f t="shared" si="8"/>
        <v>1.282051282051282E-2</v>
      </c>
      <c r="Y31" s="13">
        <f t="shared" si="8"/>
        <v>1.282051282051282E-2</v>
      </c>
      <c r="Z31" s="13">
        <f t="shared" si="8"/>
        <v>1.282051282051282E-2</v>
      </c>
      <c r="AA31" s="13">
        <f t="shared" si="8"/>
        <v>1.282051282051282E-2</v>
      </c>
      <c r="AB31" s="13">
        <f t="shared" si="8"/>
        <v>1.282051282051282E-2</v>
      </c>
      <c r="AC31" s="13">
        <f t="shared" si="8"/>
        <v>1.282051282051282E-2</v>
      </c>
      <c r="AD31" s="13">
        <f t="shared" si="8"/>
        <v>1.282051282051282E-2</v>
      </c>
      <c r="AE31" s="13">
        <f t="shared" si="8"/>
        <v>1.282051282051282E-2</v>
      </c>
      <c r="AF31" s="13">
        <f t="shared" si="8"/>
        <v>1.282051282051282E-2</v>
      </c>
      <c r="AG31" s="13">
        <f t="shared" si="8"/>
        <v>1.282051282051282E-2</v>
      </c>
      <c r="AH31" s="13">
        <f t="shared" si="8"/>
        <v>1.282051282051282E-2</v>
      </c>
      <c r="AI31" s="13">
        <f t="shared" si="8"/>
        <v>1.282051282051282E-2</v>
      </c>
      <c r="AJ31" s="13">
        <f t="shared" si="8"/>
        <v>1.282051282051282E-2</v>
      </c>
      <c r="AK31" s="13">
        <f t="shared" si="8"/>
        <v>1.282051282051282E-2</v>
      </c>
      <c r="AL31" s="13">
        <f t="shared" si="8"/>
        <v>1.282051282051282E-2</v>
      </c>
      <c r="AM31" s="13">
        <f t="shared" si="8"/>
        <v>1.282051282051282E-2</v>
      </c>
      <c r="AN31" s="13">
        <f t="shared" si="8"/>
        <v>1.282051282051282E-2</v>
      </c>
      <c r="AO31" s="13">
        <f t="shared" si="8"/>
        <v>1.282051282051282E-2</v>
      </c>
      <c r="AP31" s="13">
        <f t="shared" si="8"/>
        <v>1.282051282051282E-2</v>
      </c>
      <c r="AQ31" s="13">
        <f t="shared" si="8"/>
        <v>1.282051282051282E-2</v>
      </c>
      <c r="AR31" s="13">
        <f t="shared" si="8"/>
        <v>1.282051282051282E-2</v>
      </c>
      <c r="AS31" s="13">
        <f t="shared" si="8"/>
        <v>1.282051282051282E-2</v>
      </c>
      <c r="AT31" s="13">
        <f t="shared" si="8"/>
        <v>1.282051282051282E-2</v>
      </c>
      <c r="AU31" s="13">
        <f t="shared" si="8"/>
        <v>1.282051282051282E-2</v>
      </c>
      <c r="AV31" s="13">
        <f t="shared" si="8"/>
        <v>1.282051282051282E-2</v>
      </c>
      <c r="AW31" s="13">
        <f t="shared" si="8"/>
        <v>1.282051282051282E-2</v>
      </c>
      <c r="AX31" s="13">
        <f t="shared" si="8"/>
        <v>1.282051282051282E-2</v>
      </c>
      <c r="AY31" s="13">
        <f t="shared" ref="AY31:BJ31" si="9">AY26/AY27</f>
        <v>1.282051282051282E-2</v>
      </c>
      <c r="AZ31" s="13">
        <f t="shared" si="9"/>
        <v>1.282051282051282E-2</v>
      </c>
      <c r="BA31" s="13">
        <f t="shared" si="9"/>
        <v>1.282051282051282E-2</v>
      </c>
      <c r="BB31" s="13">
        <f t="shared" si="9"/>
        <v>1.282051282051282E-2</v>
      </c>
      <c r="BC31" s="13">
        <f t="shared" si="9"/>
        <v>1.282051282051282E-2</v>
      </c>
      <c r="BD31" s="13">
        <f t="shared" si="9"/>
        <v>1.282051282051282E-2</v>
      </c>
      <c r="BE31" s="13">
        <f t="shared" si="9"/>
        <v>1.282051282051282E-2</v>
      </c>
      <c r="BF31" s="13">
        <f t="shared" si="9"/>
        <v>1.282051282051282E-2</v>
      </c>
      <c r="BG31" s="13">
        <f t="shared" si="9"/>
        <v>1.282051282051282E-2</v>
      </c>
      <c r="BH31" s="13">
        <f t="shared" si="9"/>
        <v>1.282051282051282E-2</v>
      </c>
      <c r="BI31" s="13">
        <f t="shared" si="9"/>
        <v>1.282051282051282E-2</v>
      </c>
      <c r="BJ31" s="13">
        <f t="shared" si="9"/>
        <v>1.282051282051282E-2</v>
      </c>
      <c r="BK31" s="13"/>
      <c r="BL31" s="13"/>
      <c r="BM31" s="13"/>
      <c r="BN31" s="13"/>
      <c r="BO31" s="13"/>
      <c r="BP31" s="13"/>
      <c r="BQ31" s="13"/>
      <c r="BR31" s="13"/>
    </row>
    <row r="33" spans="1:70" x14ac:dyDescent="0.45">
      <c r="A33" t="s">
        <v>176</v>
      </c>
      <c r="B33" t="s">
        <v>27</v>
      </c>
      <c r="C33" s="11">
        <f t="shared" ref="C33:AX33" si="10">C8/C13</f>
        <v>149.28107568751548</v>
      </c>
      <c r="D33" s="11">
        <f t="shared" si="10"/>
        <v>147.70368148973077</v>
      </c>
      <c r="E33" s="11">
        <f t="shared" si="10"/>
        <v>156.07184832094379</v>
      </c>
      <c r="F33" s="11">
        <f t="shared" si="10"/>
        <v>171.30241904254066</v>
      </c>
      <c r="G33" s="11">
        <f t="shared" si="10"/>
        <v>180.81471412589329</v>
      </c>
      <c r="H33" s="11">
        <f t="shared" si="10"/>
        <v>189.14719103551991</v>
      </c>
      <c r="I33" s="11">
        <f t="shared" si="10"/>
        <v>188.66240948380405</v>
      </c>
      <c r="J33" s="11">
        <f t="shared" si="10"/>
        <v>197.03545673004356</v>
      </c>
      <c r="K33" s="11">
        <f t="shared" si="10"/>
        <v>206.23777074216562</v>
      </c>
      <c r="L33" s="11">
        <f t="shared" si="10"/>
        <v>224.49411828485313</v>
      </c>
      <c r="M33" s="11">
        <f t="shared" si="10"/>
        <v>237.43473276479355</v>
      </c>
      <c r="N33" s="11">
        <f t="shared" si="10"/>
        <v>249.44777925308762</v>
      </c>
      <c r="O33" s="11">
        <f t="shared" si="10"/>
        <v>269.67748808909403</v>
      </c>
      <c r="P33" s="11">
        <f t="shared" si="10"/>
        <v>329.30841845624678</v>
      </c>
      <c r="Q33" s="11">
        <f t="shared" si="10"/>
        <v>408.72456350964495</v>
      </c>
      <c r="R33" s="11">
        <f t="shared" si="10"/>
        <v>444.20421930564652</v>
      </c>
      <c r="S33" s="11">
        <f t="shared" si="10"/>
        <v>474.27773290006672</v>
      </c>
      <c r="T33" s="11">
        <f t="shared" si="10"/>
        <v>515.9832953266623</v>
      </c>
      <c r="U33" s="11">
        <f t="shared" si="10"/>
        <v>577.04198927568098</v>
      </c>
      <c r="V33" s="11">
        <f t="shared" si="10"/>
        <v>673.33467035543117</v>
      </c>
      <c r="W33" s="11">
        <f t="shared" si="10"/>
        <v>779.91588892649645</v>
      </c>
      <c r="X33" s="11">
        <f t="shared" si="10"/>
        <v>903.41822319731216</v>
      </c>
      <c r="Y33" s="11">
        <f t="shared" si="10"/>
        <v>826.50910466274547</v>
      </c>
      <c r="Z33" s="11">
        <f t="shared" si="10"/>
        <v>718.68762419059385</v>
      </c>
      <c r="AA33" s="11">
        <f t="shared" si="10"/>
        <v>702.59520073981105</v>
      </c>
      <c r="AB33" s="11">
        <f t="shared" si="10"/>
        <v>697.73471907766577</v>
      </c>
      <c r="AC33" s="11">
        <f t="shared" si="10"/>
        <v>687.93505052596345</v>
      </c>
      <c r="AD33" s="11">
        <f t="shared" si="10"/>
        <v>747.84674804630106</v>
      </c>
      <c r="AE33" s="11">
        <f t="shared" si="10"/>
        <v>796.75457627285925</v>
      </c>
      <c r="AF33" s="11">
        <f t="shared" si="10"/>
        <v>872.75574874771075</v>
      </c>
      <c r="AG33" s="11">
        <f t="shared" si="10"/>
        <v>963.71631493362884</v>
      </c>
      <c r="AH33" s="11">
        <f t="shared" si="10"/>
        <v>1037.8813456460559</v>
      </c>
      <c r="AI33" s="11">
        <f t="shared" si="10"/>
        <v>987.30789465861005</v>
      </c>
      <c r="AJ33" s="11">
        <f t="shared" si="10"/>
        <v>1069.0340147712095</v>
      </c>
      <c r="AK33" s="11">
        <f t="shared" si="10"/>
        <v>1151.9275757481325</v>
      </c>
      <c r="AL33" s="11">
        <f t="shared" si="10"/>
        <v>1245.6927014399321</v>
      </c>
      <c r="AM33" s="11">
        <f t="shared" si="10"/>
        <v>1329.5178440390073</v>
      </c>
      <c r="AN33" s="11">
        <f t="shared" si="10"/>
        <v>1376.1576654421533</v>
      </c>
      <c r="AO33" s="11">
        <f t="shared" si="10"/>
        <v>1352.4135034696035</v>
      </c>
      <c r="AP33" s="11">
        <f t="shared" si="10"/>
        <v>1258.8419572170858</v>
      </c>
      <c r="AQ33" s="11">
        <f t="shared" si="10"/>
        <v>1345.3481548815992</v>
      </c>
      <c r="AR33" s="11">
        <f t="shared" si="10"/>
        <v>1269.7779062863879</v>
      </c>
      <c r="AS33" s="11">
        <f t="shared" si="10"/>
        <v>1282.8730844877246</v>
      </c>
      <c r="AT33" s="11">
        <f t="shared" si="10"/>
        <v>1385.1279421350305</v>
      </c>
      <c r="AU33" s="11">
        <f t="shared" si="10"/>
        <v>1589.1331872770404</v>
      </c>
      <c r="AV33" s="11">
        <f t="shared" si="10"/>
        <v>1852.2706424547187</v>
      </c>
      <c r="AW33" s="11">
        <f t="shared" si="10"/>
        <v>2106.3887914141396</v>
      </c>
      <c r="AX33" s="11">
        <f t="shared" si="10"/>
        <v>2470.2283187870116</v>
      </c>
      <c r="AY33" s="11">
        <f t="shared" ref="AY33:BJ33" si="11">AY8/AY13</f>
        <v>2698.3819621866501</v>
      </c>
      <c r="AZ33" s="11">
        <f t="shared" si="11"/>
        <v>2545.1374700472056</v>
      </c>
      <c r="BA33" s="11">
        <f t="shared" si="11"/>
        <v>3082.3379219507824</v>
      </c>
      <c r="BB33" s="11">
        <f t="shared" si="11"/>
        <v>3429.0068797637591</v>
      </c>
      <c r="BC33" s="11">
        <f t="shared" si="11"/>
        <v>3427.5415339521796</v>
      </c>
      <c r="BD33" s="11">
        <f t="shared" si="11"/>
        <v>3508.3965555026648</v>
      </c>
      <c r="BE33" s="11">
        <f t="shared" si="11"/>
        <v>3555.1987290123952</v>
      </c>
      <c r="BF33" s="11">
        <f t="shared" si="11"/>
        <v>3181.6991153720987</v>
      </c>
      <c r="BG33" s="11">
        <f t="shared" si="11"/>
        <v>3149.858045628609</v>
      </c>
      <c r="BH33" s="11">
        <f t="shared" si="11"/>
        <v>3405.7609353369626</v>
      </c>
      <c r="BI33" s="11">
        <f t="shared" si="11"/>
        <v>3405.1603349653187</v>
      </c>
      <c r="BJ33" s="11">
        <f t="shared" si="11"/>
        <v>3423.6714615099027</v>
      </c>
      <c r="BK33" s="11"/>
      <c r="BL33" s="11"/>
      <c r="BM33" s="11"/>
      <c r="BN33" s="11"/>
      <c r="BO33" s="11"/>
      <c r="BP33" s="11"/>
      <c r="BQ33" s="11"/>
      <c r="BR33" s="11"/>
    </row>
    <row r="34" spans="1:70" x14ac:dyDescent="0.45">
      <c r="B34" t="s">
        <v>26</v>
      </c>
      <c r="C34" s="11">
        <f t="shared" ref="C34:AX34" si="12">C9/C14</f>
        <v>1567.7869964133695</v>
      </c>
      <c r="D34" s="11">
        <f t="shared" si="12"/>
        <v>1635.1907040269584</v>
      </c>
      <c r="E34" s="11">
        <f t="shared" si="12"/>
        <v>1744.7542869391525</v>
      </c>
      <c r="F34" s="11">
        <f t="shared" si="12"/>
        <v>1857.0578726254164</v>
      </c>
      <c r="G34" s="11">
        <f t="shared" si="12"/>
        <v>2001.1904020851387</v>
      </c>
      <c r="H34" s="11">
        <f t="shared" si="12"/>
        <v>2152.4343585096558</v>
      </c>
      <c r="I34" s="11">
        <f t="shared" si="12"/>
        <v>2335.503299065741</v>
      </c>
      <c r="J34" s="11">
        <f t="shared" si="12"/>
        <v>2481.5863064985892</v>
      </c>
      <c r="K34" s="11">
        <f t="shared" si="12"/>
        <v>2672.5427422943881</v>
      </c>
      <c r="L34" s="11">
        <f t="shared" si="12"/>
        <v>2906.0436805219088</v>
      </c>
      <c r="M34" s="11">
        <f t="shared" si="12"/>
        <v>3140.7095653848223</v>
      </c>
      <c r="N34" s="11">
        <f t="shared" si="12"/>
        <v>3421.164169362974</v>
      </c>
      <c r="O34" s="11">
        <f t="shared" si="12"/>
        <v>3914.7868123892745</v>
      </c>
      <c r="P34" s="11">
        <f t="shared" si="12"/>
        <v>4630.1473414016718</v>
      </c>
      <c r="Q34" s="11">
        <f t="shared" si="12"/>
        <v>5101.0934587422744</v>
      </c>
      <c r="R34" s="11">
        <f t="shared" si="12"/>
        <v>5677.3628430144154</v>
      </c>
      <c r="S34" s="11">
        <f t="shared" si="12"/>
        <v>6098.2883353910202</v>
      </c>
      <c r="T34" s="11">
        <f t="shared" si="12"/>
        <v>6853.871101745026</v>
      </c>
      <c r="U34" s="11">
        <f t="shared" si="12"/>
        <v>8187.2528121584401</v>
      </c>
      <c r="V34" s="11">
        <f t="shared" si="12"/>
        <v>9306.8173346006224</v>
      </c>
      <c r="W34" s="11">
        <f t="shared" si="12"/>
        <v>10266.070650929036</v>
      </c>
      <c r="X34" s="11">
        <f t="shared" si="12"/>
        <v>10526.580596746471</v>
      </c>
      <c r="Y34" s="11">
        <f t="shared" si="12"/>
        <v>10421.877003168609</v>
      </c>
      <c r="Z34" s="11">
        <f t="shared" si="12"/>
        <v>10797.51385549459</v>
      </c>
      <c r="AA34" s="11">
        <f t="shared" si="12"/>
        <v>11346.579395334358</v>
      </c>
      <c r="AB34" s="11">
        <f t="shared" si="12"/>
        <v>11935.177215224388</v>
      </c>
      <c r="AC34" s="11">
        <f t="shared" si="12"/>
        <v>14334.517537273523</v>
      </c>
      <c r="AD34" s="11">
        <f t="shared" si="12"/>
        <v>16365.87534652051</v>
      </c>
      <c r="AE34" s="11">
        <f t="shared" si="12"/>
        <v>18415.191672464134</v>
      </c>
      <c r="AF34" s="11">
        <f t="shared" si="12"/>
        <v>19177.217636514128</v>
      </c>
      <c r="AG34" s="11">
        <f t="shared" si="12"/>
        <v>21123.513848544135</v>
      </c>
      <c r="AH34" s="11">
        <f t="shared" si="12"/>
        <v>22220.626534109029</v>
      </c>
      <c r="AI34" s="11">
        <f t="shared" si="12"/>
        <v>23592.950595892224</v>
      </c>
      <c r="AJ34" s="11">
        <f t="shared" si="12"/>
        <v>23698.441707265214</v>
      </c>
      <c r="AK34" s="11">
        <f t="shared" si="12"/>
        <v>25251.704572316234</v>
      </c>
      <c r="AL34" s="11">
        <f t="shared" si="12"/>
        <v>27638.641119875094</v>
      </c>
      <c r="AM34" s="11">
        <f t="shared" si="12"/>
        <v>27700.388336271277</v>
      </c>
      <c r="AN34" s="11">
        <f t="shared" si="12"/>
        <v>27284.394242553572</v>
      </c>
      <c r="AO34" s="11">
        <f t="shared" si="12"/>
        <v>27243.22445850003</v>
      </c>
      <c r="AP34" s="11">
        <f t="shared" si="12"/>
        <v>28676.788252344868</v>
      </c>
      <c r="AQ34" s="11">
        <f t="shared" si="12"/>
        <v>29340.668573797571</v>
      </c>
      <c r="AR34" s="11">
        <f t="shared" si="12"/>
        <v>28798.903896733998</v>
      </c>
      <c r="AS34" s="11">
        <f t="shared" si="12"/>
        <v>29701.195736664511</v>
      </c>
      <c r="AT34" s="11">
        <f t="shared" si="12"/>
        <v>32731.365730842394</v>
      </c>
      <c r="AU34" s="11">
        <f t="shared" si="12"/>
        <v>35968.322534591891</v>
      </c>
      <c r="AV34" s="11">
        <f t="shared" si="12"/>
        <v>37569.117937390482</v>
      </c>
      <c r="AW34" s="11">
        <f t="shared" si="12"/>
        <v>39102.344776200851</v>
      </c>
      <c r="AX34" s="11">
        <f t="shared" si="12"/>
        <v>41980.456634147369</v>
      </c>
      <c r="AY34" s="11">
        <f t="shared" ref="AY34:BJ34" si="13">AY9/AY14</f>
        <v>43718.804733046854</v>
      </c>
      <c r="AZ34" s="11">
        <f t="shared" si="13"/>
        <v>41279.939667153107</v>
      </c>
      <c r="BA34" s="11">
        <f t="shared" si="13"/>
        <v>42750.262628157805</v>
      </c>
      <c r="BB34" s="11">
        <f t="shared" si="13"/>
        <v>45353.165619091313</v>
      </c>
      <c r="BC34" s="11">
        <f t="shared" si="13"/>
        <v>45342.281405323993</v>
      </c>
      <c r="BD34" s="11">
        <f t="shared" si="13"/>
        <v>45295.583491845224</v>
      </c>
      <c r="BE34" s="11">
        <f t="shared" si="13"/>
        <v>46033.1083761958</v>
      </c>
      <c r="BF34" s="11">
        <f t="shared" si="13"/>
        <v>44029.223802754444</v>
      </c>
      <c r="BG34" s="11">
        <f t="shared" si="13"/>
        <v>44842.233171643413</v>
      </c>
      <c r="BH34" s="11">
        <f t="shared" si="13"/>
        <v>46381.505164097602</v>
      </c>
      <c r="BI34" s="11">
        <f t="shared" si="13"/>
        <v>48831.740202659472</v>
      </c>
      <c r="BJ34" s="11">
        <f t="shared" si="13"/>
        <v>49308.971537999925</v>
      </c>
      <c r="BK34" s="11"/>
      <c r="BL34" s="11"/>
      <c r="BM34" s="11"/>
      <c r="BN34" s="11"/>
      <c r="BO34" s="11"/>
      <c r="BP34" s="11"/>
      <c r="BQ34" s="11"/>
      <c r="BR34" s="11"/>
    </row>
    <row r="35" spans="1:70" x14ac:dyDescent="0.45">
      <c r="B35" t="s">
        <v>174</v>
      </c>
      <c r="C35" s="11">
        <f t="shared" ref="C35:AX35" si="14">C10/C15</f>
        <v>89.520541028184965</v>
      </c>
      <c r="D35" s="11">
        <f t="shared" si="14"/>
        <v>75.805838070197339</v>
      </c>
      <c r="E35" s="11">
        <f t="shared" si="14"/>
        <v>70.909410827388697</v>
      </c>
      <c r="F35" s="11">
        <f t="shared" si="14"/>
        <v>74.313647143305758</v>
      </c>
      <c r="G35" s="11">
        <f t="shared" si="14"/>
        <v>85.498552438246421</v>
      </c>
      <c r="H35" s="11">
        <f t="shared" si="14"/>
        <v>98.486774219701786</v>
      </c>
      <c r="I35" s="11">
        <f t="shared" si="14"/>
        <v>104.32456302420451</v>
      </c>
      <c r="J35" s="11">
        <f t="shared" si="14"/>
        <v>96.5895351965641</v>
      </c>
      <c r="K35" s="11">
        <f t="shared" si="14"/>
        <v>91.47271986731802</v>
      </c>
      <c r="L35" s="11">
        <f t="shared" si="14"/>
        <v>100.12990144390234</v>
      </c>
      <c r="M35" s="11">
        <f t="shared" si="14"/>
        <v>113.16299139414048</v>
      </c>
      <c r="N35" s="11">
        <f t="shared" si="14"/>
        <v>118.65457235456959</v>
      </c>
      <c r="O35" s="11">
        <f t="shared" si="14"/>
        <v>131.88355701989849</v>
      </c>
      <c r="P35" s="11">
        <f t="shared" si="14"/>
        <v>157.09037879548737</v>
      </c>
      <c r="Q35" s="11">
        <f t="shared" si="14"/>
        <v>160.14009015800363</v>
      </c>
      <c r="R35" s="11">
        <f t="shared" si="14"/>
        <v>178.3418127044184</v>
      </c>
      <c r="S35" s="11">
        <f t="shared" si="14"/>
        <v>165.40554628391385</v>
      </c>
      <c r="T35" s="11">
        <f t="shared" si="14"/>
        <v>185.42283422754451</v>
      </c>
      <c r="U35" s="11">
        <f t="shared" si="14"/>
        <v>156.39638615005893</v>
      </c>
      <c r="V35" s="11">
        <f t="shared" si="14"/>
        <v>183.98315481123961</v>
      </c>
      <c r="W35" s="11">
        <f t="shared" si="14"/>
        <v>194.8047206729909</v>
      </c>
      <c r="X35" s="11">
        <f t="shared" si="14"/>
        <v>197.07147186703872</v>
      </c>
      <c r="Y35" s="11">
        <f t="shared" si="14"/>
        <v>203.33491828980033</v>
      </c>
      <c r="Z35" s="11">
        <f t="shared" si="14"/>
        <v>225.43193085290781</v>
      </c>
      <c r="AA35" s="11">
        <f t="shared" si="14"/>
        <v>250.71396461974282</v>
      </c>
      <c r="AB35" s="11">
        <f t="shared" si="14"/>
        <v>294.45884609529611</v>
      </c>
      <c r="AC35" s="11">
        <f t="shared" si="14"/>
        <v>281.92812231193585</v>
      </c>
      <c r="AD35" s="11">
        <f t="shared" si="14"/>
        <v>251.81196744890173</v>
      </c>
      <c r="AE35" s="11">
        <f t="shared" si="14"/>
        <v>283.53769739187339</v>
      </c>
      <c r="AF35" s="11">
        <f t="shared" si="14"/>
        <v>310.88192636312596</v>
      </c>
      <c r="AG35" s="11">
        <f t="shared" si="14"/>
        <v>317.88467963439234</v>
      </c>
      <c r="AH35" s="11">
        <f t="shared" si="14"/>
        <v>333.14213084990337</v>
      </c>
      <c r="AI35" s="11">
        <f t="shared" si="14"/>
        <v>366.46070815160164</v>
      </c>
      <c r="AJ35" s="11">
        <f t="shared" si="14"/>
        <v>377.38986953001563</v>
      </c>
      <c r="AK35" s="11">
        <f t="shared" si="14"/>
        <v>473.49226990989678</v>
      </c>
      <c r="AL35" s="11">
        <f t="shared" si="14"/>
        <v>609.65663528784341</v>
      </c>
      <c r="AM35" s="11">
        <f t="shared" si="14"/>
        <v>709.4137848924986</v>
      </c>
      <c r="AN35" s="11">
        <f t="shared" si="14"/>
        <v>781.74416566310731</v>
      </c>
      <c r="AO35" s="11">
        <f t="shared" si="14"/>
        <v>828.58051843126452</v>
      </c>
      <c r="AP35" s="11">
        <f t="shared" si="14"/>
        <v>873.28710271756631</v>
      </c>
      <c r="AQ35" s="11">
        <f t="shared" si="14"/>
        <v>959.37247078234952</v>
      </c>
      <c r="AR35" s="11">
        <f t="shared" si="14"/>
        <v>1053.1082178446604</v>
      </c>
      <c r="AS35" s="11">
        <f t="shared" si="14"/>
        <v>1148.5082655670103</v>
      </c>
      <c r="AT35" s="11">
        <f t="shared" si="14"/>
        <v>1288.6432594101211</v>
      </c>
      <c r="AU35" s="11">
        <f t="shared" si="14"/>
        <v>1508.6681142207474</v>
      </c>
      <c r="AV35" s="11">
        <f t="shared" si="14"/>
        <v>1753.41794772708</v>
      </c>
      <c r="AW35" s="11">
        <f t="shared" si="14"/>
        <v>2099.2294732533883</v>
      </c>
      <c r="AX35" s="11">
        <f t="shared" si="14"/>
        <v>2693.9698035455986</v>
      </c>
      <c r="AY35" s="11">
        <f t="shared" ref="AY35:BJ35" si="15">AY10/AY15</f>
        <v>3468.3045709254934</v>
      </c>
      <c r="AZ35" s="11">
        <f t="shared" si="15"/>
        <v>3832.2357962895712</v>
      </c>
      <c r="BA35" s="11">
        <f t="shared" si="15"/>
        <v>4550.453755781843</v>
      </c>
      <c r="BB35" s="11">
        <f t="shared" si="15"/>
        <v>5618.1322858664344</v>
      </c>
      <c r="BC35" s="11">
        <f t="shared" si="15"/>
        <v>6316.9188290141346</v>
      </c>
      <c r="BD35" s="11">
        <f t="shared" si="15"/>
        <v>7050.6459550167756</v>
      </c>
      <c r="BE35" s="11">
        <f t="shared" si="15"/>
        <v>7678.5999495794804</v>
      </c>
      <c r="BF35" s="11">
        <f t="shared" si="15"/>
        <v>8066.9427682546702</v>
      </c>
      <c r="BG35" s="11">
        <f t="shared" si="15"/>
        <v>8147.9384574247833</v>
      </c>
      <c r="BH35" s="11">
        <f t="shared" si="15"/>
        <v>8879.4384332462923</v>
      </c>
      <c r="BI35" s="11">
        <f t="shared" si="15"/>
        <v>9976.6767790647355</v>
      </c>
      <c r="BJ35" s="11">
        <f t="shared" si="15"/>
        <v>10261.679491500092</v>
      </c>
      <c r="BK35" s="11"/>
      <c r="BL35" s="11"/>
      <c r="BM35" s="11"/>
      <c r="BN35" s="11"/>
      <c r="BO35" s="11"/>
      <c r="BP35" s="11"/>
      <c r="BQ35" s="11"/>
      <c r="BR35" s="11"/>
    </row>
    <row r="36" spans="1:70" x14ac:dyDescent="0.45">
      <c r="B36" t="s">
        <v>82</v>
      </c>
      <c r="C36" s="11">
        <f t="shared" ref="C36:AX36" si="16">C11/C16</f>
        <v>487.90157682284894</v>
      </c>
      <c r="D36" s="11">
        <f t="shared" si="16"/>
        <v>502.00962450439562</v>
      </c>
      <c r="E36" s="11">
        <f t="shared" si="16"/>
        <v>530.69489231630803</v>
      </c>
      <c r="F36" s="11">
        <f t="shared" si="16"/>
        <v>562.95032531452739</v>
      </c>
      <c r="G36" s="11">
        <f t="shared" si="16"/>
        <v>602.4563008460151</v>
      </c>
      <c r="H36" s="11">
        <f t="shared" si="16"/>
        <v>642.82390703944088</v>
      </c>
      <c r="I36" s="11">
        <f t="shared" si="16"/>
        <v>683.01630021249366</v>
      </c>
      <c r="J36" s="11">
        <f t="shared" si="16"/>
        <v>713.58703872544584</v>
      </c>
      <c r="K36" s="11">
        <f t="shared" si="16"/>
        <v>754.41182898126158</v>
      </c>
      <c r="L36" s="11">
        <f t="shared" si="16"/>
        <v>813.38595067299286</v>
      </c>
      <c r="M36" s="11">
        <f t="shared" si="16"/>
        <v>869.85028026309988</v>
      </c>
      <c r="N36" s="11">
        <f t="shared" si="16"/>
        <v>933.43660903552461</v>
      </c>
      <c r="O36" s="11">
        <f t="shared" si="16"/>
        <v>1050.3360572578729</v>
      </c>
      <c r="P36" s="11">
        <f t="shared" si="16"/>
        <v>1236.0010400751867</v>
      </c>
      <c r="Q36" s="11">
        <f t="shared" si="16"/>
        <v>1369.0336869716477</v>
      </c>
      <c r="R36" s="11">
        <f t="shared" si="16"/>
        <v>1508.2110072238336</v>
      </c>
      <c r="S36" s="11">
        <f t="shared" si="16"/>
        <v>1598.3968228402541</v>
      </c>
      <c r="T36" s="11">
        <f t="shared" si="16"/>
        <v>1775.4707311271709</v>
      </c>
      <c r="U36" s="11">
        <f t="shared" si="16"/>
        <v>2066.9686889479894</v>
      </c>
      <c r="V36" s="11">
        <f t="shared" si="16"/>
        <v>2342.8388934827708</v>
      </c>
      <c r="W36" s="11">
        <f t="shared" si="16"/>
        <v>2580.9556268796714</v>
      </c>
      <c r="X36" s="11">
        <f t="shared" si="16"/>
        <v>2677.2152448576207</v>
      </c>
      <c r="Y36" s="11">
        <f t="shared" si="16"/>
        <v>2598.3757474813597</v>
      </c>
      <c r="Z36" s="11">
        <f t="shared" si="16"/>
        <v>2605.4670036349785</v>
      </c>
      <c r="AA36" s="11">
        <f t="shared" si="16"/>
        <v>2692.4621666494959</v>
      </c>
      <c r="AB36" s="11">
        <f t="shared" si="16"/>
        <v>2795.7135967635732</v>
      </c>
      <c r="AC36" s="11">
        <f t="shared" si="16"/>
        <v>3230.0335232430125</v>
      </c>
      <c r="AD36" s="11">
        <f t="shared" si="16"/>
        <v>3611.9715936391954</v>
      </c>
      <c r="AE36" s="11">
        <f t="shared" si="16"/>
        <v>4001.898551166149</v>
      </c>
      <c r="AF36" s="11">
        <f t="shared" si="16"/>
        <v>4155.8617709676664</v>
      </c>
      <c r="AG36" s="11">
        <f t="shared" si="16"/>
        <v>4533.7094823811876</v>
      </c>
      <c r="AH36" s="11">
        <f t="shared" si="16"/>
        <v>4747.358184160259</v>
      </c>
      <c r="AI36" s="11">
        <f t="shared" si="16"/>
        <v>4950.8521145323039</v>
      </c>
      <c r="AJ36" s="11">
        <f t="shared" si="16"/>
        <v>4983.3791890434995</v>
      </c>
      <c r="AK36" s="11">
        <f t="shared" si="16"/>
        <v>5302.3391353866273</v>
      </c>
      <c r="AL36" s="11">
        <f t="shared" si="16"/>
        <v>5784.0913995200135</v>
      </c>
      <c r="AM36" s="11">
        <f t="shared" si="16"/>
        <v>5830.6329693167172</v>
      </c>
      <c r="AN36" s="11">
        <f t="shared" si="16"/>
        <v>5766.5805516945966</v>
      </c>
      <c r="AO36" s="11">
        <f t="shared" si="16"/>
        <v>5724.8429870460177</v>
      </c>
      <c r="AP36" s="11">
        <f t="shared" si="16"/>
        <v>5901.580966686648</v>
      </c>
      <c r="AQ36" s="11">
        <f t="shared" si="16"/>
        <v>6055.1563699288326</v>
      </c>
      <c r="AR36" s="11">
        <f t="shared" si="16"/>
        <v>5916.0129919263863</v>
      </c>
      <c r="AS36" s="11">
        <f t="shared" si="16"/>
        <v>6073.8518040183753</v>
      </c>
      <c r="AT36" s="11">
        <f t="shared" si="16"/>
        <v>6652.1503043974017</v>
      </c>
      <c r="AU36" s="11">
        <f t="shared" si="16"/>
        <v>7340.1602769197207</v>
      </c>
      <c r="AV36" s="11">
        <f t="shared" si="16"/>
        <v>7789.7283211628264</v>
      </c>
      <c r="AW36" s="11">
        <f t="shared" si="16"/>
        <v>8251.1139899467671</v>
      </c>
      <c r="AX36" s="11">
        <f t="shared" si="16"/>
        <v>9063.2992586246746</v>
      </c>
      <c r="AY36" s="11">
        <f t="shared" ref="AY36:BJ36" si="17">AY11/AY16</f>
        <v>9657.0638143498527</v>
      </c>
      <c r="AZ36" s="11">
        <f t="shared" si="17"/>
        <v>9230.6233534307739</v>
      </c>
      <c r="BA36" s="11">
        <f t="shared" si="17"/>
        <v>9930.6170238482864</v>
      </c>
      <c r="BB36" s="11">
        <f t="shared" si="17"/>
        <v>10789.7434014397</v>
      </c>
      <c r="BC36" s="11">
        <f t="shared" si="17"/>
        <v>10923.320754075587</v>
      </c>
      <c r="BD36" s="11">
        <f t="shared" si="17"/>
        <v>11107.684060447034</v>
      </c>
      <c r="BE36" s="11">
        <f t="shared" si="17"/>
        <v>11369.451719922045</v>
      </c>
      <c r="BF36" s="11">
        <f t="shared" si="17"/>
        <v>10883.93686076325</v>
      </c>
      <c r="BG36" s="11">
        <f t="shared" si="17"/>
        <v>10966.182632944943</v>
      </c>
      <c r="BH36" s="11">
        <f t="shared" si="17"/>
        <v>11491.631928699331</v>
      </c>
      <c r="BI36" s="11">
        <f t="shared" si="17"/>
        <v>12092.540142746351</v>
      </c>
      <c r="BJ36" s="11">
        <f t="shared" si="17"/>
        <v>12190.985968189116</v>
      </c>
      <c r="BK36" s="11"/>
      <c r="BL36" s="11"/>
      <c r="BM36" s="11"/>
      <c r="BN36" s="11"/>
      <c r="BO36" s="11"/>
      <c r="BP36" s="11"/>
      <c r="BQ36" s="11"/>
      <c r="BR36" s="11"/>
    </row>
    <row r="38" spans="1:70" x14ac:dyDescent="0.45">
      <c r="A38" t="s">
        <v>177</v>
      </c>
      <c r="B38" t="s">
        <v>27</v>
      </c>
      <c r="C38" s="13">
        <f t="shared" ref="C38:AX38" si="18">C33/C$36</f>
        <v>0.30596555284697841</v>
      </c>
      <c r="D38" s="13">
        <f t="shared" si="18"/>
        <v>0.29422480024272418</v>
      </c>
      <c r="E38" s="13">
        <f t="shared" si="18"/>
        <v>0.29408959946786312</v>
      </c>
      <c r="F38" s="13">
        <f t="shared" si="18"/>
        <v>0.30429402265081179</v>
      </c>
      <c r="G38" s="13">
        <f t="shared" si="18"/>
        <v>0.3001291776216457</v>
      </c>
      <c r="H38" s="13">
        <f t="shared" si="18"/>
        <v>0.2942441763042809</v>
      </c>
      <c r="I38" s="13">
        <f t="shared" si="18"/>
        <v>0.27621948323211198</v>
      </c>
      <c r="J38" s="13">
        <f t="shared" si="18"/>
        <v>0.27611972476682467</v>
      </c>
      <c r="K38" s="13">
        <f t="shared" si="18"/>
        <v>0.27337557925180445</v>
      </c>
      <c r="L38" s="13">
        <f t="shared" si="18"/>
        <v>0.27599950318678046</v>
      </c>
      <c r="M38" s="13">
        <f t="shared" si="18"/>
        <v>0.27296046015295605</v>
      </c>
      <c r="N38" s="13">
        <f t="shared" si="18"/>
        <v>0.26723590743974579</v>
      </c>
      <c r="O38" s="13">
        <f t="shared" si="18"/>
        <v>0.2567535278119889</v>
      </c>
      <c r="P38" s="13">
        <f t="shared" si="18"/>
        <v>0.26643053507156822</v>
      </c>
      <c r="Q38" s="13">
        <f t="shared" si="18"/>
        <v>0.29854967587668241</v>
      </c>
      <c r="R38" s="13">
        <f t="shared" si="18"/>
        <v>0.29452392084267698</v>
      </c>
      <c r="S38" s="13">
        <f t="shared" si="18"/>
        <v>0.29672089316175188</v>
      </c>
      <c r="T38" s="13">
        <f t="shared" si="18"/>
        <v>0.29061774225874532</v>
      </c>
      <c r="U38" s="13">
        <f t="shared" si="18"/>
        <v>0.27917306747852771</v>
      </c>
      <c r="V38" s="13">
        <f t="shared" si="18"/>
        <v>0.28740118333722842</v>
      </c>
      <c r="W38" s="13">
        <f t="shared" si="18"/>
        <v>0.30218105294177439</v>
      </c>
      <c r="X38" s="13">
        <f t="shared" si="18"/>
        <v>0.33744698896832914</v>
      </c>
      <c r="Y38" s="13">
        <f t="shared" si="18"/>
        <v>0.31808682999904531</v>
      </c>
      <c r="Z38" s="13">
        <f t="shared" si="18"/>
        <v>0.2758383135107555</v>
      </c>
      <c r="AA38" s="13">
        <f t="shared" si="18"/>
        <v>0.26094895944782082</v>
      </c>
      <c r="AB38" s="13">
        <f t="shared" si="18"/>
        <v>0.24957303204641229</v>
      </c>
      <c r="AC38" s="13">
        <f t="shared" si="18"/>
        <v>0.21298077731257231</v>
      </c>
      <c r="AD38" s="13">
        <f t="shared" si="18"/>
        <v>0.20704668590508424</v>
      </c>
      <c r="AE38" s="13">
        <f t="shared" si="18"/>
        <v>0.19909414646222998</v>
      </c>
      <c r="AF38" s="13">
        <f t="shared" si="18"/>
        <v>0.21000596190293766</v>
      </c>
      <c r="AG38" s="13">
        <f t="shared" si="18"/>
        <v>0.21256684370244811</v>
      </c>
      <c r="AH38" s="13">
        <f t="shared" si="18"/>
        <v>0.21862292782309675</v>
      </c>
      <c r="AI38" s="13">
        <f t="shared" si="18"/>
        <v>0.19942181099705072</v>
      </c>
      <c r="AJ38" s="13">
        <f t="shared" si="18"/>
        <v>0.21451990190142403</v>
      </c>
      <c r="AK38" s="13">
        <f t="shared" si="18"/>
        <v>0.21724894359555863</v>
      </c>
      <c r="AL38" s="13">
        <f t="shared" si="18"/>
        <v>0.21536532108453621</v>
      </c>
      <c r="AM38" s="13">
        <f t="shared" si="18"/>
        <v>0.22802290095011957</v>
      </c>
      <c r="AN38" s="13">
        <f t="shared" si="18"/>
        <v>0.23864362131172323</v>
      </c>
      <c r="AO38" s="13">
        <f t="shared" si="18"/>
        <v>0.23623591188960105</v>
      </c>
      <c r="AP38" s="13">
        <f t="shared" si="18"/>
        <v>0.21330588605375744</v>
      </c>
      <c r="AQ38" s="13">
        <f t="shared" si="18"/>
        <v>0.22218223158742492</v>
      </c>
      <c r="AR38" s="13">
        <f t="shared" si="18"/>
        <v>0.2146340631806016</v>
      </c>
      <c r="AS38" s="13">
        <f t="shared" si="18"/>
        <v>0.21121244407691897</v>
      </c>
      <c r="AT38" s="13">
        <f t="shared" si="18"/>
        <v>0.20822258649498526</v>
      </c>
      <c r="AU38" s="13">
        <f t="shared" si="18"/>
        <v>0.21649843154976939</v>
      </c>
      <c r="AV38" s="13">
        <f t="shared" si="18"/>
        <v>0.23778372827490568</v>
      </c>
      <c r="AW38" s="13">
        <f t="shared" si="18"/>
        <v>0.25528538255326289</v>
      </c>
      <c r="AX38" s="13">
        <f t="shared" si="18"/>
        <v>0.27255288039135767</v>
      </c>
      <c r="AY38" s="13">
        <f t="shared" ref="AY38:BJ38" si="19">AY33/AY$36</f>
        <v>0.27942053755272972</v>
      </c>
      <c r="AZ38" s="13">
        <f t="shared" si="19"/>
        <v>0.27572758334909708</v>
      </c>
      <c r="BA38" s="13">
        <f t="shared" si="19"/>
        <v>0.31038735201937362</v>
      </c>
      <c r="BB38" s="13">
        <f t="shared" si="19"/>
        <v>0.31780244925066697</v>
      </c>
      <c r="BC38" s="13">
        <f t="shared" si="19"/>
        <v>0.31378200925513733</v>
      </c>
      <c r="BD38" s="13">
        <f t="shared" si="19"/>
        <v>0.31585311001017685</v>
      </c>
      <c r="BE38" s="13">
        <f t="shared" si="19"/>
        <v>0.31269746480235477</v>
      </c>
      <c r="BF38" s="13">
        <f t="shared" si="19"/>
        <v>0.29232980272443237</v>
      </c>
      <c r="BG38" s="13">
        <f t="shared" si="19"/>
        <v>0.28723377596919719</v>
      </c>
      <c r="BH38" s="13">
        <f t="shared" si="19"/>
        <v>0.29636878003648698</v>
      </c>
      <c r="BI38" s="13">
        <f t="shared" si="19"/>
        <v>0.2815918156788495</v>
      </c>
      <c r="BJ38" s="13">
        <f t="shared" si="19"/>
        <v>0.28083630564775924</v>
      </c>
      <c r="BK38" s="13"/>
      <c r="BL38" s="13"/>
      <c r="BM38" s="13"/>
      <c r="BN38" s="13"/>
      <c r="BO38" s="13"/>
      <c r="BP38" s="13"/>
      <c r="BQ38" s="13"/>
      <c r="BR38" s="13"/>
    </row>
    <row r="39" spans="1:70" x14ac:dyDescent="0.45">
      <c r="B39" t="s">
        <v>26</v>
      </c>
      <c r="C39" s="13">
        <f t="shared" ref="C39:AX39" si="20">C34/C$36</f>
        <v>3.2133263569726354</v>
      </c>
      <c r="D39" s="13">
        <f t="shared" si="20"/>
        <v>3.2572895502576977</v>
      </c>
      <c r="E39" s="13">
        <f t="shared" si="20"/>
        <v>3.2876786873223445</v>
      </c>
      <c r="F39" s="13">
        <f t="shared" si="20"/>
        <v>3.2987952739664106</v>
      </c>
      <c r="G39" s="13">
        <f t="shared" si="20"/>
        <v>3.3217187691039407</v>
      </c>
      <c r="H39" s="13">
        <f t="shared" si="20"/>
        <v>3.3484043373912535</v>
      </c>
      <c r="I39" s="13">
        <f t="shared" si="20"/>
        <v>3.4193961378947195</v>
      </c>
      <c r="J39" s="13">
        <f t="shared" si="20"/>
        <v>3.4776224508379627</v>
      </c>
      <c r="K39" s="13">
        <f t="shared" si="20"/>
        <v>3.5425514813352295</v>
      </c>
      <c r="L39" s="13">
        <f t="shared" si="20"/>
        <v>3.5727733901937424</v>
      </c>
      <c r="M39" s="13">
        <f t="shared" si="20"/>
        <v>3.6106323543804173</v>
      </c>
      <c r="N39" s="13">
        <f t="shared" si="20"/>
        <v>3.6651274829448774</v>
      </c>
      <c r="O39" s="13">
        <f t="shared" si="20"/>
        <v>3.7271754933460661</v>
      </c>
      <c r="P39" s="13">
        <f t="shared" si="20"/>
        <v>3.7460707485488989</v>
      </c>
      <c r="Q39" s="13">
        <f t="shared" si="20"/>
        <v>3.7260540096906443</v>
      </c>
      <c r="R39" s="13">
        <f t="shared" si="20"/>
        <v>3.7643027506242288</v>
      </c>
      <c r="S39" s="13">
        <f t="shared" si="20"/>
        <v>3.8152530387008228</v>
      </c>
      <c r="T39" s="13">
        <f t="shared" si="20"/>
        <v>3.8603120747554054</v>
      </c>
      <c r="U39" s="13">
        <f t="shared" si="20"/>
        <v>3.9609950822842164</v>
      </c>
      <c r="V39" s="13">
        <f t="shared" si="20"/>
        <v>3.9724529759557985</v>
      </c>
      <c r="W39" s="13">
        <f t="shared" si="20"/>
        <v>3.9776238475438377</v>
      </c>
      <c r="X39" s="13">
        <f t="shared" si="20"/>
        <v>3.9319141846983969</v>
      </c>
      <c r="Y39" s="13">
        <f t="shared" si="20"/>
        <v>4.0109199038170953</v>
      </c>
      <c r="Z39" s="13">
        <f t="shared" si="20"/>
        <v>4.1441760116058273</v>
      </c>
      <c r="AA39" s="13">
        <f t="shared" si="20"/>
        <v>4.2142019805812385</v>
      </c>
      <c r="AB39" s="13">
        <f t="shared" si="20"/>
        <v>4.2690986762882339</v>
      </c>
      <c r="AC39" s="13">
        <f t="shared" si="20"/>
        <v>4.4378850665554106</v>
      </c>
      <c r="AD39" s="13">
        <f t="shared" si="20"/>
        <v>4.5310088748597508</v>
      </c>
      <c r="AE39" s="13">
        <f t="shared" si="20"/>
        <v>4.6016138182958102</v>
      </c>
      <c r="AF39" s="13">
        <f t="shared" si="20"/>
        <v>4.6144984345927442</v>
      </c>
      <c r="AG39" s="13">
        <f t="shared" si="20"/>
        <v>4.6592120493458875</v>
      </c>
      <c r="AH39" s="13">
        <f t="shared" si="20"/>
        <v>4.6806298728941487</v>
      </c>
      <c r="AI39" s="13">
        <f t="shared" si="20"/>
        <v>4.7654323033886454</v>
      </c>
      <c r="AJ39" s="13">
        <f t="shared" si="20"/>
        <v>4.7554963827293761</v>
      </c>
      <c r="AK39" s="13">
        <f t="shared" si="20"/>
        <v>4.7623707061270366</v>
      </c>
      <c r="AL39" s="13">
        <f t="shared" si="20"/>
        <v>4.7783894151756758</v>
      </c>
      <c r="AM39" s="13">
        <f t="shared" si="20"/>
        <v>4.7508372559278831</v>
      </c>
      <c r="AN39" s="13">
        <f t="shared" si="20"/>
        <v>4.731468501647071</v>
      </c>
      <c r="AO39" s="13">
        <f t="shared" si="20"/>
        <v>4.7587723401576394</v>
      </c>
      <c r="AP39" s="13">
        <f t="shared" si="20"/>
        <v>4.8591705195980746</v>
      </c>
      <c r="AQ39" s="13">
        <f t="shared" si="20"/>
        <v>4.8455674438912002</v>
      </c>
      <c r="AR39" s="13">
        <f t="shared" si="20"/>
        <v>4.8679581900912003</v>
      </c>
      <c r="AS39" s="13">
        <f t="shared" si="20"/>
        <v>4.8900099467383473</v>
      </c>
      <c r="AT39" s="13">
        <f t="shared" si="20"/>
        <v>4.9204188470012973</v>
      </c>
      <c r="AU39" s="13">
        <f t="shared" si="20"/>
        <v>4.9002094201798414</v>
      </c>
      <c r="AV39" s="13">
        <f t="shared" si="20"/>
        <v>4.8229047777345695</v>
      </c>
      <c r="AW39" s="13">
        <f t="shared" si="20"/>
        <v>4.7390382466953564</v>
      </c>
      <c r="AX39" s="13">
        <f t="shared" si="20"/>
        <v>4.6319177416765296</v>
      </c>
      <c r="AY39" s="13">
        <f t="shared" ref="AY39:BJ39" si="21">AY34/AY$36</f>
        <v>4.5271322188099425</v>
      </c>
      <c r="AZ39" s="13">
        <f t="shared" si="21"/>
        <v>4.4720641376630823</v>
      </c>
      <c r="BA39" s="13">
        <f t="shared" si="21"/>
        <v>4.3048949048677878</v>
      </c>
      <c r="BB39" s="13">
        <f t="shared" si="21"/>
        <v>4.2033590542143697</v>
      </c>
      <c r="BC39" s="13">
        <f t="shared" si="21"/>
        <v>4.1509612714069934</v>
      </c>
      <c r="BD39" s="13">
        <f t="shared" si="21"/>
        <v>4.0778602673024062</v>
      </c>
      <c r="BE39" s="13">
        <f t="shared" si="21"/>
        <v>4.0488415369700368</v>
      </c>
      <c r="BF39" s="13">
        <f t="shared" si="21"/>
        <v>4.045339877106457</v>
      </c>
      <c r="BG39" s="13">
        <f t="shared" si="21"/>
        <v>4.0891379135823431</v>
      </c>
      <c r="BH39" s="13">
        <f t="shared" si="21"/>
        <v>4.0361112722609835</v>
      </c>
      <c r="BI39" s="13">
        <f t="shared" si="21"/>
        <v>4.03817060983262</v>
      </c>
      <c r="BJ39" s="13">
        <f t="shared" si="21"/>
        <v>4.0447074311024265</v>
      </c>
      <c r="BK39" s="13"/>
      <c r="BL39" s="13"/>
      <c r="BM39" s="13"/>
      <c r="BN39" s="13"/>
      <c r="BO39" s="13"/>
      <c r="BP39" s="13"/>
      <c r="BQ39" s="13"/>
      <c r="BR39" s="13"/>
    </row>
    <row r="40" spans="1:70" x14ac:dyDescent="0.45">
      <c r="B40" t="s">
        <v>174</v>
      </c>
      <c r="C40" s="13">
        <f t="shared" ref="C40:AX40" si="22">C35/C$36</f>
        <v>0.18348073726494385</v>
      </c>
      <c r="D40" s="13">
        <f t="shared" si="22"/>
        <v>0.15100475044683845</v>
      </c>
      <c r="E40" s="13">
        <f t="shared" si="22"/>
        <v>0.13361615469463542</v>
      </c>
      <c r="F40" s="13">
        <f t="shared" si="22"/>
        <v>0.13200746815766701</v>
      </c>
      <c r="G40" s="13">
        <f t="shared" si="22"/>
        <v>0.14191660427184982</v>
      </c>
      <c r="H40" s="13">
        <f t="shared" si="22"/>
        <v>0.1532095697456054</v>
      </c>
      <c r="I40" s="13">
        <f t="shared" si="22"/>
        <v>0.15274095653610026</v>
      </c>
      <c r="J40" s="13">
        <f t="shared" si="22"/>
        <v>0.13535774888664581</v>
      </c>
      <c r="K40" s="13">
        <f t="shared" si="22"/>
        <v>0.12125037857749452</v>
      </c>
      <c r="L40" s="13">
        <f t="shared" si="22"/>
        <v>0.12310257063212758</v>
      </c>
      <c r="M40" s="13">
        <f t="shared" si="22"/>
        <v>0.13009479212895414</v>
      </c>
      <c r="N40" s="13">
        <f t="shared" si="22"/>
        <v>0.12711583326174627</v>
      </c>
      <c r="O40" s="13">
        <f t="shared" si="22"/>
        <v>0.12556320056669171</v>
      </c>
      <c r="P40" s="13">
        <f t="shared" si="22"/>
        <v>0.1270956687754336</v>
      </c>
      <c r="Q40" s="13">
        <f t="shared" si="22"/>
        <v>0.11697308231489857</v>
      </c>
      <c r="R40" s="13">
        <f t="shared" si="22"/>
        <v>0.11824725575547447</v>
      </c>
      <c r="S40" s="13">
        <f t="shared" si="22"/>
        <v>0.1034821540685987</v>
      </c>
      <c r="T40" s="13">
        <f t="shared" si="22"/>
        <v>0.1044358721192928</v>
      </c>
      <c r="U40" s="13">
        <f t="shared" si="22"/>
        <v>7.5664613105319412E-2</v>
      </c>
      <c r="V40" s="13">
        <f t="shared" si="22"/>
        <v>7.8530007045314834E-2</v>
      </c>
      <c r="W40" s="13">
        <f t="shared" si="22"/>
        <v>7.5477748878815976E-2</v>
      </c>
      <c r="X40" s="13">
        <f t="shared" si="22"/>
        <v>7.3610619185578166E-2</v>
      </c>
      <c r="Y40" s="13">
        <f t="shared" si="22"/>
        <v>7.8254624446404866E-2</v>
      </c>
      <c r="Z40" s="13">
        <f t="shared" si="22"/>
        <v>8.6522658140901348E-2</v>
      </c>
      <c r="AA40" s="13">
        <f t="shared" si="22"/>
        <v>9.3116987018514605E-2</v>
      </c>
      <c r="AB40" s="13">
        <f t="shared" si="22"/>
        <v>0.10532511142635395</v>
      </c>
      <c r="AC40" s="13">
        <f t="shared" si="22"/>
        <v>8.7283342505026035E-2</v>
      </c>
      <c r="AD40" s="13">
        <f t="shared" si="22"/>
        <v>6.971593239890124E-2</v>
      </c>
      <c r="AE40" s="13">
        <f t="shared" si="22"/>
        <v>7.0850795882681936E-2</v>
      </c>
      <c r="AF40" s="13">
        <f t="shared" si="22"/>
        <v>7.4805646456989602E-2</v>
      </c>
      <c r="AG40" s="13">
        <f t="shared" si="22"/>
        <v>7.0115802715138564E-2</v>
      </c>
      <c r="AH40" s="13">
        <f t="shared" si="22"/>
        <v>7.0174214358091777E-2</v>
      </c>
      <c r="AI40" s="13">
        <f t="shared" si="22"/>
        <v>7.4019724215943453E-2</v>
      </c>
      <c r="AJ40" s="13">
        <f t="shared" si="22"/>
        <v>7.5729711750562395E-2</v>
      </c>
      <c r="AK40" s="13">
        <f t="shared" si="22"/>
        <v>8.9298752460006778E-2</v>
      </c>
      <c r="AL40" s="13">
        <f t="shared" si="22"/>
        <v>0.10540231700668408</v>
      </c>
      <c r="AM40" s="13">
        <f t="shared" si="22"/>
        <v>0.12167011517029749</v>
      </c>
      <c r="AN40" s="13">
        <f t="shared" si="22"/>
        <v>0.13556459649789857</v>
      </c>
      <c r="AO40" s="13">
        <f t="shared" si="22"/>
        <v>0.14473419101731674</v>
      </c>
      <c r="AP40" s="13">
        <f t="shared" si="22"/>
        <v>0.14797511169415675</v>
      </c>
      <c r="AQ40" s="13">
        <f t="shared" si="22"/>
        <v>0.15843892579666366</v>
      </c>
      <c r="AR40" s="13">
        <f t="shared" si="22"/>
        <v>0.17800978788955377</v>
      </c>
      <c r="AS40" s="13">
        <f t="shared" si="22"/>
        <v>0.18909059730551434</v>
      </c>
      <c r="AT40" s="13">
        <f t="shared" si="22"/>
        <v>0.19371830166829873</v>
      </c>
      <c r="AU40" s="13">
        <f t="shared" si="22"/>
        <v>0.2055361269105497</v>
      </c>
      <c r="AV40" s="13">
        <f t="shared" si="22"/>
        <v>0.22509359446637739</v>
      </c>
      <c r="AW40" s="13">
        <f t="shared" si="22"/>
        <v>0.25441770357446386</v>
      </c>
      <c r="AX40" s="13">
        <f t="shared" si="22"/>
        <v>0.2972394187450012</v>
      </c>
      <c r="AY40" s="13">
        <f t="shared" ref="AY40:BJ40" si="23">AY35/AY$36</f>
        <v>0.35914690402809479</v>
      </c>
      <c r="AZ40" s="13">
        <f t="shared" si="23"/>
        <v>0.41516543894787261</v>
      </c>
      <c r="BA40" s="13">
        <f t="shared" si="23"/>
        <v>0.45822467474618844</v>
      </c>
      <c r="BB40" s="13">
        <f t="shared" si="23"/>
        <v>0.52069192721643354</v>
      </c>
      <c r="BC40" s="13">
        <f t="shared" si="23"/>
        <v>0.57829656120436057</v>
      </c>
      <c r="BD40" s="13">
        <f t="shared" si="23"/>
        <v>0.63475391599615039</v>
      </c>
      <c r="BE40" s="13">
        <f t="shared" si="23"/>
        <v>0.67537117345110897</v>
      </c>
      <c r="BF40" s="13">
        <f t="shared" si="23"/>
        <v>0.74117875465964123</v>
      </c>
      <c r="BG40" s="13">
        <f t="shared" si="23"/>
        <v>0.7430059055323861</v>
      </c>
      <c r="BH40" s="13">
        <f t="shared" si="23"/>
        <v>0.77268733356057839</v>
      </c>
      <c r="BI40" s="13">
        <f t="shared" si="23"/>
        <v>0.82502738558607924</v>
      </c>
      <c r="BJ40" s="13">
        <f t="shared" si="23"/>
        <v>0.84174319602013215</v>
      </c>
      <c r="BK40" s="13"/>
      <c r="BL40" s="13"/>
      <c r="BM40" s="13"/>
      <c r="BN40" s="13"/>
      <c r="BO40" s="13"/>
      <c r="BP40" s="13"/>
      <c r="BQ40" s="13"/>
      <c r="BR40" s="13"/>
    </row>
    <row r="41" spans="1:70" x14ac:dyDescent="0.45">
      <c r="C41" s="13"/>
      <c r="D41" s="13"/>
      <c r="E41" s="13"/>
      <c r="F41" s="13"/>
      <c r="G41" s="13"/>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c r="BJ41" s="13"/>
      <c r="BK41" s="13"/>
      <c r="BL41" s="13"/>
      <c r="BM41" s="13"/>
      <c r="BN41" s="13"/>
      <c r="BO41" s="13"/>
      <c r="BP41" s="13"/>
      <c r="BQ41" s="13"/>
      <c r="BR41" s="13"/>
    </row>
    <row r="42" spans="1:70" x14ac:dyDescent="0.45">
      <c r="A42" t="s">
        <v>178</v>
      </c>
      <c r="B42" t="s">
        <v>27</v>
      </c>
      <c r="C42" s="13">
        <f t="shared" ref="C42:AX42" si="24">C29*C38</f>
        <v>0.19220912935258899</v>
      </c>
      <c r="D42" s="13">
        <f t="shared" si="24"/>
        <v>0.18483352835760877</v>
      </c>
      <c r="E42" s="13">
        <f t="shared" si="24"/>
        <v>0.18474859453750375</v>
      </c>
      <c r="F42" s="13">
        <f t="shared" si="24"/>
        <v>0.19115906551140741</v>
      </c>
      <c r="G42" s="13">
        <f t="shared" si="24"/>
        <v>0.18854268850590564</v>
      </c>
      <c r="H42" s="13">
        <f t="shared" si="24"/>
        <v>0.18484570049884314</v>
      </c>
      <c r="I42" s="13">
        <f t="shared" si="24"/>
        <v>0.17352249587658317</v>
      </c>
      <c r="J42" s="13">
        <f t="shared" si="24"/>
        <v>0.1734598270971078</v>
      </c>
      <c r="K42" s="13">
        <f t="shared" si="24"/>
        <v>0.171735940812031</v>
      </c>
      <c r="L42" s="13">
        <f t="shared" si="24"/>
        <v>0.17338430328400312</v>
      </c>
      <c r="M42" s="13">
        <f t="shared" si="24"/>
        <v>0.17147516086531855</v>
      </c>
      <c r="N42" s="13">
        <f t="shared" si="24"/>
        <v>0.16787896749419928</v>
      </c>
      <c r="O42" s="13">
        <f t="shared" si="24"/>
        <v>0.16129388285624943</v>
      </c>
      <c r="P42" s="13">
        <f t="shared" si="24"/>
        <v>0.16737302844239541</v>
      </c>
      <c r="Q42" s="13">
        <f t="shared" si="24"/>
        <v>0.18755043740971075</v>
      </c>
      <c r="R42" s="13">
        <f t="shared" si="24"/>
        <v>0.18502143745245092</v>
      </c>
      <c r="S42" s="13">
        <f t="shared" si="24"/>
        <v>0.18640158672981849</v>
      </c>
      <c r="T42" s="13">
        <f t="shared" si="24"/>
        <v>0.18256755603434</v>
      </c>
      <c r="U42" s="13">
        <f t="shared" si="24"/>
        <v>0.17537795264676742</v>
      </c>
      <c r="V42" s="13">
        <f t="shared" si="24"/>
        <v>0.18054689722466913</v>
      </c>
      <c r="W42" s="13">
        <f t="shared" si="24"/>
        <v>0.189831687104448</v>
      </c>
      <c r="X42" s="13">
        <f t="shared" si="24"/>
        <v>0.21198592896728369</v>
      </c>
      <c r="Y42" s="13">
        <f t="shared" si="24"/>
        <v>0.19982377781991306</v>
      </c>
      <c r="Z42" s="13">
        <f t="shared" si="24"/>
        <v>0.17328304310291051</v>
      </c>
      <c r="AA42" s="13">
        <f t="shared" si="24"/>
        <v>0.16392947452491308</v>
      </c>
      <c r="AB42" s="13">
        <f t="shared" si="24"/>
        <v>0.156783058593259</v>
      </c>
      <c r="AC42" s="13">
        <f t="shared" si="24"/>
        <v>0.13379561651687236</v>
      </c>
      <c r="AD42" s="13">
        <f t="shared" si="24"/>
        <v>0.13006778986345036</v>
      </c>
      <c r="AE42" s="13">
        <f t="shared" si="24"/>
        <v>0.12507196380319574</v>
      </c>
      <c r="AF42" s="13">
        <f t="shared" si="24"/>
        <v>0.13192682222107621</v>
      </c>
      <c r="AG42" s="13">
        <f t="shared" si="24"/>
        <v>0.13353558130025586</v>
      </c>
      <c r="AH42" s="13">
        <f t="shared" si="24"/>
        <v>0.13734004440168898</v>
      </c>
      <c r="AI42" s="13">
        <f t="shared" si="24"/>
        <v>0.12527780434430108</v>
      </c>
      <c r="AJ42" s="13">
        <f t="shared" si="24"/>
        <v>0.13476250247653559</v>
      </c>
      <c r="AK42" s="13">
        <f t="shared" si="24"/>
        <v>0.13647690046387656</v>
      </c>
      <c r="AL42" s="13">
        <f t="shared" si="24"/>
        <v>0.13529359914284966</v>
      </c>
      <c r="AM42" s="13">
        <f t="shared" si="24"/>
        <v>0.1432451557250751</v>
      </c>
      <c r="AN42" s="13">
        <f t="shared" si="24"/>
        <v>0.14991714672146716</v>
      </c>
      <c r="AO42" s="13">
        <f t="shared" si="24"/>
        <v>0.1484046113152622</v>
      </c>
      <c r="AP42" s="13">
        <f t="shared" si="24"/>
        <v>0.13399985149530916</v>
      </c>
      <c r="AQ42" s="13">
        <f t="shared" si="24"/>
        <v>0.13957601727927976</v>
      </c>
      <c r="AR42" s="13">
        <f t="shared" si="24"/>
        <v>0.13483421917755742</v>
      </c>
      <c r="AS42" s="13">
        <f t="shared" si="24"/>
        <v>0.13268474050985934</v>
      </c>
      <c r="AT42" s="13">
        <f t="shared" si="24"/>
        <v>0.13080649664428562</v>
      </c>
      <c r="AU42" s="13">
        <f t="shared" si="24"/>
        <v>0.13600542494793205</v>
      </c>
      <c r="AV42" s="13">
        <f t="shared" si="24"/>
        <v>0.1493769575060305</v>
      </c>
      <c r="AW42" s="13">
        <f t="shared" si="24"/>
        <v>0.16037158647576771</v>
      </c>
      <c r="AX42" s="13">
        <f t="shared" si="24"/>
        <v>0.17121911716892982</v>
      </c>
      <c r="AY42" s="13">
        <f t="shared" ref="AY42:BJ42" si="25">AY29*AY38</f>
        <v>0.17553341461645841</v>
      </c>
      <c r="AZ42" s="13">
        <f t="shared" si="25"/>
        <v>0.1732134818475097</v>
      </c>
      <c r="BA42" s="13">
        <f t="shared" si="25"/>
        <v>0.19498692626858086</v>
      </c>
      <c r="BB42" s="13">
        <f t="shared" si="25"/>
        <v>0.19964512837541901</v>
      </c>
      <c r="BC42" s="13">
        <f t="shared" si="25"/>
        <v>0.19711946735258626</v>
      </c>
      <c r="BD42" s="13">
        <f t="shared" si="25"/>
        <v>0.19842054346793161</v>
      </c>
      <c r="BE42" s="13">
        <f t="shared" si="25"/>
        <v>0.19643815096558184</v>
      </c>
      <c r="BF42" s="13">
        <f t="shared" si="25"/>
        <v>0.18364308119868186</v>
      </c>
      <c r="BG42" s="13">
        <f t="shared" si="25"/>
        <v>0.18044173105757258</v>
      </c>
      <c r="BH42" s="13">
        <f t="shared" si="25"/>
        <v>0.18618038745881874</v>
      </c>
      <c r="BI42" s="13">
        <f t="shared" si="25"/>
        <v>0.17689742267004649</v>
      </c>
      <c r="BJ42" s="13">
        <f t="shared" si="25"/>
        <v>0.17642280739410515</v>
      </c>
      <c r="BK42" s="13"/>
      <c r="BL42" s="13"/>
      <c r="BM42" s="13"/>
      <c r="BN42" s="13"/>
      <c r="BO42" s="13"/>
      <c r="BP42" s="13"/>
      <c r="BQ42" s="13"/>
      <c r="BR42" s="13"/>
    </row>
    <row r="43" spans="1:70" x14ac:dyDescent="0.45">
      <c r="B43" t="s">
        <v>26</v>
      </c>
      <c r="C43" s="13">
        <f t="shared" ref="C43:AX43" si="26">C30*C39</f>
        <v>1.1535017691696641</v>
      </c>
      <c r="D43" s="13">
        <f t="shared" si="26"/>
        <v>1.169283428297635</v>
      </c>
      <c r="E43" s="13">
        <f t="shared" si="26"/>
        <v>1.1801923492952007</v>
      </c>
      <c r="F43" s="13">
        <f t="shared" si="26"/>
        <v>1.184182918859737</v>
      </c>
      <c r="G43" s="13">
        <f t="shared" si="26"/>
        <v>1.1924118658321838</v>
      </c>
      <c r="H43" s="13">
        <f t="shared" si="26"/>
        <v>1.2019913006019884</v>
      </c>
      <c r="I43" s="13">
        <f t="shared" si="26"/>
        <v>1.2274755366801557</v>
      </c>
      <c r="J43" s="13">
        <f t="shared" si="26"/>
        <v>1.2483772900443968</v>
      </c>
      <c r="K43" s="13">
        <f t="shared" si="26"/>
        <v>1.2716851471459798</v>
      </c>
      <c r="L43" s="13">
        <f t="shared" si="26"/>
        <v>1.2825340375054459</v>
      </c>
      <c r="M43" s="13">
        <f t="shared" si="26"/>
        <v>1.2961244349057908</v>
      </c>
      <c r="N43" s="13">
        <f t="shared" si="26"/>
        <v>1.3156867887494432</v>
      </c>
      <c r="O43" s="13">
        <f t="shared" si="26"/>
        <v>1.3379604335088442</v>
      </c>
      <c r="P43" s="13">
        <f t="shared" si="26"/>
        <v>1.3447433456329381</v>
      </c>
      <c r="Q43" s="13">
        <f t="shared" si="26"/>
        <v>1.3375578496325389</v>
      </c>
      <c r="R43" s="13">
        <f t="shared" si="26"/>
        <v>1.3512881668907488</v>
      </c>
      <c r="S43" s="13">
        <f t="shared" si="26"/>
        <v>1.369578013892603</v>
      </c>
      <c r="T43" s="13">
        <f t="shared" si="26"/>
        <v>1.3857530524762993</v>
      </c>
      <c r="U43" s="13">
        <f t="shared" si="26"/>
        <v>1.4218956705635648</v>
      </c>
      <c r="V43" s="13">
        <f t="shared" si="26"/>
        <v>1.4260087605995173</v>
      </c>
      <c r="W43" s="13">
        <f t="shared" si="26"/>
        <v>1.4278649709131725</v>
      </c>
      <c r="X43" s="13">
        <f t="shared" si="26"/>
        <v>1.4114563739942962</v>
      </c>
      <c r="Y43" s="13">
        <f t="shared" si="26"/>
        <v>1.4398174013702394</v>
      </c>
      <c r="Z43" s="13">
        <f t="shared" si="26"/>
        <v>1.4876529272431176</v>
      </c>
      <c r="AA43" s="13">
        <f t="shared" si="26"/>
        <v>1.5127904545676241</v>
      </c>
      <c r="AB43" s="13">
        <f t="shared" si="26"/>
        <v>1.5324969607188532</v>
      </c>
      <c r="AC43" s="13">
        <f t="shared" si="26"/>
        <v>1.5930869469686089</v>
      </c>
      <c r="AD43" s="13">
        <f t="shared" si="26"/>
        <v>1.6265160063599104</v>
      </c>
      <c r="AE43" s="13">
        <f t="shared" si="26"/>
        <v>1.6518613706702909</v>
      </c>
      <c r="AF43" s="13">
        <f t="shared" si="26"/>
        <v>1.6564866175461133</v>
      </c>
      <c r="AG43" s="13">
        <f t="shared" si="26"/>
        <v>1.6725376587395493</v>
      </c>
      <c r="AH43" s="13">
        <f t="shared" si="26"/>
        <v>1.6802261082184125</v>
      </c>
      <c r="AI43" s="13">
        <f t="shared" si="26"/>
        <v>1.710668006344642</v>
      </c>
      <c r="AJ43" s="13">
        <f t="shared" si="26"/>
        <v>1.7071012655951607</v>
      </c>
      <c r="AK43" s="13">
        <f t="shared" si="26"/>
        <v>1.7095689714302182</v>
      </c>
      <c r="AL43" s="13">
        <f t="shared" si="26"/>
        <v>1.7153192772425503</v>
      </c>
      <c r="AM43" s="13">
        <f t="shared" si="26"/>
        <v>1.7054287585382144</v>
      </c>
      <c r="AN43" s="13">
        <f t="shared" si="26"/>
        <v>1.698475872386128</v>
      </c>
      <c r="AO43" s="13">
        <f t="shared" si="26"/>
        <v>1.7082772503129988</v>
      </c>
      <c r="AP43" s="13">
        <f t="shared" si="26"/>
        <v>1.7443176224198216</v>
      </c>
      <c r="AQ43" s="13">
        <f t="shared" si="26"/>
        <v>1.7394344670378667</v>
      </c>
      <c r="AR43" s="13">
        <f t="shared" si="26"/>
        <v>1.7474721708019694</v>
      </c>
      <c r="AS43" s="13">
        <f t="shared" si="26"/>
        <v>1.7553881860086376</v>
      </c>
      <c r="AT43" s="13">
        <f t="shared" si="26"/>
        <v>1.7663042014876451</v>
      </c>
      <c r="AU43" s="13">
        <f t="shared" si="26"/>
        <v>1.7590495354491738</v>
      </c>
      <c r="AV43" s="13">
        <f t="shared" si="26"/>
        <v>1.7312991509816404</v>
      </c>
      <c r="AW43" s="13">
        <f t="shared" si="26"/>
        <v>1.7011932167624357</v>
      </c>
      <c r="AX43" s="13">
        <f t="shared" si="26"/>
        <v>1.6627397021402928</v>
      </c>
      <c r="AY43" s="13">
        <f t="shared" ref="AY43:BJ43" si="27">AY30*AY39</f>
        <v>1.6251243862394666</v>
      </c>
      <c r="AZ43" s="13">
        <f t="shared" si="27"/>
        <v>1.6053563571098244</v>
      </c>
      <c r="BA43" s="13">
        <f t="shared" si="27"/>
        <v>1.5453468889268982</v>
      </c>
      <c r="BB43" s="13">
        <f t="shared" si="27"/>
        <v>1.5088981220256712</v>
      </c>
      <c r="BC43" s="13">
        <f t="shared" si="27"/>
        <v>1.4900886615307156</v>
      </c>
      <c r="BD43" s="13">
        <f t="shared" si="27"/>
        <v>1.4638472754418894</v>
      </c>
      <c r="BE43" s="13">
        <f t="shared" si="27"/>
        <v>1.4534302953225773</v>
      </c>
      <c r="BF43" s="13">
        <f t="shared" si="27"/>
        <v>1.4521732892177026</v>
      </c>
      <c r="BG43" s="13">
        <f t="shared" si="27"/>
        <v>1.4678956612859693</v>
      </c>
      <c r="BH43" s="13">
        <f t="shared" si="27"/>
        <v>1.448860456709071</v>
      </c>
      <c r="BI43" s="13">
        <f t="shared" si="27"/>
        <v>1.4495997060937611</v>
      </c>
      <c r="BJ43" s="13">
        <f t="shared" si="27"/>
        <v>1.4519462573188198</v>
      </c>
      <c r="BK43" s="13"/>
      <c r="BL43" s="13"/>
      <c r="BM43" s="13"/>
      <c r="BN43" s="13"/>
      <c r="BO43" s="13"/>
      <c r="BP43" s="13"/>
      <c r="BQ43" s="13"/>
      <c r="BR43" s="13"/>
    </row>
    <row r="44" spans="1:70" x14ac:dyDescent="0.45">
      <c r="B44" t="s">
        <v>174</v>
      </c>
      <c r="C44" s="13">
        <f t="shared" ref="C44:AX44" si="28">C31*C40</f>
        <v>2.3523171444223569E-3</v>
      </c>
      <c r="D44" s="13">
        <f t="shared" si="28"/>
        <v>1.9359583390620313E-3</v>
      </c>
      <c r="E44" s="13">
        <f t="shared" si="28"/>
        <v>1.7130276242901977E-3</v>
      </c>
      <c r="F44" s="13">
        <f t="shared" si="28"/>
        <v>1.6924034379188076E-3</v>
      </c>
      <c r="G44" s="13">
        <f t="shared" si="28"/>
        <v>1.8194436445108952E-3</v>
      </c>
      <c r="H44" s="13">
        <f t="shared" si="28"/>
        <v>1.9642252531487871E-3</v>
      </c>
      <c r="I44" s="13">
        <f t="shared" si="28"/>
        <v>1.9582173914884649E-3</v>
      </c>
      <c r="J44" s="13">
        <f t="shared" si="28"/>
        <v>1.7353557549569976E-3</v>
      </c>
      <c r="K44" s="13">
        <f t="shared" si="28"/>
        <v>1.5544920330448015E-3</v>
      </c>
      <c r="L44" s="13">
        <f t="shared" si="28"/>
        <v>1.5782380850272767E-3</v>
      </c>
      <c r="M44" s="13">
        <f t="shared" si="28"/>
        <v>1.6678819503712068E-3</v>
      </c>
      <c r="N44" s="13">
        <f t="shared" si="28"/>
        <v>1.6296901700223881E-3</v>
      </c>
      <c r="O44" s="13">
        <f t="shared" si="28"/>
        <v>1.6097846226498936E-3</v>
      </c>
      <c r="P44" s="13">
        <f t="shared" si="28"/>
        <v>1.6294316509670975E-3</v>
      </c>
      <c r="Q44" s="13">
        <f t="shared" si="28"/>
        <v>1.4996549014730585E-3</v>
      </c>
      <c r="R44" s="13">
        <f t="shared" si="28"/>
        <v>1.5159904584035187E-3</v>
      </c>
      <c r="S44" s="13">
        <f t="shared" si="28"/>
        <v>1.3266942829307526E-3</v>
      </c>
      <c r="T44" s="13">
        <f t="shared" si="28"/>
        <v>1.3389214374268307E-3</v>
      </c>
      <c r="U44" s="13">
        <f t="shared" si="28"/>
        <v>9.7005914237588984E-4</v>
      </c>
      <c r="V44" s="13">
        <f t="shared" si="28"/>
        <v>1.0067949621194209E-3</v>
      </c>
      <c r="W44" s="13">
        <f t="shared" si="28"/>
        <v>9.6766344716430733E-4</v>
      </c>
      <c r="X44" s="13">
        <f t="shared" si="28"/>
        <v>9.4372588699459189E-4</v>
      </c>
      <c r="Y44" s="13">
        <f t="shared" si="28"/>
        <v>1.0032644159795494E-3</v>
      </c>
      <c r="Z44" s="13">
        <f t="shared" si="28"/>
        <v>1.1092648479602736E-3</v>
      </c>
      <c r="AA44" s="13">
        <f t="shared" si="28"/>
        <v>1.1938075258783923E-3</v>
      </c>
      <c r="AB44" s="13">
        <f t="shared" si="28"/>
        <v>1.3503219413635121E-3</v>
      </c>
      <c r="AC44" s="13">
        <f t="shared" si="28"/>
        <v>1.1190172116028979E-3</v>
      </c>
      <c r="AD44" s="13">
        <f t="shared" si="28"/>
        <v>8.9379400511411839E-4</v>
      </c>
      <c r="AE44" s="13">
        <f t="shared" si="28"/>
        <v>9.0834353695746063E-4</v>
      </c>
      <c r="AF44" s="13">
        <f t="shared" si="28"/>
        <v>9.5904674944858465E-4</v>
      </c>
      <c r="AG44" s="13">
        <f t="shared" si="28"/>
        <v>8.9892054762998161E-4</v>
      </c>
      <c r="AH44" s="13">
        <f t="shared" si="28"/>
        <v>8.9966941484733039E-4</v>
      </c>
      <c r="AI44" s="13">
        <f t="shared" si="28"/>
        <v>9.4897082328132629E-4</v>
      </c>
      <c r="AJ44" s="13">
        <f t="shared" si="28"/>
        <v>9.7089374039182556E-4</v>
      </c>
      <c r="AK44" s="13">
        <f t="shared" si="28"/>
        <v>1.1448558007693176E-3</v>
      </c>
      <c r="AL44" s="13">
        <f t="shared" si="28"/>
        <v>1.3513117564959497E-3</v>
      </c>
      <c r="AM44" s="13">
        <f t="shared" si="28"/>
        <v>1.5598732714140703E-3</v>
      </c>
      <c r="AN44" s="13">
        <f t="shared" si="28"/>
        <v>1.7380076474089558E-3</v>
      </c>
      <c r="AO44" s="13">
        <f t="shared" si="28"/>
        <v>1.8555665515040609E-3</v>
      </c>
      <c r="AP44" s="13">
        <f t="shared" si="28"/>
        <v>1.8971168165917531E-3</v>
      </c>
      <c r="AQ44" s="13">
        <f t="shared" si="28"/>
        <v>2.0312682794444057E-3</v>
      </c>
      <c r="AR44" s="13">
        <f t="shared" si="28"/>
        <v>2.2821767678147917E-3</v>
      </c>
      <c r="AS44" s="13">
        <f t="shared" si="28"/>
        <v>2.4242384269937732E-3</v>
      </c>
      <c r="AT44" s="13">
        <f t="shared" si="28"/>
        <v>2.483567970106394E-3</v>
      </c>
      <c r="AU44" s="13">
        <f t="shared" si="28"/>
        <v>2.6350785501352524E-3</v>
      </c>
      <c r="AV44" s="13">
        <f t="shared" si="28"/>
        <v>2.8858153136715049E-3</v>
      </c>
      <c r="AW44" s="13">
        <f t="shared" si="28"/>
        <v>3.2617654304418443E-3</v>
      </c>
      <c r="AX44" s="13">
        <f t="shared" si="28"/>
        <v>3.8107617787820668E-3</v>
      </c>
      <c r="AY44" s="13">
        <f t="shared" ref="AY44:BJ44" si="29">AY31*AY40</f>
        <v>4.6044474875396764E-3</v>
      </c>
      <c r="AZ44" s="13">
        <f t="shared" si="29"/>
        <v>5.3226338326650335E-3</v>
      </c>
      <c r="BA44" s="13">
        <f t="shared" si="29"/>
        <v>5.8746753172588262E-3</v>
      </c>
      <c r="BB44" s="13">
        <f t="shared" si="29"/>
        <v>6.6755375284158142E-3</v>
      </c>
      <c r="BC44" s="13">
        <f t="shared" si="29"/>
        <v>7.4140584769789818E-3</v>
      </c>
      <c r="BD44" s="13">
        <f t="shared" si="29"/>
        <v>8.1378707178993634E-3</v>
      </c>
      <c r="BE44" s="13">
        <f t="shared" si="29"/>
        <v>8.65860478783473E-3</v>
      </c>
      <c r="BF44" s="13">
        <f t="shared" si="29"/>
        <v>9.5022917264056556E-3</v>
      </c>
      <c r="BG44" s="13">
        <f t="shared" si="29"/>
        <v>9.5257167375946937E-3</v>
      </c>
      <c r="BH44" s="13">
        <f t="shared" si="29"/>
        <v>9.9062478661612607E-3</v>
      </c>
      <c r="BI44" s="13">
        <f t="shared" si="29"/>
        <v>1.0577274174180503E-2</v>
      </c>
      <c r="BJ44" s="13">
        <f t="shared" si="29"/>
        <v>1.079157943615554E-2</v>
      </c>
      <c r="BK44" s="13"/>
      <c r="BL44" s="13"/>
      <c r="BM44" s="13"/>
      <c r="BN44" s="13"/>
      <c r="BO44" s="13"/>
      <c r="BP44" s="13"/>
      <c r="BQ44" s="13"/>
      <c r="BR44" s="13"/>
    </row>
    <row r="45" spans="1:70" x14ac:dyDescent="0.45">
      <c r="A45" t="s">
        <v>179</v>
      </c>
      <c r="C45" t="str">
        <f t="shared" ref="C45:AX45" si="30">C7</f>
        <v>1960</v>
      </c>
      <c r="D45" t="str">
        <f t="shared" si="30"/>
        <v>1961</v>
      </c>
      <c r="E45" t="str">
        <f t="shared" si="30"/>
        <v>1962</v>
      </c>
      <c r="F45" t="str">
        <f t="shared" si="30"/>
        <v>1963</v>
      </c>
      <c r="G45" t="str">
        <f t="shared" si="30"/>
        <v>1964</v>
      </c>
      <c r="H45" t="str">
        <f t="shared" si="30"/>
        <v>1965</v>
      </c>
      <c r="I45" t="str">
        <f t="shared" si="30"/>
        <v>1966</v>
      </c>
      <c r="J45" t="str">
        <f t="shared" si="30"/>
        <v>1967</v>
      </c>
      <c r="K45" t="str">
        <f t="shared" si="30"/>
        <v>1968</v>
      </c>
      <c r="L45" t="str">
        <f t="shared" si="30"/>
        <v>1969</v>
      </c>
      <c r="M45" t="str">
        <f t="shared" si="30"/>
        <v>1970</v>
      </c>
      <c r="N45" t="str">
        <f t="shared" si="30"/>
        <v>1971</v>
      </c>
      <c r="O45" t="str">
        <f t="shared" si="30"/>
        <v>1972</v>
      </c>
      <c r="P45" t="str">
        <f t="shared" si="30"/>
        <v>1973</v>
      </c>
      <c r="Q45" t="str">
        <f t="shared" si="30"/>
        <v>1974</v>
      </c>
      <c r="R45" t="str">
        <f t="shared" si="30"/>
        <v>1975</v>
      </c>
      <c r="S45" t="str">
        <f t="shared" si="30"/>
        <v>1976</v>
      </c>
      <c r="T45" t="str">
        <f t="shared" si="30"/>
        <v>1977</v>
      </c>
      <c r="U45" t="str">
        <f t="shared" si="30"/>
        <v>1978</v>
      </c>
      <c r="V45" t="str">
        <f t="shared" si="30"/>
        <v>1979</v>
      </c>
      <c r="W45" t="str">
        <f t="shared" si="30"/>
        <v>1980</v>
      </c>
      <c r="X45" t="str">
        <f t="shared" si="30"/>
        <v>1981</v>
      </c>
      <c r="Y45" t="str">
        <f t="shared" si="30"/>
        <v>1982</v>
      </c>
      <c r="Z45" t="str">
        <f t="shared" si="30"/>
        <v>1983</v>
      </c>
      <c r="AA45" t="str">
        <f t="shared" si="30"/>
        <v>1984</v>
      </c>
      <c r="AB45" t="str">
        <f t="shared" si="30"/>
        <v>1985</v>
      </c>
      <c r="AC45" t="str">
        <f t="shared" si="30"/>
        <v>1986</v>
      </c>
      <c r="AD45" t="str">
        <f t="shared" si="30"/>
        <v>1987</v>
      </c>
      <c r="AE45" t="str">
        <f t="shared" si="30"/>
        <v>1988</v>
      </c>
      <c r="AF45" t="str">
        <f t="shared" si="30"/>
        <v>1989</v>
      </c>
      <c r="AG45" t="str">
        <f t="shared" si="30"/>
        <v>1990</v>
      </c>
      <c r="AH45" t="str">
        <f t="shared" si="30"/>
        <v>1991</v>
      </c>
      <c r="AI45" t="str">
        <f t="shared" si="30"/>
        <v>1992</v>
      </c>
      <c r="AJ45" t="str">
        <f t="shared" si="30"/>
        <v>1993</v>
      </c>
      <c r="AK45" t="str">
        <f t="shared" si="30"/>
        <v>1994</v>
      </c>
      <c r="AL45" t="str">
        <f t="shared" si="30"/>
        <v>1995</v>
      </c>
      <c r="AM45" t="str">
        <f t="shared" si="30"/>
        <v>1996</v>
      </c>
      <c r="AN45" t="str">
        <f t="shared" si="30"/>
        <v>1997</v>
      </c>
      <c r="AO45" t="str">
        <f t="shared" si="30"/>
        <v>1998</v>
      </c>
      <c r="AP45" t="str">
        <f t="shared" si="30"/>
        <v>1999</v>
      </c>
      <c r="AQ45" t="str">
        <f t="shared" si="30"/>
        <v>2000</v>
      </c>
      <c r="AR45" t="str">
        <f t="shared" si="30"/>
        <v>2001</v>
      </c>
      <c r="AS45" t="str">
        <f t="shared" si="30"/>
        <v>2002</v>
      </c>
      <c r="AT45" t="str">
        <f t="shared" si="30"/>
        <v>2003</v>
      </c>
      <c r="AU45" t="str">
        <f t="shared" si="30"/>
        <v>2004</v>
      </c>
      <c r="AV45" t="str">
        <f t="shared" si="30"/>
        <v>2005</v>
      </c>
      <c r="AW45" t="str">
        <f t="shared" si="30"/>
        <v>2006</v>
      </c>
      <c r="AX45" t="str">
        <f t="shared" si="30"/>
        <v>2007</v>
      </c>
      <c r="AY45" t="str">
        <f t="shared" ref="AY45:BJ45" si="31">AY7</f>
        <v>2008</v>
      </c>
      <c r="AZ45" t="str">
        <f t="shared" si="31"/>
        <v>2009</v>
      </c>
      <c r="BA45" t="str">
        <f t="shared" si="31"/>
        <v>2010</v>
      </c>
      <c r="BB45" t="str">
        <f t="shared" si="31"/>
        <v>2011</v>
      </c>
      <c r="BC45" t="str">
        <f t="shared" si="31"/>
        <v>2012</v>
      </c>
      <c r="BD45" t="str">
        <f t="shared" si="31"/>
        <v>2013</v>
      </c>
      <c r="BE45" t="str">
        <f t="shared" si="31"/>
        <v>2014</v>
      </c>
      <c r="BF45" t="str">
        <f t="shared" si="31"/>
        <v>2015</v>
      </c>
      <c r="BG45" t="str">
        <f t="shared" si="31"/>
        <v>2016</v>
      </c>
      <c r="BH45" t="str">
        <f t="shared" si="31"/>
        <v>2017</v>
      </c>
      <c r="BI45" t="str">
        <f t="shared" si="31"/>
        <v>2018</v>
      </c>
      <c r="BJ45" t="str">
        <f t="shared" si="31"/>
        <v>2019</v>
      </c>
    </row>
    <row r="46" spans="1:70" x14ac:dyDescent="0.45">
      <c r="B46" t="s">
        <v>27</v>
      </c>
      <c r="C46" s="13">
        <f t="shared" ref="C46:AX46" si="32">C18*C42</f>
        <v>4.6589956210749253E-2</v>
      </c>
      <c r="D46" s="13">
        <f t="shared" si="32"/>
        <v>3.8420648469855129E-2</v>
      </c>
      <c r="E46" s="13">
        <f t="shared" si="32"/>
        <v>3.939548189479869E-2</v>
      </c>
      <c r="F46" s="13">
        <f t="shared" si="32"/>
        <v>4.0617624491992778E-2</v>
      </c>
      <c r="G46" s="13">
        <f t="shared" si="32"/>
        <v>3.7736345041299552E-2</v>
      </c>
      <c r="H46" s="13">
        <f t="shared" si="32"/>
        <v>3.6691209490320592E-2</v>
      </c>
      <c r="I46" s="13">
        <f t="shared" si="32"/>
        <v>4.791408214515451E-2</v>
      </c>
      <c r="J46" s="13">
        <f t="shared" si="32"/>
        <v>4.8451603521748272E-2</v>
      </c>
      <c r="K46" s="13">
        <f t="shared" si="32"/>
        <v>4.9385339062357501E-2</v>
      </c>
      <c r="L46" s="13">
        <f t="shared" si="32"/>
        <v>5.0362961417357965E-2</v>
      </c>
      <c r="M46" s="13">
        <f t="shared" si="32"/>
        <v>4.8400100108932857E-2</v>
      </c>
      <c r="N46" s="13">
        <f t="shared" si="32"/>
        <v>5.0981672502517783E-2</v>
      </c>
      <c r="O46" s="13">
        <f t="shared" si="32"/>
        <v>5.3354581399791809E-2</v>
      </c>
      <c r="P46" s="13">
        <f t="shared" si="32"/>
        <v>6.1931235591803496E-2</v>
      </c>
      <c r="Q46" s="13">
        <f t="shared" si="32"/>
        <v>7.008020756080717E-2</v>
      </c>
      <c r="R46" s="13">
        <f t="shared" si="32"/>
        <v>7.2682130664822209E-2</v>
      </c>
      <c r="S46" s="13">
        <f t="shared" si="32"/>
        <v>7.9089339243133244E-2</v>
      </c>
      <c r="T46" s="13">
        <f t="shared" si="32"/>
        <v>7.4046406005595047E-2</v>
      </c>
      <c r="U46" s="13">
        <f t="shared" si="32"/>
        <v>7.1210726889995163E-2</v>
      </c>
      <c r="V46" s="13">
        <f t="shared" si="32"/>
        <v>7.8586612097487588E-2</v>
      </c>
      <c r="W46" s="13">
        <f t="shared" si="32"/>
        <v>8.4684058529052406E-2</v>
      </c>
      <c r="X46" s="13">
        <f t="shared" si="32"/>
        <v>0.10446735459955474</v>
      </c>
      <c r="Y46" s="13">
        <f t="shared" si="32"/>
        <v>8.594495175201862E-2</v>
      </c>
      <c r="Z46" s="13">
        <f t="shared" si="32"/>
        <v>6.3473713279115301E-2</v>
      </c>
      <c r="AA46" s="13">
        <f t="shared" si="32"/>
        <v>6.4090192145488806E-2</v>
      </c>
      <c r="AB46" s="13">
        <f t="shared" si="32"/>
        <v>5.7964239307105807E-2</v>
      </c>
      <c r="AC46" s="13">
        <f t="shared" si="32"/>
        <v>4.5780330226482861E-2</v>
      </c>
      <c r="AD46" s="13">
        <f t="shared" si="32"/>
        <v>4.5941505041061495E-2</v>
      </c>
      <c r="AE46" s="13">
        <f t="shared" si="32"/>
        <v>4.651071579983565E-2</v>
      </c>
      <c r="AF46" s="13">
        <f t="shared" si="32"/>
        <v>5.8196087110167952E-2</v>
      </c>
      <c r="AG46" s="13">
        <f t="shared" si="32"/>
        <v>6.2243762312450039E-2</v>
      </c>
      <c r="AH46" s="13">
        <f t="shared" si="32"/>
        <v>7.9567087708915851E-2</v>
      </c>
      <c r="AI46" s="13">
        <f t="shared" si="32"/>
        <v>6.769464664553862E-2</v>
      </c>
      <c r="AJ46" s="13">
        <f t="shared" si="32"/>
        <v>8.5910631846021795E-2</v>
      </c>
      <c r="AK46" s="13">
        <f t="shared" si="32"/>
        <v>8.6519351769375211E-2</v>
      </c>
      <c r="AL46" s="13">
        <f t="shared" si="32"/>
        <v>8.171227114370283E-2</v>
      </c>
      <c r="AM46" s="13">
        <f t="shared" si="32"/>
        <v>8.6956858136715776E-2</v>
      </c>
      <c r="AN46" s="13">
        <f t="shared" si="32"/>
        <v>9.3455068844699993E-2</v>
      </c>
      <c r="AO46" s="13">
        <f t="shared" si="32"/>
        <v>9.4623972112372862E-2</v>
      </c>
      <c r="AP46" s="13">
        <f t="shared" si="32"/>
        <v>7.8476476075903467E-2</v>
      </c>
      <c r="AQ46" s="13">
        <f t="shared" si="32"/>
        <v>8.5313799374068092E-2</v>
      </c>
      <c r="AR46" s="13">
        <f t="shared" si="32"/>
        <v>8.210191129648084E-2</v>
      </c>
      <c r="AS46" s="13">
        <f t="shared" si="32"/>
        <v>7.7992069702648215E-2</v>
      </c>
      <c r="AT46" s="13">
        <f t="shared" si="32"/>
        <v>7.0784097916010882E-2</v>
      </c>
      <c r="AU46" s="13">
        <f t="shared" si="32"/>
        <v>7.3071500044871576E-2</v>
      </c>
      <c r="AV46" s="13">
        <f t="shared" si="32"/>
        <v>8.1646551828651312E-2</v>
      </c>
      <c r="AW46" s="13">
        <f t="shared" si="32"/>
        <v>8.6074780791056696E-2</v>
      </c>
      <c r="AX46" s="13">
        <f t="shared" si="32"/>
        <v>8.7598244624223484E-2</v>
      </c>
      <c r="AY46" s="13">
        <f t="shared" ref="AY46:BJ46" si="33">AY18*AY42</f>
        <v>9.449949018610028E-2</v>
      </c>
      <c r="AZ46" s="13">
        <f t="shared" si="33"/>
        <v>8.2623433068887808E-2</v>
      </c>
      <c r="BA46" s="13">
        <f t="shared" si="33"/>
        <v>9.6562396248449228E-2</v>
      </c>
      <c r="BB46" s="13">
        <f t="shared" si="33"/>
        <v>0.10216245394514341</v>
      </c>
      <c r="BC46" s="13">
        <f t="shared" si="33"/>
        <v>9.8134993682036875E-2</v>
      </c>
      <c r="BD46" s="13">
        <f t="shared" si="33"/>
        <v>9.7900631132851898E-2</v>
      </c>
      <c r="BE46" s="13">
        <f t="shared" si="33"/>
        <v>9.031639638348192E-2</v>
      </c>
      <c r="BF46" s="13">
        <f t="shared" si="33"/>
        <v>7.0948540480623948E-2</v>
      </c>
      <c r="BG46" s="13">
        <f t="shared" si="33"/>
        <v>6.5970181540805695E-2</v>
      </c>
      <c r="BH46" s="13">
        <f t="shared" si="33"/>
        <v>6.6685898408731667E-2</v>
      </c>
      <c r="BI46" s="13">
        <f t="shared" si="33"/>
        <v>6.0627052911412051E-2</v>
      </c>
      <c r="BJ46" s="13">
        <f t="shared" si="33"/>
        <v>5.8331196259431485E-2</v>
      </c>
      <c r="BK46" s="13"/>
      <c r="BL46" s="13"/>
      <c r="BM46" s="13"/>
      <c r="BN46" s="13"/>
      <c r="BO46" s="13"/>
      <c r="BP46" s="13"/>
      <c r="BQ46" s="13"/>
      <c r="BR46" s="13"/>
    </row>
    <row r="47" spans="1:70" x14ac:dyDescent="0.45">
      <c r="B47" t="s">
        <v>26</v>
      </c>
      <c r="C47" s="13">
        <f t="shared" ref="C47:AX47" si="34">C19*C43</f>
        <v>0.28550339320318685</v>
      </c>
      <c r="D47" s="13">
        <f t="shared" si="34"/>
        <v>0.27157459695386393</v>
      </c>
      <c r="E47" s="13">
        <f t="shared" si="34"/>
        <v>0.26345300283921536</v>
      </c>
      <c r="F47" s="13">
        <f t="shared" si="34"/>
        <v>0.24259444186248877</v>
      </c>
      <c r="G47" s="13">
        <f t="shared" si="34"/>
        <v>0.23292940088116737</v>
      </c>
      <c r="H47" s="13">
        <f t="shared" si="34"/>
        <v>0.23190259862930429</v>
      </c>
      <c r="I47" s="13">
        <f t="shared" si="34"/>
        <v>0.2302784773817452</v>
      </c>
      <c r="J47" s="13">
        <f t="shared" si="34"/>
        <v>0.21899076697926328</v>
      </c>
      <c r="K47" s="13">
        <f t="shared" si="34"/>
        <v>0.22266348668692737</v>
      </c>
      <c r="L47" s="13">
        <f t="shared" si="34"/>
        <v>0.21113058417827901</v>
      </c>
      <c r="M47" s="13">
        <f t="shared" si="34"/>
        <v>0.18515118859093502</v>
      </c>
      <c r="N47" s="13">
        <f t="shared" si="34"/>
        <v>0.1784952188496704</v>
      </c>
      <c r="O47" s="13">
        <f t="shared" si="34"/>
        <v>0.15442279565011793</v>
      </c>
      <c r="P47" s="13">
        <f t="shared" si="34"/>
        <v>0.12743718248124986</v>
      </c>
      <c r="Q47" s="13">
        <f t="shared" si="34"/>
        <v>0.1157825160602334</v>
      </c>
      <c r="R47" s="13">
        <f t="shared" si="34"/>
        <v>0.11381958267593796</v>
      </c>
      <c r="S47" s="13">
        <f t="shared" si="34"/>
        <v>0.12208003401984001</v>
      </c>
      <c r="T47" s="13">
        <f t="shared" si="34"/>
        <v>0.11364707553954935</v>
      </c>
      <c r="U47" s="13">
        <f t="shared" si="34"/>
        <v>9.9993861150282817E-2</v>
      </c>
      <c r="V47" s="13">
        <f t="shared" si="34"/>
        <v>8.4665330210078049E-2</v>
      </c>
      <c r="W47" s="13">
        <f t="shared" si="34"/>
        <v>8.4056530108698055E-2</v>
      </c>
      <c r="X47" s="13">
        <f t="shared" si="34"/>
        <v>9.5348508632761828E-2</v>
      </c>
      <c r="Y47" s="13">
        <f t="shared" si="34"/>
        <v>0.10546392317297745</v>
      </c>
      <c r="Z47" s="13">
        <f t="shared" si="34"/>
        <v>0.12407001273923755</v>
      </c>
      <c r="AA47" s="13">
        <f t="shared" si="34"/>
        <v>0.14921011865691997</v>
      </c>
      <c r="AB47" s="13">
        <f t="shared" si="34"/>
        <v>0.15807401855722922</v>
      </c>
      <c r="AC47" s="13">
        <f t="shared" si="34"/>
        <v>0.11931869555548898</v>
      </c>
      <c r="AD47" s="13">
        <f t="shared" si="34"/>
        <v>0.10180247937305889</v>
      </c>
      <c r="AE47" s="13">
        <f t="shared" si="34"/>
        <v>9.464909042542452E-2</v>
      </c>
      <c r="AF47" s="13">
        <f t="shared" si="34"/>
        <v>8.4775212665378699E-2</v>
      </c>
      <c r="AG47" s="13">
        <f t="shared" si="34"/>
        <v>6.473928055738308E-2</v>
      </c>
      <c r="AH47" s="13">
        <f t="shared" si="34"/>
        <v>6.3764463678473382E-2</v>
      </c>
      <c r="AI47" s="13">
        <f t="shared" si="34"/>
        <v>6.4938189655159295E-2</v>
      </c>
      <c r="AJ47" s="13">
        <f t="shared" si="34"/>
        <v>9.3099452461536197E-2</v>
      </c>
      <c r="AK47" s="13">
        <f t="shared" si="34"/>
        <v>9.681530954850627E-2</v>
      </c>
      <c r="AL47" s="13">
        <f t="shared" si="34"/>
        <v>8.8882656424516829E-2</v>
      </c>
      <c r="AM47" s="13">
        <f t="shared" si="34"/>
        <v>6.1352224877675117E-2</v>
      </c>
      <c r="AN47" s="13">
        <f t="shared" si="34"/>
        <v>6.1890991099859453E-2</v>
      </c>
      <c r="AO47" s="13">
        <f t="shared" si="34"/>
        <v>7.4186287011326887E-2</v>
      </c>
      <c r="AP47" s="13">
        <f t="shared" si="34"/>
        <v>7.7771824643719595E-2</v>
      </c>
      <c r="AQ47" s="13">
        <f t="shared" si="34"/>
        <v>9.2714308168400789E-2</v>
      </c>
      <c r="AR47" s="13">
        <f t="shared" si="34"/>
        <v>9.007138110858838E-2</v>
      </c>
      <c r="AS47" s="13">
        <f t="shared" si="34"/>
        <v>7.6511598440615392E-2</v>
      </c>
      <c r="AT47" s="13">
        <f t="shared" si="34"/>
        <v>5.5459585509357645E-2</v>
      </c>
      <c r="AU47" s="13">
        <f t="shared" si="34"/>
        <v>4.5889422666954123E-2</v>
      </c>
      <c r="AV47" s="13">
        <f t="shared" si="34"/>
        <v>4.2557722127985309E-2</v>
      </c>
      <c r="AW47" s="13">
        <f t="shared" si="34"/>
        <v>4.1370398193477015E-2</v>
      </c>
      <c r="AX47" s="13">
        <f t="shared" si="34"/>
        <v>3.7595294974939159E-2</v>
      </c>
      <c r="AY47" s="13">
        <f t="shared" ref="AY47:BJ47" si="35">AY19*AY43</f>
        <v>3.6053989709443048E-2</v>
      </c>
      <c r="AZ47" s="13">
        <f t="shared" si="35"/>
        <v>3.6013495051466358E-2</v>
      </c>
      <c r="BA47" s="13">
        <f t="shared" si="35"/>
        <v>3.4222766374996196E-2</v>
      </c>
      <c r="BB47" s="13">
        <f t="shared" si="35"/>
        <v>3.5336118410196488E-2</v>
      </c>
      <c r="BC47" s="13">
        <f t="shared" si="35"/>
        <v>4.4606883141490833E-2</v>
      </c>
      <c r="BD47" s="13">
        <f t="shared" si="35"/>
        <v>4.4574251738812763E-2</v>
      </c>
      <c r="BE47" s="13">
        <f t="shared" si="35"/>
        <v>4.4102663402697188E-2</v>
      </c>
      <c r="BF47" s="13">
        <f t="shared" si="35"/>
        <v>6.0272463282729151E-2</v>
      </c>
      <c r="BG47" s="13">
        <f t="shared" si="35"/>
        <v>5.5852965283608794E-2</v>
      </c>
      <c r="BH47" s="13">
        <f t="shared" si="35"/>
        <v>5.5119797756424484E-2</v>
      </c>
      <c r="BI47" s="13">
        <f t="shared" si="35"/>
        <v>5.4225676304196904E-2</v>
      </c>
      <c r="BJ47" s="13">
        <f t="shared" si="35"/>
        <v>6.2151781104722463E-2</v>
      </c>
      <c r="BK47" s="13"/>
      <c r="BL47" s="13"/>
      <c r="BM47" s="13"/>
      <c r="BN47" s="13"/>
      <c r="BO47" s="13"/>
      <c r="BP47" s="13"/>
      <c r="BQ47" s="13"/>
      <c r="BR47" s="13"/>
    </row>
    <row r="48" spans="1:70" x14ac:dyDescent="0.45">
      <c r="B48" t="s">
        <v>174</v>
      </c>
      <c r="C48" s="13">
        <v>0</v>
      </c>
      <c r="D48" s="13">
        <v>0</v>
      </c>
      <c r="E48" s="13">
        <v>0</v>
      </c>
      <c r="F48" s="13">
        <v>0</v>
      </c>
      <c r="G48" s="13">
        <v>0</v>
      </c>
      <c r="H48" s="13">
        <v>0</v>
      </c>
      <c r="I48" s="13">
        <v>0</v>
      </c>
      <c r="J48" s="13">
        <v>0</v>
      </c>
      <c r="K48" s="13">
        <v>0</v>
      </c>
      <c r="L48" s="13">
        <v>0</v>
      </c>
      <c r="M48" s="13">
        <v>0</v>
      </c>
      <c r="N48" s="13">
        <v>0</v>
      </c>
      <c r="O48" s="13">
        <v>0</v>
      </c>
      <c r="P48" s="13">
        <v>0</v>
      </c>
      <c r="Q48" s="13">
        <v>0</v>
      </c>
      <c r="R48" s="13">
        <v>0</v>
      </c>
      <c r="S48" s="13">
        <v>0</v>
      </c>
      <c r="T48" s="13">
        <v>0</v>
      </c>
      <c r="U48" s="13">
        <v>0</v>
      </c>
      <c r="V48" s="13">
        <v>0</v>
      </c>
      <c r="W48" s="13">
        <v>0</v>
      </c>
      <c r="X48" s="13">
        <v>0</v>
      </c>
      <c r="Y48" s="13">
        <v>0</v>
      </c>
      <c r="Z48" s="13">
        <v>0</v>
      </c>
      <c r="AA48" s="13">
        <v>0</v>
      </c>
      <c r="AB48" s="13">
        <v>0</v>
      </c>
      <c r="AC48" s="13">
        <v>0</v>
      </c>
      <c r="AD48" s="13">
        <v>0</v>
      </c>
      <c r="AE48" s="13">
        <v>0</v>
      </c>
      <c r="AF48" s="13">
        <v>0</v>
      </c>
      <c r="AG48" s="13">
        <v>0</v>
      </c>
      <c r="AH48" s="13">
        <v>0</v>
      </c>
      <c r="AI48" s="13">
        <v>0</v>
      </c>
      <c r="AJ48" s="13">
        <v>0</v>
      </c>
      <c r="AK48" s="13">
        <v>0</v>
      </c>
      <c r="AL48" s="13">
        <v>0</v>
      </c>
      <c r="AM48" s="13">
        <v>0</v>
      </c>
      <c r="AN48" s="13">
        <v>0</v>
      </c>
      <c r="AO48" s="13">
        <v>0</v>
      </c>
      <c r="AP48" s="13">
        <v>0</v>
      </c>
      <c r="AQ48" s="13">
        <v>0</v>
      </c>
      <c r="AR48" s="13">
        <v>0</v>
      </c>
      <c r="AS48" s="13">
        <v>0</v>
      </c>
      <c r="AT48" s="13">
        <v>0</v>
      </c>
      <c r="AU48" s="13">
        <v>0</v>
      </c>
      <c r="AV48" s="13">
        <v>0</v>
      </c>
      <c r="AW48" s="13">
        <v>0</v>
      </c>
      <c r="AX48" s="13">
        <v>0</v>
      </c>
      <c r="AY48" s="13">
        <v>0</v>
      </c>
      <c r="AZ48" s="13">
        <v>0</v>
      </c>
      <c r="BA48" s="13">
        <v>0</v>
      </c>
      <c r="BB48" s="13">
        <v>0</v>
      </c>
      <c r="BC48" s="13">
        <v>0</v>
      </c>
      <c r="BD48" s="13">
        <v>0</v>
      </c>
      <c r="BE48" s="13">
        <v>0</v>
      </c>
      <c r="BF48" s="13">
        <v>0</v>
      </c>
      <c r="BG48" s="13">
        <v>0</v>
      </c>
      <c r="BH48" s="13">
        <v>0</v>
      </c>
      <c r="BI48" s="13">
        <v>0</v>
      </c>
      <c r="BJ48" s="13">
        <v>0</v>
      </c>
      <c r="BK48" s="13"/>
      <c r="BL48" s="13"/>
      <c r="BM48" s="13"/>
      <c r="BN48" s="13"/>
      <c r="BO48" s="13"/>
      <c r="BP48" s="13"/>
      <c r="BQ48" s="13"/>
      <c r="BR48" s="13"/>
    </row>
    <row r="49" spans="1:70" x14ac:dyDescent="0.45">
      <c r="B49" s="13" t="str">
        <f>Theil!B4</f>
        <v>Interbloc</v>
      </c>
      <c r="C49" s="13">
        <f>Theil!C4</f>
        <v>0.68772701460389718</v>
      </c>
      <c r="D49" s="13">
        <f>Theil!D4</f>
        <v>0.72453819562944144</v>
      </c>
      <c r="E49" s="13">
        <f>Theil!E4</f>
        <v>0.74197313113921171</v>
      </c>
      <c r="F49" s="13">
        <f>Theil!F4</f>
        <v>0.73799126699810658</v>
      </c>
      <c r="G49" s="13">
        <f>Theil!G4</f>
        <v>0.73852863042996497</v>
      </c>
      <c r="H49" s="13">
        <f>Theil!H4</f>
        <v>0.74034874710419563</v>
      </c>
      <c r="I49" s="13">
        <f>Theil!I4</f>
        <v>0.76853765682291297</v>
      </c>
      <c r="J49" s="13">
        <f>Theil!J4</f>
        <v>0.79239302895005226</v>
      </c>
      <c r="K49" s="13">
        <f>Theil!K4</f>
        <v>0.81792335982937925</v>
      </c>
      <c r="L49" s="13">
        <f>Theil!L4</f>
        <v>0.82042342005918256</v>
      </c>
      <c r="M49" s="13">
        <f>Theil!M4</f>
        <v>0.82495466047508859</v>
      </c>
      <c r="N49" s="13">
        <f>Theil!N4</f>
        <v>0.84248261821603665</v>
      </c>
      <c r="O49" s="13">
        <f>Theil!O4</f>
        <v>0.86429067562007811</v>
      </c>
      <c r="P49" s="13">
        <f>Theil!P4</f>
        <v>0.85828657219993598</v>
      </c>
      <c r="Q49" s="13">
        <f>Theil!Q4</f>
        <v>0.83604489911262914</v>
      </c>
      <c r="R49" s="13">
        <f>Theil!R4</f>
        <v>0.84471962394668587</v>
      </c>
      <c r="S49" s="13">
        <f>Theil!S4</f>
        <v>0.86374939682390972</v>
      </c>
      <c r="T49" s="13">
        <f>Theil!T4</f>
        <v>0.87524027895762269</v>
      </c>
      <c r="U49" s="13">
        <f>Theil!U4</f>
        <v>0.92799140079592379</v>
      </c>
      <c r="V49" s="13">
        <f>Theil!V4</f>
        <v>0.91918826771872875</v>
      </c>
      <c r="W49" s="13">
        <f>Theil!W4</f>
        <v>0.90915741729420607</v>
      </c>
      <c r="X49" s="13">
        <f>Theil!X4</f>
        <v>0.87267901072453358</v>
      </c>
      <c r="Y49" s="13">
        <f>Theil!Y4</f>
        <v>0.89669391067024062</v>
      </c>
      <c r="Z49" s="13">
        <f>Theil!Z4</f>
        <v>0.94837488888258492</v>
      </c>
      <c r="AA49" s="13">
        <f>Theil!AA4</f>
        <v>0.96771518227981046</v>
      </c>
      <c r="AB49" s="13">
        <f>Theil!AB4</f>
        <v>0.97700945979798592</v>
      </c>
      <c r="AC49" s="13">
        <f>Theil!AC4</f>
        <v>1.0593206058637326</v>
      </c>
      <c r="AD49" s="13">
        <f>Theil!AD4</f>
        <v>1.0977422428225534</v>
      </c>
      <c r="AE49" s="13">
        <f>Theil!AE4</f>
        <v>1.1172385120197303</v>
      </c>
      <c r="AF49" s="13">
        <f>Theil!AF4</f>
        <v>1.102532507324719</v>
      </c>
      <c r="AG49" s="13">
        <f>Theil!AG4</f>
        <v>1.1109695903170915</v>
      </c>
      <c r="AH49" s="13">
        <f>Theil!AH4</f>
        <v>1.1068965383707301</v>
      </c>
      <c r="AI49" s="13">
        <f>Theil!AI4</f>
        <v>1.1388878157754661</v>
      </c>
      <c r="AJ49" s="13">
        <f>Theil!AJ4</f>
        <v>1.1171202401516278</v>
      </c>
      <c r="AK49" s="13">
        <f>Theil!AK4</f>
        <v>1.1019543093700572</v>
      </c>
      <c r="AL49" s="13">
        <f>Theil!AL4</f>
        <v>1.092179672850597</v>
      </c>
      <c r="AM49" s="13">
        <f>Theil!AM4</f>
        <v>1.0591634868028243</v>
      </c>
      <c r="AN49" s="13">
        <f>Theil!AN4</f>
        <v>1.0325924580344272</v>
      </c>
      <c r="AO49" s="13">
        <f>Theil!AO4</f>
        <v>1.0321231523819245</v>
      </c>
      <c r="AP49" s="13">
        <f>Theil!AP4</f>
        <v>1.0718644105783977</v>
      </c>
      <c r="AQ49" s="13">
        <f>Theil!AQ4</f>
        <v>1.0510420487585621</v>
      </c>
      <c r="AR49" s="13">
        <f>Theil!AR4</f>
        <v>1.0497519504465591</v>
      </c>
      <c r="AS49" s="13">
        <f>Theil!AS4</f>
        <v>1.0497129209947753</v>
      </c>
      <c r="AT49" s="13">
        <f>Theil!AT4</f>
        <v>1.0548318397563892</v>
      </c>
      <c r="AU49" s="13">
        <f>Theil!AU4</f>
        <v>1.0337361943856243</v>
      </c>
      <c r="AV49" s="13">
        <f>Theil!AV4</f>
        <v>0.98420774479762063</v>
      </c>
      <c r="AW49" s="13">
        <f>Theil!AW4</f>
        <v>0.93444168570511565</v>
      </c>
      <c r="AX49" s="13">
        <f>Theil!AX4</f>
        <v>0.87673906620263808</v>
      </c>
      <c r="AY49" s="13">
        <f>Theil!AY4</f>
        <v>0.82503152813398639</v>
      </c>
      <c r="AZ49" s="13">
        <f>Theil!AZ4</f>
        <v>0.7979102118971042</v>
      </c>
      <c r="BA49" s="13">
        <f>Theil!BA4</f>
        <v>0.72151595830413084</v>
      </c>
      <c r="BB49" s="13">
        <f>Theil!BB4</f>
        <v>0.67881329864683304</v>
      </c>
      <c r="BC49" s="13">
        <f>Theil!BC4</f>
        <v>0.65835378662120581</v>
      </c>
      <c r="BD49" s="13">
        <f>Theil!BD4</f>
        <v>0.63120681171082849</v>
      </c>
      <c r="BE49" s="13">
        <f>Theil!BE4</f>
        <v>0.6207254636627817</v>
      </c>
      <c r="BF49" s="13">
        <f>Theil!BF4</f>
        <v>0.62665499452524476</v>
      </c>
      <c r="BG49" s="13">
        <f>Theil!BG4</f>
        <v>0.63809627922462298</v>
      </c>
      <c r="BH49" s="13">
        <f>Theil!BH4</f>
        <v>0.61574002677393946</v>
      </c>
      <c r="BI49" s="13">
        <f>Theil!BI4</f>
        <v>0.62227890783026441</v>
      </c>
      <c r="BJ49" s="13">
        <f>Theil!BJ4</f>
        <v>0.62177410476711192</v>
      </c>
      <c r="BK49" s="13"/>
      <c r="BL49" s="13"/>
      <c r="BM49" s="13"/>
      <c r="BN49" s="13"/>
      <c r="BO49" s="13"/>
      <c r="BP49" s="13"/>
      <c r="BQ49" s="13"/>
      <c r="BR49" s="13"/>
    </row>
    <row r="50" spans="1:70" x14ac:dyDescent="0.45">
      <c r="B50" t="s">
        <v>180</v>
      </c>
      <c r="C50" s="13">
        <f t="shared" ref="C50:AX50" si="36">SUM(C46:C49)</f>
        <v>1.0198203640178334</v>
      </c>
      <c r="D50" s="13">
        <f t="shared" si="36"/>
        <v>1.0345334410531604</v>
      </c>
      <c r="E50" s="13">
        <f t="shared" si="36"/>
        <v>1.0448216158732258</v>
      </c>
      <c r="F50" s="13">
        <f t="shared" si="36"/>
        <v>1.0212033333525881</v>
      </c>
      <c r="G50" s="13">
        <f t="shared" si="36"/>
        <v>1.0091943763524318</v>
      </c>
      <c r="H50" s="13">
        <f t="shared" si="36"/>
        <v>1.0089425552238205</v>
      </c>
      <c r="I50" s="13">
        <f t="shared" si="36"/>
        <v>1.0467302163498127</v>
      </c>
      <c r="J50" s="13">
        <f t="shared" si="36"/>
        <v>1.0598353994510639</v>
      </c>
      <c r="K50" s="13">
        <f t="shared" si="36"/>
        <v>1.0899721855786642</v>
      </c>
      <c r="L50" s="13">
        <f t="shared" si="36"/>
        <v>1.0819169656548195</v>
      </c>
      <c r="M50" s="13">
        <f t="shared" si="36"/>
        <v>1.0585059491749564</v>
      </c>
      <c r="N50" s="13">
        <f t="shared" si="36"/>
        <v>1.0719595095682248</v>
      </c>
      <c r="O50" s="13">
        <f t="shared" si="36"/>
        <v>1.0720680526699877</v>
      </c>
      <c r="P50" s="13">
        <f t="shared" si="36"/>
        <v>1.0476549902729893</v>
      </c>
      <c r="Q50" s="13">
        <f t="shared" si="36"/>
        <v>1.0219076227336696</v>
      </c>
      <c r="R50" s="13">
        <f t="shared" si="36"/>
        <v>1.0312213372874459</v>
      </c>
      <c r="S50" s="13">
        <f t="shared" si="36"/>
        <v>1.064918770086883</v>
      </c>
      <c r="T50" s="13">
        <f t="shared" si="36"/>
        <v>1.0629337605027671</v>
      </c>
      <c r="U50" s="13">
        <f t="shared" si="36"/>
        <v>1.0991959888362017</v>
      </c>
      <c r="V50" s="13">
        <f t="shared" si="36"/>
        <v>1.0824402100262944</v>
      </c>
      <c r="W50" s="13">
        <f t="shared" si="36"/>
        <v>1.0778980059319565</v>
      </c>
      <c r="X50" s="13">
        <f t="shared" si="36"/>
        <v>1.0724948739568501</v>
      </c>
      <c r="Y50" s="13">
        <f t="shared" si="36"/>
        <v>1.0881027855952368</v>
      </c>
      <c r="Z50" s="13">
        <f t="shared" si="36"/>
        <v>1.1359186149009377</v>
      </c>
      <c r="AA50" s="13">
        <f t="shared" si="36"/>
        <v>1.1810154930822192</v>
      </c>
      <c r="AB50" s="13">
        <f t="shared" si="36"/>
        <v>1.1930477176623209</v>
      </c>
      <c r="AC50" s="13">
        <f t="shared" si="36"/>
        <v>1.2244196316457043</v>
      </c>
      <c r="AD50" s="13">
        <f t="shared" si="36"/>
        <v>1.2454862272366738</v>
      </c>
      <c r="AE50" s="13">
        <f t="shared" si="36"/>
        <v>1.2583983182449905</v>
      </c>
      <c r="AF50" s="13">
        <f t="shared" si="36"/>
        <v>1.2455038071002655</v>
      </c>
      <c r="AG50" s="13">
        <f t="shared" si="36"/>
        <v>1.2379526331869246</v>
      </c>
      <c r="AH50" s="13">
        <f t="shared" si="36"/>
        <v>1.2502280897581193</v>
      </c>
      <c r="AI50" s="13">
        <f t="shared" si="36"/>
        <v>1.2715206520761639</v>
      </c>
      <c r="AJ50" s="13">
        <f t="shared" si="36"/>
        <v>1.2961303244591857</v>
      </c>
      <c r="AK50" s="13">
        <f t="shared" si="36"/>
        <v>1.2852889706879387</v>
      </c>
      <c r="AL50" s="13">
        <f t="shared" si="36"/>
        <v>1.2627746004188167</v>
      </c>
      <c r="AM50" s="13">
        <f t="shared" si="36"/>
        <v>1.2074725698172153</v>
      </c>
      <c r="AN50" s="13">
        <f t="shared" si="36"/>
        <v>1.1879385179789868</v>
      </c>
      <c r="AO50" s="13">
        <f t="shared" si="36"/>
        <v>1.2009334115056243</v>
      </c>
      <c r="AP50" s="13">
        <f t="shared" si="36"/>
        <v>1.2281127112980208</v>
      </c>
      <c r="AQ50" s="13">
        <f t="shared" si="36"/>
        <v>1.2290701563010309</v>
      </c>
      <c r="AR50" s="13">
        <f t="shared" si="36"/>
        <v>1.2219252428516283</v>
      </c>
      <c r="AS50" s="13">
        <f t="shared" si="36"/>
        <v>1.204216589138039</v>
      </c>
      <c r="AT50" s="13">
        <f t="shared" si="36"/>
        <v>1.1810755231817578</v>
      </c>
      <c r="AU50" s="13">
        <f t="shared" si="36"/>
        <v>1.15269711709745</v>
      </c>
      <c r="AV50" s="13">
        <f t="shared" si="36"/>
        <v>1.1084120187542572</v>
      </c>
      <c r="AW50" s="13">
        <f t="shared" si="36"/>
        <v>1.0618868646896493</v>
      </c>
      <c r="AX50" s="13">
        <f t="shared" si="36"/>
        <v>1.0019326058018008</v>
      </c>
      <c r="AY50" s="13">
        <f t="shared" ref="AY50:BJ50" si="37">SUM(AY46:AY49)</f>
        <v>0.95558500802952973</v>
      </c>
      <c r="AZ50" s="13">
        <f t="shared" si="37"/>
        <v>0.91654714001745841</v>
      </c>
      <c r="BA50" s="13">
        <f t="shared" si="37"/>
        <v>0.85230112092757626</v>
      </c>
      <c r="BB50" s="13">
        <f t="shared" si="37"/>
        <v>0.81631187100217295</v>
      </c>
      <c r="BC50" s="13">
        <f t="shared" si="37"/>
        <v>0.80109566344473349</v>
      </c>
      <c r="BD50" s="13">
        <f t="shared" si="37"/>
        <v>0.77368169458249314</v>
      </c>
      <c r="BE50" s="13">
        <f t="shared" si="37"/>
        <v>0.75514452344896077</v>
      </c>
      <c r="BF50" s="13">
        <f t="shared" si="37"/>
        <v>0.75787599828859786</v>
      </c>
      <c r="BG50" s="13">
        <f t="shared" si="37"/>
        <v>0.75991942604903751</v>
      </c>
      <c r="BH50" s="13">
        <f t="shared" si="37"/>
        <v>0.73754572293909559</v>
      </c>
      <c r="BI50" s="13">
        <f t="shared" si="37"/>
        <v>0.73713163704587337</v>
      </c>
      <c r="BJ50" s="13">
        <f t="shared" si="37"/>
        <v>0.74225708213126584</v>
      </c>
      <c r="BK50" s="13"/>
      <c r="BL50" s="13"/>
      <c r="BM50" s="13"/>
      <c r="BN50" s="13"/>
      <c r="BO50" s="13"/>
      <c r="BP50" s="13"/>
      <c r="BQ50" s="13"/>
      <c r="BR50" s="13"/>
    </row>
    <row r="51" spans="1:70" x14ac:dyDescent="0.45">
      <c r="B51" t="s">
        <v>181</v>
      </c>
      <c r="C51" s="13">
        <f>Theil!C5</f>
        <v>0.92075229812943882</v>
      </c>
      <c r="D51" s="13">
        <f>Theil!D5</f>
        <v>0.94314236048178823</v>
      </c>
      <c r="E51" s="13">
        <f>Theil!E5</f>
        <v>0.95507786936287087</v>
      </c>
      <c r="F51" s="13">
        <f>Theil!F5</f>
        <v>0.93591027660026449</v>
      </c>
      <c r="G51" s="13">
        <f>Theil!G5</f>
        <v>0.9263114553692654</v>
      </c>
      <c r="H51" s="13">
        <f>Theil!H5</f>
        <v>0.92524221804512174</v>
      </c>
      <c r="I51" s="13">
        <f>Theil!I5</f>
        <v>0.95879214457096451</v>
      </c>
      <c r="J51" s="13">
        <f>Theil!J5</f>
        <v>0.97388575285799761</v>
      </c>
      <c r="K51" s="13">
        <f>Theil!K5</f>
        <v>1.0008043438860708</v>
      </c>
      <c r="L51" s="13">
        <f>Theil!L5</f>
        <v>0.99496613615489027</v>
      </c>
      <c r="M51" s="13">
        <f>Theil!M5</f>
        <v>0.97978170513505169</v>
      </c>
      <c r="N51" s="13">
        <f>Theil!N5</f>
        <v>0.99372619806841123</v>
      </c>
      <c r="O51" s="13">
        <f>Theil!O5</f>
        <v>1.0010262077672474</v>
      </c>
      <c r="P51" s="13">
        <f>Theil!P5</f>
        <v>0.9836615613738986</v>
      </c>
      <c r="Q51" s="13">
        <f>Theil!Q5</f>
        <v>0.95977027140885895</v>
      </c>
      <c r="R51" s="13">
        <f>Theil!R5</f>
        <v>0.96882906655759293</v>
      </c>
      <c r="S51" s="13">
        <f>Theil!S5</f>
        <v>0.99734754089023447</v>
      </c>
      <c r="T51" s="13">
        <f>Theil!T5</f>
        <v>0.99966463951860718</v>
      </c>
      <c r="U51" s="13">
        <f>Theil!U5</f>
        <v>1.0418975441254217</v>
      </c>
      <c r="V51" s="13">
        <f>Theil!V5</f>
        <v>1.0296195068964751</v>
      </c>
      <c r="W51" s="13">
        <f>Theil!W5</f>
        <v>1.0239403115435113</v>
      </c>
      <c r="X51" s="13">
        <f>Theil!X5</f>
        <v>1.0094624112895938</v>
      </c>
      <c r="Y51" s="13">
        <f>Theil!Y5</f>
        <v>1.024543704838403</v>
      </c>
      <c r="Z51" s="13">
        <f>Theil!Z5</f>
        <v>1.0685987853097412</v>
      </c>
      <c r="AA51" s="13">
        <f>Theil!AA5</f>
        <v>1.1019900236782656</v>
      </c>
      <c r="AB51" s="13">
        <f>Theil!AB5</f>
        <v>1.110631185061089</v>
      </c>
      <c r="AC51" s="13">
        <f>Theil!AC5</f>
        <v>1.161293932590725</v>
      </c>
      <c r="AD51" s="13">
        <f>Theil!AD5</f>
        <v>1.1898822471307362</v>
      </c>
      <c r="AE51" s="13">
        <f>Theil!AE5</f>
        <v>1.205613279235777</v>
      </c>
      <c r="AF51" s="13">
        <f>Theil!AF5</f>
        <v>1.1950080258900204</v>
      </c>
      <c r="AG51" s="13">
        <f>Theil!AG5</f>
        <v>1.1961886454936634</v>
      </c>
      <c r="AH51" s="13">
        <f>Theil!AH5</f>
        <v>1.2060038747099471</v>
      </c>
      <c r="AI51" s="13">
        <f>Theil!AI5</f>
        <v>1.228724533682354</v>
      </c>
      <c r="AJ51" s="13">
        <f>Theil!AJ5</f>
        <v>1.2365741347336463</v>
      </c>
      <c r="AK51" s="13">
        <f>Theil!AK5</f>
        <v>1.2237743272890087</v>
      </c>
      <c r="AL51" s="13">
        <f>Theil!AL5</f>
        <v>1.2059438080638107</v>
      </c>
      <c r="AM51" s="13">
        <f>Theil!AM5</f>
        <v>1.1638051272855632</v>
      </c>
      <c r="AN51" s="13">
        <f>Theil!AN5</f>
        <v>1.1432228388124459</v>
      </c>
      <c r="AO51" s="13">
        <f>Theil!AO5</f>
        <v>1.1499250796489635</v>
      </c>
      <c r="AP51" s="13">
        <f>Theil!AP5</f>
        <v>1.1775406029421054</v>
      </c>
      <c r="AQ51" s="13">
        <f>Theil!AQ5</f>
        <v>1.1699481494609323</v>
      </c>
      <c r="AR51" s="13">
        <f>Theil!AR5</f>
        <v>1.1646776670103351</v>
      </c>
      <c r="AS51" s="13">
        <f>Theil!AS5</f>
        <v>1.1546999172111256</v>
      </c>
      <c r="AT51" s="13">
        <f>Theil!AT5</f>
        <v>1.1436597139388041</v>
      </c>
      <c r="AU51" s="13">
        <f>Theil!AU5</f>
        <v>1.1202901874006697</v>
      </c>
      <c r="AV51" s="13">
        <f>Theil!AV5</f>
        <v>1.0770841198972916</v>
      </c>
      <c r="AW51" s="13">
        <f>Theil!AW5</f>
        <v>1.0309971209991931</v>
      </c>
      <c r="AX51" s="13">
        <f>Theil!AX5</f>
        <v>0.97320320451106934</v>
      </c>
      <c r="AY51" s="13">
        <f>Theil!AY5</f>
        <v>0.92733416522425161</v>
      </c>
      <c r="AZ51" s="13">
        <f>Theil!AZ5</f>
        <v>0.88967629250217406</v>
      </c>
      <c r="BA51" s="13">
        <f>Theil!BA5</f>
        <v>0.82549177620543623</v>
      </c>
      <c r="BB51" s="13">
        <f>Theil!BB5</f>
        <v>0.78875601085759095</v>
      </c>
      <c r="BC51" s="13">
        <f>Theil!BC5</f>
        <v>0.76905517564563686</v>
      </c>
      <c r="BD51" s="13">
        <f>Theil!BD5</f>
        <v>0.74194925209577745</v>
      </c>
      <c r="BE51" s="13">
        <f>Theil!BE5</f>
        <v>0.72445492944484569</v>
      </c>
      <c r="BF51" s="13">
        <f>Theil!BF5</f>
        <v>0.71961578166911433</v>
      </c>
      <c r="BG51" s="13">
        <f>Theil!BG5</f>
        <v>0.72454567895886945</v>
      </c>
      <c r="BH51" s="13">
        <f>Theil!BH5</f>
        <v>0.70263052257542669</v>
      </c>
      <c r="BI51" s="13">
        <f>Theil!BI5</f>
        <v>0.70314850055386102</v>
      </c>
      <c r="BJ51" s="13">
        <f>Theil!BJ5</f>
        <v>0.70396039880105621</v>
      </c>
      <c r="BK51" s="13"/>
      <c r="BL51" s="13"/>
      <c r="BM51" s="13"/>
      <c r="BN51" s="13"/>
      <c r="BO51" s="13"/>
      <c r="BP51" s="13"/>
      <c r="BQ51" s="13"/>
      <c r="BR51" s="13"/>
    </row>
    <row r="52" spans="1:70" x14ac:dyDescent="0.45">
      <c r="C52" s="13"/>
      <c r="D52" s="13"/>
      <c r="E52" s="13"/>
      <c r="F52" s="13"/>
      <c r="G52" s="13"/>
      <c r="H52" s="13"/>
      <c r="I52" s="13"/>
      <c r="J52" s="13"/>
      <c r="K52" s="13"/>
      <c r="L52" s="13"/>
      <c r="M52" s="13"/>
      <c r="N52" s="13"/>
      <c r="O52" s="13"/>
      <c r="P52" s="13"/>
      <c r="Q52" s="13"/>
      <c r="R52" s="13"/>
      <c r="S52" s="13"/>
      <c r="T52" s="13"/>
      <c r="U52" s="13"/>
      <c r="V52" s="13"/>
      <c r="W52" s="13"/>
      <c r="X52" s="13"/>
      <c r="Y52" s="13"/>
      <c r="Z52" s="13"/>
      <c r="AA52" s="13"/>
      <c r="AB52" s="13"/>
      <c r="AC52" s="13"/>
      <c r="AD52" s="13"/>
      <c r="AE52" s="13"/>
      <c r="AF52" s="13"/>
      <c r="AG52" s="13"/>
      <c r="AH52" s="13"/>
      <c r="AI52" s="13"/>
      <c r="AJ52" s="13"/>
      <c r="AK52" s="13"/>
      <c r="AL52" s="13"/>
      <c r="AM52" s="13"/>
      <c r="AN52" s="13"/>
      <c r="AO52" s="13"/>
      <c r="AP52" s="13"/>
      <c r="AQ52" s="13"/>
      <c r="AR52" s="13"/>
      <c r="AS52" s="13"/>
      <c r="AT52" s="13"/>
      <c r="AU52" s="13"/>
      <c r="AV52" s="13"/>
      <c r="AW52" s="13"/>
      <c r="AX52" s="13"/>
      <c r="AY52" s="13"/>
      <c r="AZ52" s="13"/>
      <c r="BA52" s="13"/>
      <c r="BB52" s="13"/>
      <c r="BC52" s="13"/>
      <c r="BD52" s="13"/>
      <c r="BE52" s="13"/>
      <c r="BF52" s="13"/>
      <c r="BG52" s="13"/>
      <c r="BH52" s="13"/>
      <c r="BI52" s="13"/>
      <c r="BJ52" s="13"/>
      <c r="BK52" s="13"/>
      <c r="BL52" s="13"/>
      <c r="BM52" s="13"/>
      <c r="BN52" s="13"/>
      <c r="BO52" s="13"/>
      <c r="BP52" s="13"/>
      <c r="BQ52" s="13"/>
      <c r="BR52" s="13"/>
    </row>
    <row r="53" spans="1:70" x14ac:dyDescent="0.45">
      <c r="B53" t="s">
        <v>182</v>
      </c>
      <c r="C53" s="13">
        <f t="shared" ref="C53:AX53" si="38">C50/C51</f>
        <v>1.1075946984760798</v>
      </c>
      <c r="D53" s="13">
        <f t="shared" si="38"/>
        <v>1.0969006211582804</v>
      </c>
      <c r="E53" s="13">
        <f t="shared" si="38"/>
        <v>1.0939648476728108</v>
      </c>
      <c r="F53" s="13">
        <f t="shared" si="38"/>
        <v>1.0911337965666479</v>
      </c>
      <c r="G53" s="13">
        <f t="shared" si="38"/>
        <v>1.0894762992541487</v>
      </c>
      <c r="H53" s="13">
        <f t="shared" si="38"/>
        <v>1.0904631625603327</v>
      </c>
      <c r="I53" s="13">
        <f t="shared" si="38"/>
        <v>1.0917175555481822</v>
      </c>
      <c r="J53" s="13">
        <f t="shared" si="38"/>
        <v>1.088254342299223</v>
      </c>
      <c r="K53" s="13">
        <f t="shared" si="38"/>
        <v>1.0890961777267667</v>
      </c>
      <c r="L53" s="13">
        <f t="shared" si="38"/>
        <v>1.0873907425994982</v>
      </c>
      <c r="M53" s="13">
        <f t="shared" si="38"/>
        <v>1.0803487589401901</v>
      </c>
      <c r="N53" s="13">
        <f t="shared" si="38"/>
        <v>1.0787272305509126</v>
      </c>
      <c r="O53" s="13">
        <f t="shared" si="38"/>
        <v>1.0709690159473413</v>
      </c>
      <c r="P53" s="13">
        <f t="shared" si="38"/>
        <v>1.0650563480489263</v>
      </c>
      <c r="Q53" s="13">
        <f t="shared" si="38"/>
        <v>1.0647419004066447</v>
      </c>
      <c r="R53" s="13">
        <f t="shared" si="38"/>
        <v>1.0643996685107135</v>
      </c>
      <c r="S53" s="13">
        <f t="shared" si="38"/>
        <v>1.0677509357834625</v>
      </c>
      <c r="T53" s="13">
        <f t="shared" si="38"/>
        <v>1.0632903460650838</v>
      </c>
      <c r="U53" s="13">
        <f t="shared" si="38"/>
        <v>1.0549943178519312</v>
      </c>
      <c r="V53" s="13">
        <f t="shared" si="38"/>
        <v>1.0513011872599751</v>
      </c>
      <c r="W53" s="13">
        <f t="shared" si="38"/>
        <v>1.0526961325578716</v>
      </c>
      <c r="X53" s="13">
        <f t="shared" si="38"/>
        <v>1.062441614429934</v>
      </c>
      <c r="Y53" s="13">
        <f t="shared" si="38"/>
        <v>1.0620364758054501</v>
      </c>
      <c r="Z53" s="13">
        <f t="shared" si="38"/>
        <v>1.0629982276946752</v>
      </c>
      <c r="AA53" s="13">
        <f t="shared" si="38"/>
        <v>1.0717116014718349</v>
      </c>
      <c r="AB53" s="13">
        <f t="shared" si="38"/>
        <v>1.0742069317968039</v>
      </c>
      <c r="AC53" s="13">
        <f t="shared" si="38"/>
        <v>1.0543580718743208</v>
      </c>
      <c r="AD53" s="13">
        <f t="shared" si="38"/>
        <v>1.0467306577940969</v>
      </c>
      <c r="AE53" s="13">
        <f t="shared" si="38"/>
        <v>1.043782728606534</v>
      </c>
      <c r="AF53" s="13">
        <f t="shared" si="38"/>
        <v>1.0422556000597878</v>
      </c>
      <c r="AG53" s="13">
        <f t="shared" si="38"/>
        <v>1.0349142151203294</v>
      </c>
      <c r="AH53" s="13">
        <f t="shared" si="38"/>
        <v>1.0366700439157448</v>
      </c>
      <c r="AI53" s="13">
        <f t="shared" si="38"/>
        <v>1.0348297093617513</v>
      </c>
      <c r="AJ53" s="13">
        <f t="shared" si="38"/>
        <v>1.0481622476588253</v>
      </c>
      <c r="AK53" s="13">
        <f t="shared" si="38"/>
        <v>1.0502663293609056</v>
      </c>
      <c r="AL53" s="13">
        <f t="shared" si="38"/>
        <v>1.0471255724976523</v>
      </c>
      <c r="AM53" s="13">
        <f t="shared" si="38"/>
        <v>1.0375212666690181</v>
      </c>
      <c r="AN53" s="13">
        <f t="shared" si="38"/>
        <v>1.0391137035129481</v>
      </c>
      <c r="AO53" s="13">
        <f t="shared" si="38"/>
        <v>1.0443579610179752</v>
      </c>
      <c r="AP53" s="13">
        <f t="shared" si="38"/>
        <v>1.0429472310590056</v>
      </c>
      <c r="AQ53" s="13">
        <f t="shared" si="38"/>
        <v>1.0505338692721893</v>
      </c>
      <c r="AR53" s="13">
        <f t="shared" si="38"/>
        <v>1.0491531498051685</v>
      </c>
      <c r="AS53" s="13">
        <f t="shared" si="38"/>
        <v>1.0428827188682128</v>
      </c>
      <c r="AT53" s="13">
        <f t="shared" si="38"/>
        <v>1.0327158583859637</v>
      </c>
      <c r="AU53" s="13">
        <f t="shared" si="38"/>
        <v>1.0289272637226001</v>
      </c>
      <c r="AV53" s="13">
        <f t="shared" si="38"/>
        <v>1.02908584230167</v>
      </c>
      <c r="AW53" s="13">
        <f t="shared" si="38"/>
        <v>1.0299610377772146</v>
      </c>
      <c r="AX53" s="13">
        <f t="shared" si="38"/>
        <v>1.0295204548829706</v>
      </c>
      <c r="AY53" s="13">
        <f t="shared" ref="AY53:BJ53" si="39">AY50/AY51</f>
        <v>1.0304645767024516</v>
      </c>
      <c r="AZ53" s="13">
        <f t="shared" si="39"/>
        <v>1.0302029488047966</v>
      </c>
      <c r="BA53" s="13">
        <f t="shared" si="39"/>
        <v>1.0324768162384068</v>
      </c>
      <c r="BB53" s="13">
        <f t="shared" si="39"/>
        <v>1.0349358480509345</v>
      </c>
      <c r="BC53" s="13">
        <f t="shared" si="39"/>
        <v>1.0416621444257208</v>
      </c>
      <c r="BD53" s="13">
        <f t="shared" si="39"/>
        <v>1.042769020114356</v>
      </c>
      <c r="BE53" s="13">
        <f t="shared" si="39"/>
        <v>1.0423623233920607</v>
      </c>
      <c r="BF53" s="13">
        <f t="shared" si="39"/>
        <v>1.0531675619046885</v>
      </c>
      <c r="BG53" s="13">
        <f t="shared" si="39"/>
        <v>1.0488219695699492</v>
      </c>
      <c r="BH53" s="13">
        <f t="shared" si="39"/>
        <v>1.0496921201710545</v>
      </c>
      <c r="BI53" s="13">
        <f t="shared" si="39"/>
        <v>1.0483299565671325</v>
      </c>
      <c r="BJ53" s="13">
        <f t="shared" si="39"/>
        <v>1.0544017581037717</v>
      </c>
      <c r="BK53" s="13"/>
      <c r="BL53" s="13"/>
      <c r="BM53" s="13"/>
      <c r="BN53" s="13"/>
      <c r="BO53" s="13"/>
      <c r="BP53" s="13"/>
      <c r="BQ53" s="13"/>
      <c r="BR53" s="13"/>
    </row>
    <row r="55" spans="1:70" x14ac:dyDescent="0.45">
      <c r="A55" t="s">
        <v>183</v>
      </c>
      <c r="C55" t="str">
        <f t="shared" ref="C55:AX55" si="40">C45</f>
        <v>1960</v>
      </c>
      <c r="D55" t="str">
        <f t="shared" si="40"/>
        <v>1961</v>
      </c>
      <c r="E55" t="str">
        <f t="shared" si="40"/>
        <v>1962</v>
      </c>
      <c r="F55" t="str">
        <f t="shared" si="40"/>
        <v>1963</v>
      </c>
      <c r="G55" t="str">
        <f t="shared" si="40"/>
        <v>1964</v>
      </c>
      <c r="H55" t="str">
        <f t="shared" si="40"/>
        <v>1965</v>
      </c>
      <c r="I55" t="str">
        <f t="shared" si="40"/>
        <v>1966</v>
      </c>
      <c r="J55" t="str">
        <f t="shared" si="40"/>
        <v>1967</v>
      </c>
      <c r="K55" t="str">
        <f t="shared" si="40"/>
        <v>1968</v>
      </c>
      <c r="L55" t="str">
        <f t="shared" si="40"/>
        <v>1969</v>
      </c>
      <c r="M55" t="str">
        <f t="shared" si="40"/>
        <v>1970</v>
      </c>
      <c r="N55" t="str">
        <f t="shared" si="40"/>
        <v>1971</v>
      </c>
      <c r="O55" t="str">
        <f t="shared" si="40"/>
        <v>1972</v>
      </c>
      <c r="P55" t="str">
        <f t="shared" si="40"/>
        <v>1973</v>
      </c>
      <c r="Q55" t="str">
        <f t="shared" si="40"/>
        <v>1974</v>
      </c>
      <c r="R55" t="str">
        <f t="shared" si="40"/>
        <v>1975</v>
      </c>
      <c r="S55" t="str">
        <f t="shared" si="40"/>
        <v>1976</v>
      </c>
      <c r="T55" t="str">
        <f t="shared" si="40"/>
        <v>1977</v>
      </c>
      <c r="U55" t="str">
        <f t="shared" si="40"/>
        <v>1978</v>
      </c>
      <c r="V55" t="str">
        <f t="shared" si="40"/>
        <v>1979</v>
      </c>
      <c r="W55" t="str">
        <f t="shared" si="40"/>
        <v>1980</v>
      </c>
      <c r="X55" t="str">
        <f t="shared" si="40"/>
        <v>1981</v>
      </c>
      <c r="Y55" t="str">
        <f t="shared" si="40"/>
        <v>1982</v>
      </c>
      <c r="Z55" t="str">
        <f t="shared" si="40"/>
        <v>1983</v>
      </c>
      <c r="AA55" t="str">
        <f t="shared" si="40"/>
        <v>1984</v>
      </c>
      <c r="AB55" t="str">
        <f t="shared" si="40"/>
        <v>1985</v>
      </c>
      <c r="AC55" t="str">
        <f t="shared" si="40"/>
        <v>1986</v>
      </c>
      <c r="AD55" t="str">
        <f t="shared" si="40"/>
        <v>1987</v>
      </c>
      <c r="AE55" t="str">
        <f t="shared" si="40"/>
        <v>1988</v>
      </c>
      <c r="AF55" t="str">
        <f t="shared" si="40"/>
        <v>1989</v>
      </c>
      <c r="AG55" t="str">
        <f t="shared" si="40"/>
        <v>1990</v>
      </c>
      <c r="AH55" t="str">
        <f t="shared" si="40"/>
        <v>1991</v>
      </c>
      <c r="AI55" t="str">
        <f t="shared" si="40"/>
        <v>1992</v>
      </c>
      <c r="AJ55" t="str">
        <f t="shared" si="40"/>
        <v>1993</v>
      </c>
      <c r="AK55" t="str">
        <f t="shared" si="40"/>
        <v>1994</v>
      </c>
      <c r="AL55" t="str">
        <f t="shared" si="40"/>
        <v>1995</v>
      </c>
      <c r="AM55" t="str">
        <f t="shared" si="40"/>
        <v>1996</v>
      </c>
      <c r="AN55" t="str">
        <f t="shared" si="40"/>
        <v>1997</v>
      </c>
      <c r="AO55" t="str">
        <f t="shared" si="40"/>
        <v>1998</v>
      </c>
      <c r="AP55" t="str">
        <f t="shared" si="40"/>
        <v>1999</v>
      </c>
      <c r="AQ55" t="str">
        <f t="shared" si="40"/>
        <v>2000</v>
      </c>
      <c r="AR55" t="str">
        <f t="shared" si="40"/>
        <v>2001</v>
      </c>
      <c r="AS55" t="str">
        <f t="shared" si="40"/>
        <v>2002</v>
      </c>
      <c r="AT55" t="str">
        <f t="shared" si="40"/>
        <v>2003</v>
      </c>
      <c r="AU55" t="str">
        <f t="shared" si="40"/>
        <v>2004</v>
      </c>
      <c r="AV55" t="str">
        <f t="shared" si="40"/>
        <v>2005</v>
      </c>
      <c r="AW55" t="str">
        <f t="shared" si="40"/>
        <v>2006</v>
      </c>
      <c r="AX55" t="str">
        <f t="shared" si="40"/>
        <v>2007</v>
      </c>
      <c r="AY55" t="str">
        <f t="shared" ref="AY55:BJ55" si="41">AY45</f>
        <v>2008</v>
      </c>
      <c r="AZ55" t="str">
        <f t="shared" si="41"/>
        <v>2009</v>
      </c>
      <c r="BA55" t="str">
        <f t="shared" si="41"/>
        <v>2010</v>
      </c>
      <c r="BB55" t="str">
        <f t="shared" si="41"/>
        <v>2011</v>
      </c>
      <c r="BC55" t="str">
        <f t="shared" si="41"/>
        <v>2012</v>
      </c>
      <c r="BD55" t="str">
        <f t="shared" si="41"/>
        <v>2013</v>
      </c>
      <c r="BE55" t="str">
        <f t="shared" si="41"/>
        <v>2014</v>
      </c>
      <c r="BF55" t="str">
        <f t="shared" si="41"/>
        <v>2015</v>
      </c>
      <c r="BG55" t="str">
        <f t="shared" si="41"/>
        <v>2016</v>
      </c>
      <c r="BH55" t="str">
        <f t="shared" si="41"/>
        <v>2017</v>
      </c>
      <c r="BI55" t="str">
        <f t="shared" si="41"/>
        <v>2018</v>
      </c>
      <c r="BJ55" t="str">
        <f t="shared" si="41"/>
        <v>2019</v>
      </c>
    </row>
    <row r="56" spans="1:70" x14ac:dyDescent="0.45">
      <c r="B56" t="s">
        <v>184</v>
      </c>
      <c r="C56" s="14">
        <f t="shared" ref="C56:AX56" si="42">C50</f>
        <v>1.0198203640178334</v>
      </c>
      <c r="D56" s="14">
        <f t="shared" si="42"/>
        <v>1.0345334410531604</v>
      </c>
      <c r="E56" s="14">
        <f t="shared" si="42"/>
        <v>1.0448216158732258</v>
      </c>
      <c r="F56" s="14">
        <f t="shared" si="42"/>
        <v>1.0212033333525881</v>
      </c>
      <c r="G56" s="14">
        <f t="shared" si="42"/>
        <v>1.0091943763524318</v>
      </c>
      <c r="H56" s="14">
        <f t="shared" si="42"/>
        <v>1.0089425552238205</v>
      </c>
      <c r="I56" s="14">
        <f t="shared" si="42"/>
        <v>1.0467302163498127</v>
      </c>
      <c r="J56" s="14">
        <f t="shared" si="42"/>
        <v>1.0598353994510639</v>
      </c>
      <c r="K56" s="14">
        <f t="shared" si="42"/>
        <v>1.0899721855786642</v>
      </c>
      <c r="L56" s="14">
        <f t="shared" si="42"/>
        <v>1.0819169656548195</v>
      </c>
      <c r="M56" s="14">
        <f t="shared" si="42"/>
        <v>1.0585059491749564</v>
      </c>
      <c r="N56" s="14">
        <f t="shared" si="42"/>
        <v>1.0719595095682248</v>
      </c>
      <c r="O56" s="14">
        <f t="shared" si="42"/>
        <v>1.0720680526699877</v>
      </c>
      <c r="P56" s="14">
        <f t="shared" si="42"/>
        <v>1.0476549902729893</v>
      </c>
      <c r="Q56" s="14">
        <f t="shared" si="42"/>
        <v>1.0219076227336696</v>
      </c>
      <c r="R56" s="14">
        <f t="shared" si="42"/>
        <v>1.0312213372874459</v>
      </c>
      <c r="S56" s="14">
        <f t="shared" si="42"/>
        <v>1.064918770086883</v>
      </c>
      <c r="T56" s="14">
        <f t="shared" si="42"/>
        <v>1.0629337605027671</v>
      </c>
      <c r="U56" s="14">
        <f t="shared" si="42"/>
        <v>1.0991959888362017</v>
      </c>
      <c r="V56" s="14">
        <f t="shared" si="42"/>
        <v>1.0824402100262944</v>
      </c>
      <c r="W56" s="14">
        <f t="shared" si="42"/>
        <v>1.0778980059319565</v>
      </c>
      <c r="X56" s="14">
        <f t="shared" si="42"/>
        <v>1.0724948739568501</v>
      </c>
      <c r="Y56" s="14">
        <f t="shared" si="42"/>
        <v>1.0881027855952368</v>
      </c>
      <c r="Z56" s="14">
        <f t="shared" si="42"/>
        <v>1.1359186149009377</v>
      </c>
      <c r="AA56" s="14">
        <f t="shared" si="42"/>
        <v>1.1810154930822192</v>
      </c>
      <c r="AB56" s="14">
        <f t="shared" si="42"/>
        <v>1.1930477176623209</v>
      </c>
      <c r="AC56" s="14">
        <f t="shared" si="42"/>
        <v>1.2244196316457043</v>
      </c>
      <c r="AD56" s="14">
        <f t="shared" si="42"/>
        <v>1.2454862272366738</v>
      </c>
      <c r="AE56" s="14">
        <f t="shared" si="42"/>
        <v>1.2583983182449905</v>
      </c>
      <c r="AF56" s="14">
        <f t="shared" si="42"/>
        <v>1.2455038071002655</v>
      </c>
      <c r="AG56" s="14">
        <f t="shared" si="42"/>
        <v>1.2379526331869246</v>
      </c>
      <c r="AH56" s="14">
        <f t="shared" si="42"/>
        <v>1.2502280897581193</v>
      </c>
      <c r="AI56" s="14">
        <f t="shared" si="42"/>
        <v>1.2715206520761639</v>
      </c>
      <c r="AJ56" s="14">
        <f t="shared" si="42"/>
        <v>1.2961303244591857</v>
      </c>
      <c r="AK56" s="14">
        <f t="shared" si="42"/>
        <v>1.2852889706879387</v>
      </c>
      <c r="AL56" s="14">
        <f t="shared" si="42"/>
        <v>1.2627746004188167</v>
      </c>
      <c r="AM56" s="14">
        <f t="shared" si="42"/>
        <v>1.2074725698172153</v>
      </c>
      <c r="AN56" s="14">
        <f t="shared" si="42"/>
        <v>1.1879385179789868</v>
      </c>
      <c r="AO56" s="14">
        <f t="shared" si="42"/>
        <v>1.2009334115056243</v>
      </c>
      <c r="AP56" s="14">
        <f t="shared" si="42"/>
        <v>1.2281127112980208</v>
      </c>
      <c r="AQ56" s="14">
        <f t="shared" si="42"/>
        <v>1.2290701563010309</v>
      </c>
      <c r="AR56" s="14">
        <f t="shared" si="42"/>
        <v>1.2219252428516283</v>
      </c>
      <c r="AS56" s="14">
        <f t="shared" si="42"/>
        <v>1.204216589138039</v>
      </c>
      <c r="AT56" s="14">
        <f t="shared" si="42"/>
        <v>1.1810755231817578</v>
      </c>
      <c r="AU56" s="14">
        <f t="shared" si="42"/>
        <v>1.15269711709745</v>
      </c>
      <c r="AV56" s="14">
        <f t="shared" si="42"/>
        <v>1.1084120187542572</v>
      </c>
      <c r="AW56" s="14">
        <f t="shared" si="42"/>
        <v>1.0618868646896493</v>
      </c>
      <c r="AX56" s="14">
        <f t="shared" si="42"/>
        <v>1.0019326058018008</v>
      </c>
      <c r="AY56" s="14">
        <f t="shared" ref="AY56:BJ56" si="43">AY50</f>
        <v>0.95558500802952973</v>
      </c>
      <c r="AZ56" s="14">
        <f t="shared" si="43"/>
        <v>0.91654714001745841</v>
      </c>
      <c r="BA56" s="14">
        <f t="shared" si="43"/>
        <v>0.85230112092757626</v>
      </c>
      <c r="BB56" s="14">
        <f t="shared" si="43"/>
        <v>0.81631187100217295</v>
      </c>
      <c r="BC56" s="14">
        <f t="shared" si="43"/>
        <v>0.80109566344473349</v>
      </c>
      <c r="BD56" s="14">
        <f t="shared" si="43"/>
        <v>0.77368169458249314</v>
      </c>
      <c r="BE56" s="14">
        <f t="shared" si="43"/>
        <v>0.75514452344896077</v>
      </c>
      <c r="BF56" s="14">
        <f t="shared" si="43"/>
        <v>0.75787599828859786</v>
      </c>
      <c r="BG56" s="14">
        <f t="shared" si="43"/>
        <v>0.75991942604903751</v>
      </c>
      <c r="BH56" s="14">
        <f t="shared" si="43"/>
        <v>0.73754572293909559</v>
      </c>
      <c r="BI56" s="14">
        <f t="shared" si="43"/>
        <v>0.73713163704587337</v>
      </c>
      <c r="BJ56" s="14">
        <f t="shared" si="43"/>
        <v>0.74225708213126584</v>
      </c>
      <c r="BK56" s="14"/>
      <c r="BL56" s="14"/>
      <c r="BM56" s="14"/>
      <c r="BN56" s="14"/>
      <c r="BO56" s="14"/>
      <c r="BP56" s="14"/>
      <c r="BQ56" s="14"/>
      <c r="BR56" s="14"/>
    </row>
    <row r="57" spans="1:70" x14ac:dyDescent="0.45">
      <c r="B57" t="s">
        <v>185</v>
      </c>
      <c r="C57" s="14">
        <f t="shared" ref="C57:AX57" si="44">C51</f>
        <v>0.92075229812943882</v>
      </c>
      <c r="D57" s="14">
        <f t="shared" si="44"/>
        <v>0.94314236048178823</v>
      </c>
      <c r="E57" s="14">
        <f t="shared" si="44"/>
        <v>0.95507786936287087</v>
      </c>
      <c r="F57" s="14">
        <f t="shared" si="44"/>
        <v>0.93591027660026449</v>
      </c>
      <c r="G57" s="14">
        <f t="shared" si="44"/>
        <v>0.9263114553692654</v>
      </c>
      <c r="H57" s="14">
        <f t="shared" si="44"/>
        <v>0.92524221804512174</v>
      </c>
      <c r="I57" s="14">
        <f t="shared" si="44"/>
        <v>0.95879214457096451</v>
      </c>
      <c r="J57" s="14">
        <f t="shared" si="44"/>
        <v>0.97388575285799761</v>
      </c>
      <c r="K57" s="14">
        <f t="shared" si="44"/>
        <v>1.0008043438860708</v>
      </c>
      <c r="L57" s="14">
        <f t="shared" si="44"/>
        <v>0.99496613615489027</v>
      </c>
      <c r="M57" s="14">
        <f t="shared" si="44"/>
        <v>0.97978170513505169</v>
      </c>
      <c r="N57" s="14">
        <f t="shared" si="44"/>
        <v>0.99372619806841123</v>
      </c>
      <c r="O57" s="14">
        <f t="shared" si="44"/>
        <v>1.0010262077672474</v>
      </c>
      <c r="P57" s="14">
        <f t="shared" si="44"/>
        <v>0.9836615613738986</v>
      </c>
      <c r="Q57" s="14">
        <f t="shared" si="44"/>
        <v>0.95977027140885895</v>
      </c>
      <c r="R57" s="14">
        <f t="shared" si="44"/>
        <v>0.96882906655759293</v>
      </c>
      <c r="S57" s="14">
        <f t="shared" si="44"/>
        <v>0.99734754089023447</v>
      </c>
      <c r="T57" s="14">
        <f t="shared" si="44"/>
        <v>0.99966463951860718</v>
      </c>
      <c r="U57" s="14">
        <f t="shared" si="44"/>
        <v>1.0418975441254217</v>
      </c>
      <c r="V57" s="14">
        <f t="shared" si="44"/>
        <v>1.0296195068964751</v>
      </c>
      <c r="W57" s="14">
        <f t="shared" si="44"/>
        <v>1.0239403115435113</v>
      </c>
      <c r="X57" s="14">
        <f t="shared" si="44"/>
        <v>1.0094624112895938</v>
      </c>
      <c r="Y57" s="14">
        <f t="shared" si="44"/>
        <v>1.024543704838403</v>
      </c>
      <c r="Z57" s="14">
        <f t="shared" si="44"/>
        <v>1.0685987853097412</v>
      </c>
      <c r="AA57" s="14">
        <f t="shared" si="44"/>
        <v>1.1019900236782656</v>
      </c>
      <c r="AB57" s="14">
        <f t="shared" si="44"/>
        <v>1.110631185061089</v>
      </c>
      <c r="AC57" s="14">
        <f t="shared" si="44"/>
        <v>1.161293932590725</v>
      </c>
      <c r="AD57" s="14">
        <f t="shared" si="44"/>
        <v>1.1898822471307362</v>
      </c>
      <c r="AE57" s="14">
        <f t="shared" si="44"/>
        <v>1.205613279235777</v>
      </c>
      <c r="AF57" s="14">
        <f t="shared" si="44"/>
        <v>1.1950080258900204</v>
      </c>
      <c r="AG57" s="14">
        <f t="shared" si="44"/>
        <v>1.1961886454936634</v>
      </c>
      <c r="AH57" s="14">
        <f t="shared" si="44"/>
        <v>1.2060038747099471</v>
      </c>
      <c r="AI57" s="14">
        <f t="shared" si="44"/>
        <v>1.228724533682354</v>
      </c>
      <c r="AJ57" s="14">
        <f t="shared" si="44"/>
        <v>1.2365741347336463</v>
      </c>
      <c r="AK57" s="14">
        <f t="shared" si="44"/>
        <v>1.2237743272890087</v>
      </c>
      <c r="AL57" s="14">
        <f t="shared" si="44"/>
        <v>1.2059438080638107</v>
      </c>
      <c r="AM57" s="14">
        <f t="shared" si="44"/>
        <v>1.1638051272855632</v>
      </c>
      <c r="AN57" s="14">
        <f t="shared" si="44"/>
        <v>1.1432228388124459</v>
      </c>
      <c r="AO57" s="14">
        <f t="shared" si="44"/>
        <v>1.1499250796489635</v>
      </c>
      <c r="AP57" s="14">
        <f t="shared" si="44"/>
        <v>1.1775406029421054</v>
      </c>
      <c r="AQ57" s="14">
        <f t="shared" si="44"/>
        <v>1.1699481494609323</v>
      </c>
      <c r="AR57" s="14">
        <f t="shared" si="44"/>
        <v>1.1646776670103351</v>
      </c>
      <c r="AS57" s="14">
        <f t="shared" si="44"/>
        <v>1.1546999172111256</v>
      </c>
      <c r="AT57" s="14">
        <f t="shared" si="44"/>
        <v>1.1436597139388041</v>
      </c>
      <c r="AU57" s="14">
        <f t="shared" si="44"/>
        <v>1.1202901874006697</v>
      </c>
      <c r="AV57" s="14">
        <f t="shared" si="44"/>
        <v>1.0770841198972916</v>
      </c>
      <c r="AW57" s="14">
        <f t="shared" si="44"/>
        <v>1.0309971209991931</v>
      </c>
      <c r="AX57" s="14">
        <f t="shared" si="44"/>
        <v>0.97320320451106934</v>
      </c>
      <c r="AY57" s="14">
        <f t="shared" ref="AY57:BJ57" si="45">AY51</f>
        <v>0.92733416522425161</v>
      </c>
      <c r="AZ57" s="14">
        <f t="shared" si="45"/>
        <v>0.88967629250217406</v>
      </c>
      <c r="BA57" s="14">
        <f t="shared" si="45"/>
        <v>0.82549177620543623</v>
      </c>
      <c r="BB57" s="14">
        <f t="shared" si="45"/>
        <v>0.78875601085759095</v>
      </c>
      <c r="BC57" s="14">
        <f t="shared" si="45"/>
        <v>0.76905517564563686</v>
      </c>
      <c r="BD57" s="14">
        <f t="shared" si="45"/>
        <v>0.74194925209577745</v>
      </c>
      <c r="BE57" s="14">
        <f t="shared" si="45"/>
        <v>0.72445492944484569</v>
      </c>
      <c r="BF57" s="14">
        <f t="shared" si="45"/>
        <v>0.71961578166911433</v>
      </c>
      <c r="BG57" s="14">
        <f t="shared" si="45"/>
        <v>0.72454567895886945</v>
      </c>
      <c r="BH57" s="14">
        <f t="shared" si="45"/>
        <v>0.70263052257542669</v>
      </c>
      <c r="BI57" s="14">
        <f t="shared" si="45"/>
        <v>0.70314850055386102</v>
      </c>
      <c r="BJ57" s="14">
        <f t="shared" si="45"/>
        <v>0.70396039880105621</v>
      </c>
      <c r="BK57" s="14"/>
      <c r="BL57" s="14"/>
      <c r="BM57" s="14"/>
      <c r="BN57" s="14"/>
      <c r="BO57" s="14"/>
      <c r="BP57" s="14"/>
      <c r="BQ57" s="14"/>
      <c r="BR57" s="14"/>
    </row>
    <row r="59" spans="1:70" x14ac:dyDescent="0.45">
      <c r="A59" t="s">
        <v>207</v>
      </c>
      <c r="C59" t="str">
        <f>C55</f>
        <v>1960</v>
      </c>
      <c r="D59" t="str">
        <f t="shared" ref="D59:AX59" si="46">D55</f>
        <v>1961</v>
      </c>
      <c r="E59" t="str">
        <f t="shared" si="46"/>
        <v>1962</v>
      </c>
      <c r="F59" t="str">
        <f t="shared" si="46"/>
        <v>1963</v>
      </c>
      <c r="G59" t="str">
        <f t="shared" si="46"/>
        <v>1964</v>
      </c>
      <c r="H59" t="str">
        <f t="shared" si="46"/>
        <v>1965</v>
      </c>
      <c r="I59" t="str">
        <f t="shared" si="46"/>
        <v>1966</v>
      </c>
      <c r="J59" t="str">
        <f t="shared" si="46"/>
        <v>1967</v>
      </c>
      <c r="K59" t="str">
        <f t="shared" si="46"/>
        <v>1968</v>
      </c>
      <c r="L59" t="str">
        <f t="shared" si="46"/>
        <v>1969</v>
      </c>
      <c r="M59" t="str">
        <f t="shared" si="46"/>
        <v>1970</v>
      </c>
      <c r="N59" t="str">
        <f t="shared" si="46"/>
        <v>1971</v>
      </c>
      <c r="O59" t="str">
        <f t="shared" si="46"/>
        <v>1972</v>
      </c>
      <c r="P59" t="str">
        <f t="shared" si="46"/>
        <v>1973</v>
      </c>
      <c r="Q59" t="str">
        <f t="shared" si="46"/>
        <v>1974</v>
      </c>
      <c r="R59" t="str">
        <f t="shared" si="46"/>
        <v>1975</v>
      </c>
      <c r="S59" t="str">
        <f t="shared" si="46"/>
        <v>1976</v>
      </c>
      <c r="T59" t="str">
        <f t="shared" si="46"/>
        <v>1977</v>
      </c>
      <c r="U59" t="str">
        <f t="shared" si="46"/>
        <v>1978</v>
      </c>
      <c r="V59" t="str">
        <f t="shared" si="46"/>
        <v>1979</v>
      </c>
      <c r="W59" t="str">
        <f t="shared" si="46"/>
        <v>1980</v>
      </c>
      <c r="X59" t="str">
        <f t="shared" si="46"/>
        <v>1981</v>
      </c>
      <c r="Y59" t="str">
        <f t="shared" si="46"/>
        <v>1982</v>
      </c>
      <c r="Z59" t="str">
        <f t="shared" si="46"/>
        <v>1983</v>
      </c>
      <c r="AA59" t="str">
        <f t="shared" si="46"/>
        <v>1984</v>
      </c>
      <c r="AB59" t="str">
        <f t="shared" si="46"/>
        <v>1985</v>
      </c>
      <c r="AC59" t="str">
        <f t="shared" si="46"/>
        <v>1986</v>
      </c>
      <c r="AD59" t="str">
        <f t="shared" si="46"/>
        <v>1987</v>
      </c>
      <c r="AE59" t="str">
        <f t="shared" si="46"/>
        <v>1988</v>
      </c>
      <c r="AF59" t="str">
        <f t="shared" si="46"/>
        <v>1989</v>
      </c>
      <c r="AG59" t="str">
        <f t="shared" si="46"/>
        <v>1990</v>
      </c>
      <c r="AH59" t="str">
        <f t="shared" si="46"/>
        <v>1991</v>
      </c>
      <c r="AI59" t="str">
        <f t="shared" si="46"/>
        <v>1992</v>
      </c>
      <c r="AJ59" t="str">
        <f t="shared" si="46"/>
        <v>1993</v>
      </c>
      <c r="AK59" t="str">
        <f t="shared" si="46"/>
        <v>1994</v>
      </c>
      <c r="AL59" t="str">
        <f t="shared" si="46"/>
        <v>1995</v>
      </c>
      <c r="AM59" t="str">
        <f t="shared" si="46"/>
        <v>1996</v>
      </c>
      <c r="AN59" t="str">
        <f t="shared" si="46"/>
        <v>1997</v>
      </c>
      <c r="AO59" t="str">
        <f t="shared" si="46"/>
        <v>1998</v>
      </c>
      <c r="AP59" t="str">
        <f t="shared" si="46"/>
        <v>1999</v>
      </c>
      <c r="AQ59" t="str">
        <f t="shared" si="46"/>
        <v>2000</v>
      </c>
      <c r="AR59" t="str">
        <f t="shared" si="46"/>
        <v>2001</v>
      </c>
      <c r="AS59" t="str">
        <f t="shared" si="46"/>
        <v>2002</v>
      </c>
      <c r="AT59" t="str">
        <f t="shared" si="46"/>
        <v>2003</v>
      </c>
      <c r="AU59" t="str">
        <f t="shared" si="46"/>
        <v>2004</v>
      </c>
      <c r="AV59" t="str">
        <f t="shared" si="46"/>
        <v>2005</v>
      </c>
      <c r="AW59" t="str">
        <f t="shared" si="46"/>
        <v>2006</v>
      </c>
      <c r="AX59" t="str">
        <f t="shared" si="46"/>
        <v>2007</v>
      </c>
      <c r="AY59" t="str">
        <f t="shared" ref="AY59:BJ59" si="47">AY55</f>
        <v>2008</v>
      </c>
      <c r="AZ59" t="str">
        <f t="shared" si="47"/>
        <v>2009</v>
      </c>
      <c r="BA59" t="str">
        <f t="shared" si="47"/>
        <v>2010</v>
      </c>
      <c r="BB59" t="str">
        <f t="shared" si="47"/>
        <v>2011</v>
      </c>
      <c r="BC59" t="str">
        <f t="shared" si="47"/>
        <v>2012</v>
      </c>
      <c r="BD59" t="str">
        <f t="shared" si="47"/>
        <v>2013</v>
      </c>
      <c r="BE59" t="str">
        <f t="shared" si="47"/>
        <v>2014</v>
      </c>
      <c r="BF59" t="str">
        <f t="shared" si="47"/>
        <v>2015</v>
      </c>
      <c r="BG59" t="str">
        <f t="shared" si="47"/>
        <v>2016</v>
      </c>
      <c r="BH59" t="str">
        <f t="shared" si="47"/>
        <v>2017</v>
      </c>
      <c r="BI59" t="str">
        <f t="shared" si="47"/>
        <v>2018</v>
      </c>
      <c r="BJ59" t="str">
        <f t="shared" si="47"/>
        <v>2019</v>
      </c>
    </row>
    <row r="60" spans="1:70" x14ac:dyDescent="0.45">
      <c r="B60" t="str">
        <f>B46</f>
        <v>South</v>
      </c>
      <c r="C60" s="16">
        <f>C46/C$50</f>
        <v>4.5684473319591946E-2</v>
      </c>
      <c r="D60" s="16">
        <f t="shared" ref="D60:AX60" si="48">D46/D$50</f>
        <v>3.7138140677929858E-2</v>
      </c>
      <c r="E60" s="16">
        <f t="shared" si="48"/>
        <v>3.7705462153817815E-2</v>
      </c>
      <c r="F60" s="16">
        <f t="shared" si="48"/>
        <v>3.9774277232963985E-2</v>
      </c>
      <c r="G60" s="16">
        <f t="shared" si="48"/>
        <v>3.7392543919726746E-2</v>
      </c>
      <c r="H60" s="16">
        <f t="shared" si="48"/>
        <v>3.6366004486926548E-2</v>
      </c>
      <c r="I60" s="16">
        <f t="shared" si="48"/>
        <v>4.577500620192456E-2</v>
      </c>
      <c r="J60" s="16">
        <f t="shared" si="48"/>
        <v>4.5716158893016334E-2</v>
      </c>
      <c r="K60" s="16">
        <f t="shared" si="48"/>
        <v>4.5308806697795613E-2</v>
      </c>
      <c r="L60" s="16">
        <f t="shared" si="48"/>
        <v>4.654974736150503E-2</v>
      </c>
      <c r="M60" s="16">
        <f t="shared" si="48"/>
        <v>4.5724920248826101E-2</v>
      </c>
      <c r="N60" s="16">
        <f t="shared" si="48"/>
        <v>4.7559326679281685E-2</v>
      </c>
      <c r="O60" s="16">
        <f t="shared" si="48"/>
        <v>4.9767905374021836E-2</v>
      </c>
      <c r="P60" s="16">
        <f t="shared" si="48"/>
        <v>5.9114151287215241E-2</v>
      </c>
      <c r="Q60" s="16">
        <f t="shared" si="48"/>
        <v>6.8577830326128728E-2</v>
      </c>
      <c r="R60" s="16">
        <f t="shared" si="48"/>
        <v>7.04816008326664E-2</v>
      </c>
      <c r="S60" s="16">
        <f t="shared" si="48"/>
        <v>7.4267954950855669E-2</v>
      </c>
      <c r="T60" s="16">
        <f t="shared" si="48"/>
        <v>6.9662295767679003E-2</v>
      </c>
      <c r="U60" s="16">
        <f t="shared" si="48"/>
        <v>6.4784376592741305E-2</v>
      </c>
      <c r="V60" s="16">
        <f t="shared" si="48"/>
        <v>7.2601342198456001E-2</v>
      </c>
      <c r="W60" s="16">
        <f t="shared" si="48"/>
        <v>7.8564073839095847E-2</v>
      </c>
      <c r="X60" s="16">
        <f t="shared" si="48"/>
        <v>9.7405924388369425E-2</v>
      </c>
      <c r="Y60" s="16">
        <f t="shared" si="48"/>
        <v>7.8986059855552349E-2</v>
      </c>
      <c r="Z60" s="16">
        <f t="shared" si="48"/>
        <v>5.5878750859849918E-2</v>
      </c>
      <c r="AA60" s="16">
        <f t="shared" si="48"/>
        <v>5.4267020645280405E-2</v>
      </c>
      <c r="AB60" s="16">
        <f t="shared" si="48"/>
        <v>4.8585013364496415E-2</v>
      </c>
      <c r="AC60" s="16">
        <f t="shared" si="48"/>
        <v>3.7389412129035321E-2</v>
      </c>
      <c r="AD60" s="16">
        <f t="shared" si="48"/>
        <v>3.6886401500392865E-2</v>
      </c>
      <c r="AE60" s="16">
        <f t="shared" si="48"/>
        <v>3.6960249489765083E-2</v>
      </c>
      <c r="AF60" s="16">
        <f t="shared" si="48"/>
        <v>4.6724937152667449E-2</v>
      </c>
      <c r="AG60" s="16">
        <f t="shared" si="48"/>
        <v>5.0279599270460572E-2</v>
      </c>
      <c r="AH60" s="16">
        <f t="shared" si="48"/>
        <v>6.3642057285970624E-2</v>
      </c>
      <c r="AI60" s="16">
        <f t="shared" si="48"/>
        <v>5.3239124771591768E-2</v>
      </c>
      <c r="AJ60" s="16">
        <f t="shared" si="48"/>
        <v>6.628240249055839E-2</v>
      </c>
      <c r="AK60" s="16">
        <f t="shared" si="48"/>
        <v>6.731509702683168E-2</v>
      </c>
      <c r="AL60" s="16">
        <f t="shared" si="48"/>
        <v>6.4708516560755838E-2</v>
      </c>
      <c r="AM60" s="16">
        <f t="shared" si="48"/>
        <v>7.2015597132677828E-2</v>
      </c>
      <c r="AN60" s="16">
        <f t="shared" si="48"/>
        <v>7.8669954236093811E-2</v>
      </c>
      <c r="AO60" s="16">
        <f t="shared" si="48"/>
        <v>7.879202227685686E-2</v>
      </c>
      <c r="AP60" s="16">
        <f t="shared" si="48"/>
        <v>6.3900060111713897E-2</v>
      </c>
      <c r="AQ60" s="16">
        <f t="shared" si="48"/>
        <v>6.9413286895538731E-2</v>
      </c>
      <c r="AR60" s="16">
        <f t="shared" si="48"/>
        <v>6.71906172466641E-2</v>
      </c>
      <c r="AS60" s="16">
        <f t="shared" si="48"/>
        <v>6.4765815722962111E-2</v>
      </c>
      <c r="AT60" s="16">
        <f t="shared" si="48"/>
        <v>5.993189811039526E-2</v>
      </c>
      <c r="AU60" s="16">
        <f t="shared" si="48"/>
        <v>6.3391760906689285E-2</v>
      </c>
      <c r="AV60" s="16">
        <f t="shared" si="48"/>
        <v>7.3660832296291556E-2</v>
      </c>
      <c r="AW60" s="16">
        <f t="shared" si="48"/>
        <v>8.1058334605366086E-2</v>
      </c>
      <c r="AX60" s="16">
        <f t="shared" si="48"/>
        <v>8.7429278293745735E-2</v>
      </c>
      <c r="AY60" s="16">
        <f t="shared" ref="AY60:BJ60" si="49">AY46/AY$50</f>
        <v>9.8891767233732109E-2</v>
      </c>
      <c r="AZ60" s="16">
        <f t="shared" si="49"/>
        <v>9.0146408691334737E-2</v>
      </c>
      <c r="BA60" s="16">
        <f t="shared" si="49"/>
        <v>0.1132961037800331</v>
      </c>
      <c r="BB60" s="16">
        <f t="shared" si="49"/>
        <v>0.12515125355180762</v>
      </c>
      <c r="BC60" s="16">
        <f t="shared" si="49"/>
        <v>0.12250096731275974</v>
      </c>
      <c r="BD60" s="16">
        <f t="shared" si="49"/>
        <v>0.12653864220696426</v>
      </c>
      <c r="BE60" s="16">
        <f t="shared" si="49"/>
        <v>0.11960147174342355</v>
      </c>
      <c r="BF60" s="16">
        <f t="shared" si="49"/>
        <v>9.3614972160138088E-2</v>
      </c>
      <c r="BG60" s="16">
        <f t="shared" si="49"/>
        <v>8.6812074121853863E-2</v>
      </c>
      <c r="BH60" s="16">
        <f t="shared" si="49"/>
        <v>9.0415951628043542E-2</v>
      </c>
      <c r="BI60" s="16">
        <f t="shared" si="49"/>
        <v>8.2247253902139994E-2</v>
      </c>
      <c r="BJ60" s="16">
        <f t="shared" si="49"/>
        <v>7.8586244124398658E-2</v>
      </c>
      <c r="BK60" s="16"/>
      <c r="BL60" s="16"/>
      <c r="BM60" s="16"/>
      <c r="BN60" s="16"/>
      <c r="BO60" s="16"/>
      <c r="BP60" s="16"/>
      <c r="BQ60" s="16"/>
      <c r="BR60" s="16"/>
    </row>
    <row r="61" spans="1:70" x14ac:dyDescent="0.45">
      <c r="B61" t="str">
        <f>B47</f>
        <v>North</v>
      </c>
      <c r="C61" s="16">
        <f>C47/C$50</f>
        <v>0.27995459129525119</v>
      </c>
      <c r="D61" s="16">
        <f t="shared" ref="D61:AX61" si="50">D47/D$50</f>
        <v>0.26250924926834612</v>
      </c>
      <c r="E61" s="16">
        <f t="shared" si="50"/>
        <v>0.25215117952841209</v>
      </c>
      <c r="F61" s="16">
        <f t="shared" si="50"/>
        <v>0.237557432432243</v>
      </c>
      <c r="G61" s="16">
        <f t="shared" si="50"/>
        <v>0.23080727195790829</v>
      </c>
      <c r="H61" s="16">
        <f t="shared" si="50"/>
        <v>0.22984717755101508</v>
      </c>
      <c r="I61" s="16">
        <f t="shared" si="50"/>
        <v>0.219997926671859</v>
      </c>
      <c r="J61" s="16">
        <f t="shared" si="50"/>
        <v>0.20662714898246312</v>
      </c>
      <c r="K61" s="16">
        <f t="shared" si="50"/>
        <v>0.20428364102586319</v>
      </c>
      <c r="L61" s="16">
        <f t="shared" si="50"/>
        <v>0.19514490564485631</v>
      </c>
      <c r="M61" s="16">
        <f t="shared" si="50"/>
        <v>0.17491747565070329</v>
      </c>
      <c r="N61" s="16">
        <f t="shared" si="50"/>
        <v>0.16651302335250198</v>
      </c>
      <c r="O61" s="16">
        <f t="shared" si="50"/>
        <v>0.14404197127740878</v>
      </c>
      <c r="P61" s="16">
        <f t="shared" si="50"/>
        <v>0.12164040992926815</v>
      </c>
      <c r="Q61" s="16">
        <f t="shared" si="50"/>
        <v>0.11330037420653308</v>
      </c>
      <c r="R61" s="16">
        <f t="shared" si="50"/>
        <v>0.11037357215215528</v>
      </c>
      <c r="S61" s="16">
        <f t="shared" si="50"/>
        <v>0.11463788361048415</v>
      </c>
      <c r="T61" s="16">
        <f t="shared" si="50"/>
        <v>0.10691830456659344</v>
      </c>
      <c r="U61" s="16">
        <f t="shared" si="50"/>
        <v>9.0970001861227265E-2</v>
      </c>
      <c r="V61" s="16">
        <f t="shared" si="50"/>
        <v>7.8217096358626018E-2</v>
      </c>
      <c r="W61" s="16">
        <f t="shared" si="50"/>
        <v>7.7981895917900251E-2</v>
      </c>
      <c r="X61" s="16">
        <f t="shared" si="50"/>
        <v>8.8903463268765248E-2</v>
      </c>
      <c r="Y61" s="16">
        <f t="shared" si="50"/>
        <v>9.6924596250605469E-2</v>
      </c>
      <c r="Z61" s="16">
        <f t="shared" si="50"/>
        <v>0.10922438554284769</v>
      </c>
      <c r="AA61" s="16">
        <f t="shared" si="50"/>
        <v>0.12634052603959561</v>
      </c>
      <c r="AB61" s="16">
        <f t="shared" si="50"/>
        <v>0.13249597331023966</v>
      </c>
      <c r="AC61" s="16">
        <f t="shared" si="50"/>
        <v>9.7449185288802032E-2</v>
      </c>
      <c r="AD61" s="16">
        <f t="shared" si="50"/>
        <v>8.173713779149952E-2</v>
      </c>
      <c r="AE61" s="16">
        <f t="shared" si="50"/>
        <v>7.5213935884327704E-2</v>
      </c>
      <c r="AF61" s="16">
        <f t="shared" si="50"/>
        <v>6.8064996816628864E-2</v>
      </c>
      <c r="AG61" s="16">
        <f t="shared" si="50"/>
        <v>5.2295442347193404E-2</v>
      </c>
      <c r="AH61" s="16">
        <f t="shared" si="50"/>
        <v>5.1002264467445976E-2</v>
      </c>
      <c r="AI61" s="16">
        <f t="shared" si="50"/>
        <v>5.107128189316229E-2</v>
      </c>
      <c r="AJ61" s="16">
        <f t="shared" si="50"/>
        <v>7.182877424026185E-2</v>
      </c>
      <c r="AK61" s="16">
        <f t="shared" si="50"/>
        <v>7.5325714105122052E-2</v>
      </c>
      <c r="AL61" s="16">
        <f t="shared" si="50"/>
        <v>7.03867945990026E-2</v>
      </c>
      <c r="AM61" s="16">
        <f t="shared" si="50"/>
        <v>5.0810450200920496E-2</v>
      </c>
      <c r="AN61" s="16">
        <f t="shared" si="50"/>
        <v>5.2099490136201E-2</v>
      </c>
      <c r="AO61" s="16">
        <f t="shared" si="50"/>
        <v>6.177385548655747E-2</v>
      </c>
      <c r="AP61" s="16">
        <f t="shared" si="50"/>
        <v>6.3326292390151029E-2</v>
      </c>
      <c r="AQ61" s="16">
        <f t="shared" si="50"/>
        <v>7.5434512580982938E-2</v>
      </c>
      <c r="AR61" s="16">
        <f t="shared" si="50"/>
        <v>7.3712677297988555E-2</v>
      </c>
      <c r="AS61" s="16">
        <f t="shared" si="50"/>
        <v>6.3536409588395806E-2</v>
      </c>
      <c r="AT61" s="16">
        <f t="shared" si="50"/>
        <v>4.695684943156922E-2</v>
      </c>
      <c r="AU61" s="16">
        <f t="shared" si="50"/>
        <v>3.9810477519459771E-2</v>
      </c>
      <c r="AV61" s="16">
        <f t="shared" si="50"/>
        <v>3.8395218932952273E-2</v>
      </c>
      <c r="AW61" s="16">
        <f t="shared" si="50"/>
        <v>3.8959327560349914E-2</v>
      </c>
      <c r="AX61" s="16">
        <f t="shared" si="50"/>
        <v>3.7522778236020543E-2</v>
      </c>
      <c r="AY61" s="16">
        <f t="shared" ref="AY61:BJ61" si="51">AY47/AY$50</f>
        <v>3.7729756543364378E-2</v>
      </c>
      <c r="AZ61" s="16">
        <f t="shared" si="51"/>
        <v>3.9292572612010301E-2</v>
      </c>
      <c r="BA61" s="16">
        <f t="shared" si="51"/>
        <v>4.0153374828078223E-2</v>
      </c>
      <c r="BB61" s="16">
        <f t="shared" si="51"/>
        <v>4.3287522410785116E-2</v>
      </c>
      <c r="BC61" s="16">
        <f t="shared" si="51"/>
        <v>5.568234254281193E-2</v>
      </c>
      <c r="BD61" s="16">
        <f t="shared" si="51"/>
        <v>5.7613165790185397E-2</v>
      </c>
      <c r="BE61" s="16">
        <f t="shared" si="51"/>
        <v>5.8402944116270256E-2</v>
      </c>
      <c r="BF61" s="16">
        <f t="shared" si="51"/>
        <v>7.9528133123141206E-2</v>
      </c>
      <c r="BG61" s="16">
        <f t="shared" si="51"/>
        <v>7.3498535988214903E-2</v>
      </c>
      <c r="BH61" s="16">
        <f t="shared" si="51"/>
        <v>7.4734075518428728E-2</v>
      </c>
      <c r="BI61" s="16">
        <f t="shared" si="51"/>
        <v>7.356308368680467E-2</v>
      </c>
      <c r="BJ61" s="16">
        <f t="shared" si="51"/>
        <v>8.3733496925706821E-2</v>
      </c>
      <c r="BK61" s="16"/>
      <c r="BL61" s="16"/>
      <c r="BM61" s="16"/>
      <c r="BN61" s="16"/>
      <c r="BO61" s="16"/>
      <c r="BP61" s="16"/>
      <c r="BQ61" s="16"/>
      <c r="BR61" s="16"/>
    </row>
    <row r="62" spans="1:70" x14ac:dyDescent="0.45">
      <c r="B62" s="14" t="str">
        <f>B49</f>
        <v>Interbloc</v>
      </c>
      <c r="C62" s="16">
        <f>C49/C50</f>
        <v>0.67436093538515673</v>
      </c>
      <c r="D62" s="16">
        <f t="shared" ref="D62:AX62" si="52">D49/D50</f>
        <v>0.70035261005372418</v>
      </c>
      <c r="E62" s="16">
        <f t="shared" si="52"/>
        <v>0.71014335831777009</v>
      </c>
      <c r="F62" s="16">
        <f t="shared" si="52"/>
        <v>0.72266829033479307</v>
      </c>
      <c r="G62" s="16">
        <f t="shared" si="52"/>
        <v>0.73180018412236503</v>
      </c>
      <c r="H62" s="16">
        <f t="shared" si="52"/>
        <v>0.73378681796205836</v>
      </c>
      <c r="I62" s="16">
        <f t="shared" si="52"/>
        <v>0.73422706712621644</v>
      </c>
      <c r="J62" s="16">
        <f t="shared" si="52"/>
        <v>0.74765669212452046</v>
      </c>
      <c r="K62" s="16">
        <f t="shared" si="52"/>
        <v>0.75040755227634115</v>
      </c>
      <c r="L62" s="16">
        <f t="shared" si="52"/>
        <v>0.75830534699363861</v>
      </c>
      <c r="M62" s="16">
        <f t="shared" si="52"/>
        <v>0.77935760410047061</v>
      </c>
      <c r="N62" s="16">
        <f t="shared" si="52"/>
        <v>0.78592764996821629</v>
      </c>
      <c r="O62" s="16">
        <f t="shared" si="52"/>
        <v>0.80619012334856954</v>
      </c>
      <c r="P62" s="16">
        <f t="shared" si="52"/>
        <v>0.81924543878351663</v>
      </c>
      <c r="Q62" s="16">
        <f t="shared" si="52"/>
        <v>0.81812179546733821</v>
      </c>
      <c r="R62" s="16">
        <f t="shared" si="52"/>
        <v>0.81914482701517843</v>
      </c>
      <c r="S62" s="16">
        <f t="shared" si="52"/>
        <v>0.8110941614386602</v>
      </c>
      <c r="T62" s="16">
        <f t="shared" si="52"/>
        <v>0.82341939966572752</v>
      </c>
      <c r="U62" s="16">
        <f t="shared" si="52"/>
        <v>0.84424562154603144</v>
      </c>
      <c r="V62" s="16">
        <f t="shared" si="52"/>
        <v>0.8491815614429179</v>
      </c>
      <c r="W62" s="16">
        <f t="shared" si="52"/>
        <v>0.84345403024300392</v>
      </c>
      <c r="X62" s="16">
        <f t="shared" si="52"/>
        <v>0.81369061234286544</v>
      </c>
      <c r="Y62" s="16">
        <f t="shared" si="52"/>
        <v>0.82408934389384214</v>
      </c>
      <c r="Z62" s="16">
        <f t="shared" si="52"/>
        <v>0.83489686359730242</v>
      </c>
      <c r="AA62" s="16">
        <f t="shared" si="52"/>
        <v>0.819392453315124</v>
      </c>
      <c r="AB62" s="16">
        <f t="shared" si="52"/>
        <v>0.81891901332526396</v>
      </c>
      <c r="AC62" s="16">
        <f t="shared" si="52"/>
        <v>0.86516140258216268</v>
      </c>
      <c r="AD62" s="16">
        <f t="shared" si="52"/>
        <v>0.8813764607081076</v>
      </c>
      <c r="AE62" s="16">
        <f t="shared" si="52"/>
        <v>0.88782581462590726</v>
      </c>
      <c r="AF62" s="16">
        <f t="shared" si="52"/>
        <v>0.88521006603070373</v>
      </c>
      <c r="AG62" s="16">
        <f t="shared" si="52"/>
        <v>0.89742495838234604</v>
      </c>
      <c r="AH62" s="16">
        <f t="shared" si="52"/>
        <v>0.88535567824658346</v>
      </c>
      <c r="AI62" s="16">
        <f t="shared" si="52"/>
        <v>0.895689593335246</v>
      </c>
      <c r="AJ62" s="16">
        <f t="shared" si="52"/>
        <v>0.86188882326917982</v>
      </c>
      <c r="AK62" s="16">
        <f t="shared" si="52"/>
        <v>0.8573591888680463</v>
      </c>
      <c r="AL62" s="16">
        <f t="shared" si="52"/>
        <v>0.86490468884024152</v>
      </c>
      <c r="AM62" s="16">
        <f t="shared" si="52"/>
        <v>0.87717395266640164</v>
      </c>
      <c r="AN62" s="16">
        <f t="shared" si="52"/>
        <v>0.86923055562770513</v>
      </c>
      <c r="AO62" s="16">
        <f t="shared" si="52"/>
        <v>0.85943412223658566</v>
      </c>
      <c r="AP62" s="16">
        <f t="shared" si="52"/>
        <v>0.87277364749813502</v>
      </c>
      <c r="AQ62" s="16">
        <f t="shared" si="52"/>
        <v>0.8551522005234784</v>
      </c>
      <c r="AR62" s="16">
        <f t="shared" si="52"/>
        <v>0.85909670545534733</v>
      </c>
      <c r="AS62" s="16">
        <f t="shared" si="52"/>
        <v>0.87169777468864207</v>
      </c>
      <c r="AT62" s="16">
        <f t="shared" si="52"/>
        <v>0.89311125245803547</v>
      </c>
      <c r="AU62" s="16">
        <f t="shared" si="52"/>
        <v>0.89679776157385083</v>
      </c>
      <c r="AV62" s="16">
        <f t="shared" si="52"/>
        <v>0.88794394877075622</v>
      </c>
      <c r="AW62" s="16">
        <f t="shared" si="52"/>
        <v>0.87998233783428403</v>
      </c>
      <c r="AX62" s="16">
        <f t="shared" si="52"/>
        <v>0.87504794347023362</v>
      </c>
      <c r="AY62" s="16">
        <f t="shared" ref="AY62:BJ62" si="53">AY49/AY50</f>
        <v>0.86337847622290353</v>
      </c>
      <c r="AZ62" s="16">
        <f t="shared" si="53"/>
        <v>0.87056101869665492</v>
      </c>
      <c r="BA62" s="16">
        <f t="shared" si="53"/>
        <v>0.84655052139188869</v>
      </c>
      <c r="BB62" s="16">
        <f t="shared" si="53"/>
        <v>0.83156122403740729</v>
      </c>
      <c r="BC62" s="16">
        <f t="shared" si="53"/>
        <v>0.82181669014442837</v>
      </c>
      <c r="BD62" s="16">
        <f t="shared" si="53"/>
        <v>0.8158481920028503</v>
      </c>
      <c r="BE62" s="16">
        <f t="shared" si="53"/>
        <v>0.82199558414030627</v>
      </c>
      <c r="BF62" s="16">
        <f t="shared" si="53"/>
        <v>0.82685689471672075</v>
      </c>
      <c r="BG62" s="16">
        <f t="shared" si="53"/>
        <v>0.83968938988993114</v>
      </c>
      <c r="BH62" s="16">
        <f t="shared" si="53"/>
        <v>0.8348499728535278</v>
      </c>
      <c r="BI62" s="16">
        <f t="shared" si="53"/>
        <v>0.84418966241105531</v>
      </c>
      <c r="BJ62" s="16">
        <f t="shared" si="53"/>
        <v>0.83768025894989451</v>
      </c>
      <c r="BK62" s="16"/>
      <c r="BL62" s="16"/>
      <c r="BM62" s="16"/>
      <c r="BN62" s="16"/>
      <c r="BO62" s="16"/>
      <c r="BP62" s="16"/>
      <c r="BQ62" s="16"/>
      <c r="BR62" s="16"/>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Charts</vt:lpstr>
      </vt:variant>
      <vt:variant>
        <vt:i4>2</vt:i4>
      </vt:variant>
    </vt:vector>
  </HeadingPairs>
  <TitlesOfParts>
    <vt:vector size="6" baseType="lpstr">
      <vt:lpstr>Copyright</vt:lpstr>
      <vt:lpstr>Population</vt:lpstr>
      <vt:lpstr>GDP</vt:lpstr>
      <vt:lpstr>Theil</vt:lpstr>
      <vt:lpstr>Percentage Contributions</vt:lpstr>
      <vt:lpstr>Theil Decomposition 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Freeman</dc:creator>
  <cp:lastModifiedBy>Alan Freeman</cp:lastModifiedBy>
  <dcterms:created xsi:type="dcterms:W3CDTF">2015-06-05T18:17:20Z</dcterms:created>
  <dcterms:modified xsi:type="dcterms:W3CDTF">2020-12-07T02:37:39Z</dcterms:modified>
</cp:coreProperties>
</file>