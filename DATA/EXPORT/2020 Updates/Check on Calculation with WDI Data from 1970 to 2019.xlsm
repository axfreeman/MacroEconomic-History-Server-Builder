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mc:AlternateContent xmlns:mc="http://schemas.openxmlformats.org/markup-compatibility/2006">
    <mc:Choice Requires="x15">
      <x15ac:absPath xmlns:x15ac="http://schemas.microsoft.com/office/spreadsheetml/2010/11/ac" url="C:\Users\afree\Documents\Github\MacroEconomic History\EXPORT\2020 Updates\"/>
    </mc:Choice>
  </mc:AlternateContent>
  <xr:revisionPtr revIDLastSave="0" documentId="13_ncr:1_{7224E714-321F-4D6D-BEF9-7B7B81685086}" xr6:coauthVersionLast="45" xr6:coauthVersionMax="45" xr10:uidLastSave="{00000000-0000-0000-0000-000000000000}"/>
  <bookViews>
    <workbookView xWindow="-98" yWindow="-98" windowWidth="28996" windowHeight="15945" activeTab="1" xr2:uid="{00000000-000D-0000-FFFF-FFFF00000000}"/>
  </bookViews>
  <sheets>
    <sheet name="Copyright" sheetId="2" r:id="rId1"/>
    <sheet name="Population" sheetId="1" r:id="rId2"/>
    <sheet name="GDP" sheetId="6" r:id="rId3"/>
    <sheet name="Theil" sheetId="7" r:id="rId4"/>
    <sheet name="Theil Decomposition Chart" sheetId="10" r:id="rId5"/>
    <sheet name="Decomposition" sheetId="8" r:id="rId6"/>
  </sheets>
  <externalReferences>
    <externalReference r:id="rId7"/>
    <externalReference r:id="rId8"/>
    <externalReference r:id="rId9"/>
    <externalReference r:id="rId10"/>
    <externalReference r:id="rId11"/>
  </externalReferences>
  <definedNames>
    <definedName name="GrowthRelatives">'[1]Dispersion UN Ratios'!$AZ$5:$BD$159</definedName>
    <definedName name="North_GDP">[4]GDP!$B$11:$BI$29</definedName>
    <definedName name="North_paper_2">'[2]Dispersion UN GD-Cap'!$E$3:$AZ$35</definedName>
    <definedName name="North_Pop">[4]POP!$B$11:$BI$29</definedName>
  </definedNames>
  <calcPr calcId="191029"/>
  <pivotCaches>
    <pivotCache cacheId="28" r:id="rId12"/>
    <pivotCache cacheId="58"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P28" i="8" l="1"/>
  <c r="AO28" i="8"/>
  <c r="AI28" i="8"/>
  <c r="Z28" i="8"/>
  <c r="Y28" i="8"/>
  <c r="S28" i="8"/>
  <c r="J28" i="8"/>
  <c r="I28" i="8"/>
  <c r="AX26" i="8"/>
  <c r="AX28" i="8" s="1"/>
  <c r="AX32" i="8" s="1"/>
  <c r="AW26" i="8"/>
  <c r="AV26" i="8"/>
  <c r="AV28" i="8" s="1"/>
  <c r="AU26" i="8"/>
  <c r="AT26" i="8"/>
  <c r="AS26" i="8"/>
  <c r="AR26" i="8"/>
  <c r="AQ26" i="8"/>
  <c r="AP26" i="8"/>
  <c r="AO26" i="8"/>
  <c r="AN26" i="8"/>
  <c r="AN28" i="8" s="1"/>
  <c r="AM26" i="8"/>
  <c r="AL26" i="8"/>
  <c r="AK26" i="8"/>
  <c r="AJ26" i="8"/>
  <c r="AI26" i="8"/>
  <c r="AH26" i="8"/>
  <c r="AH28" i="8" s="1"/>
  <c r="AG26" i="8"/>
  <c r="AF26" i="8"/>
  <c r="AF28" i="8" s="1"/>
  <c r="AE26" i="8"/>
  <c r="AD26" i="8"/>
  <c r="AC26" i="8"/>
  <c r="AB26" i="8"/>
  <c r="AA26" i="8"/>
  <c r="Z26" i="8"/>
  <c r="Y26" i="8"/>
  <c r="X26" i="8"/>
  <c r="X28" i="8" s="1"/>
  <c r="W26" i="8"/>
  <c r="V26" i="8"/>
  <c r="U26" i="8"/>
  <c r="T26" i="8"/>
  <c r="S26" i="8"/>
  <c r="R26" i="8"/>
  <c r="R28" i="8" s="1"/>
  <c r="Q26" i="8"/>
  <c r="P26" i="8"/>
  <c r="P28" i="8" s="1"/>
  <c r="O26" i="8"/>
  <c r="N26" i="8"/>
  <c r="M26" i="8"/>
  <c r="L26" i="8"/>
  <c r="K26" i="8"/>
  <c r="J26" i="8"/>
  <c r="I26" i="8"/>
  <c r="H26" i="8"/>
  <c r="H28" i="8" s="1"/>
  <c r="G26" i="8"/>
  <c r="F26" i="8"/>
  <c r="E26" i="8"/>
  <c r="D26" i="8"/>
  <c r="AX25" i="8"/>
  <c r="AW25" i="8"/>
  <c r="AW28" i="8" s="1"/>
  <c r="AV25" i="8"/>
  <c r="AU25" i="8"/>
  <c r="AU28" i="8" s="1"/>
  <c r="AT25" i="8"/>
  <c r="AT28" i="8" s="1"/>
  <c r="AS25" i="8"/>
  <c r="AS28" i="8" s="1"/>
  <c r="AR25" i="8"/>
  <c r="AR28" i="8" s="1"/>
  <c r="AQ25" i="8"/>
  <c r="AQ28" i="8" s="1"/>
  <c r="AP25" i="8"/>
  <c r="AO25" i="8"/>
  <c r="AN25" i="8"/>
  <c r="AM25" i="8"/>
  <c r="AM28" i="8" s="1"/>
  <c r="AL25" i="8"/>
  <c r="AL28" i="8" s="1"/>
  <c r="AK25" i="8"/>
  <c r="AK28" i="8" s="1"/>
  <c r="AJ25" i="8"/>
  <c r="AJ28" i="8" s="1"/>
  <c r="AI25" i="8"/>
  <c r="AH25" i="8"/>
  <c r="AG25" i="8"/>
  <c r="AG28" i="8" s="1"/>
  <c r="AF25" i="8"/>
  <c r="AE25" i="8"/>
  <c r="AE28" i="8" s="1"/>
  <c r="AD25" i="8"/>
  <c r="AD28" i="8" s="1"/>
  <c r="AC25" i="8"/>
  <c r="AC28" i="8" s="1"/>
  <c r="AB25" i="8"/>
  <c r="AB28" i="8" s="1"/>
  <c r="AA25" i="8"/>
  <c r="AA28" i="8" s="1"/>
  <c r="Z25" i="8"/>
  <c r="Y25" i="8"/>
  <c r="X25" i="8"/>
  <c r="W25" i="8"/>
  <c r="W28" i="8" s="1"/>
  <c r="V25" i="8"/>
  <c r="V28" i="8" s="1"/>
  <c r="U25" i="8"/>
  <c r="U28" i="8" s="1"/>
  <c r="T25" i="8"/>
  <c r="T28" i="8" s="1"/>
  <c r="S25" i="8"/>
  <c r="R25" i="8"/>
  <c r="Q25" i="8"/>
  <c r="Q28" i="8" s="1"/>
  <c r="P25" i="8"/>
  <c r="O25" i="8"/>
  <c r="O28" i="8" s="1"/>
  <c r="N25" i="8"/>
  <c r="N28" i="8" s="1"/>
  <c r="M25" i="8"/>
  <c r="M28" i="8" s="1"/>
  <c r="L25" i="8"/>
  <c r="L28" i="8" s="1"/>
  <c r="K25" i="8"/>
  <c r="K28" i="8" s="1"/>
  <c r="J25" i="8"/>
  <c r="I25" i="8"/>
  <c r="H25" i="8"/>
  <c r="G25" i="8"/>
  <c r="G28" i="8" s="1"/>
  <c r="F25" i="8"/>
  <c r="F28" i="8" s="1"/>
  <c r="E25" i="8"/>
  <c r="E28" i="8" s="1"/>
  <c r="D25" i="8"/>
  <c r="D28" i="8" s="1"/>
  <c r="C26" i="8"/>
  <c r="C25" i="8"/>
  <c r="AX23" i="8"/>
  <c r="AW23" i="8"/>
  <c r="AV23" i="8"/>
  <c r="AU23" i="8"/>
  <c r="AT23" i="8"/>
  <c r="AS23" i="8"/>
  <c r="AR23" i="8"/>
  <c r="AQ23" i="8"/>
  <c r="AP23" i="8"/>
  <c r="AO23" i="8"/>
  <c r="AN23" i="8"/>
  <c r="AM23" i="8"/>
  <c r="AL23" i="8"/>
  <c r="AK23" i="8"/>
  <c r="AJ23" i="8"/>
  <c r="AI23" i="8"/>
  <c r="AH23" i="8"/>
  <c r="AG23" i="8"/>
  <c r="AF23" i="8"/>
  <c r="AE23" i="8"/>
  <c r="AD23" i="8"/>
  <c r="AC23" i="8"/>
  <c r="AB23" i="8"/>
  <c r="AA23" i="8"/>
  <c r="Z23" i="8"/>
  <c r="Y23" i="8"/>
  <c r="X23" i="8"/>
  <c r="W23" i="8"/>
  <c r="V23" i="8"/>
  <c r="U23" i="8"/>
  <c r="T23" i="8"/>
  <c r="S23" i="8"/>
  <c r="R23" i="8"/>
  <c r="Q23" i="8"/>
  <c r="P23" i="8"/>
  <c r="O23" i="8"/>
  <c r="N23" i="8"/>
  <c r="M23" i="8"/>
  <c r="L23" i="8"/>
  <c r="K23" i="8"/>
  <c r="J23" i="8"/>
  <c r="I23" i="8"/>
  <c r="H23" i="8"/>
  <c r="G23" i="8"/>
  <c r="F23" i="8"/>
  <c r="E23" i="8"/>
  <c r="D23" i="8"/>
  <c r="AX22" i="8"/>
  <c r="AW22" i="8"/>
  <c r="AV22" i="8"/>
  <c r="AU22" i="8"/>
  <c r="AT22" i="8"/>
  <c r="AS22" i="8"/>
  <c r="AR22" i="8"/>
  <c r="AQ22" i="8"/>
  <c r="AP22" i="8"/>
  <c r="AO22" i="8"/>
  <c r="AN22" i="8"/>
  <c r="AM22" i="8"/>
  <c r="AL22" i="8"/>
  <c r="AK22" i="8"/>
  <c r="AJ22" i="8"/>
  <c r="AI22" i="8"/>
  <c r="AH22" i="8"/>
  <c r="AG22" i="8"/>
  <c r="AF22" i="8"/>
  <c r="AE22" i="8"/>
  <c r="AD22" i="8"/>
  <c r="AC22" i="8"/>
  <c r="AB22" i="8"/>
  <c r="AA22" i="8"/>
  <c r="Z22" i="8"/>
  <c r="Y22" i="8"/>
  <c r="X22" i="8"/>
  <c r="W22" i="8"/>
  <c r="V22" i="8"/>
  <c r="U22" i="8"/>
  <c r="T22" i="8"/>
  <c r="S22" i="8"/>
  <c r="R22" i="8"/>
  <c r="Q22" i="8"/>
  <c r="P22" i="8"/>
  <c r="O22" i="8"/>
  <c r="N22" i="8"/>
  <c r="M22" i="8"/>
  <c r="L22" i="8"/>
  <c r="K22" i="8"/>
  <c r="J22" i="8"/>
  <c r="I22" i="8"/>
  <c r="H22" i="8"/>
  <c r="G22" i="8"/>
  <c r="F22" i="8"/>
  <c r="E22" i="8"/>
  <c r="D22" i="8"/>
  <c r="AX20" i="8"/>
  <c r="AW20" i="8"/>
  <c r="AV20" i="8"/>
  <c r="AU20" i="8"/>
  <c r="AT20" i="8"/>
  <c r="AS20" i="8"/>
  <c r="AR20" i="8"/>
  <c r="AQ20" i="8"/>
  <c r="AP20" i="8"/>
  <c r="AO20" i="8"/>
  <c r="AN20" i="8"/>
  <c r="AM20" i="8"/>
  <c r="AL20" i="8"/>
  <c r="AK20" i="8"/>
  <c r="AJ20" i="8"/>
  <c r="AI20" i="8"/>
  <c r="AH20" i="8"/>
  <c r="AG20" i="8"/>
  <c r="AF20" i="8"/>
  <c r="AE20" i="8"/>
  <c r="AD20" i="8"/>
  <c r="AC20" i="8"/>
  <c r="AB20" i="8"/>
  <c r="AA20" i="8"/>
  <c r="Z20" i="8"/>
  <c r="Y20" i="8"/>
  <c r="X20" i="8"/>
  <c r="W20" i="8"/>
  <c r="V20" i="8"/>
  <c r="U20" i="8"/>
  <c r="T20" i="8"/>
  <c r="S20" i="8"/>
  <c r="R20" i="8"/>
  <c r="Q20" i="8"/>
  <c r="P20" i="8"/>
  <c r="O20" i="8"/>
  <c r="N20" i="8"/>
  <c r="M20" i="8"/>
  <c r="L20" i="8"/>
  <c r="K20" i="8"/>
  <c r="J20" i="8"/>
  <c r="I20" i="8"/>
  <c r="H20" i="8"/>
  <c r="G20" i="8"/>
  <c r="F20" i="8"/>
  <c r="E20" i="8"/>
  <c r="D20" i="8"/>
  <c r="AX19" i="8"/>
  <c r="AW19" i="8"/>
  <c r="AV19" i="8"/>
  <c r="AU19" i="8"/>
  <c r="AT19" i="8"/>
  <c r="AS19" i="8"/>
  <c r="AR19" i="8"/>
  <c r="AQ19" i="8"/>
  <c r="AP19" i="8"/>
  <c r="AO19" i="8"/>
  <c r="AN19" i="8"/>
  <c r="AM19" i="8"/>
  <c r="AL19" i="8"/>
  <c r="AK19" i="8"/>
  <c r="AJ19" i="8"/>
  <c r="AI19" i="8"/>
  <c r="AH19" i="8"/>
  <c r="AG19" i="8"/>
  <c r="AF19" i="8"/>
  <c r="AE19" i="8"/>
  <c r="AD19" i="8"/>
  <c r="AC19" i="8"/>
  <c r="AB19" i="8"/>
  <c r="AA19" i="8"/>
  <c r="Z19" i="8"/>
  <c r="Y19" i="8"/>
  <c r="X19" i="8"/>
  <c r="W19" i="8"/>
  <c r="V19" i="8"/>
  <c r="U19" i="8"/>
  <c r="T19" i="8"/>
  <c r="S19" i="8"/>
  <c r="R19" i="8"/>
  <c r="Q19" i="8"/>
  <c r="P19" i="8"/>
  <c r="O19" i="8"/>
  <c r="N19" i="8"/>
  <c r="M19" i="8"/>
  <c r="L19" i="8"/>
  <c r="K19" i="8"/>
  <c r="J19" i="8"/>
  <c r="I19" i="8"/>
  <c r="H19" i="8"/>
  <c r="G19" i="8"/>
  <c r="F19" i="8"/>
  <c r="E19" i="8"/>
  <c r="D19" i="8"/>
  <c r="C23" i="8"/>
  <c r="C22" i="8"/>
  <c r="AX15" i="8"/>
  <c r="AW15" i="8"/>
  <c r="AV15" i="8"/>
  <c r="AU15" i="8"/>
  <c r="AT15" i="8"/>
  <c r="AS15" i="8"/>
  <c r="AR15" i="8"/>
  <c r="AQ15" i="8"/>
  <c r="AP15" i="8"/>
  <c r="AO15" i="8"/>
  <c r="AN15" i="8"/>
  <c r="AM15" i="8"/>
  <c r="AL15" i="8"/>
  <c r="AK15" i="8"/>
  <c r="AJ15" i="8"/>
  <c r="AI15" i="8"/>
  <c r="AH15" i="8"/>
  <c r="AG15" i="8"/>
  <c r="AF15" i="8"/>
  <c r="AE15" i="8"/>
  <c r="AD15" i="8"/>
  <c r="AC15" i="8"/>
  <c r="AB15" i="8"/>
  <c r="AA15" i="8"/>
  <c r="Z15" i="8"/>
  <c r="Y15" i="8"/>
  <c r="X15" i="8"/>
  <c r="W15" i="8"/>
  <c r="V15" i="8"/>
  <c r="U15" i="8"/>
  <c r="T15" i="8"/>
  <c r="S15" i="8"/>
  <c r="R15" i="8"/>
  <c r="Q15" i="8"/>
  <c r="P15" i="8"/>
  <c r="O15" i="8"/>
  <c r="N15" i="8"/>
  <c r="M15" i="8"/>
  <c r="L15" i="8"/>
  <c r="K15" i="8"/>
  <c r="J15" i="8"/>
  <c r="I15" i="8"/>
  <c r="H15" i="8"/>
  <c r="G15" i="8"/>
  <c r="F15" i="8"/>
  <c r="E15" i="8"/>
  <c r="D15" i="8"/>
  <c r="AX14" i="8"/>
  <c r="AX36" i="8" s="1"/>
  <c r="AW14" i="8"/>
  <c r="AV14" i="8"/>
  <c r="AU14" i="8"/>
  <c r="AT14" i="8"/>
  <c r="AS14" i="8"/>
  <c r="AR14" i="8"/>
  <c r="AQ14" i="8"/>
  <c r="AP14" i="8"/>
  <c r="AO14" i="8"/>
  <c r="AN14" i="8"/>
  <c r="AM14" i="8"/>
  <c r="AL14" i="8"/>
  <c r="AK14" i="8"/>
  <c r="AJ14" i="8"/>
  <c r="AI14" i="8"/>
  <c r="AH14" i="8"/>
  <c r="AG14" i="8"/>
  <c r="AF14" i="8"/>
  <c r="AE14" i="8"/>
  <c r="AD14" i="8"/>
  <c r="AC14" i="8"/>
  <c r="AB14" i="8"/>
  <c r="AA14" i="8"/>
  <c r="Z14" i="8"/>
  <c r="Y14" i="8"/>
  <c r="X14" i="8"/>
  <c r="W14" i="8"/>
  <c r="V14" i="8"/>
  <c r="U14" i="8"/>
  <c r="T14" i="8"/>
  <c r="S14" i="8"/>
  <c r="R14" i="8"/>
  <c r="Q14" i="8"/>
  <c r="P14" i="8"/>
  <c r="O14" i="8"/>
  <c r="N14" i="8"/>
  <c r="M14" i="8"/>
  <c r="L14" i="8"/>
  <c r="K14" i="8"/>
  <c r="J14" i="8"/>
  <c r="I14" i="8"/>
  <c r="H14" i="8"/>
  <c r="G14" i="8"/>
  <c r="F14" i="8"/>
  <c r="E14" i="8"/>
  <c r="D14" i="8"/>
  <c r="AX13" i="8"/>
  <c r="AW13" i="8"/>
  <c r="AV13" i="8"/>
  <c r="AU13" i="8"/>
  <c r="AT13" i="8"/>
  <c r="AS13" i="8"/>
  <c r="AR13" i="8"/>
  <c r="AQ13" i="8"/>
  <c r="AP13" i="8"/>
  <c r="AO13" i="8"/>
  <c r="AN13" i="8"/>
  <c r="AM13" i="8"/>
  <c r="AL13" i="8"/>
  <c r="AK13" i="8"/>
  <c r="AJ13" i="8"/>
  <c r="AI13" i="8"/>
  <c r="AH13" i="8"/>
  <c r="AG13" i="8"/>
  <c r="AF13" i="8"/>
  <c r="AE13" i="8"/>
  <c r="AD13" i="8"/>
  <c r="AC13" i="8"/>
  <c r="AB13" i="8"/>
  <c r="AA13" i="8"/>
  <c r="Z13" i="8"/>
  <c r="Y13" i="8"/>
  <c r="X13" i="8"/>
  <c r="W13" i="8"/>
  <c r="V13" i="8"/>
  <c r="U13" i="8"/>
  <c r="T13" i="8"/>
  <c r="S13" i="8"/>
  <c r="R13" i="8"/>
  <c r="Q13" i="8"/>
  <c r="P13" i="8"/>
  <c r="O13" i="8"/>
  <c r="N13" i="8"/>
  <c r="M13" i="8"/>
  <c r="L13" i="8"/>
  <c r="K13" i="8"/>
  <c r="J13" i="8"/>
  <c r="I13" i="8"/>
  <c r="H13" i="8"/>
  <c r="G13" i="8"/>
  <c r="F13" i="8"/>
  <c r="E13" i="8"/>
  <c r="D13" i="8"/>
  <c r="AX12" i="8"/>
  <c r="AW12" i="8"/>
  <c r="AV12" i="8"/>
  <c r="AU12" i="8"/>
  <c r="AT12" i="8"/>
  <c r="AS12" i="8"/>
  <c r="AR12" i="8"/>
  <c r="AQ12" i="8"/>
  <c r="AP12" i="8"/>
  <c r="AO12" i="8"/>
  <c r="AN12" i="8"/>
  <c r="AM12" i="8"/>
  <c r="AL12"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J12" i="8"/>
  <c r="I12" i="8"/>
  <c r="H12" i="8"/>
  <c r="G12" i="8"/>
  <c r="F12" i="8"/>
  <c r="E12" i="8"/>
  <c r="D12"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D9" i="8"/>
  <c r="AX8" i="8"/>
  <c r="AW8" i="8"/>
  <c r="AV8" i="8"/>
  <c r="AU8" i="8"/>
  <c r="AT8" i="8"/>
  <c r="AS8" i="8"/>
  <c r="AR8" i="8"/>
  <c r="AQ8" i="8"/>
  <c r="AP8" i="8"/>
  <c r="AO8" i="8"/>
  <c r="AN8" i="8"/>
  <c r="AM8" i="8"/>
  <c r="AL8" i="8"/>
  <c r="AK8" i="8"/>
  <c r="AJ8" i="8"/>
  <c r="AI8" i="8"/>
  <c r="AH8" i="8"/>
  <c r="AG8" i="8"/>
  <c r="AF8" i="8"/>
  <c r="AE8" i="8"/>
  <c r="AD8" i="8"/>
  <c r="AC8" i="8"/>
  <c r="AB8" i="8"/>
  <c r="AA8" i="8"/>
  <c r="Z8" i="8"/>
  <c r="Y8" i="8"/>
  <c r="X8" i="8"/>
  <c r="W8" i="8"/>
  <c r="V8" i="8"/>
  <c r="U8" i="8"/>
  <c r="T8" i="8"/>
  <c r="S8" i="8"/>
  <c r="R8" i="8"/>
  <c r="Q8" i="8"/>
  <c r="P8" i="8"/>
  <c r="O8" i="8"/>
  <c r="N8" i="8"/>
  <c r="M8" i="8"/>
  <c r="L8" i="8"/>
  <c r="K8" i="8"/>
  <c r="J8" i="8"/>
  <c r="I8" i="8"/>
  <c r="H8" i="8"/>
  <c r="G8" i="8"/>
  <c r="F8" i="8"/>
  <c r="E8" i="8"/>
  <c r="D8" i="8"/>
  <c r="AX7" i="8"/>
  <c r="AX10" i="8" s="1"/>
  <c r="AX37" i="8" s="1"/>
  <c r="AW7" i="8"/>
  <c r="AV7" i="8"/>
  <c r="AU7" i="8"/>
  <c r="AU10" i="8" s="1"/>
  <c r="AT7" i="8"/>
  <c r="AS7" i="8"/>
  <c r="AR7" i="8"/>
  <c r="AR10" i="8" s="1"/>
  <c r="AQ7" i="8"/>
  <c r="AP7" i="8"/>
  <c r="AP10" i="8" s="1"/>
  <c r="AO7" i="8"/>
  <c r="AO10" i="8" s="1"/>
  <c r="AN7" i="8"/>
  <c r="AM7" i="8"/>
  <c r="AL7" i="8"/>
  <c r="AK7" i="8"/>
  <c r="AK10" i="8" s="1"/>
  <c r="AJ7" i="8"/>
  <c r="AI7" i="8"/>
  <c r="AH7" i="8"/>
  <c r="AH10" i="8" s="1"/>
  <c r="AG7" i="8"/>
  <c r="AF7" i="8"/>
  <c r="AE7" i="8"/>
  <c r="AE10" i="8" s="1"/>
  <c r="AD7" i="8"/>
  <c r="AC7" i="8"/>
  <c r="AB7" i="8"/>
  <c r="AB10" i="8" s="1"/>
  <c r="AA7" i="8"/>
  <c r="AA10" i="8" s="1"/>
  <c r="Z7" i="8"/>
  <c r="Z10" i="8" s="1"/>
  <c r="Y7" i="8"/>
  <c r="Y10" i="8" s="1"/>
  <c r="X7" i="8"/>
  <c r="W7" i="8"/>
  <c r="V7" i="8"/>
  <c r="U7" i="8"/>
  <c r="T7" i="8"/>
  <c r="S7" i="8"/>
  <c r="S10" i="8" s="1"/>
  <c r="R7" i="8"/>
  <c r="R10" i="8" s="1"/>
  <c r="Q7" i="8"/>
  <c r="P7" i="8"/>
  <c r="O7" i="8"/>
  <c r="O10" i="8" s="1"/>
  <c r="N7" i="8"/>
  <c r="M7" i="8"/>
  <c r="L7" i="8"/>
  <c r="L10" i="8" s="1"/>
  <c r="K7" i="8"/>
  <c r="K10" i="8" s="1"/>
  <c r="J7" i="8"/>
  <c r="J10" i="8" s="1"/>
  <c r="I7" i="8"/>
  <c r="I10" i="8" s="1"/>
  <c r="H7" i="8"/>
  <c r="G7" i="8"/>
  <c r="F7" i="8"/>
  <c r="E7" i="8"/>
  <c r="E10" i="8" s="1"/>
  <c r="D7" i="8"/>
  <c r="AX6" i="8"/>
  <c r="AX46" i="8" s="1"/>
  <c r="AX56" i="8" s="1"/>
  <c r="AX34" i="8"/>
  <c r="AX50" i="8"/>
  <c r="AX52" i="8"/>
  <c r="AX58" i="8" s="1"/>
  <c r="AW6" i="8"/>
  <c r="AV6" i="8"/>
  <c r="AU6" i="8"/>
  <c r="AT6" i="8"/>
  <c r="AS6" i="8"/>
  <c r="AR6" i="8"/>
  <c r="AQ6" i="8"/>
  <c r="AP6" i="8"/>
  <c r="AO6" i="8"/>
  <c r="AN6" i="8"/>
  <c r="AM6" i="8"/>
  <c r="AL6" i="8"/>
  <c r="AK6" i="8"/>
  <c r="AJ6" i="8"/>
  <c r="AI6" i="8"/>
  <c r="AH6" i="8"/>
  <c r="AG6" i="8"/>
  <c r="AF6" i="8"/>
  <c r="AE6" i="8"/>
  <c r="AD6" i="8"/>
  <c r="AC6" i="8"/>
  <c r="AB6" i="8"/>
  <c r="AA6" i="8"/>
  <c r="Z6" i="8"/>
  <c r="Y6" i="8"/>
  <c r="X6" i="8"/>
  <c r="W6" i="8"/>
  <c r="V6" i="8"/>
  <c r="U6" i="8"/>
  <c r="T6" i="8"/>
  <c r="S6" i="8"/>
  <c r="R6" i="8"/>
  <c r="Q6" i="8"/>
  <c r="P6" i="8"/>
  <c r="O6" i="8"/>
  <c r="N6" i="8"/>
  <c r="M6" i="8"/>
  <c r="L6" i="8"/>
  <c r="K6" i="8"/>
  <c r="J6" i="8"/>
  <c r="I6" i="8"/>
  <c r="H6" i="8"/>
  <c r="G6" i="8"/>
  <c r="F6" i="8"/>
  <c r="E6" i="8"/>
  <c r="D6" i="8"/>
  <c r="C6" i="8"/>
  <c r="C7" i="8"/>
  <c r="C15" i="8"/>
  <c r="C14" i="8"/>
  <c r="AK5" i="6"/>
  <c r="AJ5" i="6"/>
  <c r="U5" i="6"/>
  <c r="T5" i="6"/>
  <c r="E5" i="6"/>
  <c r="D5" i="6"/>
  <c r="AX4" i="6"/>
  <c r="AW4" i="6"/>
  <c r="AV4" i="6"/>
  <c r="AU4" i="6"/>
  <c r="AT4" i="6"/>
  <c r="AS4" i="6"/>
  <c r="AR4" i="6"/>
  <c r="AQ4" i="6"/>
  <c r="AP4" i="6"/>
  <c r="AO4" i="6"/>
  <c r="AN4" i="6"/>
  <c r="AM4" i="6"/>
  <c r="AL4" i="6"/>
  <c r="AK4" i="6"/>
  <c r="AJ4" i="6"/>
  <c r="AI4" i="6"/>
  <c r="AH4" i="6"/>
  <c r="AG4" i="6"/>
  <c r="AF4" i="6"/>
  <c r="AE4" i="6"/>
  <c r="AD4" i="6"/>
  <c r="AC4" i="6"/>
  <c r="AB4" i="6"/>
  <c r="AA4" i="6"/>
  <c r="Z4" i="6"/>
  <c r="Y4" i="6"/>
  <c r="X4" i="6"/>
  <c r="W4" i="6"/>
  <c r="V4" i="6"/>
  <c r="U4" i="6"/>
  <c r="T4" i="6"/>
  <c r="S4" i="6"/>
  <c r="R4" i="6"/>
  <c r="Q4" i="6"/>
  <c r="P4" i="6"/>
  <c r="O4" i="6"/>
  <c r="N4" i="6"/>
  <c r="M4" i="6"/>
  <c r="L4" i="6"/>
  <c r="K4" i="6"/>
  <c r="J4" i="6"/>
  <c r="I4" i="6"/>
  <c r="H4" i="6"/>
  <c r="G4" i="6"/>
  <c r="F4" i="6"/>
  <c r="E4" i="6"/>
  <c r="D4" i="6"/>
  <c r="AX3" i="6"/>
  <c r="AW3" i="6"/>
  <c r="AV3" i="6"/>
  <c r="AU3" i="6"/>
  <c r="AT3" i="6"/>
  <c r="AS3" i="6"/>
  <c r="AR3" i="6"/>
  <c r="AQ3" i="6"/>
  <c r="AP3" i="6"/>
  <c r="AO3" i="6"/>
  <c r="AN3" i="6"/>
  <c r="AM3" i="6"/>
  <c r="AL3" i="6"/>
  <c r="AK3" i="6"/>
  <c r="AJ3" i="6"/>
  <c r="AI3" i="6"/>
  <c r="AH3" i="6"/>
  <c r="AG3" i="6"/>
  <c r="AF3" i="6"/>
  <c r="AE3" i="6"/>
  <c r="AD3" i="6"/>
  <c r="AC3" i="6"/>
  <c r="AB3" i="6"/>
  <c r="AA3" i="6"/>
  <c r="Z3" i="6"/>
  <c r="Y3" i="6"/>
  <c r="X3" i="6"/>
  <c r="W3" i="6"/>
  <c r="V3" i="6"/>
  <c r="U3" i="6"/>
  <c r="T3" i="6"/>
  <c r="S3" i="6"/>
  <c r="R3" i="6"/>
  <c r="Q3" i="6"/>
  <c r="P3" i="6"/>
  <c r="O3" i="6"/>
  <c r="N3" i="6"/>
  <c r="M3" i="6"/>
  <c r="L3" i="6"/>
  <c r="K3" i="6"/>
  <c r="J3" i="6"/>
  <c r="I3" i="6"/>
  <c r="H3" i="6"/>
  <c r="G3" i="6"/>
  <c r="F3" i="6"/>
  <c r="E3" i="6"/>
  <c r="D3" i="6"/>
  <c r="AX2" i="6"/>
  <c r="AW2" i="6"/>
  <c r="AV2" i="6"/>
  <c r="AU2" i="6"/>
  <c r="AT2" i="6"/>
  <c r="AS2"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M2" i="6"/>
  <c r="L2" i="6"/>
  <c r="K2" i="6"/>
  <c r="J2" i="6"/>
  <c r="I2" i="6"/>
  <c r="H2" i="6"/>
  <c r="G2" i="6"/>
  <c r="F2" i="6"/>
  <c r="E2" i="6"/>
  <c r="D2" i="6"/>
  <c r="AX1" i="6"/>
  <c r="AX5" i="6" s="1"/>
  <c r="AW1" i="6"/>
  <c r="AW5" i="6" s="1"/>
  <c r="AV1" i="6"/>
  <c r="AV5" i="6" s="1"/>
  <c r="AU1" i="6"/>
  <c r="AU5" i="6" s="1"/>
  <c r="AT1" i="6"/>
  <c r="AT5" i="6" s="1"/>
  <c r="AS1" i="6"/>
  <c r="AS5" i="6" s="1"/>
  <c r="AR1" i="6"/>
  <c r="AR5" i="6" s="1"/>
  <c r="AQ1" i="6"/>
  <c r="AQ5" i="6" s="1"/>
  <c r="AP1" i="6"/>
  <c r="AP5" i="6" s="1"/>
  <c r="AO1" i="6"/>
  <c r="AO5" i="6" s="1"/>
  <c r="AN1" i="6"/>
  <c r="AN5" i="6" s="1"/>
  <c r="AM1" i="6"/>
  <c r="AM5" i="6" s="1"/>
  <c r="AL1" i="6"/>
  <c r="AL5" i="6" s="1"/>
  <c r="AK1" i="6"/>
  <c r="AJ1" i="6"/>
  <c r="AI1" i="6"/>
  <c r="AI5" i="6" s="1"/>
  <c r="AH1" i="6"/>
  <c r="AH5" i="6" s="1"/>
  <c r="AG1" i="6"/>
  <c r="AG5" i="6" s="1"/>
  <c r="AF1" i="6"/>
  <c r="AF5" i="6" s="1"/>
  <c r="AE1" i="6"/>
  <c r="AE5" i="6" s="1"/>
  <c r="AD1" i="6"/>
  <c r="AD5" i="6" s="1"/>
  <c r="AC1" i="6"/>
  <c r="AC5" i="6" s="1"/>
  <c r="AB1" i="6"/>
  <c r="AB5" i="6" s="1"/>
  <c r="AA1" i="6"/>
  <c r="AA5" i="6" s="1"/>
  <c r="Z1" i="6"/>
  <c r="Z5" i="6" s="1"/>
  <c r="Y1" i="6"/>
  <c r="Y5" i="6" s="1"/>
  <c r="X1" i="6"/>
  <c r="X5" i="6" s="1"/>
  <c r="W1" i="6"/>
  <c r="W5" i="6" s="1"/>
  <c r="V1" i="6"/>
  <c r="V5" i="6" s="1"/>
  <c r="U1" i="6"/>
  <c r="T1" i="6"/>
  <c r="S1" i="6"/>
  <c r="S5" i="6" s="1"/>
  <c r="R1" i="6"/>
  <c r="R5" i="6" s="1"/>
  <c r="Q1" i="6"/>
  <c r="Q5" i="6" s="1"/>
  <c r="P1" i="6"/>
  <c r="P5" i="6" s="1"/>
  <c r="O1" i="6"/>
  <c r="O5" i="6" s="1"/>
  <c r="N1" i="6"/>
  <c r="N5" i="6" s="1"/>
  <c r="M1" i="6"/>
  <c r="M5" i="6" s="1"/>
  <c r="L1" i="6"/>
  <c r="L5" i="6" s="1"/>
  <c r="K1" i="6"/>
  <c r="K5" i="6" s="1"/>
  <c r="J1" i="6"/>
  <c r="J5" i="6" s="1"/>
  <c r="I1" i="6"/>
  <c r="I5" i="6" s="1"/>
  <c r="H1" i="6"/>
  <c r="H5" i="6" s="1"/>
  <c r="G1" i="6"/>
  <c r="G5" i="6" s="1"/>
  <c r="F1" i="6"/>
  <c r="F5" i="6" s="1"/>
  <c r="E1" i="6"/>
  <c r="D1" i="6"/>
  <c r="C4" i="6"/>
  <c r="C3" i="6"/>
  <c r="C2" i="6"/>
  <c r="D12" i="7" s="1"/>
  <c r="C1" i="6"/>
  <c r="D11" i="7" s="1"/>
  <c r="D13" i="7"/>
  <c r="D9" i="7"/>
  <c r="D8" i="7"/>
  <c r="D7" i="7"/>
  <c r="C13" i="7"/>
  <c r="C12" i="7"/>
  <c r="C11" i="7"/>
  <c r="C9" i="7"/>
  <c r="C8" i="7"/>
  <c r="C7" i="7"/>
  <c r="AK5" i="1"/>
  <c r="U5" i="1"/>
  <c r="AZ4" i="1"/>
  <c r="AY4" i="1"/>
  <c r="AX4" i="1"/>
  <c r="AW4" i="1"/>
  <c r="AV4" i="1"/>
  <c r="AU4" i="1"/>
  <c r="AT4" i="1"/>
  <c r="AS4" i="1"/>
  <c r="AR4" i="1"/>
  <c r="AQ4" i="1"/>
  <c r="AP4" i="1"/>
  <c r="AO4" i="1"/>
  <c r="AN4" i="1"/>
  <c r="AM4" i="1"/>
  <c r="AL4" i="1"/>
  <c r="AK4" i="1"/>
  <c r="AJ4" i="1"/>
  <c r="AI4" i="1"/>
  <c r="AH4" i="1"/>
  <c r="AG4" i="1"/>
  <c r="AF4" i="1"/>
  <c r="AE4" i="1"/>
  <c r="AD4" i="1"/>
  <c r="AC4" i="1"/>
  <c r="AB4" i="1"/>
  <c r="AA4" i="1"/>
  <c r="Z4" i="1"/>
  <c r="Y4" i="1"/>
  <c r="X4" i="1"/>
  <c r="W4" i="1"/>
  <c r="V4" i="1"/>
  <c r="U4" i="1"/>
  <c r="T4" i="1"/>
  <c r="S4" i="1"/>
  <c r="R4" i="1"/>
  <c r="Q4" i="1"/>
  <c r="P4" i="1"/>
  <c r="O4" i="1"/>
  <c r="N4" i="1"/>
  <c r="M4" i="1"/>
  <c r="L4" i="1"/>
  <c r="K4" i="1"/>
  <c r="J4" i="1"/>
  <c r="I4" i="1"/>
  <c r="H4" i="1"/>
  <c r="G4" i="1"/>
  <c r="F4" i="1"/>
  <c r="E4" i="1"/>
  <c r="D4" i="1"/>
  <c r="AZ3" i="1"/>
  <c r="AY3" i="1"/>
  <c r="AX3" i="1"/>
  <c r="AW3" i="1"/>
  <c r="AV3" i="1"/>
  <c r="AU3" i="1"/>
  <c r="AT3" i="1"/>
  <c r="AS3" i="1"/>
  <c r="AR3" i="1"/>
  <c r="AQ3" i="1"/>
  <c r="AP3" i="1"/>
  <c r="AO3" i="1"/>
  <c r="AN3" i="1"/>
  <c r="AM3" i="1"/>
  <c r="AL3" i="1"/>
  <c r="AK3" i="1"/>
  <c r="AJ3" i="1"/>
  <c r="AI3" i="1"/>
  <c r="AH3" i="1"/>
  <c r="AG3" i="1"/>
  <c r="AF3" i="1"/>
  <c r="AE3" i="1"/>
  <c r="AD3" i="1"/>
  <c r="AC3" i="1"/>
  <c r="AB3" i="1"/>
  <c r="AA3" i="1"/>
  <c r="Z3" i="1"/>
  <c r="Y3" i="1"/>
  <c r="X3" i="1"/>
  <c r="W3" i="1"/>
  <c r="V3" i="1"/>
  <c r="U3" i="1"/>
  <c r="T3" i="1"/>
  <c r="S3" i="1"/>
  <c r="R3" i="1"/>
  <c r="Q3" i="1"/>
  <c r="P3" i="1"/>
  <c r="O3" i="1"/>
  <c r="N3" i="1"/>
  <c r="M3" i="1"/>
  <c r="L3" i="1"/>
  <c r="K3" i="1"/>
  <c r="J3" i="1"/>
  <c r="I3" i="1"/>
  <c r="H3" i="1"/>
  <c r="G3" i="1"/>
  <c r="F3" i="1"/>
  <c r="E3" i="1"/>
  <c r="D3" i="1"/>
  <c r="AZ2" i="1"/>
  <c r="AY2" i="1"/>
  <c r="AX2" i="1"/>
  <c r="AW2" i="1"/>
  <c r="AV2" i="1"/>
  <c r="AU2" i="1"/>
  <c r="AT2" i="1"/>
  <c r="AS2" i="1"/>
  <c r="AR2" i="1"/>
  <c r="AQ2" i="1"/>
  <c r="AP2" i="1"/>
  <c r="AO2" i="1"/>
  <c r="AN2" i="1"/>
  <c r="AM2" i="1"/>
  <c r="AL2" i="1"/>
  <c r="AK2" i="1"/>
  <c r="AJ2" i="1"/>
  <c r="AI2" i="1"/>
  <c r="AH2" i="1"/>
  <c r="AG2" i="1"/>
  <c r="AF2" i="1"/>
  <c r="AE2" i="1"/>
  <c r="AD2" i="1"/>
  <c r="AC2" i="1"/>
  <c r="AB2" i="1"/>
  <c r="AA2" i="1"/>
  <c r="Z2" i="1"/>
  <c r="Y2" i="1"/>
  <c r="X2" i="1"/>
  <c r="W2" i="1"/>
  <c r="V2" i="1"/>
  <c r="U2" i="1"/>
  <c r="T2" i="1"/>
  <c r="S2" i="1"/>
  <c r="R2" i="1"/>
  <c r="Q2" i="1"/>
  <c r="P2" i="1"/>
  <c r="O2" i="1"/>
  <c r="N2" i="1"/>
  <c r="M2" i="1"/>
  <c r="L2" i="1"/>
  <c r="K2" i="1"/>
  <c r="J2" i="1"/>
  <c r="I2" i="1"/>
  <c r="H2" i="1"/>
  <c r="G2" i="1"/>
  <c r="F2" i="1"/>
  <c r="E2" i="1"/>
  <c r="D2" i="1"/>
  <c r="AZ1" i="1"/>
  <c r="AZ5" i="1" s="1"/>
  <c r="AY1" i="1"/>
  <c r="AY5" i="1" s="1"/>
  <c r="AX1" i="1"/>
  <c r="AX5" i="1" s="1"/>
  <c r="AW1" i="1"/>
  <c r="AW5" i="1" s="1"/>
  <c r="AV1" i="1"/>
  <c r="AV5" i="1" s="1"/>
  <c r="AU1" i="1"/>
  <c r="AU5" i="1" s="1"/>
  <c r="AT1" i="1"/>
  <c r="AT5" i="1" s="1"/>
  <c r="AS1" i="1"/>
  <c r="AS5" i="1" s="1"/>
  <c r="AR1" i="1"/>
  <c r="AR5" i="1" s="1"/>
  <c r="AQ1" i="1"/>
  <c r="AQ5" i="1" s="1"/>
  <c r="AP1" i="1"/>
  <c r="AP5" i="1" s="1"/>
  <c r="AO1" i="1"/>
  <c r="AO5" i="1" s="1"/>
  <c r="AN1" i="1"/>
  <c r="AN5" i="1" s="1"/>
  <c r="AM1" i="1"/>
  <c r="AM5" i="1" s="1"/>
  <c r="AL1" i="1"/>
  <c r="AL5" i="1" s="1"/>
  <c r="AK1" i="1"/>
  <c r="AJ1" i="1"/>
  <c r="AJ5" i="1" s="1"/>
  <c r="AI1" i="1"/>
  <c r="AI5" i="1" s="1"/>
  <c r="AH1" i="1"/>
  <c r="AH5" i="1" s="1"/>
  <c r="AG1" i="1"/>
  <c r="AG5" i="1" s="1"/>
  <c r="AF1" i="1"/>
  <c r="AF5" i="1" s="1"/>
  <c r="AE1" i="1"/>
  <c r="AE5" i="1" s="1"/>
  <c r="AD1" i="1"/>
  <c r="AD5" i="1" s="1"/>
  <c r="AC1" i="1"/>
  <c r="AC5" i="1" s="1"/>
  <c r="AB1" i="1"/>
  <c r="AB5" i="1" s="1"/>
  <c r="AA1" i="1"/>
  <c r="AA5" i="1" s="1"/>
  <c r="Z1" i="1"/>
  <c r="Z5" i="1" s="1"/>
  <c r="Y1" i="1"/>
  <c r="Y5" i="1" s="1"/>
  <c r="X1" i="1"/>
  <c r="X5" i="1" s="1"/>
  <c r="W1" i="1"/>
  <c r="W5" i="1" s="1"/>
  <c r="V1" i="1"/>
  <c r="V5" i="1" s="1"/>
  <c r="U1" i="1"/>
  <c r="T1" i="1"/>
  <c r="T5" i="1" s="1"/>
  <c r="S1" i="1"/>
  <c r="S5" i="1" s="1"/>
  <c r="R1" i="1"/>
  <c r="R5" i="1" s="1"/>
  <c r="Q1" i="1"/>
  <c r="Q5" i="1" s="1"/>
  <c r="P1" i="1"/>
  <c r="P5" i="1" s="1"/>
  <c r="O1" i="1"/>
  <c r="O5" i="1" s="1"/>
  <c r="N1" i="1"/>
  <c r="N5" i="1" s="1"/>
  <c r="M1" i="1"/>
  <c r="M5" i="1" s="1"/>
  <c r="L1" i="1"/>
  <c r="L5" i="1" s="1"/>
  <c r="K1" i="1"/>
  <c r="K5" i="1" s="1"/>
  <c r="J1" i="1"/>
  <c r="J5" i="1" s="1"/>
  <c r="I1" i="1"/>
  <c r="I5" i="1" s="1"/>
  <c r="H1" i="1"/>
  <c r="H5" i="1" s="1"/>
  <c r="G1" i="1"/>
  <c r="G5" i="1" s="1"/>
  <c r="F1" i="1"/>
  <c r="F5" i="1" s="1"/>
  <c r="E1" i="1"/>
  <c r="E5" i="1" s="1"/>
  <c r="D1" i="1"/>
  <c r="D5" i="1" s="1"/>
  <c r="C1" i="1"/>
  <c r="C4" i="1"/>
  <c r="C2" i="1"/>
  <c r="F11" i="7" a="1"/>
  <c r="F7" i="7" a="1"/>
  <c r="AP5" i="7" a="1"/>
  <c r="AH5" i="7" a="1"/>
  <c r="Z5" i="7" a="1"/>
  <c r="J5" i="7" a="1"/>
  <c r="AX5" i="7" a="1"/>
  <c r="R5" i="7" a="1"/>
  <c r="AO5" i="7" a="1"/>
  <c r="Y5" i="7" a="1"/>
  <c r="Q5" i="7" a="1"/>
  <c r="AW5" i="7" a="1"/>
  <c r="AG5" i="7" a="1"/>
  <c r="I5" i="7" a="1"/>
  <c r="AV5" i="7" a="1"/>
  <c r="AN5" i="7" a="1"/>
  <c r="AF5" i="7" a="1"/>
  <c r="X5" i="7" a="1"/>
  <c r="P5" i="7" a="1"/>
  <c r="H5" i="7" a="1"/>
  <c r="AM5" i="7" a="1"/>
  <c r="W5" i="7" a="1"/>
  <c r="G5" i="7" a="1"/>
  <c r="AU5" i="7" a="1"/>
  <c r="AE5" i="7" a="1"/>
  <c r="O5" i="7" a="1"/>
  <c r="AL5" i="7" a="1"/>
  <c r="F5" i="7" a="1"/>
  <c r="AT5" i="7" a="1"/>
  <c r="AD5" i="7" a="1"/>
  <c r="V5" i="7" a="1"/>
  <c r="N5" i="7" a="1"/>
  <c r="AK5" i="7" a="1"/>
  <c r="AC5" i="7" a="1"/>
  <c r="M5" i="7" a="1"/>
  <c r="AS5" i="7" a="1"/>
  <c r="U5" i="7" a="1"/>
  <c r="E5" i="7" a="1"/>
  <c r="AJ5" i="7" a="1"/>
  <c r="AB5" i="7" a="1"/>
  <c r="L5" i="7" a="1"/>
  <c r="D5" i="7" a="1"/>
  <c r="AR5" i="7" a="1"/>
  <c r="T5" i="7" a="1"/>
  <c r="AQ5" i="7" a="1"/>
  <c r="AI5" i="7" a="1"/>
  <c r="AA5" i="7" a="1"/>
  <c r="S5" i="7" a="1"/>
  <c r="K5" i="7" a="1"/>
  <c r="C5" i="7" a="1"/>
  <c r="AC3" i="7" a="1"/>
  <c r="W2" i="7" a="1"/>
  <c r="AS3" i="7" a="1"/>
  <c r="AK3" i="7" a="1"/>
  <c r="U3" i="7" a="1"/>
  <c r="M3" i="7" a="1"/>
  <c r="E3" i="7" a="1"/>
  <c r="AU2" i="7" a="1"/>
  <c r="AM2" i="7" a="1"/>
  <c r="AE2" i="7" a="1"/>
  <c r="O2" i="7" a="1"/>
  <c r="G2" i="7" a="1"/>
  <c r="K3" i="7" a="1"/>
  <c r="AR3" i="7" a="1"/>
  <c r="AJ3" i="7" a="1"/>
  <c r="AB3" i="7" a="1"/>
  <c r="T3" i="7" a="1"/>
  <c r="L3" i="7" a="1"/>
  <c r="D3" i="7" a="1"/>
  <c r="AT2" i="7" a="1"/>
  <c r="AL2" i="7" a="1"/>
  <c r="AD2" i="7" a="1"/>
  <c r="V2" i="7" a="1"/>
  <c r="N2" i="7" a="1"/>
  <c r="F2" i="7" a="1"/>
  <c r="S3" i="7" a="1"/>
  <c r="AS2" i="7" a="1"/>
  <c r="AC2" i="7" a="1"/>
  <c r="M2" i="7" a="1"/>
  <c r="AA3" i="7" a="1"/>
  <c r="AQ3" i="7" a="1"/>
  <c r="AI3" i="7" a="1"/>
  <c r="AK2" i="7" a="1"/>
  <c r="U2" i="7" a="1"/>
  <c r="E2" i="7" a="1"/>
  <c r="AX3" i="7" a="1"/>
  <c r="AP3" i="7" a="1"/>
  <c r="AH3" i="7" a="1"/>
  <c r="Z3" i="7" a="1"/>
  <c r="R3" i="7" a="1"/>
  <c r="J3" i="7" a="1"/>
  <c r="AR2" i="7" a="1"/>
  <c r="AJ2" i="7" a="1"/>
  <c r="AB2" i="7" a="1"/>
  <c r="T2" i="7" a="1"/>
  <c r="L2" i="7" a="1"/>
  <c r="D2" i="7" a="1"/>
  <c r="I3" i="7" a="1"/>
  <c r="AA2" i="7" a="1"/>
  <c r="K2" i="7" a="1"/>
  <c r="AF2" i="7" a="1"/>
  <c r="Q3" i="7" a="1"/>
  <c r="AW3" i="7" a="1"/>
  <c r="AO3" i="7" a="1"/>
  <c r="AG3" i="7" a="1"/>
  <c r="Y3" i="7" a="1"/>
  <c r="AQ2" i="7" a="1"/>
  <c r="AI2" i="7" a="1"/>
  <c r="S2" i="7" a="1"/>
  <c r="AL3" i="7" a="1"/>
  <c r="AV3" i="7" a="1"/>
  <c r="AN3" i="7" a="1"/>
  <c r="AF3" i="7" a="1"/>
  <c r="X3" i="7" a="1"/>
  <c r="P3" i="7" a="1"/>
  <c r="H3" i="7" a="1"/>
  <c r="AX2" i="7" a="1"/>
  <c r="AP2" i="7" a="1"/>
  <c r="AH2" i="7" a="1"/>
  <c r="Z2" i="7" a="1"/>
  <c r="R2" i="7" a="1"/>
  <c r="J2" i="7" a="1"/>
  <c r="AT3" i="7" a="1"/>
  <c r="V3" i="7" a="1"/>
  <c r="N3" i="7" a="1"/>
  <c r="F3" i="7" a="1"/>
  <c r="AV2" i="7" a="1"/>
  <c r="H2" i="7" a="1"/>
  <c r="I2" i="7" a="1"/>
  <c r="P2" i="7" a="1"/>
  <c r="AU3" i="7" a="1"/>
  <c r="AM3" i="7" a="1"/>
  <c r="AE3" i="7" a="1"/>
  <c r="W3" i="7" a="1"/>
  <c r="O3" i="7" a="1"/>
  <c r="G3" i="7" a="1"/>
  <c r="AW2" i="7" a="1"/>
  <c r="AO2" i="7" a="1"/>
  <c r="AG2" i="7" a="1"/>
  <c r="Y2" i="7" a="1"/>
  <c r="Q2" i="7" a="1"/>
  <c r="AD3" i="7" a="1"/>
  <c r="X2" i="7" a="1"/>
  <c r="AN2" i="7" a="1"/>
  <c r="C3" i="7" a="1"/>
  <c r="C2" i="7" a="1"/>
  <c r="P10" i="8" l="1"/>
  <c r="AF10" i="8"/>
  <c r="AV10" i="8"/>
  <c r="Q10" i="8"/>
  <c r="AG10" i="8"/>
  <c r="AW10" i="8"/>
  <c r="U10" i="8"/>
  <c r="G10" i="8"/>
  <c r="W10" i="8"/>
  <c r="H10" i="8"/>
  <c r="X10" i="8"/>
  <c r="AN10" i="8"/>
  <c r="N10" i="8"/>
  <c r="AD10" i="8"/>
  <c r="AT10" i="8"/>
  <c r="F10" i="8"/>
  <c r="V10" i="8"/>
  <c r="AL10" i="8"/>
  <c r="AM10" i="8"/>
  <c r="AQ10" i="8"/>
  <c r="M10" i="8"/>
  <c r="AC10" i="8"/>
  <c r="AS10" i="8"/>
  <c r="AI10" i="8"/>
  <c r="D10" i="8"/>
  <c r="T10" i="8"/>
  <c r="AJ10" i="8"/>
  <c r="AX39" i="8"/>
  <c r="AX31" i="8"/>
  <c r="AX35" i="8"/>
  <c r="AX40" i="8" s="1"/>
  <c r="AX41" i="8"/>
  <c r="AX45" i="8" s="1"/>
  <c r="AX30" i="8"/>
  <c r="AX43" i="8" s="1"/>
  <c r="AX47" i="8" s="1"/>
  <c r="F11" i="7"/>
  <c r="C5" i="6"/>
  <c r="F7" i="7"/>
  <c r="K5" i="7"/>
  <c r="S5" i="7"/>
  <c r="AA5" i="7"/>
  <c r="AI5" i="7"/>
  <c r="AQ5" i="7"/>
  <c r="T5" i="7"/>
  <c r="AR5" i="7"/>
  <c r="D5" i="7"/>
  <c r="L5" i="7"/>
  <c r="AB5" i="7"/>
  <c r="AJ5" i="7"/>
  <c r="E5" i="7"/>
  <c r="U5" i="7"/>
  <c r="AS5" i="7"/>
  <c r="M5" i="7"/>
  <c r="AC5" i="7"/>
  <c r="AK5" i="7"/>
  <c r="N5" i="7"/>
  <c r="V5" i="7"/>
  <c r="AD5" i="7"/>
  <c r="AT5" i="7"/>
  <c r="F5" i="7"/>
  <c r="AL5" i="7"/>
  <c r="O5" i="7"/>
  <c r="AE5" i="7"/>
  <c r="AU5" i="7"/>
  <c r="G5" i="7"/>
  <c r="W5" i="7"/>
  <c r="AM5" i="7"/>
  <c r="H5" i="7"/>
  <c r="P5" i="7"/>
  <c r="X5" i="7"/>
  <c r="AF5" i="7"/>
  <c r="AN5" i="7"/>
  <c r="AV5" i="7"/>
  <c r="I5" i="7"/>
  <c r="AG5" i="7"/>
  <c r="AW5" i="7"/>
  <c r="Q5" i="7"/>
  <c r="Y5" i="7"/>
  <c r="AO5" i="7"/>
  <c r="R5" i="7"/>
  <c r="AX5" i="7"/>
  <c r="J5" i="7"/>
  <c r="Z5" i="7"/>
  <c r="AH5" i="7"/>
  <c r="AP5" i="7"/>
  <c r="C5" i="7"/>
  <c r="AN2" i="7"/>
  <c r="X2" i="7"/>
  <c r="AD3" i="7"/>
  <c r="Q2" i="7"/>
  <c r="Y2" i="7"/>
  <c r="AG2" i="7"/>
  <c r="AO2" i="7"/>
  <c r="AW2" i="7"/>
  <c r="G3" i="7"/>
  <c r="O3" i="7"/>
  <c r="W3" i="7"/>
  <c r="AE3" i="7"/>
  <c r="AM3" i="7"/>
  <c r="AU3" i="7"/>
  <c r="P2" i="7"/>
  <c r="I2" i="7"/>
  <c r="H2" i="7"/>
  <c r="AV2" i="7"/>
  <c r="F3" i="7"/>
  <c r="N3" i="7"/>
  <c r="V3" i="7"/>
  <c r="AT3" i="7"/>
  <c r="J2" i="7"/>
  <c r="R2" i="7"/>
  <c r="Z2" i="7"/>
  <c r="AH2" i="7"/>
  <c r="AP2" i="7"/>
  <c r="AX2" i="7"/>
  <c r="H3" i="7"/>
  <c r="P3" i="7"/>
  <c r="X3" i="7"/>
  <c r="AF3" i="7"/>
  <c r="AN3" i="7"/>
  <c r="AV3" i="7"/>
  <c r="AL3" i="7"/>
  <c r="S2" i="7"/>
  <c r="AI2" i="7"/>
  <c r="AQ2" i="7"/>
  <c r="Y3" i="7"/>
  <c r="AG3" i="7"/>
  <c r="AO3" i="7"/>
  <c r="AW3" i="7"/>
  <c r="Q3" i="7"/>
  <c r="AF2" i="7"/>
  <c r="K2" i="7"/>
  <c r="AA2" i="7"/>
  <c r="I3" i="7"/>
  <c r="D2" i="7"/>
  <c r="L2" i="7"/>
  <c r="T2" i="7"/>
  <c r="AB2" i="7"/>
  <c r="AJ2" i="7"/>
  <c r="AR2" i="7"/>
  <c r="J3" i="7"/>
  <c r="R3" i="7"/>
  <c r="Z3" i="7"/>
  <c r="AH3" i="7"/>
  <c r="AP3" i="7"/>
  <c r="AX3" i="7"/>
  <c r="E2" i="7"/>
  <c r="U2" i="7"/>
  <c r="AK2" i="7"/>
  <c r="AI3" i="7"/>
  <c r="AQ3" i="7"/>
  <c r="AA3" i="7"/>
  <c r="M2" i="7"/>
  <c r="AC2" i="7"/>
  <c r="AS2" i="7"/>
  <c r="S3" i="7"/>
  <c r="F2" i="7"/>
  <c r="N2" i="7"/>
  <c r="V2" i="7"/>
  <c r="AD2" i="7"/>
  <c r="AL2" i="7"/>
  <c r="AT2" i="7"/>
  <c r="D3" i="7"/>
  <c r="L3" i="7"/>
  <c r="T3" i="7"/>
  <c r="AB3" i="7"/>
  <c r="AJ3" i="7"/>
  <c r="AR3" i="7"/>
  <c r="K3" i="7"/>
  <c r="G2" i="7"/>
  <c r="O2" i="7"/>
  <c r="AE2" i="7"/>
  <c r="AM2" i="7"/>
  <c r="AU2" i="7"/>
  <c r="E3" i="7"/>
  <c r="M3" i="7"/>
  <c r="U3" i="7"/>
  <c r="AK3" i="7"/>
  <c r="AS3" i="7"/>
  <c r="W2" i="7"/>
  <c r="AC3" i="7"/>
  <c r="C3" i="7"/>
  <c r="C2" i="7"/>
  <c r="AX44" i="8" l="1"/>
  <c r="AX48" i="8" s="1"/>
  <c r="AX51" i="8" s="1"/>
  <c r="AX54" i="8" l="1"/>
  <c r="AX57" i="8"/>
  <c r="B50" i="8" l="1"/>
  <c r="AW32" i="8"/>
  <c r="AN32" i="8"/>
  <c r="AG32" i="8"/>
  <c r="X32" i="8"/>
  <c r="Q32" i="8"/>
  <c r="H32" i="8"/>
  <c r="C3" i="1"/>
  <c r="C9" i="8"/>
  <c r="AW46" i="8"/>
  <c r="AW56" i="8" s="1"/>
  <c r="AV46" i="8"/>
  <c r="AV56" i="8" s="1"/>
  <c r="AU46" i="8"/>
  <c r="AU56" i="8" s="1"/>
  <c r="AT46" i="8"/>
  <c r="AT56" i="8" s="1"/>
  <c r="AS46" i="8"/>
  <c r="AS56" i="8" s="1"/>
  <c r="AR46" i="8"/>
  <c r="AR56" i="8" s="1"/>
  <c r="AQ46" i="8"/>
  <c r="AQ56" i="8" s="1"/>
  <c r="AP46" i="8"/>
  <c r="AP56" i="8" s="1"/>
  <c r="AO46" i="8"/>
  <c r="AO56" i="8" s="1"/>
  <c r="AN46" i="8"/>
  <c r="AN56" i="8" s="1"/>
  <c r="AM46" i="8"/>
  <c r="AM56" i="8" s="1"/>
  <c r="AL46" i="8"/>
  <c r="AL56" i="8" s="1"/>
  <c r="AK46" i="8"/>
  <c r="AK56" i="8" s="1"/>
  <c r="AJ46" i="8"/>
  <c r="AJ56" i="8" s="1"/>
  <c r="AI46" i="8"/>
  <c r="AI56" i="8" s="1"/>
  <c r="AH46" i="8"/>
  <c r="AH56" i="8" s="1"/>
  <c r="AG46" i="8"/>
  <c r="AG56" i="8" s="1"/>
  <c r="AF46" i="8"/>
  <c r="AF56" i="8" s="1"/>
  <c r="AE46" i="8"/>
  <c r="AE56" i="8" s="1"/>
  <c r="AD46" i="8"/>
  <c r="AD56" i="8" s="1"/>
  <c r="AC46" i="8"/>
  <c r="AC56" i="8" s="1"/>
  <c r="AB46" i="8"/>
  <c r="AB56" i="8" s="1"/>
  <c r="AA46" i="8"/>
  <c r="AA56" i="8" s="1"/>
  <c r="Z46" i="8"/>
  <c r="Z56" i="8" s="1"/>
  <c r="Y46" i="8"/>
  <c r="Y56" i="8" s="1"/>
  <c r="X46" i="8"/>
  <c r="X56" i="8" s="1"/>
  <c r="W46" i="8"/>
  <c r="W56" i="8" s="1"/>
  <c r="V46" i="8"/>
  <c r="V56" i="8" s="1"/>
  <c r="U46" i="8"/>
  <c r="U56" i="8" s="1"/>
  <c r="T46" i="8"/>
  <c r="T56" i="8" s="1"/>
  <c r="S46" i="8"/>
  <c r="S56" i="8" s="1"/>
  <c r="R46" i="8"/>
  <c r="R56" i="8" s="1"/>
  <c r="Q46" i="8"/>
  <c r="Q56" i="8" s="1"/>
  <c r="P46" i="8"/>
  <c r="P56" i="8" s="1"/>
  <c r="O46" i="8"/>
  <c r="O56" i="8" s="1"/>
  <c r="N46" i="8"/>
  <c r="N56" i="8" s="1"/>
  <c r="M46" i="8"/>
  <c r="M56" i="8" s="1"/>
  <c r="L46" i="8"/>
  <c r="L56" i="8" s="1"/>
  <c r="K46" i="8"/>
  <c r="K56" i="8" s="1"/>
  <c r="J46" i="8"/>
  <c r="J56" i="8" s="1"/>
  <c r="I46" i="8"/>
  <c r="I56" i="8" s="1"/>
  <c r="H46" i="8"/>
  <c r="H56" i="8" s="1"/>
  <c r="G46" i="8"/>
  <c r="G56" i="8" s="1"/>
  <c r="F46" i="8"/>
  <c r="F56" i="8" s="1"/>
  <c r="E46" i="8"/>
  <c r="E56" i="8" s="1"/>
  <c r="D46" i="8"/>
  <c r="D56" i="8" s="1"/>
  <c r="C46" i="8"/>
  <c r="C56" i="8" s="1"/>
  <c r="L32" i="8" l="1"/>
  <c r="AB32" i="8"/>
  <c r="AR32" i="8"/>
  <c r="O32" i="8"/>
  <c r="AE32" i="8"/>
  <c r="AU32" i="8"/>
  <c r="I32" i="8"/>
  <c r="Y32" i="8"/>
  <c r="AO32" i="8"/>
  <c r="F32" i="8"/>
  <c r="V32" i="8"/>
  <c r="AL32" i="8"/>
  <c r="J32" i="8"/>
  <c r="Z32" i="8"/>
  <c r="AP32" i="8"/>
  <c r="C28" i="8"/>
  <c r="C32" i="8" s="1"/>
  <c r="H31" i="8"/>
  <c r="AN31" i="8"/>
  <c r="G32" i="8"/>
  <c r="W32" i="8"/>
  <c r="AM32" i="8"/>
  <c r="N30" i="8"/>
  <c r="I36" i="8"/>
  <c r="Y36" i="8"/>
  <c r="AO36" i="8"/>
  <c r="J36" i="8"/>
  <c r="Z36" i="8"/>
  <c r="AP36" i="8"/>
  <c r="L36" i="8"/>
  <c r="AB36" i="8"/>
  <c r="AR36" i="8"/>
  <c r="U36" i="8"/>
  <c r="H36" i="8"/>
  <c r="X36" i="8"/>
  <c r="AN36" i="8"/>
  <c r="K36" i="8"/>
  <c r="AQ36" i="8"/>
  <c r="M36" i="8"/>
  <c r="AC36" i="8"/>
  <c r="AS36" i="8"/>
  <c r="AA36" i="8"/>
  <c r="N36" i="8"/>
  <c r="AD36" i="8"/>
  <c r="AT36" i="8"/>
  <c r="C36" i="8"/>
  <c r="O36" i="8"/>
  <c r="AE36" i="8"/>
  <c r="AU36" i="8"/>
  <c r="P36" i="8"/>
  <c r="AF36" i="8"/>
  <c r="AV36" i="8"/>
  <c r="Q36" i="8"/>
  <c r="AG36" i="8"/>
  <c r="AW36" i="8"/>
  <c r="AH36" i="8"/>
  <c r="S36" i="8"/>
  <c r="AI36" i="8"/>
  <c r="R36" i="8"/>
  <c r="D36" i="8"/>
  <c r="T36" i="8"/>
  <c r="AJ36" i="8"/>
  <c r="E36" i="8"/>
  <c r="AK36" i="8"/>
  <c r="F36" i="8"/>
  <c r="V36" i="8"/>
  <c r="AL36" i="8"/>
  <c r="G36" i="8"/>
  <c r="W36" i="8"/>
  <c r="AM36" i="8"/>
  <c r="O31" i="8"/>
  <c r="AE31" i="8"/>
  <c r="AU31" i="8"/>
  <c r="X31" i="8"/>
  <c r="Q31" i="8"/>
  <c r="AG31" i="8"/>
  <c r="AW31" i="8"/>
  <c r="AD30" i="8"/>
  <c r="AT32" i="8"/>
  <c r="P32" i="8"/>
  <c r="AF32" i="8"/>
  <c r="AV32" i="8"/>
  <c r="G31" i="8"/>
  <c r="AR31" i="8"/>
  <c r="N32" i="8"/>
  <c r="M31" i="8"/>
  <c r="AC31" i="8"/>
  <c r="AS31" i="8"/>
  <c r="S30" i="8"/>
  <c r="AI30" i="8"/>
  <c r="D30" i="8"/>
  <c r="T30" i="8"/>
  <c r="AJ30" i="8"/>
  <c r="R31" i="8"/>
  <c r="AH31" i="8"/>
  <c r="H30" i="8"/>
  <c r="X30" i="8"/>
  <c r="AN30" i="8"/>
  <c r="I30" i="8"/>
  <c r="AO30" i="8"/>
  <c r="U31" i="8"/>
  <c r="AK31" i="8"/>
  <c r="AR30" i="8"/>
  <c r="O30" i="8"/>
  <c r="AE30" i="8"/>
  <c r="AU30" i="8"/>
  <c r="Q30" i="8"/>
  <c r="AG30" i="8"/>
  <c r="AW30" i="8"/>
  <c r="G52" i="8"/>
  <c r="G58" i="8" s="1"/>
  <c r="O52" i="8"/>
  <c r="O58" i="8" s="1"/>
  <c r="W52" i="8"/>
  <c r="W58" i="8" s="1"/>
  <c r="AE52" i="8"/>
  <c r="AE58" i="8" s="1"/>
  <c r="AM52" i="8"/>
  <c r="AM58" i="8" s="1"/>
  <c r="AU52" i="8"/>
  <c r="AU58" i="8" s="1"/>
  <c r="AD52" i="8"/>
  <c r="AD58" i="8" s="1"/>
  <c r="V52" i="8"/>
  <c r="V58" i="8" s="1"/>
  <c r="H52" i="8"/>
  <c r="H58" i="8" s="1"/>
  <c r="P52" i="8"/>
  <c r="P58" i="8" s="1"/>
  <c r="X52" i="8"/>
  <c r="X58" i="8" s="1"/>
  <c r="AF52" i="8"/>
  <c r="AF58" i="8" s="1"/>
  <c r="AN52" i="8"/>
  <c r="AN58" i="8" s="1"/>
  <c r="AV52" i="8"/>
  <c r="AV58" i="8" s="1"/>
  <c r="AL52" i="8"/>
  <c r="AL58" i="8" s="1"/>
  <c r="I52" i="8"/>
  <c r="I58" i="8" s="1"/>
  <c r="Q52" i="8"/>
  <c r="Q58" i="8" s="1"/>
  <c r="Y52" i="8"/>
  <c r="Y58" i="8" s="1"/>
  <c r="AG52" i="8"/>
  <c r="AG58" i="8" s="1"/>
  <c r="AO52" i="8"/>
  <c r="AO58" i="8" s="1"/>
  <c r="AW52" i="8"/>
  <c r="AW58" i="8" s="1"/>
  <c r="AT52" i="8"/>
  <c r="AT58" i="8" s="1"/>
  <c r="AP52" i="8"/>
  <c r="AP58" i="8" s="1"/>
  <c r="K52" i="8"/>
  <c r="K58" i="8" s="1"/>
  <c r="S52" i="8"/>
  <c r="S58" i="8" s="1"/>
  <c r="AA52" i="8"/>
  <c r="AA58" i="8" s="1"/>
  <c r="AI52" i="8"/>
  <c r="AI58" i="8" s="1"/>
  <c r="AQ52" i="8"/>
  <c r="AQ58" i="8" s="1"/>
  <c r="AH52" i="8"/>
  <c r="AH58" i="8" s="1"/>
  <c r="Z52" i="8"/>
  <c r="Z58" i="8" s="1"/>
  <c r="D52" i="8"/>
  <c r="D58" i="8" s="1"/>
  <c r="L52" i="8"/>
  <c r="L58" i="8" s="1"/>
  <c r="T52" i="8"/>
  <c r="T58" i="8" s="1"/>
  <c r="AB52" i="8"/>
  <c r="AB58" i="8" s="1"/>
  <c r="AJ52" i="8"/>
  <c r="AJ58" i="8" s="1"/>
  <c r="AR52" i="8"/>
  <c r="AR58" i="8" s="1"/>
  <c r="N52" i="8"/>
  <c r="N58" i="8" s="1"/>
  <c r="F52" i="8"/>
  <c r="F58" i="8" s="1"/>
  <c r="J52" i="8"/>
  <c r="J58" i="8" s="1"/>
  <c r="E52" i="8"/>
  <c r="E58" i="8" s="1"/>
  <c r="M52" i="8"/>
  <c r="M58" i="8" s="1"/>
  <c r="U52" i="8"/>
  <c r="U58" i="8" s="1"/>
  <c r="AC52" i="8"/>
  <c r="AC58" i="8" s="1"/>
  <c r="AK52" i="8"/>
  <c r="AK58" i="8" s="1"/>
  <c r="AS52" i="8"/>
  <c r="AS58" i="8" s="1"/>
  <c r="R52" i="8"/>
  <c r="R58" i="8" s="1"/>
  <c r="C52" i="8"/>
  <c r="C58" i="8" s="1"/>
  <c r="C31" i="8" l="1"/>
  <c r="AO31" i="8"/>
  <c r="I31" i="8"/>
  <c r="Z30" i="8"/>
  <c r="J30" i="8"/>
  <c r="Z31" i="8"/>
  <c r="P30" i="8"/>
  <c r="Y30" i="8"/>
  <c r="AB31" i="8"/>
  <c r="L31" i="8"/>
  <c r="AB30" i="8"/>
  <c r="L30" i="8"/>
  <c r="Y31" i="8"/>
  <c r="V30" i="8"/>
  <c r="V31" i="8"/>
  <c r="F30" i="8"/>
  <c r="AL31" i="8"/>
  <c r="F31" i="8"/>
  <c r="AV30" i="8"/>
  <c r="AL30" i="8"/>
  <c r="AP30" i="8"/>
  <c r="N31" i="8"/>
  <c r="C30" i="8"/>
  <c r="G30" i="8"/>
  <c r="AD31" i="8"/>
  <c r="AM31" i="8"/>
  <c r="AF31" i="8"/>
  <c r="AT30" i="8"/>
  <c r="AP31" i="8"/>
  <c r="J31" i="8"/>
  <c r="AM30" i="8"/>
  <c r="P31" i="8"/>
  <c r="W30" i="8"/>
  <c r="AT31" i="8"/>
  <c r="W31" i="8"/>
  <c r="AF30" i="8"/>
  <c r="AD32" i="8"/>
  <c r="AV31" i="8"/>
  <c r="AQ32" i="8"/>
  <c r="AQ31" i="8"/>
  <c r="AA32" i="8"/>
  <c r="AA31" i="8"/>
  <c r="K32" i="8"/>
  <c r="K31" i="8"/>
  <c r="AJ31" i="8"/>
  <c r="AJ32" i="8"/>
  <c r="T31" i="8"/>
  <c r="T32" i="8"/>
  <c r="AK32" i="8"/>
  <c r="AK30" i="8"/>
  <c r="D31" i="8"/>
  <c r="D32" i="8"/>
  <c r="AQ30" i="8"/>
  <c r="U32" i="8"/>
  <c r="U30" i="8"/>
  <c r="AA30" i="8"/>
  <c r="E32" i="8"/>
  <c r="E30" i="8"/>
  <c r="AI31" i="8"/>
  <c r="AI32" i="8"/>
  <c r="K30" i="8"/>
  <c r="AH32" i="8"/>
  <c r="AH30" i="8"/>
  <c r="S31" i="8"/>
  <c r="S32" i="8"/>
  <c r="R32" i="8"/>
  <c r="R30" i="8"/>
  <c r="AS32" i="8"/>
  <c r="AS30" i="8"/>
  <c r="E31" i="8"/>
  <c r="AC32" i="8"/>
  <c r="AC30" i="8"/>
  <c r="M32" i="8"/>
  <c r="M30" i="8"/>
  <c r="C8" i="8" l="1"/>
  <c r="C13" i="8"/>
  <c r="AX1" i="7"/>
  <c r="AW1" i="7"/>
  <c r="AV1" i="7"/>
  <c r="AU1" i="7"/>
  <c r="AT1" i="7"/>
  <c r="AS1" i="7"/>
  <c r="AR1" i="7"/>
  <c r="AQ1" i="7"/>
  <c r="AP1" i="7"/>
  <c r="AO1" i="7"/>
  <c r="AN1" i="7"/>
  <c r="AM1" i="7"/>
  <c r="AL1" i="7"/>
  <c r="AK1" i="7"/>
  <c r="AJ1" i="7"/>
  <c r="AI1" i="7"/>
  <c r="AH1" i="7"/>
  <c r="AG1" i="7"/>
  <c r="AF1" i="7"/>
  <c r="AE1" i="7"/>
  <c r="AD1" i="7"/>
  <c r="AC1" i="7"/>
  <c r="AB1" i="7"/>
  <c r="AA1" i="7"/>
  <c r="Z1" i="7"/>
  <c r="Y1" i="7"/>
  <c r="X1" i="7"/>
  <c r="W1" i="7"/>
  <c r="V1" i="7"/>
  <c r="U1" i="7"/>
  <c r="T1" i="7"/>
  <c r="S1" i="7"/>
  <c r="R1" i="7"/>
  <c r="Q1" i="7"/>
  <c r="P1" i="7"/>
  <c r="O1" i="7"/>
  <c r="N1" i="7"/>
  <c r="M1" i="7"/>
  <c r="L1" i="7"/>
  <c r="K1" i="7"/>
  <c r="J1" i="7"/>
  <c r="I1" i="7"/>
  <c r="H1" i="7"/>
  <c r="G1" i="7"/>
  <c r="F1" i="7"/>
  <c r="E1" i="7"/>
  <c r="D1" i="7"/>
  <c r="C1" i="7"/>
  <c r="AO4" i="7" a="1"/>
  <c r="Y4" i="7" a="1"/>
  <c r="I4" i="7" a="1"/>
  <c r="AN4" i="7" a="1"/>
  <c r="D4" i="7" a="1"/>
  <c r="AK4" i="7" a="1"/>
  <c r="T4" i="7" a="1"/>
  <c r="AM4" i="7" a="1"/>
  <c r="W4" i="7" a="1"/>
  <c r="G4" i="7" a="1"/>
  <c r="AL4" i="7" a="1"/>
  <c r="AX4" i="7" a="1"/>
  <c r="AH4" i="7" a="1"/>
  <c r="R4" i="7" a="1"/>
  <c r="C4" i="7" a="1"/>
  <c r="AF4" i="7" a="1"/>
  <c r="AT4" i="7" a="1"/>
  <c r="M4" i="7" a="1"/>
  <c r="AI4" i="7" a="1"/>
  <c r="AW4" i="7" a="1"/>
  <c r="AG4" i="7" a="1"/>
  <c r="Q4" i="7" a="1"/>
  <c r="AV4" i="7" a="1"/>
  <c r="P4" i="7" a="1"/>
  <c r="AD4" i="7" a="1"/>
  <c r="S4" i="7" a="1"/>
  <c r="AC4" i="7" a="1"/>
  <c r="AU4" i="7" a="1"/>
  <c r="AE4" i="7" a="1"/>
  <c r="O4" i="7" a="1"/>
  <c r="N4" i="7" a="1"/>
  <c r="AB4" i="7" a="1"/>
  <c r="AS4" i="7" a="1"/>
  <c r="AR4" i="7" a="1"/>
  <c r="L4" i="7" a="1"/>
  <c r="AQ4" i="7" a="1"/>
  <c r="AA4" i="7" a="1"/>
  <c r="K4" i="7" a="1"/>
  <c r="X4" i="7" a="1"/>
  <c r="F4" i="7" a="1"/>
  <c r="U4" i="7" a="1"/>
  <c r="AJ4" i="7" a="1"/>
  <c r="AP4" i="7" a="1"/>
  <c r="Z4" i="7" a="1"/>
  <c r="J4" i="7" a="1"/>
  <c r="H4" i="7" a="1"/>
  <c r="V4" i="7" a="1"/>
  <c r="E4" i="7" a="1"/>
  <c r="J35" i="8" l="1"/>
  <c r="Z35" i="8"/>
  <c r="AA35" i="8"/>
  <c r="K35" i="8"/>
  <c r="AP35" i="8"/>
  <c r="AQ35" i="8"/>
  <c r="D35" i="8"/>
  <c r="T35" i="8"/>
  <c r="AJ35" i="8"/>
  <c r="C35" i="8"/>
  <c r="AH35" i="8"/>
  <c r="R35" i="8"/>
  <c r="S35" i="8"/>
  <c r="AI35" i="8"/>
  <c r="AB35" i="8"/>
  <c r="L35" i="8"/>
  <c r="AR35" i="8"/>
  <c r="E35" i="8"/>
  <c r="U35" i="8"/>
  <c r="AK35" i="8"/>
  <c r="AC35" i="8"/>
  <c r="AS35" i="8"/>
  <c r="M35" i="8"/>
  <c r="C10" i="8"/>
  <c r="O35" i="8"/>
  <c r="AE35" i="8"/>
  <c r="P35" i="8"/>
  <c r="AF35" i="8"/>
  <c r="AV35" i="8"/>
  <c r="N35" i="8"/>
  <c r="AT35" i="8"/>
  <c r="Q35" i="8"/>
  <c r="AG35" i="8"/>
  <c r="AW35" i="8"/>
  <c r="AD35" i="8"/>
  <c r="F35" i="8"/>
  <c r="AL35" i="8"/>
  <c r="G35" i="8"/>
  <c r="W35" i="8"/>
  <c r="V35" i="8"/>
  <c r="AM35" i="8"/>
  <c r="H35" i="8"/>
  <c r="X35" i="8"/>
  <c r="AN35" i="8"/>
  <c r="I35" i="8"/>
  <c r="Y35" i="8"/>
  <c r="AO35" i="8"/>
  <c r="AU35" i="8"/>
  <c r="E4" i="7"/>
  <c r="E50" i="8" s="1"/>
  <c r="V4" i="7"/>
  <c r="V50" i="8" s="1"/>
  <c r="H4" i="7"/>
  <c r="H50" i="8" s="1"/>
  <c r="J4" i="7"/>
  <c r="J50" i="8" s="1"/>
  <c r="Z4" i="7"/>
  <c r="Z50" i="8" s="1"/>
  <c r="AP4" i="7"/>
  <c r="AP50" i="8" s="1"/>
  <c r="AJ4" i="7"/>
  <c r="AJ50" i="8" s="1"/>
  <c r="U4" i="7"/>
  <c r="U50" i="8" s="1"/>
  <c r="F4" i="7"/>
  <c r="F50" i="8" s="1"/>
  <c r="X4" i="7"/>
  <c r="X50" i="8" s="1"/>
  <c r="K4" i="7"/>
  <c r="K50" i="8" s="1"/>
  <c r="AA4" i="7"/>
  <c r="AA50" i="8" s="1"/>
  <c r="AQ4" i="7"/>
  <c r="AQ50" i="8" s="1"/>
  <c r="L4" i="7"/>
  <c r="L50" i="8" s="1"/>
  <c r="AR4" i="7"/>
  <c r="AR50" i="8" s="1"/>
  <c r="AS4" i="7"/>
  <c r="AS50" i="8" s="1"/>
  <c r="AB4" i="7"/>
  <c r="AB50" i="8" s="1"/>
  <c r="N4" i="7"/>
  <c r="N50" i="8" s="1"/>
  <c r="O4" i="7"/>
  <c r="O50" i="8" s="1"/>
  <c r="AE4" i="7"/>
  <c r="AE50" i="8" s="1"/>
  <c r="AU4" i="7"/>
  <c r="AU50" i="8" s="1"/>
  <c r="AC4" i="7"/>
  <c r="AC50" i="8" s="1"/>
  <c r="S4" i="7"/>
  <c r="S50" i="8" s="1"/>
  <c r="AD4" i="7"/>
  <c r="AD50" i="8" s="1"/>
  <c r="P4" i="7"/>
  <c r="P50" i="8" s="1"/>
  <c r="AV4" i="7"/>
  <c r="AV50" i="8" s="1"/>
  <c r="Q4" i="7"/>
  <c r="Q50" i="8" s="1"/>
  <c r="AG4" i="7"/>
  <c r="AG50" i="8" s="1"/>
  <c r="AW4" i="7"/>
  <c r="AW50" i="8" s="1"/>
  <c r="AI4" i="7"/>
  <c r="AI50" i="8" s="1"/>
  <c r="M4" i="7"/>
  <c r="M50" i="8" s="1"/>
  <c r="AT4" i="7"/>
  <c r="AT50" i="8" s="1"/>
  <c r="AF4" i="7"/>
  <c r="AF50" i="8" s="1"/>
  <c r="C4" i="7"/>
  <c r="C50" i="8" s="1"/>
  <c r="R4" i="7"/>
  <c r="R50" i="8" s="1"/>
  <c r="AH4" i="7"/>
  <c r="AH50" i="8" s="1"/>
  <c r="AX4" i="7"/>
  <c r="AL4" i="7"/>
  <c r="AL50" i="8" s="1"/>
  <c r="G4" i="7"/>
  <c r="G50" i="8" s="1"/>
  <c r="W4" i="7"/>
  <c r="W50" i="8" s="1"/>
  <c r="AM4" i="7"/>
  <c r="AM50" i="8" s="1"/>
  <c r="T4" i="7"/>
  <c r="T50" i="8" s="1"/>
  <c r="AK4" i="7"/>
  <c r="AK50" i="8" s="1"/>
  <c r="D4" i="7"/>
  <c r="D50" i="8" s="1"/>
  <c r="AN4" i="7"/>
  <c r="AN50" i="8" s="1"/>
  <c r="I4" i="7"/>
  <c r="I50" i="8" s="1"/>
  <c r="Y4" i="7"/>
  <c r="Y50" i="8" s="1"/>
  <c r="AO4" i="7"/>
  <c r="AO50" i="8" s="1"/>
  <c r="C5" i="1"/>
  <c r="C12" i="8"/>
  <c r="C20" i="8"/>
  <c r="I34" i="8" l="1"/>
  <c r="I37" i="8"/>
  <c r="W37" i="8"/>
  <c r="W34" i="8"/>
  <c r="M37" i="8"/>
  <c r="M34" i="8"/>
  <c r="G37" i="8"/>
  <c r="G34" i="8"/>
  <c r="AI34" i="8"/>
  <c r="AI37" i="8"/>
  <c r="AQ34" i="8"/>
  <c r="AQ37" i="8"/>
  <c r="H37" i="8"/>
  <c r="H34" i="8"/>
  <c r="AA34" i="8"/>
  <c r="AA37" i="8"/>
  <c r="V37" i="8"/>
  <c r="V34" i="8"/>
  <c r="J34" i="8"/>
  <c r="J37" i="8"/>
  <c r="AN34" i="8"/>
  <c r="AN37" i="8"/>
  <c r="AU34" i="8"/>
  <c r="AU37" i="8"/>
  <c r="K34" i="8"/>
  <c r="K37" i="8"/>
  <c r="E37" i="8"/>
  <c r="E34" i="8"/>
  <c r="E39" i="8" s="1"/>
  <c r="E43" i="8" s="1"/>
  <c r="E47" i="8" s="1"/>
  <c r="AL34" i="8"/>
  <c r="AL37" i="8"/>
  <c r="AE37" i="8"/>
  <c r="AE34" i="8"/>
  <c r="X37" i="8"/>
  <c r="X34" i="8"/>
  <c r="Y34" i="8"/>
  <c r="Y37" i="8"/>
  <c r="AW37" i="8"/>
  <c r="AW34" i="8"/>
  <c r="O37" i="8"/>
  <c r="O34" i="8"/>
  <c r="D34" i="8"/>
  <c r="D37" i="8"/>
  <c r="AG37" i="8"/>
  <c r="AG34" i="8"/>
  <c r="N34" i="8"/>
  <c r="N37" i="8"/>
  <c r="F34" i="8"/>
  <c r="F37" i="8"/>
  <c r="AM37" i="8"/>
  <c r="AM34" i="8"/>
  <c r="Q34" i="8"/>
  <c r="Q37" i="8"/>
  <c r="AB37" i="8"/>
  <c r="AB34" i="8"/>
  <c r="U34" i="8"/>
  <c r="U37" i="8"/>
  <c r="AK37" i="8"/>
  <c r="AK34" i="8"/>
  <c r="AJ34" i="8"/>
  <c r="AJ37" i="8"/>
  <c r="T34" i="8"/>
  <c r="T37" i="8"/>
  <c r="AH34" i="8"/>
  <c r="AH37" i="8"/>
  <c r="AV34" i="8"/>
  <c r="AV37" i="8"/>
  <c r="AS37" i="8"/>
  <c r="AS34" i="8"/>
  <c r="R34" i="8"/>
  <c r="R37" i="8"/>
  <c r="P37" i="8"/>
  <c r="P34" i="8"/>
  <c r="C37" i="8"/>
  <c r="C34" i="8"/>
  <c r="AD34" i="8"/>
  <c r="AD37" i="8"/>
  <c r="AR37" i="8"/>
  <c r="AR34" i="8"/>
  <c r="S37" i="8"/>
  <c r="S34" i="8"/>
  <c r="S39" i="8" s="1"/>
  <c r="S43" i="8" s="1"/>
  <c r="S47" i="8" s="1"/>
  <c r="L37" i="8"/>
  <c r="L34" i="8"/>
  <c r="AF34" i="8"/>
  <c r="AF37" i="8"/>
  <c r="AP34" i="8"/>
  <c r="AP37" i="8"/>
  <c r="AO34" i="8"/>
  <c r="AO37" i="8"/>
  <c r="AT34" i="8"/>
  <c r="AT37" i="8"/>
  <c r="AC34" i="8"/>
  <c r="AC37" i="8"/>
  <c r="Z34" i="8"/>
  <c r="Z37" i="8"/>
  <c r="C19" i="8"/>
  <c r="L39" i="8" l="1"/>
  <c r="L43" i="8" s="1"/>
  <c r="L47" i="8" s="1"/>
  <c r="AM39" i="8"/>
  <c r="AM43" i="8" s="1"/>
  <c r="AM47" i="8" s="1"/>
  <c r="X39" i="8"/>
  <c r="X43" i="8" s="1"/>
  <c r="X47" i="8" s="1"/>
  <c r="AG39" i="8"/>
  <c r="AG43" i="8" s="1"/>
  <c r="AG47" i="8" s="1"/>
  <c r="AH39" i="8"/>
  <c r="AH43" i="8" s="1"/>
  <c r="AH47" i="8" s="1"/>
  <c r="V39" i="8"/>
  <c r="V43" i="8" s="1"/>
  <c r="V47" i="8" s="1"/>
  <c r="R39" i="8"/>
  <c r="R43" i="8" s="1"/>
  <c r="R47" i="8" s="1"/>
  <c r="AP39" i="8"/>
  <c r="AP43" i="8" s="1"/>
  <c r="AP47" i="8" s="1"/>
  <c r="T39" i="8"/>
  <c r="T43" i="8" s="1"/>
  <c r="T47" i="8" s="1"/>
  <c r="Z39" i="8"/>
  <c r="Z43" i="8" s="1"/>
  <c r="Z47" i="8" s="1"/>
  <c r="AO39" i="8"/>
  <c r="AO43" i="8" s="1"/>
  <c r="AO47" i="8" s="1"/>
  <c r="AK39" i="8"/>
  <c r="AK43" i="8" s="1"/>
  <c r="AK47" i="8" s="1"/>
  <c r="AK41" i="8"/>
  <c r="AK45" i="8" s="1"/>
  <c r="AK40" i="8"/>
  <c r="AK44" i="8" s="1"/>
  <c r="AK48" i="8" s="1"/>
  <c r="AS39" i="8"/>
  <c r="AS43" i="8" s="1"/>
  <c r="AS47" i="8" s="1"/>
  <c r="AS41" i="8"/>
  <c r="AS45" i="8" s="1"/>
  <c r="AS40" i="8"/>
  <c r="AS44" i="8" s="1"/>
  <c r="AS48" i="8" s="1"/>
  <c r="D40" i="8"/>
  <c r="D44" i="8" s="1"/>
  <c r="D48" i="8" s="1"/>
  <c r="D41" i="8"/>
  <c r="D45" i="8" s="1"/>
  <c r="AL39" i="8"/>
  <c r="AL43" i="8" s="1"/>
  <c r="AL47" i="8" s="1"/>
  <c r="AL41" i="8"/>
  <c r="AL45" i="8" s="1"/>
  <c r="AL40" i="8"/>
  <c r="AL44" i="8" s="1"/>
  <c r="AL48" i="8" s="1"/>
  <c r="AT39" i="8"/>
  <c r="AT43" i="8" s="1"/>
  <c r="AT47" i="8" s="1"/>
  <c r="AT41" i="8"/>
  <c r="AT45" i="8" s="1"/>
  <c r="AT40" i="8"/>
  <c r="AT44" i="8" s="1"/>
  <c r="AT48" i="8" s="1"/>
  <c r="AR39" i="8"/>
  <c r="AR43" i="8" s="1"/>
  <c r="AR47" i="8" s="1"/>
  <c r="AR41" i="8"/>
  <c r="AR45" i="8" s="1"/>
  <c r="AR40" i="8"/>
  <c r="AR44" i="8" s="1"/>
  <c r="AR48" i="8" s="1"/>
  <c r="Q39" i="8"/>
  <c r="Q43" i="8" s="1"/>
  <c r="Q47" i="8" s="1"/>
  <c r="Q41" i="8"/>
  <c r="Q45" i="8" s="1"/>
  <c r="Q40" i="8"/>
  <c r="Q44" i="8" s="1"/>
  <c r="Q48" i="8" s="1"/>
  <c r="K41" i="8"/>
  <c r="K45" i="8" s="1"/>
  <c r="K40" i="8"/>
  <c r="K44" i="8" s="1"/>
  <c r="K48" i="8" s="1"/>
  <c r="AO41" i="8"/>
  <c r="AO45" i="8" s="1"/>
  <c r="AO40" i="8"/>
  <c r="AO44" i="8" s="1"/>
  <c r="AO48" i="8" s="1"/>
  <c r="AD39" i="8"/>
  <c r="AD43" i="8" s="1"/>
  <c r="AD47" i="8" s="1"/>
  <c r="AD41" i="8"/>
  <c r="AD45" i="8" s="1"/>
  <c r="AD40" i="8"/>
  <c r="AD44" i="8" s="1"/>
  <c r="AD48" i="8" s="1"/>
  <c r="K39" i="8"/>
  <c r="K43" i="8" s="1"/>
  <c r="K47" i="8" s="1"/>
  <c r="H39" i="8"/>
  <c r="H43" i="8" s="1"/>
  <c r="H47" i="8" s="1"/>
  <c r="H41" i="8"/>
  <c r="H45" i="8" s="1"/>
  <c r="H40" i="8"/>
  <c r="H44" i="8" s="1"/>
  <c r="H48" i="8" s="1"/>
  <c r="M39" i="8"/>
  <c r="M43" i="8" s="1"/>
  <c r="M47" i="8" s="1"/>
  <c r="M41" i="8"/>
  <c r="M45" i="8" s="1"/>
  <c r="M40" i="8"/>
  <c r="M44" i="8" s="1"/>
  <c r="M48" i="8" s="1"/>
  <c r="AU41" i="8"/>
  <c r="AU45" i="8" s="1"/>
  <c r="AU40" i="8"/>
  <c r="AU44" i="8" s="1"/>
  <c r="AU48" i="8" s="1"/>
  <c r="AQ40" i="8"/>
  <c r="AQ44" i="8" s="1"/>
  <c r="AQ48" i="8" s="1"/>
  <c r="AQ41" i="8"/>
  <c r="AQ45" i="8" s="1"/>
  <c r="AP41" i="8"/>
  <c r="AP45" i="8" s="1"/>
  <c r="AP40" i="8"/>
  <c r="AP44" i="8" s="1"/>
  <c r="AP48" i="8" s="1"/>
  <c r="C39" i="8"/>
  <c r="C43" i="8" s="1"/>
  <c r="C47" i="8" s="1"/>
  <c r="T40" i="8"/>
  <c r="T44" i="8" s="1"/>
  <c r="T48" i="8" s="1"/>
  <c r="T41" i="8"/>
  <c r="T45" i="8" s="1"/>
  <c r="O39" i="8"/>
  <c r="O43" i="8" s="1"/>
  <c r="O47" i="8" s="1"/>
  <c r="O41" i="8"/>
  <c r="O45" i="8" s="1"/>
  <c r="O40" i="8"/>
  <c r="O44" i="8" s="1"/>
  <c r="O48" i="8" s="1"/>
  <c r="AU39" i="8"/>
  <c r="AU43" i="8" s="1"/>
  <c r="AU47" i="8" s="1"/>
  <c r="AQ39" i="8"/>
  <c r="AQ43" i="8" s="1"/>
  <c r="AQ47" i="8" s="1"/>
  <c r="V40" i="8"/>
  <c r="V44" i="8" s="1"/>
  <c r="V48" i="8" s="1"/>
  <c r="V41" i="8"/>
  <c r="V45" i="8" s="1"/>
  <c r="AI40" i="8"/>
  <c r="AI44" i="8" s="1"/>
  <c r="AI48" i="8" s="1"/>
  <c r="AI41" i="8"/>
  <c r="AI45" i="8" s="1"/>
  <c r="AF39" i="8"/>
  <c r="AF43" i="8" s="1"/>
  <c r="AF47" i="8" s="1"/>
  <c r="AF41" i="8"/>
  <c r="AF45" i="8" s="1"/>
  <c r="AF40" i="8"/>
  <c r="AF44" i="8" s="1"/>
  <c r="AF48" i="8" s="1"/>
  <c r="AM41" i="8"/>
  <c r="AM45" i="8" s="1"/>
  <c r="AM40" i="8"/>
  <c r="AM44" i="8" s="1"/>
  <c r="AM48" i="8" s="1"/>
  <c r="AW39" i="8"/>
  <c r="AW43" i="8" s="1"/>
  <c r="AW47" i="8" s="1"/>
  <c r="AW41" i="8"/>
  <c r="AW45" i="8" s="1"/>
  <c r="AW40" i="8"/>
  <c r="AW44" i="8" s="1"/>
  <c r="AW48" i="8" s="1"/>
  <c r="AI39" i="8"/>
  <c r="AI43" i="8" s="1"/>
  <c r="AI47" i="8" s="1"/>
  <c r="AJ40" i="8"/>
  <c r="AJ44" i="8" s="1"/>
  <c r="AJ48" i="8" s="1"/>
  <c r="AJ41" i="8"/>
  <c r="AJ45" i="8" s="1"/>
  <c r="F40" i="8"/>
  <c r="F44" i="8" s="1"/>
  <c r="F48" i="8" s="1"/>
  <c r="F41" i="8"/>
  <c r="F45" i="8" s="1"/>
  <c r="Y41" i="8"/>
  <c r="Y45" i="8" s="1"/>
  <c r="Y40" i="8"/>
  <c r="Y44" i="8" s="1"/>
  <c r="Y48" i="8" s="1"/>
  <c r="AN41" i="8"/>
  <c r="AN45" i="8" s="1"/>
  <c r="AN40" i="8"/>
  <c r="AN44" i="8" s="1"/>
  <c r="AN48" i="8" s="1"/>
  <c r="AJ39" i="8"/>
  <c r="AJ43" i="8" s="1"/>
  <c r="AJ47" i="8" s="1"/>
  <c r="F39" i="8"/>
  <c r="F43" i="8" s="1"/>
  <c r="F47" i="8" s="1"/>
  <c r="Y39" i="8"/>
  <c r="Y43" i="8" s="1"/>
  <c r="Y47" i="8" s="1"/>
  <c r="AN39" i="8"/>
  <c r="AN43" i="8" s="1"/>
  <c r="AN47" i="8" s="1"/>
  <c r="G39" i="8"/>
  <c r="G43" i="8" s="1"/>
  <c r="G47" i="8" s="1"/>
  <c r="G41" i="8"/>
  <c r="G45" i="8" s="1"/>
  <c r="G40" i="8"/>
  <c r="G44" i="8" s="1"/>
  <c r="G48" i="8" s="1"/>
  <c r="AC39" i="8"/>
  <c r="AC43" i="8" s="1"/>
  <c r="AC47" i="8" s="1"/>
  <c r="AC41" i="8"/>
  <c r="AC45" i="8" s="1"/>
  <c r="AC40" i="8"/>
  <c r="AC44" i="8" s="1"/>
  <c r="AC48" i="8" s="1"/>
  <c r="AG41" i="8"/>
  <c r="AG45" i="8" s="1"/>
  <c r="AG40" i="8"/>
  <c r="AG44" i="8" s="1"/>
  <c r="AG48" i="8" s="1"/>
  <c r="L41" i="8"/>
  <c r="L45" i="8" s="1"/>
  <c r="L40" i="8"/>
  <c r="L44" i="8" s="1"/>
  <c r="L48" i="8" s="1"/>
  <c r="C41" i="8"/>
  <c r="C45" i="8" s="1"/>
  <c r="C40" i="8"/>
  <c r="C44" i="8" s="1"/>
  <c r="C48" i="8" s="1"/>
  <c r="P39" i="8"/>
  <c r="P43" i="8" s="1"/>
  <c r="P47" i="8" s="1"/>
  <c r="P41" i="8"/>
  <c r="P45" i="8" s="1"/>
  <c r="P40" i="8"/>
  <c r="P44" i="8" s="1"/>
  <c r="P48" i="8" s="1"/>
  <c r="N39" i="8"/>
  <c r="N43" i="8" s="1"/>
  <c r="N47" i="8" s="1"/>
  <c r="N41" i="8"/>
  <c r="N45" i="8" s="1"/>
  <c r="N40" i="8"/>
  <c r="N44" i="8" s="1"/>
  <c r="N48" i="8" s="1"/>
  <c r="J41" i="8"/>
  <c r="J45" i="8" s="1"/>
  <c r="J40" i="8"/>
  <c r="J44" i="8" s="1"/>
  <c r="J48" i="8" s="1"/>
  <c r="Z41" i="8"/>
  <c r="Z45" i="8" s="1"/>
  <c r="Z40" i="8"/>
  <c r="Z44" i="8" s="1"/>
  <c r="Z48" i="8" s="1"/>
  <c r="R40" i="8"/>
  <c r="R44" i="8" s="1"/>
  <c r="R48" i="8" s="1"/>
  <c r="R41" i="8"/>
  <c r="R45" i="8" s="1"/>
  <c r="X41" i="8"/>
  <c r="X45" i="8" s="1"/>
  <c r="X40" i="8"/>
  <c r="X44" i="8" s="1"/>
  <c r="X48" i="8" s="1"/>
  <c r="J39" i="8"/>
  <c r="J43" i="8" s="1"/>
  <c r="J47" i="8" s="1"/>
  <c r="J51" i="8" s="1"/>
  <c r="AE39" i="8"/>
  <c r="AE43" i="8" s="1"/>
  <c r="AE47" i="8" s="1"/>
  <c r="AE41" i="8"/>
  <c r="AE45" i="8" s="1"/>
  <c r="AE40" i="8"/>
  <c r="AE44" i="8" s="1"/>
  <c r="AE48" i="8" s="1"/>
  <c r="U41" i="8"/>
  <c r="U45" i="8" s="1"/>
  <c r="U40" i="8"/>
  <c r="U44" i="8" s="1"/>
  <c r="U48" i="8" s="1"/>
  <c r="AA41" i="8"/>
  <c r="AA45" i="8" s="1"/>
  <c r="AA40" i="8"/>
  <c r="AA44" i="8" s="1"/>
  <c r="AA48" i="8" s="1"/>
  <c r="AV39" i="8"/>
  <c r="AV43" i="8" s="1"/>
  <c r="AV47" i="8" s="1"/>
  <c r="AV41" i="8"/>
  <c r="AV45" i="8" s="1"/>
  <c r="AV40" i="8"/>
  <c r="AV44" i="8" s="1"/>
  <c r="AV48" i="8" s="1"/>
  <c r="U39" i="8"/>
  <c r="U43" i="8" s="1"/>
  <c r="U47" i="8" s="1"/>
  <c r="D39" i="8"/>
  <c r="D43" i="8" s="1"/>
  <c r="D47" i="8" s="1"/>
  <c r="AA39" i="8"/>
  <c r="AA43" i="8" s="1"/>
  <c r="AA47" i="8" s="1"/>
  <c r="W39" i="8"/>
  <c r="W43" i="8" s="1"/>
  <c r="W47" i="8" s="1"/>
  <c r="W41" i="8"/>
  <c r="W45" i="8" s="1"/>
  <c r="W40" i="8"/>
  <c r="W44" i="8" s="1"/>
  <c r="W48" i="8" s="1"/>
  <c r="S40" i="8"/>
  <c r="S44" i="8" s="1"/>
  <c r="S48" i="8" s="1"/>
  <c r="S51" i="8" s="1"/>
  <c r="S41" i="8"/>
  <c r="S45" i="8" s="1"/>
  <c r="I39" i="8"/>
  <c r="I43" i="8" s="1"/>
  <c r="I47" i="8" s="1"/>
  <c r="I41" i="8"/>
  <c r="I45" i="8" s="1"/>
  <c r="I40" i="8"/>
  <c r="I44" i="8" s="1"/>
  <c r="I48" i="8" s="1"/>
  <c r="AH40" i="8"/>
  <c r="AH44" i="8" s="1"/>
  <c r="AH48" i="8" s="1"/>
  <c r="AH41" i="8"/>
  <c r="AH45" i="8" s="1"/>
  <c r="AB39" i="8"/>
  <c r="AB43" i="8" s="1"/>
  <c r="AB47" i="8" s="1"/>
  <c r="AB41" i="8"/>
  <c r="AB45" i="8" s="1"/>
  <c r="AB40" i="8"/>
  <c r="AB44" i="8" s="1"/>
  <c r="AB48" i="8" s="1"/>
  <c r="E41" i="8"/>
  <c r="E45" i="8" s="1"/>
  <c r="E40" i="8"/>
  <c r="E44" i="8" s="1"/>
  <c r="E48" i="8" s="1"/>
  <c r="E51" i="8" s="1"/>
  <c r="T51" i="8" l="1"/>
  <c r="T54" i="8" s="1"/>
  <c r="AE51" i="8"/>
  <c r="AE54" i="8" s="1"/>
  <c r="D51" i="8"/>
  <c r="AA51" i="8"/>
  <c r="AA54" i="8" s="1"/>
  <c r="AK51" i="8"/>
  <c r="Z51" i="8"/>
  <c r="Z54" i="8" s="1"/>
  <c r="AN51" i="8"/>
  <c r="AN54" i="8" s="1"/>
  <c r="Y51" i="8"/>
  <c r="Y54" i="8" s="1"/>
  <c r="C51" i="8"/>
  <c r="C57" i="8" s="1"/>
  <c r="E54" i="8"/>
  <c r="E57" i="8"/>
  <c r="S57" i="8"/>
  <c r="S54" i="8"/>
  <c r="AD51" i="8"/>
  <c r="AD57" i="8" s="1"/>
  <c r="G51" i="8"/>
  <c r="G54" i="8" s="1"/>
  <c r="AL51" i="8"/>
  <c r="AL57" i="8" s="1"/>
  <c r="AP51" i="8"/>
  <c r="AP54" i="8" s="1"/>
  <c r="AI51" i="8"/>
  <c r="AI54" i="8" s="1"/>
  <c r="AQ51" i="8"/>
  <c r="AQ54" i="8" s="1"/>
  <c r="R51" i="8"/>
  <c r="R57" i="8" s="1"/>
  <c r="I51" i="8"/>
  <c r="F51" i="8"/>
  <c r="F54" i="8" s="1"/>
  <c r="AU51" i="8"/>
  <c r="AU54" i="8" s="1"/>
  <c r="V51" i="8"/>
  <c r="V54" i="8" s="1"/>
  <c r="AH51" i="8"/>
  <c r="AH57" i="8" s="1"/>
  <c r="AW51" i="8"/>
  <c r="AW54" i="8" s="1"/>
  <c r="AG51" i="8"/>
  <c r="AG57" i="8" s="1"/>
  <c r="AJ51" i="8"/>
  <c r="AJ54" i="8" s="1"/>
  <c r="AM51" i="8"/>
  <c r="AM54" i="8" s="1"/>
  <c r="L51" i="8"/>
  <c r="P51" i="8"/>
  <c r="P54" i="8" s="1"/>
  <c r="H51" i="8"/>
  <c r="H57" i="8" s="1"/>
  <c r="N51" i="8"/>
  <c r="N54" i="8" s="1"/>
  <c r="AF51" i="8"/>
  <c r="AF57" i="8" s="1"/>
  <c r="K51" i="8"/>
  <c r="K54" i="8" s="1"/>
  <c r="X51" i="8"/>
  <c r="X54" i="8" s="1"/>
  <c r="T57" i="8"/>
  <c r="AC51" i="8"/>
  <c r="AC54" i="8" s="1"/>
  <c r="M51" i="8"/>
  <c r="M57" i="8" s="1"/>
  <c r="W51" i="8"/>
  <c r="W57" i="8" s="1"/>
  <c r="AV51" i="8"/>
  <c r="AV54" i="8" s="1"/>
  <c r="O51" i="8"/>
  <c r="O54" i="8" s="1"/>
  <c r="AO51" i="8"/>
  <c r="AO57" i="8" s="1"/>
  <c r="AT51" i="8"/>
  <c r="AT57" i="8" s="1"/>
  <c r="J57" i="8"/>
  <c r="J54" i="8"/>
  <c r="D57" i="8"/>
  <c r="D54" i="8"/>
  <c r="AA57" i="8"/>
  <c r="AB51" i="8"/>
  <c r="U51" i="8"/>
  <c r="Q51" i="8"/>
  <c r="AS51" i="8"/>
  <c r="AR51" i="8"/>
  <c r="AK54" i="8"/>
  <c r="AK57" i="8"/>
  <c r="I54" i="8"/>
  <c r="I57" i="8"/>
  <c r="F57" i="8" l="1"/>
  <c r="Z57" i="8"/>
  <c r="AJ57" i="8"/>
  <c r="AE57" i="8"/>
  <c r="Y57" i="8"/>
  <c r="AN57" i="8"/>
  <c r="AD54" i="8"/>
  <c r="AW57" i="8"/>
  <c r="C54" i="8"/>
  <c r="P57" i="8"/>
  <c r="AL54" i="8"/>
  <c r="AM57" i="8"/>
  <c r="G57" i="8"/>
  <c r="AI57" i="8"/>
  <c r="AP57" i="8"/>
  <c r="N57" i="8"/>
  <c r="AH54" i="8"/>
  <c r="K57" i="8"/>
  <c r="H54" i="8"/>
  <c r="AG54" i="8"/>
  <c r="AU57" i="8"/>
  <c r="AF54" i="8"/>
  <c r="V57" i="8"/>
  <c r="AQ57" i="8"/>
  <c r="L54" i="8"/>
  <c r="L57" i="8"/>
  <c r="R54" i="8"/>
  <c r="X57" i="8"/>
  <c r="AT54" i="8"/>
  <c r="W54" i="8"/>
  <c r="O57" i="8"/>
  <c r="M54" i="8"/>
  <c r="AV57" i="8"/>
  <c r="AO54" i="8"/>
  <c r="AC57" i="8"/>
  <c r="U54" i="8"/>
  <c r="U57" i="8"/>
  <c r="AB54" i="8"/>
  <c r="AB57" i="8"/>
  <c r="AS54" i="8"/>
  <c r="AS57" i="8"/>
  <c r="AR54" i="8"/>
  <c r="AR57" i="8"/>
  <c r="Q57" i="8"/>
  <c r="Q54"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0A2FCC4-02BE-456D-B6B0-566C2A3EA647}" odcFile="C:\Users\afree\Documents\My Data Sources\AS Server.odc" keepAlive="1" name="DESKTOP-KSAPEQM AS Model" type="5" refreshedVersion="6" onlyUseConnectionFile="1" background="1">
    <dbPr connection="Provider=MSOLAP.8;Integrated Security=SSPI;Persist Security Info=True;Initial Catalog=AS;Data Source=DESKTOP-KSAPEQM;MDX Compatibility=1;Safety Options=2;MDX Missing Member Mode=Error;Update Isolation Level=2" command="Model" commandType="1"/>
    <olapPr sendLocale="1" rowDrillCount="100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92">
    <s v="DESKTOP-KSAPEQM AS Model"/>
    <s v="{[Indicator Detail].[Units].[All]}"/>
    <s v="{[Data].[Demographics].[Population].&amp;[Total]}"/>
    <s v="{[Data].[Original Source Data].[Source].&amp;[WDI2020]}"/>
    <s v="{[Data].[GDP and other output measures].[Output Definition].&amp;[Expenditure Approach]}"/>
    <s v="{[Indicator Detail].[Units].[Measure Type (Stock/Flow/etc)].&amp;[Flow].&amp;[Money].&amp;[USD]}"/>
    <s v="{[Indicator Detail].[Industrial Sector (Agriculture/Manufacturing/etc)].&amp;[Whole economy]}"/>
    <s v="{[Geography].[WDI Availability].[wdi_availability].&amp;[From 1960],[Geography].[WDI Availability].[wdi_availability].&amp;[From 1961]}"/>
    <s v="[Dates].[Year].&amp;[1961]"/>
    <s v="[Dates].[Year].&amp;[1962]"/>
    <s v="[Dates].[Year].&amp;[1963]"/>
    <s v="[Dates].[Year].&amp;[1964]"/>
    <s v="[Dates].[Year].&amp;[1965]"/>
    <s v="[Dates].[Year].&amp;[1966]"/>
    <s v="[Dates].[Year].&amp;[1967]"/>
    <s v="[Dates].[Year].&amp;[1968]"/>
    <s v="[Dates].[Year].&amp;[1969]"/>
    <s v="[Dates].[Year].&amp;[1970]"/>
    <s v="[Dates].[Year].&amp;[1971]"/>
    <s v="[Dates].[Year].&amp;[1972]"/>
    <s v="[Dates].[Year].&amp;[1973]"/>
    <s v="[Dates].[Year].&amp;[1974]"/>
    <s v="[Dates].[Year].&amp;[1975]"/>
    <s v="[Dates].[Year].&amp;[1976]"/>
    <s v="[Dates].[Year].&amp;[1977]"/>
    <s v="[Dates].[Year].&amp;[1978]"/>
    <s v="[Dates].[Year].&amp;[1979]"/>
    <s v="[Dates].[Year].&amp;[1980]"/>
    <s v="[Dates].[Year].&amp;[1981]"/>
    <s v="[Dates].[Year].&amp;[1982]"/>
    <s v="[Dates].[Year].&amp;[1983]"/>
    <s v="[Dates].[Year].&amp;[1984]"/>
    <s v="[Dates].[Year].&amp;[1985]"/>
    <s v="[Dates].[Year].&amp;[1986]"/>
    <s v="[Dates].[Year].&amp;[1987]"/>
    <s v="[Dates].[Year].&amp;[1988]"/>
    <s v="[Dates].[Year].&amp;[1989]"/>
    <s v="[Dates].[Year].&amp;[1990]"/>
    <s v="[Dates].[Year].&amp;[1991]"/>
    <s v="[Dates].[Year].&amp;[1992]"/>
    <s v="[Dates].[Year].&amp;[1993]"/>
    <s v="[Dates].[Year].&amp;[1994]"/>
    <s v="[Dates].[Year].&amp;[1995]"/>
    <s v="[Dates].[Year].&amp;[1996]"/>
    <s v="[Dates].[Year].&amp;[1997]"/>
    <s v="[Dates].[Year].&amp;[1998]"/>
    <s v="[Dates].[Year].&amp;[1999]"/>
    <s v="[Dates].[Year].&amp;[2000]"/>
    <s v="[Dates].[Year].&amp;[2001]"/>
    <s v="[Dates].[Year].&amp;[2002]"/>
    <s v="[Dates].[Year].&amp;[2003]"/>
    <s v="[Dates].[Year].&amp;[2004]"/>
    <s v="[Dates].[Year].&amp;[2005]"/>
    <s v="[Dates].[Year].&amp;[2006]"/>
    <s v="[Dates].[Year].&amp;[2007]"/>
    <s v="[Dates].[Year].&amp;[2008]"/>
    <s v="[Dates].[Year].&amp;[2009]"/>
    <s v="[Dates].[Year].&amp;[2010]"/>
    <s v="[Dates].[Year].&amp;[2011]"/>
    <s v="[Dates].[Year].&amp;[2012]"/>
    <s v="[Dates].[Year].&amp;[2013]"/>
    <s v="[Dates].[Year].&amp;[2014]"/>
    <s v="[Dates].[Year].&amp;[2015]"/>
    <s v="[Dates].[Year].&amp;[2016]"/>
    <s v="[Dates].[Year].&amp;[2017]"/>
    <s v="[Dates].[Year].&amp;[2018]"/>
    <s v="[Dates].[Year].&amp;[2019]"/>
    <s v="{[Indicator Detail].[Units].[Measure Type (Stock/Flow/etc)].&amp;[Flow].&amp;[Money].&amp;[USD].&amp;[Current]}"/>
    <s v="[Measures].[Item]"/>
    <s v="{[Indicator Detail].[Units].[Measure Type (Stock/Flow/etc)].&amp;[Stock].&amp;[Population].&amp;[Persons]}"/>
    <s v="{[Indicator Detail].[Industrial Sector (Agriculture/Manufacturing/etc)].[All]}"/>
    <s v="[Geography].[Blocs].[Country].&amp;[Australia]"/>
    <s v="[Geography].[Blocs].[Country].&amp;[Austria]"/>
    <s v="[Geography].[Blocs].[Country].&amp;[Belgium]"/>
    <s v="[Geography].[Blocs].[Country].&amp;[Finland]"/>
    <s v="[Geography].[Blocs].[Country].&amp;[France]"/>
    <s v="[Geography].[Blocs].[Country].&amp;[Greece]"/>
    <s v="[Geography].[Blocs].[Country].&amp;[Israel]"/>
    <s v="[Geography].[Blocs].[Country].&amp;[Italy]"/>
    <s v="[Geography].[Blocs].[Country].&amp;[Japan]"/>
    <s v="[Geography].[Blocs].[Country].&amp;[Luxemburg]"/>
    <s v="[Geography].[Blocs].[Country].&amp;[Netherlands]"/>
    <s v="[Geography].[Blocs].[Country].&amp;[Norway]"/>
    <s v="[Geography].[Blocs].[Country].&amp;[Portugal]"/>
    <s v="[Geography].[Blocs].[Country].&amp;[Singapore]"/>
    <s v="[Geography].[Blocs].[Country].&amp;[South Korea]"/>
    <s v="[Geography].[Blocs].[Country].&amp;[Spain]"/>
    <s v="[Geography].[Blocs].[Country].&amp;[Sweden]"/>
    <s v="[Geography].[Blocs].[Country].&amp;[United Kingdom]"/>
    <s v="[Geography].[Blocs].[Country].&amp;[United States]"/>
    <s v="{[Geography].[WDI Availability].[wdi_availability].&amp;[From 1960],[Geography].[WDI Availability].[wdi_availability].&amp;[From 1961],[Geography].[WDI Availability].[wdi_availability].&amp;[From 1962],[Geography].[WDI Availability].[wdi_availability].&amp;[From 1965],[Geography].[WDI Availability].[wdi_availability].&amp;[From 1966],[Geography].[WDI Availability].[wdi_availability].&amp;[From 1967],[Geography].[WDI Availability].[wdi_availability].&amp;[From 1968],[Geography].[WDI Availability].[wdi_availability].&amp;[From 1970]}"/>
    <s v="{[Data].[Original Source Data].[Source].&amp;[UN2018]}"/>
  </metadataStrings>
  <mdxMetadata count="2269">
    <mdx n="0" f="s">
      <ms ns="1" c="0"/>
    </mdx>
    <mdx n="0" f="s">
      <ms ns="2" c="0"/>
    </mdx>
    <mdx n="0" f="s">
      <ms ns="3" c="0"/>
    </mdx>
    <mdx n="0" f="s">
      <ms ns="4" c="0"/>
    </mdx>
    <mdx n="0" f="s">
      <ms ns="5" c="0"/>
    </mdx>
    <mdx n="0" f="s">
      <ms ns="6" c="0"/>
    </mdx>
    <mdx n="0" f="m">
      <t c="1">
        <n x="71"/>
      </t>
    </mdx>
    <mdx n="0" f="v">
      <t c="8">
        <n x="4" s="1"/>
        <n x="7" s="1"/>
        <n x="67" s="1"/>
        <n x="3" s="1"/>
        <n x="6" s="1"/>
        <n x="68"/>
        <n x="71"/>
        <n x="8"/>
      </t>
    </mdx>
    <mdx n="0" f="v">
      <t c="8">
        <n x="4" s="1"/>
        <n x="7" s="1"/>
        <n x="67" s="1"/>
        <n x="3" s="1"/>
        <n x="6" s="1"/>
        <n x="68"/>
        <n x="71"/>
        <n x="9"/>
      </t>
    </mdx>
    <mdx n="0" f="v">
      <t c="8">
        <n x="4" s="1"/>
        <n x="7" s="1"/>
        <n x="67" s="1"/>
        <n x="3" s="1"/>
        <n x="6" s="1"/>
        <n x="68"/>
        <n x="71"/>
        <n x="10"/>
      </t>
    </mdx>
    <mdx n="0" f="v">
      <t c="8">
        <n x="4" s="1"/>
        <n x="7" s="1"/>
        <n x="67" s="1"/>
        <n x="3" s="1"/>
        <n x="6" s="1"/>
        <n x="68"/>
        <n x="71"/>
        <n x="11"/>
      </t>
    </mdx>
    <mdx n="0" f="v">
      <t c="8">
        <n x="4" s="1"/>
        <n x="7" s="1"/>
        <n x="67" s="1"/>
        <n x="3" s="1"/>
        <n x="6" s="1"/>
        <n x="68"/>
        <n x="71"/>
        <n x="12"/>
      </t>
    </mdx>
    <mdx n="0" f="v">
      <t c="8">
        <n x="4" s="1"/>
        <n x="7" s="1"/>
        <n x="67" s="1"/>
        <n x="3" s="1"/>
        <n x="6" s="1"/>
        <n x="68"/>
        <n x="71"/>
        <n x="13"/>
      </t>
    </mdx>
    <mdx n="0" f="v">
      <t c="8">
        <n x="4" s="1"/>
        <n x="7" s="1"/>
        <n x="67" s="1"/>
        <n x="3" s="1"/>
        <n x="6" s="1"/>
        <n x="68"/>
        <n x="71"/>
        <n x="14"/>
      </t>
    </mdx>
    <mdx n="0" f="v">
      <t c="8">
        <n x="4" s="1"/>
        <n x="7" s="1"/>
        <n x="67" s="1"/>
        <n x="3" s="1"/>
        <n x="6" s="1"/>
        <n x="68"/>
        <n x="71"/>
        <n x="15"/>
      </t>
    </mdx>
    <mdx n="0" f="v">
      <t c="8">
        <n x="4" s="1"/>
        <n x="7" s="1"/>
        <n x="67" s="1"/>
        <n x="3" s="1"/>
        <n x="6" s="1"/>
        <n x="68"/>
        <n x="71"/>
        <n x="16"/>
      </t>
    </mdx>
    <mdx n="0" f="v">
      <t c="8">
        <n x="4" s="1"/>
        <n x="7" s="1"/>
        <n x="67" s="1"/>
        <n x="3" s="1"/>
        <n x="6" s="1"/>
        <n x="68"/>
        <n x="71"/>
        <n x="17"/>
      </t>
    </mdx>
    <mdx n="0" f="v">
      <t c="8">
        <n x="4" s="1"/>
        <n x="7" s="1"/>
        <n x="67" s="1"/>
        <n x="3" s="1"/>
        <n x="6" s="1"/>
        <n x="68"/>
        <n x="71"/>
        <n x="18"/>
      </t>
    </mdx>
    <mdx n="0" f="v">
      <t c="8">
        <n x="4" s="1"/>
        <n x="7" s="1"/>
        <n x="67" s="1"/>
        <n x="3" s="1"/>
        <n x="6" s="1"/>
        <n x="68"/>
        <n x="71"/>
        <n x="19"/>
      </t>
    </mdx>
    <mdx n="0" f="v">
      <t c="8">
        <n x="4" s="1"/>
        <n x="7" s="1"/>
        <n x="67" s="1"/>
        <n x="3" s="1"/>
        <n x="6" s="1"/>
        <n x="68"/>
        <n x="71"/>
        <n x="20"/>
      </t>
    </mdx>
    <mdx n="0" f="v">
      <t c="8">
        <n x="4" s="1"/>
        <n x="7" s="1"/>
        <n x="67" s="1"/>
        <n x="3" s="1"/>
        <n x="6" s="1"/>
        <n x="68"/>
        <n x="71"/>
        <n x="21"/>
      </t>
    </mdx>
    <mdx n="0" f="v">
      <t c="8">
        <n x="4" s="1"/>
        <n x="7" s="1"/>
        <n x="67" s="1"/>
        <n x="3" s="1"/>
        <n x="6" s="1"/>
        <n x="68"/>
        <n x="71"/>
        <n x="22"/>
      </t>
    </mdx>
    <mdx n="0" f="v">
      <t c="8">
        <n x="4" s="1"/>
        <n x="7" s="1"/>
        <n x="67" s="1"/>
        <n x="3" s="1"/>
        <n x="6" s="1"/>
        <n x="68"/>
        <n x="71"/>
        <n x="23"/>
      </t>
    </mdx>
    <mdx n="0" f="v">
      <t c="8">
        <n x="4" s="1"/>
        <n x="7" s="1"/>
        <n x="67" s="1"/>
        <n x="3" s="1"/>
        <n x="6" s="1"/>
        <n x="68"/>
        <n x="71"/>
        <n x="24"/>
      </t>
    </mdx>
    <mdx n="0" f="v">
      <t c="8">
        <n x="4" s="1"/>
        <n x="7" s="1"/>
        <n x="67" s="1"/>
        <n x="3" s="1"/>
        <n x="6" s="1"/>
        <n x="68"/>
        <n x="71"/>
        <n x="25"/>
      </t>
    </mdx>
    <mdx n="0" f="v">
      <t c="8">
        <n x="4" s="1"/>
        <n x="7" s="1"/>
        <n x="67" s="1"/>
        <n x="3" s="1"/>
        <n x="6" s="1"/>
        <n x="68"/>
        <n x="71"/>
        <n x="26"/>
      </t>
    </mdx>
    <mdx n="0" f="v">
      <t c="8">
        <n x="4" s="1"/>
        <n x="7" s="1"/>
        <n x="67" s="1"/>
        <n x="3" s="1"/>
        <n x="6" s="1"/>
        <n x="68"/>
        <n x="71"/>
        <n x="27"/>
      </t>
    </mdx>
    <mdx n="0" f="v">
      <t c="8">
        <n x="4" s="1"/>
        <n x="7" s="1"/>
        <n x="67" s="1"/>
        <n x="3" s="1"/>
        <n x="6" s="1"/>
        <n x="68"/>
        <n x="71"/>
        <n x="28"/>
      </t>
    </mdx>
    <mdx n="0" f="v">
      <t c="8">
        <n x="4" s="1"/>
        <n x="7" s="1"/>
        <n x="67" s="1"/>
        <n x="3" s="1"/>
        <n x="6" s="1"/>
        <n x="68"/>
        <n x="71"/>
        <n x="29"/>
      </t>
    </mdx>
    <mdx n="0" f="v">
      <t c="8">
        <n x="4" s="1"/>
        <n x="7" s="1"/>
        <n x="67" s="1"/>
        <n x="3" s="1"/>
        <n x="6" s="1"/>
        <n x="68"/>
        <n x="71"/>
        <n x="30"/>
      </t>
    </mdx>
    <mdx n="0" f="v">
      <t c="8">
        <n x="4" s="1"/>
        <n x="7" s="1"/>
        <n x="67" s="1"/>
        <n x="3" s="1"/>
        <n x="6" s="1"/>
        <n x="68"/>
        <n x="71"/>
        <n x="31"/>
      </t>
    </mdx>
    <mdx n="0" f="v">
      <t c="8">
        <n x="4" s="1"/>
        <n x="7" s="1"/>
        <n x="67" s="1"/>
        <n x="3" s="1"/>
        <n x="6" s="1"/>
        <n x="68"/>
        <n x="71"/>
        <n x="32"/>
      </t>
    </mdx>
    <mdx n="0" f="v">
      <t c="8">
        <n x="4" s="1"/>
        <n x="7" s="1"/>
        <n x="67" s="1"/>
        <n x="3" s="1"/>
        <n x="6" s="1"/>
        <n x="68"/>
        <n x="71"/>
        <n x="33"/>
      </t>
    </mdx>
    <mdx n="0" f="v">
      <t c="8">
        <n x="4" s="1"/>
        <n x="7" s="1"/>
        <n x="67" s="1"/>
        <n x="3" s="1"/>
        <n x="6" s="1"/>
        <n x="68"/>
        <n x="71"/>
        <n x="34"/>
      </t>
    </mdx>
    <mdx n="0" f="v">
      <t c="8">
        <n x="4" s="1"/>
        <n x="7" s="1"/>
        <n x="67" s="1"/>
        <n x="3" s="1"/>
        <n x="6" s="1"/>
        <n x="68"/>
        <n x="71"/>
        <n x="35"/>
      </t>
    </mdx>
    <mdx n="0" f="v">
      <t c="8">
        <n x="4" s="1"/>
        <n x="7" s="1"/>
        <n x="67" s="1"/>
        <n x="3" s="1"/>
        <n x="6" s="1"/>
        <n x="68"/>
        <n x="71"/>
        <n x="36"/>
      </t>
    </mdx>
    <mdx n="0" f="v">
      <t c="8">
        <n x="4" s="1"/>
        <n x="7" s="1"/>
        <n x="67" s="1"/>
        <n x="3" s="1"/>
        <n x="6" s="1"/>
        <n x="68"/>
        <n x="71"/>
        <n x="37"/>
      </t>
    </mdx>
    <mdx n="0" f="v">
      <t c="8">
        <n x="4" s="1"/>
        <n x="7" s="1"/>
        <n x="67" s="1"/>
        <n x="3" s="1"/>
        <n x="6" s="1"/>
        <n x="68"/>
        <n x="71"/>
        <n x="38"/>
      </t>
    </mdx>
    <mdx n="0" f="v">
      <t c="8">
        <n x="4" s="1"/>
        <n x="7" s="1"/>
        <n x="67" s="1"/>
        <n x="3" s="1"/>
        <n x="6" s="1"/>
        <n x="68"/>
        <n x="71"/>
        <n x="39"/>
      </t>
    </mdx>
    <mdx n="0" f="v">
      <t c="8">
        <n x="4" s="1"/>
        <n x="7" s="1"/>
        <n x="67" s="1"/>
        <n x="3" s="1"/>
        <n x="6" s="1"/>
        <n x="68"/>
        <n x="71"/>
        <n x="40"/>
      </t>
    </mdx>
    <mdx n="0" f="v">
      <t c="8">
        <n x="4" s="1"/>
        <n x="7" s="1"/>
        <n x="67" s="1"/>
        <n x="3" s="1"/>
        <n x="6" s="1"/>
        <n x="68"/>
        <n x="71"/>
        <n x="41"/>
      </t>
    </mdx>
    <mdx n="0" f="v">
      <t c="8">
        <n x="4" s="1"/>
        <n x="7" s="1"/>
        <n x="67" s="1"/>
        <n x="3" s="1"/>
        <n x="6" s="1"/>
        <n x="68"/>
        <n x="71"/>
        <n x="42"/>
      </t>
    </mdx>
    <mdx n="0" f="v">
      <t c="8">
        <n x="4" s="1"/>
        <n x="7" s="1"/>
        <n x="67" s="1"/>
        <n x="3" s="1"/>
        <n x="6" s="1"/>
        <n x="68"/>
        <n x="71"/>
        <n x="43"/>
      </t>
    </mdx>
    <mdx n="0" f="v">
      <t c="8">
        <n x="4" s="1"/>
        <n x="7" s="1"/>
        <n x="67" s="1"/>
        <n x="3" s="1"/>
        <n x="6" s="1"/>
        <n x="68"/>
        <n x="71"/>
        <n x="44"/>
      </t>
    </mdx>
    <mdx n="0" f="v">
      <t c="8">
        <n x="4" s="1"/>
        <n x="7" s="1"/>
        <n x="67" s="1"/>
        <n x="3" s="1"/>
        <n x="6" s="1"/>
        <n x="68"/>
        <n x="71"/>
        <n x="45"/>
      </t>
    </mdx>
    <mdx n="0" f="v">
      <t c="8">
        <n x="4" s="1"/>
        <n x="7" s="1"/>
        <n x="67" s="1"/>
        <n x="3" s="1"/>
        <n x="6" s="1"/>
        <n x="68"/>
        <n x="71"/>
        <n x="46"/>
      </t>
    </mdx>
    <mdx n="0" f="v">
      <t c="8">
        <n x="4" s="1"/>
        <n x="7" s="1"/>
        <n x="67" s="1"/>
        <n x="3" s="1"/>
        <n x="6" s="1"/>
        <n x="68"/>
        <n x="71"/>
        <n x="47"/>
      </t>
    </mdx>
    <mdx n="0" f="v">
      <t c="8">
        <n x="4" s="1"/>
        <n x="7" s="1"/>
        <n x="67" s="1"/>
        <n x="3" s="1"/>
        <n x="6" s="1"/>
        <n x="68"/>
        <n x="71"/>
        <n x="48"/>
      </t>
    </mdx>
    <mdx n="0" f="v">
      <t c="8">
        <n x="4" s="1"/>
        <n x="7" s="1"/>
        <n x="67" s="1"/>
        <n x="3" s="1"/>
        <n x="6" s="1"/>
        <n x="68"/>
        <n x="71"/>
        <n x="49"/>
      </t>
    </mdx>
    <mdx n="0" f="v">
      <t c="8">
        <n x="4" s="1"/>
        <n x="7" s="1"/>
        <n x="67" s="1"/>
        <n x="3" s="1"/>
        <n x="6" s="1"/>
        <n x="68"/>
        <n x="71"/>
        <n x="50"/>
      </t>
    </mdx>
    <mdx n="0" f="v">
      <t c="8">
        <n x="4" s="1"/>
        <n x="7" s="1"/>
        <n x="67" s="1"/>
        <n x="3" s="1"/>
        <n x="6" s="1"/>
        <n x="68"/>
        <n x="71"/>
        <n x="51"/>
      </t>
    </mdx>
    <mdx n="0" f="v">
      <t c="8">
        <n x="4" s="1"/>
        <n x="7" s="1"/>
        <n x="67" s="1"/>
        <n x="3" s="1"/>
        <n x="6" s="1"/>
        <n x="68"/>
        <n x="71"/>
        <n x="52"/>
      </t>
    </mdx>
    <mdx n="0" f="v">
      <t c="8">
        <n x="4" s="1"/>
        <n x="7" s="1"/>
        <n x="67" s="1"/>
        <n x="3" s="1"/>
        <n x="6" s="1"/>
        <n x="68"/>
        <n x="71"/>
        <n x="53"/>
      </t>
    </mdx>
    <mdx n="0" f="v">
      <t c="8">
        <n x="4" s="1"/>
        <n x="7" s="1"/>
        <n x="67" s="1"/>
        <n x="3" s="1"/>
        <n x="6" s="1"/>
        <n x="68"/>
        <n x="71"/>
        <n x="54"/>
      </t>
    </mdx>
    <mdx n="0" f="v">
      <t c="8">
        <n x="4" s="1"/>
        <n x="7" s="1"/>
        <n x="67" s="1"/>
        <n x="3" s="1"/>
        <n x="6" s="1"/>
        <n x="68"/>
        <n x="71"/>
        <n x="55"/>
      </t>
    </mdx>
    <mdx n="0" f="v">
      <t c="8">
        <n x="4" s="1"/>
        <n x="7" s="1"/>
        <n x="67" s="1"/>
        <n x="3" s="1"/>
        <n x="6" s="1"/>
        <n x="68"/>
        <n x="71"/>
        <n x="56"/>
      </t>
    </mdx>
    <mdx n="0" f="v">
      <t c="8">
        <n x="4" s="1"/>
        <n x="7" s="1"/>
        <n x="67" s="1"/>
        <n x="3" s="1"/>
        <n x="6" s="1"/>
        <n x="68"/>
        <n x="71"/>
        <n x="57"/>
      </t>
    </mdx>
    <mdx n="0" f="v">
      <t c="8">
        <n x="4" s="1"/>
        <n x="7" s="1"/>
        <n x="67" s="1"/>
        <n x="3" s="1"/>
        <n x="6" s="1"/>
        <n x="68"/>
        <n x="71"/>
        <n x="58"/>
      </t>
    </mdx>
    <mdx n="0" f="v">
      <t c="8">
        <n x="4" s="1"/>
        <n x="7" s="1"/>
        <n x="67" s="1"/>
        <n x="3" s="1"/>
        <n x="6" s="1"/>
        <n x="68"/>
        <n x="71"/>
        <n x="59"/>
      </t>
    </mdx>
    <mdx n="0" f="v">
      <t c="8">
        <n x="4" s="1"/>
        <n x="7" s="1"/>
        <n x="67" s="1"/>
        <n x="3" s="1"/>
        <n x="6" s="1"/>
        <n x="68"/>
        <n x="71"/>
        <n x="60"/>
      </t>
    </mdx>
    <mdx n="0" f="v">
      <t c="8">
        <n x="4" s="1"/>
        <n x="7" s="1"/>
        <n x="67" s="1"/>
        <n x="3" s="1"/>
        <n x="6" s="1"/>
        <n x="68"/>
        <n x="71"/>
        <n x="61"/>
      </t>
    </mdx>
    <mdx n="0" f="v">
      <t c="8">
        <n x="4" s="1"/>
        <n x="7" s="1"/>
        <n x="67" s="1"/>
        <n x="3" s="1"/>
        <n x="6" s="1"/>
        <n x="68"/>
        <n x="71"/>
        <n x="62"/>
      </t>
    </mdx>
    <mdx n="0" f="v">
      <t c="8">
        <n x="4" s="1"/>
        <n x="7" s="1"/>
        <n x="67" s="1"/>
        <n x="3" s="1"/>
        <n x="6" s="1"/>
        <n x="68"/>
        <n x="71"/>
        <n x="63"/>
      </t>
    </mdx>
    <mdx n="0" f="v">
      <t c="8">
        <n x="4" s="1"/>
        <n x="7" s="1"/>
        <n x="67" s="1"/>
        <n x="3" s="1"/>
        <n x="6" s="1"/>
        <n x="68"/>
        <n x="71"/>
        <n x="64"/>
      </t>
    </mdx>
    <mdx n="0" f="v">
      <t c="8">
        <n x="4" s="1"/>
        <n x="7" s="1"/>
        <n x="67" s="1"/>
        <n x="3" s="1"/>
        <n x="6" s="1"/>
        <n x="68"/>
        <n x="71"/>
        <n x="65"/>
      </t>
    </mdx>
    <mdx n="0" f="v">
      <t c="8">
        <n x="4" s="1"/>
        <n x="7" s="1"/>
        <n x="67" s="1"/>
        <n x="3" s="1"/>
        <n x="6" s="1"/>
        <n x="68"/>
        <n x="71"/>
        <n x="66"/>
      </t>
    </mdx>
    <mdx n="0" f="m">
      <t c="1">
        <n x="72"/>
      </t>
    </mdx>
    <mdx n="0" f="v">
      <t c="8">
        <n x="4" s="1"/>
        <n x="7" s="1"/>
        <n x="67" s="1"/>
        <n x="3" s="1"/>
        <n x="6" s="1"/>
        <n x="68"/>
        <n x="72"/>
        <n x="8"/>
      </t>
    </mdx>
    <mdx n="0" f="v">
      <t c="8">
        <n x="4" s="1"/>
        <n x="7" s="1"/>
        <n x="67" s="1"/>
        <n x="3" s="1"/>
        <n x="6" s="1"/>
        <n x="68"/>
        <n x="72"/>
        <n x="9"/>
      </t>
    </mdx>
    <mdx n="0" f="v">
      <t c="8">
        <n x="4" s="1"/>
        <n x="7" s="1"/>
        <n x="67" s="1"/>
        <n x="3" s="1"/>
        <n x="6" s="1"/>
        <n x="68"/>
        <n x="72"/>
        <n x="10"/>
      </t>
    </mdx>
    <mdx n="0" f="v">
      <t c="8">
        <n x="4" s="1"/>
        <n x="7" s="1"/>
        <n x="67" s="1"/>
        <n x="3" s="1"/>
        <n x="6" s="1"/>
        <n x="68"/>
        <n x="72"/>
        <n x="11"/>
      </t>
    </mdx>
    <mdx n="0" f="v">
      <t c="8">
        <n x="4" s="1"/>
        <n x="7" s="1"/>
        <n x="67" s="1"/>
        <n x="3" s="1"/>
        <n x="6" s="1"/>
        <n x="68"/>
        <n x="72"/>
        <n x="12"/>
      </t>
    </mdx>
    <mdx n="0" f="v">
      <t c="8">
        <n x="4" s="1"/>
        <n x="7" s="1"/>
        <n x="67" s="1"/>
        <n x="3" s="1"/>
        <n x="6" s="1"/>
        <n x="68"/>
        <n x="72"/>
        <n x="13"/>
      </t>
    </mdx>
    <mdx n="0" f="v">
      <t c="8">
        <n x="4" s="1"/>
        <n x="7" s="1"/>
        <n x="67" s="1"/>
        <n x="3" s="1"/>
        <n x="6" s="1"/>
        <n x="68"/>
        <n x="72"/>
        <n x="14"/>
      </t>
    </mdx>
    <mdx n="0" f="v">
      <t c="8">
        <n x="4" s="1"/>
        <n x="7" s="1"/>
        <n x="67" s="1"/>
        <n x="3" s="1"/>
        <n x="6" s="1"/>
        <n x="68"/>
        <n x="72"/>
        <n x="15"/>
      </t>
    </mdx>
    <mdx n="0" f="v">
      <t c="8">
        <n x="4" s="1"/>
        <n x="7" s="1"/>
        <n x="67" s="1"/>
        <n x="3" s="1"/>
        <n x="6" s="1"/>
        <n x="68"/>
        <n x="72"/>
        <n x="16"/>
      </t>
    </mdx>
    <mdx n="0" f="v">
      <t c="8">
        <n x="4" s="1"/>
        <n x="7" s="1"/>
        <n x="67" s="1"/>
        <n x="3" s="1"/>
        <n x="6" s="1"/>
        <n x="68"/>
        <n x="72"/>
        <n x="17"/>
      </t>
    </mdx>
    <mdx n="0" f="v">
      <t c="8">
        <n x="4" s="1"/>
        <n x="7" s="1"/>
        <n x="67" s="1"/>
        <n x="3" s="1"/>
        <n x="6" s="1"/>
        <n x="68"/>
        <n x="72"/>
        <n x="18"/>
      </t>
    </mdx>
    <mdx n="0" f="v">
      <t c="8">
        <n x="4" s="1"/>
        <n x="7" s="1"/>
        <n x="67" s="1"/>
        <n x="3" s="1"/>
        <n x="6" s="1"/>
        <n x="68"/>
        <n x="72"/>
        <n x="19"/>
      </t>
    </mdx>
    <mdx n="0" f="v">
      <t c="8">
        <n x="4" s="1"/>
        <n x="7" s="1"/>
        <n x="67" s="1"/>
        <n x="3" s="1"/>
        <n x="6" s="1"/>
        <n x="68"/>
        <n x="72"/>
        <n x="20"/>
      </t>
    </mdx>
    <mdx n="0" f="v">
      <t c="8">
        <n x="4" s="1"/>
        <n x="7" s="1"/>
        <n x="67" s="1"/>
        <n x="3" s="1"/>
        <n x="6" s="1"/>
        <n x="68"/>
        <n x="72"/>
        <n x="21"/>
      </t>
    </mdx>
    <mdx n="0" f="v">
      <t c="8">
        <n x="4" s="1"/>
        <n x="7" s="1"/>
        <n x="67" s="1"/>
        <n x="3" s="1"/>
        <n x="6" s="1"/>
        <n x="68"/>
        <n x="72"/>
        <n x="22"/>
      </t>
    </mdx>
    <mdx n="0" f="v">
      <t c="8">
        <n x="4" s="1"/>
        <n x="7" s="1"/>
        <n x="67" s="1"/>
        <n x="3" s="1"/>
        <n x="6" s="1"/>
        <n x="68"/>
        <n x="72"/>
        <n x="23"/>
      </t>
    </mdx>
    <mdx n="0" f="v">
      <t c="8">
        <n x="4" s="1"/>
        <n x="7" s="1"/>
        <n x="67" s="1"/>
        <n x="3" s="1"/>
        <n x="6" s="1"/>
        <n x="68"/>
        <n x="72"/>
        <n x="24"/>
      </t>
    </mdx>
    <mdx n="0" f="v">
      <t c="8">
        <n x="4" s="1"/>
        <n x="7" s="1"/>
        <n x="67" s="1"/>
        <n x="3" s="1"/>
        <n x="6" s="1"/>
        <n x="68"/>
        <n x="72"/>
        <n x="25"/>
      </t>
    </mdx>
    <mdx n="0" f="v">
      <t c="8">
        <n x="4" s="1"/>
        <n x="7" s="1"/>
        <n x="67" s="1"/>
        <n x="3" s="1"/>
        <n x="6" s="1"/>
        <n x="68"/>
        <n x="72"/>
        <n x="26"/>
      </t>
    </mdx>
    <mdx n="0" f="v">
      <t c="8">
        <n x="4" s="1"/>
        <n x="7" s="1"/>
        <n x="67" s="1"/>
        <n x="3" s="1"/>
        <n x="6" s="1"/>
        <n x="68"/>
        <n x="72"/>
        <n x="27"/>
      </t>
    </mdx>
    <mdx n="0" f="v">
      <t c="8">
        <n x="4" s="1"/>
        <n x="7" s="1"/>
        <n x="67" s="1"/>
        <n x="3" s="1"/>
        <n x="6" s="1"/>
        <n x="68"/>
        <n x="72"/>
        <n x="28"/>
      </t>
    </mdx>
    <mdx n="0" f="v">
      <t c="8">
        <n x="4" s="1"/>
        <n x="7" s="1"/>
        <n x="67" s="1"/>
        <n x="3" s="1"/>
        <n x="6" s="1"/>
        <n x="68"/>
        <n x="72"/>
        <n x="29"/>
      </t>
    </mdx>
    <mdx n="0" f="v">
      <t c="8">
        <n x="4" s="1"/>
        <n x="7" s="1"/>
        <n x="67" s="1"/>
        <n x="3" s="1"/>
        <n x="6" s="1"/>
        <n x="68"/>
        <n x="72"/>
        <n x="30"/>
      </t>
    </mdx>
    <mdx n="0" f="v">
      <t c="8">
        <n x="4" s="1"/>
        <n x="7" s="1"/>
        <n x="67" s="1"/>
        <n x="3" s="1"/>
        <n x="6" s="1"/>
        <n x="68"/>
        <n x="72"/>
        <n x="31"/>
      </t>
    </mdx>
    <mdx n="0" f="v">
      <t c="8">
        <n x="4" s="1"/>
        <n x="7" s="1"/>
        <n x="67" s="1"/>
        <n x="3" s="1"/>
        <n x="6" s="1"/>
        <n x="68"/>
        <n x="72"/>
        <n x="32"/>
      </t>
    </mdx>
    <mdx n="0" f="v">
      <t c="8">
        <n x="4" s="1"/>
        <n x="7" s="1"/>
        <n x="67" s="1"/>
        <n x="3" s="1"/>
        <n x="6" s="1"/>
        <n x="68"/>
        <n x="72"/>
        <n x="33"/>
      </t>
    </mdx>
    <mdx n="0" f="v">
      <t c="8">
        <n x="4" s="1"/>
        <n x="7" s="1"/>
        <n x="67" s="1"/>
        <n x="3" s="1"/>
        <n x="6" s="1"/>
        <n x="68"/>
        <n x="72"/>
        <n x="34"/>
      </t>
    </mdx>
    <mdx n="0" f="v">
      <t c="8">
        <n x="4" s="1"/>
        <n x="7" s="1"/>
        <n x="67" s="1"/>
        <n x="3" s="1"/>
        <n x="6" s="1"/>
        <n x="68"/>
        <n x="72"/>
        <n x="35"/>
      </t>
    </mdx>
    <mdx n="0" f="v">
      <t c="8">
        <n x="4" s="1"/>
        <n x="7" s="1"/>
        <n x="67" s="1"/>
        <n x="3" s="1"/>
        <n x="6" s="1"/>
        <n x="68"/>
        <n x="72"/>
        <n x="36"/>
      </t>
    </mdx>
    <mdx n="0" f="v">
      <t c="8">
        <n x="4" s="1"/>
        <n x="7" s="1"/>
        <n x="67" s="1"/>
        <n x="3" s="1"/>
        <n x="6" s="1"/>
        <n x="68"/>
        <n x="72"/>
        <n x="37"/>
      </t>
    </mdx>
    <mdx n="0" f="v">
      <t c="8">
        <n x="4" s="1"/>
        <n x="7" s="1"/>
        <n x="67" s="1"/>
        <n x="3" s="1"/>
        <n x="6" s="1"/>
        <n x="68"/>
        <n x="72"/>
        <n x="38"/>
      </t>
    </mdx>
    <mdx n="0" f="v">
      <t c="8">
        <n x="4" s="1"/>
        <n x="7" s="1"/>
        <n x="67" s="1"/>
        <n x="3" s="1"/>
        <n x="6" s="1"/>
        <n x="68"/>
        <n x="72"/>
        <n x="39"/>
      </t>
    </mdx>
    <mdx n="0" f="v">
      <t c="8">
        <n x="4" s="1"/>
        <n x="7" s="1"/>
        <n x="67" s="1"/>
        <n x="3" s="1"/>
        <n x="6" s="1"/>
        <n x="68"/>
        <n x="72"/>
        <n x="40"/>
      </t>
    </mdx>
    <mdx n="0" f="v">
      <t c="8">
        <n x="4" s="1"/>
        <n x="7" s="1"/>
        <n x="67" s="1"/>
        <n x="3" s="1"/>
        <n x="6" s="1"/>
        <n x="68"/>
        <n x="72"/>
        <n x="41"/>
      </t>
    </mdx>
    <mdx n="0" f="v">
      <t c="8">
        <n x="4" s="1"/>
        <n x="7" s="1"/>
        <n x="67" s="1"/>
        <n x="3" s="1"/>
        <n x="6" s="1"/>
        <n x="68"/>
        <n x="72"/>
        <n x="42"/>
      </t>
    </mdx>
    <mdx n="0" f="v">
      <t c="8">
        <n x="4" s="1"/>
        <n x="7" s="1"/>
        <n x="67" s="1"/>
        <n x="3" s="1"/>
        <n x="6" s="1"/>
        <n x="68"/>
        <n x="72"/>
        <n x="43"/>
      </t>
    </mdx>
    <mdx n="0" f="v">
      <t c="8">
        <n x="4" s="1"/>
        <n x="7" s="1"/>
        <n x="67" s="1"/>
        <n x="3" s="1"/>
        <n x="6" s="1"/>
        <n x="68"/>
        <n x="72"/>
        <n x="44"/>
      </t>
    </mdx>
    <mdx n="0" f="v">
      <t c="8">
        <n x="4" s="1"/>
        <n x="7" s="1"/>
        <n x="67" s="1"/>
        <n x="3" s="1"/>
        <n x="6" s="1"/>
        <n x="68"/>
        <n x="72"/>
        <n x="45"/>
      </t>
    </mdx>
    <mdx n="0" f="v">
      <t c="8">
        <n x="4" s="1"/>
        <n x="7" s="1"/>
        <n x="67" s="1"/>
        <n x="3" s="1"/>
        <n x="6" s="1"/>
        <n x="68"/>
        <n x="72"/>
        <n x="46"/>
      </t>
    </mdx>
    <mdx n="0" f="v">
      <t c="8">
        <n x="4" s="1"/>
        <n x="7" s="1"/>
        <n x="67" s="1"/>
        <n x="3" s="1"/>
        <n x="6" s="1"/>
        <n x="68"/>
        <n x="72"/>
        <n x="47"/>
      </t>
    </mdx>
    <mdx n="0" f="v">
      <t c="8">
        <n x="4" s="1"/>
        <n x="7" s="1"/>
        <n x="67" s="1"/>
        <n x="3" s="1"/>
        <n x="6" s="1"/>
        <n x="68"/>
        <n x="72"/>
        <n x="48"/>
      </t>
    </mdx>
    <mdx n="0" f="v">
      <t c="8">
        <n x="4" s="1"/>
        <n x="7" s="1"/>
        <n x="67" s="1"/>
        <n x="3" s="1"/>
        <n x="6" s="1"/>
        <n x="68"/>
        <n x="72"/>
        <n x="49"/>
      </t>
    </mdx>
    <mdx n="0" f="v">
      <t c="8">
        <n x="4" s="1"/>
        <n x="7" s="1"/>
        <n x="67" s="1"/>
        <n x="3" s="1"/>
        <n x="6" s="1"/>
        <n x="68"/>
        <n x="72"/>
        <n x="50"/>
      </t>
    </mdx>
    <mdx n="0" f="v">
      <t c="8">
        <n x="4" s="1"/>
        <n x="7" s="1"/>
        <n x="67" s="1"/>
        <n x="3" s="1"/>
        <n x="6" s="1"/>
        <n x="68"/>
        <n x="72"/>
        <n x="51"/>
      </t>
    </mdx>
    <mdx n="0" f="v">
      <t c="8">
        <n x="4" s="1"/>
        <n x="7" s="1"/>
        <n x="67" s="1"/>
        <n x="3" s="1"/>
        <n x="6" s="1"/>
        <n x="68"/>
        <n x="72"/>
        <n x="52"/>
      </t>
    </mdx>
    <mdx n="0" f="v">
      <t c="8">
        <n x="4" s="1"/>
        <n x="7" s="1"/>
        <n x="67" s="1"/>
        <n x="3" s="1"/>
        <n x="6" s="1"/>
        <n x="68"/>
        <n x="72"/>
        <n x="53"/>
      </t>
    </mdx>
    <mdx n="0" f="v">
      <t c="8">
        <n x="4" s="1"/>
        <n x="7" s="1"/>
        <n x="67" s="1"/>
        <n x="3" s="1"/>
        <n x="6" s="1"/>
        <n x="68"/>
        <n x="72"/>
        <n x="54"/>
      </t>
    </mdx>
    <mdx n="0" f="v">
      <t c="8">
        <n x="4" s="1"/>
        <n x="7" s="1"/>
        <n x="67" s="1"/>
        <n x="3" s="1"/>
        <n x="6" s="1"/>
        <n x="68"/>
        <n x="72"/>
        <n x="55"/>
      </t>
    </mdx>
    <mdx n="0" f="v">
      <t c="8">
        <n x="4" s="1"/>
        <n x="7" s="1"/>
        <n x="67" s="1"/>
        <n x="3" s="1"/>
        <n x="6" s="1"/>
        <n x="68"/>
        <n x="72"/>
        <n x="56"/>
      </t>
    </mdx>
    <mdx n="0" f="v">
      <t c="8">
        <n x="4" s="1"/>
        <n x="7" s="1"/>
        <n x="67" s="1"/>
        <n x="3" s="1"/>
        <n x="6" s="1"/>
        <n x="68"/>
        <n x="72"/>
        <n x="57"/>
      </t>
    </mdx>
    <mdx n="0" f="v">
      <t c="8">
        <n x="4" s="1"/>
        <n x="7" s="1"/>
        <n x="67" s="1"/>
        <n x="3" s="1"/>
        <n x="6" s="1"/>
        <n x="68"/>
        <n x="72"/>
        <n x="58"/>
      </t>
    </mdx>
    <mdx n="0" f="v">
      <t c="8">
        <n x="4" s="1"/>
        <n x="7" s="1"/>
        <n x="67" s="1"/>
        <n x="3" s="1"/>
        <n x="6" s="1"/>
        <n x="68"/>
        <n x="72"/>
        <n x="59"/>
      </t>
    </mdx>
    <mdx n="0" f="v">
      <t c="8">
        <n x="4" s="1"/>
        <n x="7" s="1"/>
        <n x="67" s="1"/>
        <n x="3" s="1"/>
        <n x="6" s="1"/>
        <n x="68"/>
        <n x="72"/>
        <n x="60"/>
      </t>
    </mdx>
    <mdx n="0" f="v">
      <t c="8">
        <n x="4" s="1"/>
        <n x="7" s="1"/>
        <n x="67" s="1"/>
        <n x="3" s="1"/>
        <n x="6" s="1"/>
        <n x="68"/>
        <n x="72"/>
        <n x="61"/>
      </t>
    </mdx>
    <mdx n="0" f="v">
      <t c="8">
        <n x="4" s="1"/>
        <n x="7" s="1"/>
        <n x="67" s="1"/>
        <n x="3" s="1"/>
        <n x="6" s="1"/>
        <n x="68"/>
        <n x="72"/>
        <n x="62"/>
      </t>
    </mdx>
    <mdx n="0" f="v">
      <t c="8">
        <n x="4" s="1"/>
        <n x="7" s="1"/>
        <n x="67" s="1"/>
        <n x="3" s="1"/>
        <n x="6" s="1"/>
        <n x="68"/>
        <n x="72"/>
        <n x="63"/>
      </t>
    </mdx>
    <mdx n="0" f="v">
      <t c="8">
        <n x="4" s="1"/>
        <n x="7" s="1"/>
        <n x="67" s="1"/>
        <n x="3" s="1"/>
        <n x="6" s="1"/>
        <n x="68"/>
        <n x="72"/>
        <n x="64"/>
      </t>
    </mdx>
    <mdx n="0" f="v">
      <t c="8">
        <n x="4" s="1"/>
        <n x="7" s="1"/>
        <n x="67" s="1"/>
        <n x="3" s="1"/>
        <n x="6" s="1"/>
        <n x="68"/>
        <n x="72"/>
        <n x="65"/>
      </t>
    </mdx>
    <mdx n="0" f="v">
      <t c="8">
        <n x="4" s="1"/>
        <n x="7" s="1"/>
        <n x="67" s="1"/>
        <n x="3" s="1"/>
        <n x="6" s="1"/>
        <n x="68"/>
        <n x="72"/>
        <n x="66"/>
      </t>
    </mdx>
    <mdx n="0" f="m">
      <t c="1">
        <n x="73"/>
      </t>
    </mdx>
    <mdx n="0" f="v">
      <t c="8">
        <n x="4" s="1"/>
        <n x="7" s="1"/>
        <n x="67" s="1"/>
        <n x="3" s="1"/>
        <n x="6" s="1"/>
        <n x="68"/>
        <n x="73"/>
        <n x="8"/>
      </t>
    </mdx>
    <mdx n="0" f="v">
      <t c="8">
        <n x="4" s="1"/>
        <n x="7" s="1"/>
        <n x="67" s="1"/>
        <n x="3" s="1"/>
        <n x="6" s="1"/>
        <n x="68"/>
        <n x="73"/>
        <n x="9"/>
      </t>
    </mdx>
    <mdx n="0" f="v">
      <t c="8">
        <n x="4" s="1"/>
        <n x="7" s="1"/>
        <n x="67" s="1"/>
        <n x="3" s="1"/>
        <n x="6" s="1"/>
        <n x="68"/>
        <n x="73"/>
        <n x="10"/>
      </t>
    </mdx>
    <mdx n="0" f="v">
      <t c="8">
        <n x="4" s="1"/>
        <n x="7" s="1"/>
        <n x="67" s="1"/>
        <n x="3" s="1"/>
        <n x="6" s="1"/>
        <n x="68"/>
        <n x="73"/>
        <n x="11"/>
      </t>
    </mdx>
    <mdx n="0" f="v">
      <t c="8">
        <n x="4" s="1"/>
        <n x="7" s="1"/>
        <n x="67" s="1"/>
        <n x="3" s="1"/>
        <n x="6" s="1"/>
        <n x="68"/>
        <n x="73"/>
        <n x="12"/>
      </t>
    </mdx>
    <mdx n="0" f="v">
      <t c="8">
        <n x="4" s="1"/>
        <n x="7" s="1"/>
        <n x="67" s="1"/>
        <n x="3" s="1"/>
        <n x="6" s="1"/>
        <n x="68"/>
        <n x="73"/>
        <n x="13"/>
      </t>
    </mdx>
    <mdx n="0" f="v">
      <t c="8">
        <n x="4" s="1"/>
        <n x="7" s="1"/>
        <n x="67" s="1"/>
        <n x="3" s="1"/>
        <n x="6" s="1"/>
        <n x="68"/>
        <n x="73"/>
        <n x="14"/>
      </t>
    </mdx>
    <mdx n="0" f="v">
      <t c="8">
        <n x="4" s="1"/>
        <n x="7" s="1"/>
        <n x="67" s="1"/>
        <n x="3" s="1"/>
        <n x="6" s="1"/>
        <n x="68"/>
        <n x="73"/>
        <n x="15"/>
      </t>
    </mdx>
    <mdx n="0" f="v">
      <t c="8">
        <n x="4" s="1"/>
        <n x="7" s="1"/>
        <n x="67" s="1"/>
        <n x="3" s="1"/>
        <n x="6" s="1"/>
        <n x="68"/>
        <n x="73"/>
        <n x="16"/>
      </t>
    </mdx>
    <mdx n="0" f="v">
      <t c="8">
        <n x="4" s="1"/>
        <n x="7" s="1"/>
        <n x="67" s="1"/>
        <n x="3" s="1"/>
        <n x="6" s="1"/>
        <n x="68"/>
        <n x="73"/>
        <n x="17"/>
      </t>
    </mdx>
    <mdx n="0" f="v">
      <t c="8">
        <n x="4" s="1"/>
        <n x="7" s="1"/>
        <n x="67" s="1"/>
        <n x="3" s="1"/>
        <n x="6" s="1"/>
        <n x="68"/>
        <n x="73"/>
        <n x="18"/>
      </t>
    </mdx>
    <mdx n="0" f="v">
      <t c="8">
        <n x="4" s="1"/>
        <n x="7" s="1"/>
        <n x="67" s="1"/>
        <n x="3" s="1"/>
        <n x="6" s="1"/>
        <n x="68"/>
        <n x="73"/>
        <n x="19"/>
      </t>
    </mdx>
    <mdx n="0" f="v">
      <t c="8">
        <n x="4" s="1"/>
        <n x="7" s="1"/>
        <n x="67" s="1"/>
        <n x="3" s="1"/>
        <n x="6" s="1"/>
        <n x="68"/>
        <n x="73"/>
        <n x="20"/>
      </t>
    </mdx>
    <mdx n="0" f="v">
      <t c="8">
        <n x="4" s="1"/>
        <n x="7" s="1"/>
        <n x="67" s="1"/>
        <n x="3" s="1"/>
        <n x="6" s="1"/>
        <n x="68"/>
        <n x="73"/>
        <n x="21"/>
      </t>
    </mdx>
    <mdx n="0" f="v">
      <t c="8">
        <n x="4" s="1"/>
        <n x="7" s="1"/>
        <n x="67" s="1"/>
        <n x="3" s="1"/>
        <n x="6" s="1"/>
        <n x="68"/>
        <n x="73"/>
        <n x="22"/>
      </t>
    </mdx>
    <mdx n="0" f="v">
      <t c="8">
        <n x="4" s="1"/>
        <n x="7" s="1"/>
        <n x="67" s="1"/>
        <n x="3" s="1"/>
        <n x="6" s="1"/>
        <n x="68"/>
        <n x="73"/>
        <n x="23"/>
      </t>
    </mdx>
    <mdx n="0" f="v">
      <t c="8">
        <n x="4" s="1"/>
        <n x="7" s="1"/>
        <n x="67" s="1"/>
        <n x="3" s="1"/>
        <n x="6" s="1"/>
        <n x="68"/>
        <n x="73"/>
        <n x="24"/>
      </t>
    </mdx>
    <mdx n="0" f="v">
      <t c="8">
        <n x="4" s="1"/>
        <n x="7" s="1"/>
        <n x="67" s="1"/>
        <n x="3" s="1"/>
        <n x="6" s="1"/>
        <n x="68"/>
        <n x="73"/>
        <n x="25"/>
      </t>
    </mdx>
    <mdx n="0" f="v">
      <t c="8">
        <n x="4" s="1"/>
        <n x="7" s="1"/>
        <n x="67" s="1"/>
        <n x="3" s="1"/>
        <n x="6" s="1"/>
        <n x="68"/>
        <n x="73"/>
        <n x="26"/>
      </t>
    </mdx>
    <mdx n="0" f="v">
      <t c="8">
        <n x="4" s="1"/>
        <n x="7" s="1"/>
        <n x="67" s="1"/>
        <n x="3" s="1"/>
        <n x="6" s="1"/>
        <n x="68"/>
        <n x="73"/>
        <n x="27"/>
      </t>
    </mdx>
    <mdx n="0" f="v">
      <t c="8">
        <n x="4" s="1"/>
        <n x="7" s="1"/>
        <n x="67" s="1"/>
        <n x="3" s="1"/>
        <n x="6" s="1"/>
        <n x="68"/>
        <n x="73"/>
        <n x="28"/>
      </t>
    </mdx>
    <mdx n="0" f="v">
      <t c="8">
        <n x="4" s="1"/>
        <n x="7" s="1"/>
        <n x="67" s="1"/>
        <n x="3" s="1"/>
        <n x="6" s="1"/>
        <n x="68"/>
        <n x="73"/>
        <n x="29"/>
      </t>
    </mdx>
    <mdx n="0" f="v">
      <t c="8">
        <n x="4" s="1"/>
        <n x="7" s="1"/>
        <n x="67" s="1"/>
        <n x="3" s="1"/>
        <n x="6" s="1"/>
        <n x="68"/>
        <n x="73"/>
        <n x="30"/>
      </t>
    </mdx>
    <mdx n="0" f="v">
      <t c="8">
        <n x="4" s="1"/>
        <n x="7" s="1"/>
        <n x="67" s="1"/>
        <n x="3" s="1"/>
        <n x="6" s="1"/>
        <n x="68"/>
        <n x="73"/>
        <n x="31"/>
      </t>
    </mdx>
    <mdx n="0" f="v">
      <t c="8">
        <n x="4" s="1"/>
        <n x="7" s="1"/>
        <n x="67" s="1"/>
        <n x="3" s="1"/>
        <n x="6" s="1"/>
        <n x="68"/>
        <n x="73"/>
        <n x="32"/>
      </t>
    </mdx>
    <mdx n="0" f="v">
      <t c="8">
        <n x="4" s="1"/>
        <n x="7" s="1"/>
        <n x="67" s="1"/>
        <n x="3" s="1"/>
        <n x="6" s="1"/>
        <n x="68"/>
        <n x="73"/>
        <n x="33"/>
      </t>
    </mdx>
    <mdx n="0" f="v">
      <t c="8">
        <n x="4" s="1"/>
        <n x="7" s="1"/>
        <n x="67" s="1"/>
        <n x="3" s="1"/>
        <n x="6" s="1"/>
        <n x="68"/>
        <n x="73"/>
        <n x="34"/>
      </t>
    </mdx>
    <mdx n="0" f="v">
      <t c="8">
        <n x="4" s="1"/>
        <n x="7" s="1"/>
        <n x="67" s="1"/>
        <n x="3" s="1"/>
        <n x="6" s="1"/>
        <n x="68"/>
        <n x="73"/>
        <n x="35"/>
      </t>
    </mdx>
    <mdx n="0" f="v">
      <t c="8">
        <n x="4" s="1"/>
        <n x="7" s="1"/>
        <n x="67" s="1"/>
        <n x="3" s="1"/>
        <n x="6" s="1"/>
        <n x="68"/>
        <n x="73"/>
        <n x="36"/>
      </t>
    </mdx>
    <mdx n="0" f="v">
      <t c="8">
        <n x="4" s="1"/>
        <n x="7" s="1"/>
        <n x="67" s="1"/>
        <n x="3" s="1"/>
        <n x="6" s="1"/>
        <n x="68"/>
        <n x="73"/>
        <n x="37"/>
      </t>
    </mdx>
    <mdx n="0" f="v">
      <t c="8">
        <n x="4" s="1"/>
        <n x="7" s="1"/>
        <n x="67" s="1"/>
        <n x="3" s="1"/>
        <n x="6" s="1"/>
        <n x="68"/>
        <n x="73"/>
        <n x="38"/>
      </t>
    </mdx>
    <mdx n="0" f="v">
      <t c="8">
        <n x="4" s="1"/>
        <n x="7" s="1"/>
        <n x="67" s="1"/>
        <n x="3" s="1"/>
        <n x="6" s="1"/>
        <n x="68"/>
        <n x="73"/>
        <n x="39"/>
      </t>
    </mdx>
    <mdx n="0" f="v">
      <t c="8">
        <n x="4" s="1"/>
        <n x="7" s="1"/>
        <n x="67" s="1"/>
        <n x="3" s="1"/>
        <n x="6" s="1"/>
        <n x="68"/>
        <n x="73"/>
        <n x="40"/>
      </t>
    </mdx>
    <mdx n="0" f="v">
      <t c="8">
        <n x="4" s="1"/>
        <n x="7" s="1"/>
        <n x="67" s="1"/>
        <n x="3" s="1"/>
        <n x="6" s="1"/>
        <n x="68"/>
        <n x="73"/>
        <n x="41"/>
      </t>
    </mdx>
    <mdx n="0" f="v">
      <t c="8">
        <n x="4" s="1"/>
        <n x="7" s="1"/>
        <n x="67" s="1"/>
        <n x="3" s="1"/>
        <n x="6" s="1"/>
        <n x="68"/>
        <n x="73"/>
        <n x="42"/>
      </t>
    </mdx>
    <mdx n="0" f="v">
      <t c="8">
        <n x="4" s="1"/>
        <n x="7" s="1"/>
        <n x="67" s="1"/>
        <n x="3" s="1"/>
        <n x="6" s="1"/>
        <n x="68"/>
        <n x="73"/>
        <n x="43"/>
      </t>
    </mdx>
    <mdx n="0" f="v">
      <t c="8">
        <n x="4" s="1"/>
        <n x="7" s="1"/>
        <n x="67" s="1"/>
        <n x="3" s="1"/>
        <n x="6" s="1"/>
        <n x="68"/>
        <n x="73"/>
        <n x="44"/>
      </t>
    </mdx>
    <mdx n="0" f="v">
      <t c="8">
        <n x="4" s="1"/>
        <n x="7" s="1"/>
        <n x="67" s="1"/>
        <n x="3" s="1"/>
        <n x="6" s="1"/>
        <n x="68"/>
        <n x="73"/>
        <n x="45"/>
      </t>
    </mdx>
    <mdx n="0" f="v">
      <t c="8">
        <n x="4" s="1"/>
        <n x="7" s="1"/>
        <n x="67" s="1"/>
        <n x="3" s="1"/>
        <n x="6" s="1"/>
        <n x="68"/>
        <n x="73"/>
        <n x="46"/>
      </t>
    </mdx>
    <mdx n="0" f="v">
      <t c="8">
        <n x="4" s="1"/>
        <n x="7" s="1"/>
        <n x="67" s="1"/>
        <n x="3" s="1"/>
        <n x="6" s="1"/>
        <n x="68"/>
        <n x="73"/>
        <n x="47"/>
      </t>
    </mdx>
    <mdx n="0" f="v">
      <t c="8">
        <n x="4" s="1"/>
        <n x="7" s="1"/>
        <n x="67" s="1"/>
        <n x="3" s="1"/>
        <n x="6" s="1"/>
        <n x="68"/>
        <n x="73"/>
        <n x="48"/>
      </t>
    </mdx>
    <mdx n="0" f="v">
      <t c="8">
        <n x="4" s="1"/>
        <n x="7" s="1"/>
        <n x="67" s="1"/>
        <n x="3" s="1"/>
        <n x="6" s="1"/>
        <n x="68"/>
        <n x="73"/>
        <n x="49"/>
      </t>
    </mdx>
    <mdx n="0" f="v">
      <t c="8">
        <n x="4" s="1"/>
        <n x="7" s="1"/>
        <n x="67" s="1"/>
        <n x="3" s="1"/>
        <n x="6" s="1"/>
        <n x="68"/>
        <n x="73"/>
        <n x="50"/>
      </t>
    </mdx>
    <mdx n="0" f="v">
      <t c="8">
        <n x="4" s="1"/>
        <n x="7" s="1"/>
        <n x="67" s="1"/>
        <n x="3" s="1"/>
        <n x="6" s="1"/>
        <n x="68"/>
        <n x="73"/>
        <n x="51"/>
      </t>
    </mdx>
    <mdx n="0" f="v">
      <t c="8">
        <n x="4" s="1"/>
        <n x="7" s="1"/>
        <n x="67" s="1"/>
        <n x="3" s="1"/>
        <n x="6" s="1"/>
        <n x="68"/>
        <n x="73"/>
        <n x="52"/>
      </t>
    </mdx>
    <mdx n="0" f="v">
      <t c="8">
        <n x="4" s="1"/>
        <n x="7" s="1"/>
        <n x="67" s="1"/>
        <n x="3" s="1"/>
        <n x="6" s="1"/>
        <n x="68"/>
        <n x="73"/>
        <n x="53"/>
      </t>
    </mdx>
    <mdx n="0" f="v">
      <t c="8">
        <n x="4" s="1"/>
        <n x="7" s="1"/>
        <n x="67" s="1"/>
        <n x="3" s="1"/>
        <n x="6" s="1"/>
        <n x="68"/>
        <n x="73"/>
        <n x="54"/>
      </t>
    </mdx>
    <mdx n="0" f="v">
      <t c="8">
        <n x="4" s="1"/>
        <n x="7" s="1"/>
        <n x="67" s="1"/>
        <n x="3" s="1"/>
        <n x="6" s="1"/>
        <n x="68"/>
        <n x="73"/>
        <n x="55"/>
      </t>
    </mdx>
    <mdx n="0" f="v">
      <t c="8">
        <n x="4" s="1"/>
        <n x="7" s="1"/>
        <n x="67" s="1"/>
        <n x="3" s="1"/>
        <n x="6" s="1"/>
        <n x="68"/>
        <n x="73"/>
        <n x="56"/>
      </t>
    </mdx>
    <mdx n="0" f="v">
      <t c="8">
        <n x="4" s="1"/>
        <n x="7" s="1"/>
        <n x="67" s="1"/>
        <n x="3" s="1"/>
        <n x="6" s="1"/>
        <n x="68"/>
        <n x="73"/>
        <n x="57"/>
      </t>
    </mdx>
    <mdx n="0" f="v">
      <t c="8">
        <n x="4" s="1"/>
        <n x="7" s="1"/>
        <n x="67" s="1"/>
        <n x="3" s="1"/>
        <n x="6" s="1"/>
        <n x="68"/>
        <n x="73"/>
        <n x="58"/>
      </t>
    </mdx>
    <mdx n="0" f="v">
      <t c="8">
        <n x="4" s="1"/>
        <n x="7" s="1"/>
        <n x="67" s="1"/>
        <n x="3" s="1"/>
        <n x="6" s="1"/>
        <n x="68"/>
        <n x="73"/>
        <n x="59"/>
      </t>
    </mdx>
    <mdx n="0" f="v">
      <t c="8">
        <n x="4" s="1"/>
        <n x="7" s="1"/>
        <n x="67" s="1"/>
        <n x="3" s="1"/>
        <n x="6" s="1"/>
        <n x="68"/>
        <n x="73"/>
        <n x="60"/>
      </t>
    </mdx>
    <mdx n="0" f="v">
      <t c="8">
        <n x="4" s="1"/>
        <n x="7" s="1"/>
        <n x="67" s="1"/>
        <n x="3" s="1"/>
        <n x="6" s="1"/>
        <n x="68"/>
        <n x="73"/>
        <n x="61"/>
      </t>
    </mdx>
    <mdx n="0" f="v">
      <t c="8">
        <n x="4" s="1"/>
        <n x="7" s="1"/>
        <n x="67" s="1"/>
        <n x="3" s="1"/>
        <n x="6" s="1"/>
        <n x="68"/>
        <n x="73"/>
        <n x="62"/>
      </t>
    </mdx>
    <mdx n="0" f="v">
      <t c="8">
        <n x="4" s="1"/>
        <n x="7" s="1"/>
        <n x="67" s="1"/>
        <n x="3" s="1"/>
        <n x="6" s="1"/>
        <n x="68"/>
        <n x="73"/>
        <n x="63"/>
      </t>
    </mdx>
    <mdx n="0" f="v">
      <t c="8">
        <n x="4" s="1"/>
        <n x="7" s="1"/>
        <n x="67" s="1"/>
        <n x="3" s="1"/>
        <n x="6" s="1"/>
        <n x="68"/>
        <n x="73"/>
        <n x="64"/>
      </t>
    </mdx>
    <mdx n="0" f="v">
      <t c="8">
        <n x="4" s="1"/>
        <n x="7" s="1"/>
        <n x="67" s="1"/>
        <n x="3" s="1"/>
        <n x="6" s="1"/>
        <n x="68"/>
        <n x="73"/>
        <n x="65"/>
      </t>
    </mdx>
    <mdx n="0" f="v">
      <t c="8">
        <n x="4" s="1"/>
        <n x="7" s="1"/>
        <n x="67" s="1"/>
        <n x="3" s="1"/>
        <n x="6" s="1"/>
        <n x="68"/>
        <n x="73"/>
        <n x="66"/>
      </t>
    </mdx>
    <mdx n="0" f="m">
      <t c="1">
        <n x="74"/>
      </t>
    </mdx>
    <mdx n="0" f="v">
      <t c="8">
        <n x="4" s="1"/>
        <n x="7" s="1"/>
        <n x="67" s="1"/>
        <n x="3" s="1"/>
        <n x="6" s="1"/>
        <n x="68"/>
        <n x="74"/>
        <n x="8"/>
      </t>
    </mdx>
    <mdx n="0" f="v">
      <t c="8">
        <n x="4" s="1"/>
        <n x="7" s="1"/>
        <n x="67" s="1"/>
        <n x="3" s="1"/>
        <n x="6" s="1"/>
        <n x="68"/>
        <n x="74"/>
        <n x="9"/>
      </t>
    </mdx>
    <mdx n="0" f="v">
      <t c="8">
        <n x="4" s="1"/>
        <n x="7" s="1"/>
        <n x="67" s="1"/>
        <n x="3" s="1"/>
        <n x="6" s="1"/>
        <n x="68"/>
        <n x="74"/>
        <n x="10"/>
      </t>
    </mdx>
    <mdx n="0" f="v">
      <t c="8">
        <n x="4" s="1"/>
        <n x="7" s="1"/>
        <n x="67" s="1"/>
        <n x="3" s="1"/>
        <n x="6" s="1"/>
        <n x="68"/>
        <n x="74"/>
        <n x="11"/>
      </t>
    </mdx>
    <mdx n="0" f="v">
      <t c="8">
        <n x="4" s="1"/>
        <n x="7" s="1"/>
        <n x="67" s="1"/>
        <n x="3" s="1"/>
        <n x="6" s="1"/>
        <n x="68"/>
        <n x="74"/>
        <n x="12"/>
      </t>
    </mdx>
    <mdx n="0" f="v">
      <t c="8">
        <n x="4" s="1"/>
        <n x="7" s="1"/>
        <n x="67" s="1"/>
        <n x="3" s="1"/>
        <n x="6" s="1"/>
        <n x="68"/>
        <n x="74"/>
        <n x="13"/>
      </t>
    </mdx>
    <mdx n="0" f="v">
      <t c="8">
        <n x="4" s="1"/>
        <n x="7" s="1"/>
        <n x="67" s="1"/>
        <n x="3" s="1"/>
        <n x="6" s="1"/>
        <n x="68"/>
        <n x="74"/>
        <n x="14"/>
      </t>
    </mdx>
    <mdx n="0" f="v">
      <t c="8">
        <n x="4" s="1"/>
        <n x="7" s="1"/>
        <n x="67" s="1"/>
        <n x="3" s="1"/>
        <n x="6" s="1"/>
        <n x="68"/>
        <n x="74"/>
        <n x="15"/>
      </t>
    </mdx>
    <mdx n="0" f="v">
      <t c="8">
        <n x="4" s="1"/>
        <n x="7" s="1"/>
        <n x="67" s="1"/>
        <n x="3" s="1"/>
        <n x="6" s="1"/>
        <n x="68"/>
        <n x="74"/>
        <n x="16"/>
      </t>
    </mdx>
    <mdx n="0" f="v">
      <t c="8">
        <n x="4" s="1"/>
        <n x="7" s="1"/>
        <n x="67" s="1"/>
        <n x="3" s="1"/>
        <n x="6" s="1"/>
        <n x="68"/>
        <n x="74"/>
        <n x="17"/>
      </t>
    </mdx>
    <mdx n="0" f="v">
      <t c="8">
        <n x="4" s="1"/>
        <n x="7" s="1"/>
        <n x="67" s="1"/>
        <n x="3" s="1"/>
        <n x="6" s="1"/>
        <n x="68"/>
        <n x="74"/>
        <n x="18"/>
      </t>
    </mdx>
    <mdx n="0" f="v">
      <t c="8">
        <n x="4" s="1"/>
        <n x="7" s="1"/>
        <n x="67" s="1"/>
        <n x="3" s="1"/>
        <n x="6" s="1"/>
        <n x="68"/>
        <n x="74"/>
        <n x="19"/>
      </t>
    </mdx>
    <mdx n="0" f="v">
      <t c="8">
        <n x="4" s="1"/>
        <n x="7" s="1"/>
        <n x="67" s="1"/>
        <n x="3" s="1"/>
        <n x="6" s="1"/>
        <n x="68"/>
        <n x="74"/>
        <n x="20"/>
      </t>
    </mdx>
    <mdx n="0" f="v">
      <t c="8">
        <n x="4" s="1"/>
        <n x="7" s="1"/>
        <n x="67" s="1"/>
        <n x="3" s="1"/>
        <n x="6" s="1"/>
        <n x="68"/>
        <n x="74"/>
        <n x="21"/>
      </t>
    </mdx>
    <mdx n="0" f="v">
      <t c="8">
        <n x="4" s="1"/>
        <n x="7" s="1"/>
        <n x="67" s="1"/>
        <n x="3" s="1"/>
        <n x="6" s="1"/>
        <n x="68"/>
        <n x="74"/>
        <n x="22"/>
      </t>
    </mdx>
    <mdx n="0" f="v">
      <t c="8">
        <n x="4" s="1"/>
        <n x="7" s="1"/>
        <n x="67" s="1"/>
        <n x="3" s="1"/>
        <n x="6" s="1"/>
        <n x="68"/>
        <n x="74"/>
        <n x="23"/>
      </t>
    </mdx>
    <mdx n="0" f="v">
      <t c="8">
        <n x="4" s="1"/>
        <n x="7" s="1"/>
        <n x="67" s="1"/>
        <n x="3" s="1"/>
        <n x="6" s="1"/>
        <n x="68"/>
        <n x="74"/>
        <n x="24"/>
      </t>
    </mdx>
    <mdx n="0" f="v">
      <t c="8">
        <n x="4" s="1"/>
        <n x="7" s="1"/>
        <n x="67" s="1"/>
        <n x="3" s="1"/>
        <n x="6" s="1"/>
        <n x="68"/>
        <n x="74"/>
        <n x="25"/>
      </t>
    </mdx>
    <mdx n="0" f="v">
      <t c="8">
        <n x="4" s="1"/>
        <n x="7" s="1"/>
        <n x="67" s="1"/>
        <n x="3" s="1"/>
        <n x="6" s="1"/>
        <n x="68"/>
        <n x="74"/>
        <n x="26"/>
      </t>
    </mdx>
    <mdx n="0" f="v">
      <t c="8">
        <n x="4" s="1"/>
        <n x="7" s="1"/>
        <n x="67" s="1"/>
        <n x="3" s="1"/>
        <n x="6" s="1"/>
        <n x="68"/>
        <n x="74"/>
        <n x="27"/>
      </t>
    </mdx>
    <mdx n="0" f="v">
      <t c="8">
        <n x="4" s="1"/>
        <n x="7" s="1"/>
        <n x="67" s="1"/>
        <n x="3" s="1"/>
        <n x="6" s="1"/>
        <n x="68"/>
        <n x="74"/>
        <n x="28"/>
      </t>
    </mdx>
    <mdx n="0" f="v">
      <t c="8">
        <n x="4" s="1"/>
        <n x="7" s="1"/>
        <n x="67" s="1"/>
        <n x="3" s="1"/>
        <n x="6" s="1"/>
        <n x="68"/>
        <n x="74"/>
        <n x="29"/>
      </t>
    </mdx>
    <mdx n="0" f="v">
      <t c="8">
        <n x="4" s="1"/>
        <n x="7" s="1"/>
        <n x="67" s="1"/>
        <n x="3" s="1"/>
        <n x="6" s="1"/>
        <n x="68"/>
        <n x="74"/>
        <n x="30"/>
      </t>
    </mdx>
    <mdx n="0" f="v">
      <t c="8">
        <n x="4" s="1"/>
        <n x="7" s="1"/>
        <n x="67" s="1"/>
        <n x="3" s="1"/>
        <n x="6" s="1"/>
        <n x="68"/>
        <n x="74"/>
        <n x="31"/>
      </t>
    </mdx>
    <mdx n="0" f="v">
      <t c="8">
        <n x="4" s="1"/>
        <n x="7" s="1"/>
        <n x="67" s="1"/>
        <n x="3" s="1"/>
        <n x="6" s="1"/>
        <n x="68"/>
        <n x="74"/>
        <n x="32"/>
      </t>
    </mdx>
    <mdx n="0" f="v">
      <t c="8">
        <n x="4" s="1"/>
        <n x="7" s="1"/>
        <n x="67" s="1"/>
        <n x="3" s="1"/>
        <n x="6" s="1"/>
        <n x="68"/>
        <n x="74"/>
        <n x="33"/>
      </t>
    </mdx>
    <mdx n="0" f="v">
      <t c="8">
        <n x="4" s="1"/>
        <n x="7" s="1"/>
        <n x="67" s="1"/>
        <n x="3" s="1"/>
        <n x="6" s="1"/>
        <n x="68"/>
        <n x="74"/>
        <n x="34"/>
      </t>
    </mdx>
    <mdx n="0" f="v">
      <t c="8">
        <n x="4" s="1"/>
        <n x="7" s="1"/>
        <n x="67" s="1"/>
        <n x="3" s="1"/>
        <n x="6" s="1"/>
        <n x="68"/>
        <n x="74"/>
        <n x="35"/>
      </t>
    </mdx>
    <mdx n="0" f="v">
      <t c="8">
        <n x="4" s="1"/>
        <n x="7" s="1"/>
        <n x="67" s="1"/>
        <n x="3" s="1"/>
        <n x="6" s="1"/>
        <n x="68"/>
        <n x="74"/>
        <n x="36"/>
      </t>
    </mdx>
    <mdx n="0" f="v">
      <t c="8">
        <n x="4" s="1"/>
        <n x="7" s="1"/>
        <n x="67" s="1"/>
        <n x="3" s="1"/>
        <n x="6" s="1"/>
        <n x="68"/>
        <n x="74"/>
        <n x="37"/>
      </t>
    </mdx>
    <mdx n="0" f="v">
      <t c="8">
        <n x="4" s="1"/>
        <n x="7" s="1"/>
        <n x="67" s="1"/>
        <n x="3" s="1"/>
        <n x="6" s="1"/>
        <n x="68"/>
        <n x="74"/>
        <n x="38"/>
      </t>
    </mdx>
    <mdx n="0" f="v">
      <t c="8">
        <n x="4" s="1"/>
        <n x="7" s="1"/>
        <n x="67" s="1"/>
        <n x="3" s="1"/>
        <n x="6" s="1"/>
        <n x="68"/>
        <n x="74"/>
        <n x="39"/>
      </t>
    </mdx>
    <mdx n="0" f="v">
      <t c="8">
        <n x="4" s="1"/>
        <n x="7" s="1"/>
        <n x="67" s="1"/>
        <n x="3" s="1"/>
        <n x="6" s="1"/>
        <n x="68"/>
        <n x="74"/>
        <n x="40"/>
      </t>
    </mdx>
    <mdx n="0" f="v">
      <t c="8">
        <n x="4" s="1"/>
        <n x="7" s="1"/>
        <n x="67" s="1"/>
        <n x="3" s="1"/>
        <n x="6" s="1"/>
        <n x="68"/>
        <n x="74"/>
        <n x="41"/>
      </t>
    </mdx>
    <mdx n="0" f="v">
      <t c="8">
        <n x="4" s="1"/>
        <n x="7" s="1"/>
        <n x="67" s="1"/>
        <n x="3" s="1"/>
        <n x="6" s="1"/>
        <n x="68"/>
        <n x="74"/>
        <n x="42"/>
      </t>
    </mdx>
    <mdx n="0" f="v">
      <t c="8">
        <n x="4" s="1"/>
        <n x="7" s="1"/>
        <n x="67" s="1"/>
        <n x="3" s="1"/>
        <n x="6" s="1"/>
        <n x="68"/>
        <n x="74"/>
        <n x="43"/>
      </t>
    </mdx>
    <mdx n="0" f="v">
      <t c="8">
        <n x="4" s="1"/>
        <n x="7" s="1"/>
        <n x="67" s="1"/>
        <n x="3" s="1"/>
        <n x="6" s="1"/>
        <n x="68"/>
        <n x="74"/>
        <n x="44"/>
      </t>
    </mdx>
    <mdx n="0" f="v">
      <t c="8">
        <n x="4" s="1"/>
        <n x="7" s="1"/>
        <n x="67" s="1"/>
        <n x="3" s="1"/>
        <n x="6" s="1"/>
        <n x="68"/>
        <n x="74"/>
        <n x="45"/>
      </t>
    </mdx>
    <mdx n="0" f="v">
      <t c="8">
        <n x="4" s="1"/>
        <n x="7" s="1"/>
        <n x="67" s="1"/>
        <n x="3" s="1"/>
        <n x="6" s="1"/>
        <n x="68"/>
        <n x="74"/>
        <n x="46"/>
      </t>
    </mdx>
    <mdx n="0" f="v">
      <t c="8">
        <n x="4" s="1"/>
        <n x="7" s="1"/>
        <n x="67" s="1"/>
        <n x="3" s="1"/>
        <n x="6" s="1"/>
        <n x="68"/>
        <n x="74"/>
        <n x="47"/>
      </t>
    </mdx>
    <mdx n="0" f="v">
      <t c="8">
        <n x="4" s="1"/>
        <n x="7" s="1"/>
        <n x="67" s="1"/>
        <n x="3" s="1"/>
        <n x="6" s="1"/>
        <n x="68"/>
        <n x="74"/>
        <n x="48"/>
      </t>
    </mdx>
    <mdx n="0" f="v">
      <t c="8">
        <n x="4" s="1"/>
        <n x="7" s="1"/>
        <n x="67" s="1"/>
        <n x="3" s="1"/>
        <n x="6" s="1"/>
        <n x="68"/>
        <n x="74"/>
        <n x="49"/>
      </t>
    </mdx>
    <mdx n="0" f="v">
      <t c="8">
        <n x="4" s="1"/>
        <n x="7" s="1"/>
        <n x="67" s="1"/>
        <n x="3" s="1"/>
        <n x="6" s="1"/>
        <n x="68"/>
        <n x="74"/>
        <n x="50"/>
      </t>
    </mdx>
    <mdx n="0" f="v">
      <t c="8">
        <n x="4" s="1"/>
        <n x="7" s="1"/>
        <n x="67" s="1"/>
        <n x="3" s="1"/>
        <n x="6" s="1"/>
        <n x="68"/>
        <n x="74"/>
        <n x="51"/>
      </t>
    </mdx>
    <mdx n="0" f="v">
      <t c="8">
        <n x="4" s="1"/>
        <n x="7" s="1"/>
        <n x="67" s="1"/>
        <n x="3" s="1"/>
        <n x="6" s="1"/>
        <n x="68"/>
        <n x="74"/>
        <n x="52"/>
      </t>
    </mdx>
    <mdx n="0" f="v">
      <t c="8">
        <n x="4" s="1"/>
        <n x="7" s="1"/>
        <n x="67" s="1"/>
        <n x="3" s="1"/>
        <n x="6" s="1"/>
        <n x="68"/>
        <n x="74"/>
        <n x="53"/>
      </t>
    </mdx>
    <mdx n="0" f="v">
      <t c="8">
        <n x="4" s="1"/>
        <n x="7" s="1"/>
        <n x="67" s="1"/>
        <n x="3" s="1"/>
        <n x="6" s="1"/>
        <n x="68"/>
        <n x="74"/>
        <n x="54"/>
      </t>
    </mdx>
    <mdx n="0" f="v">
      <t c="8">
        <n x="4" s="1"/>
        <n x="7" s="1"/>
        <n x="67" s="1"/>
        <n x="3" s="1"/>
        <n x="6" s="1"/>
        <n x="68"/>
        <n x="74"/>
        <n x="55"/>
      </t>
    </mdx>
    <mdx n="0" f="v">
      <t c="8">
        <n x="4" s="1"/>
        <n x="7" s="1"/>
        <n x="67" s="1"/>
        <n x="3" s="1"/>
        <n x="6" s="1"/>
        <n x="68"/>
        <n x="74"/>
        <n x="56"/>
      </t>
    </mdx>
    <mdx n="0" f="v">
      <t c="8">
        <n x="4" s="1"/>
        <n x="7" s="1"/>
        <n x="67" s="1"/>
        <n x="3" s="1"/>
        <n x="6" s="1"/>
        <n x="68"/>
        <n x="74"/>
        <n x="57"/>
      </t>
    </mdx>
    <mdx n="0" f="v">
      <t c="8">
        <n x="4" s="1"/>
        <n x="7" s="1"/>
        <n x="67" s="1"/>
        <n x="3" s="1"/>
        <n x="6" s="1"/>
        <n x="68"/>
        <n x="74"/>
        <n x="58"/>
      </t>
    </mdx>
    <mdx n="0" f="v">
      <t c="8">
        <n x="4" s="1"/>
        <n x="7" s="1"/>
        <n x="67" s="1"/>
        <n x="3" s="1"/>
        <n x="6" s="1"/>
        <n x="68"/>
        <n x="74"/>
        <n x="59"/>
      </t>
    </mdx>
    <mdx n="0" f="v">
      <t c="8">
        <n x="4" s="1"/>
        <n x="7" s="1"/>
        <n x="67" s="1"/>
        <n x="3" s="1"/>
        <n x="6" s="1"/>
        <n x="68"/>
        <n x="74"/>
        <n x="60"/>
      </t>
    </mdx>
    <mdx n="0" f="v">
      <t c="8">
        <n x="4" s="1"/>
        <n x="7" s="1"/>
        <n x="67" s="1"/>
        <n x="3" s="1"/>
        <n x="6" s="1"/>
        <n x="68"/>
        <n x="74"/>
        <n x="61"/>
      </t>
    </mdx>
    <mdx n="0" f="v">
      <t c="8">
        <n x="4" s="1"/>
        <n x="7" s="1"/>
        <n x="67" s="1"/>
        <n x="3" s="1"/>
        <n x="6" s="1"/>
        <n x="68"/>
        <n x="74"/>
        <n x="62"/>
      </t>
    </mdx>
    <mdx n="0" f="v">
      <t c="8">
        <n x="4" s="1"/>
        <n x="7" s="1"/>
        <n x="67" s="1"/>
        <n x="3" s="1"/>
        <n x="6" s="1"/>
        <n x="68"/>
        <n x="74"/>
        <n x="63"/>
      </t>
    </mdx>
    <mdx n="0" f="v">
      <t c="8">
        <n x="4" s="1"/>
        <n x="7" s="1"/>
        <n x="67" s="1"/>
        <n x="3" s="1"/>
        <n x="6" s="1"/>
        <n x="68"/>
        <n x="74"/>
        <n x="64"/>
      </t>
    </mdx>
    <mdx n="0" f="v">
      <t c="8">
        <n x="4" s="1"/>
        <n x="7" s="1"/>
        <n x="67" s="1"/>
        <n x="3" s="1"/>
        <n x="6" s="1"/>
        <n x="68"/>
        <n x="74"/>
        <n x="65"/>
      </t>
    </mdx>
    <mdx n="0" f="v">
      <t c="8">
        <n x="4" s="1"/>
        <n x="7" s="1"/>
        <n x="67" s="1"/>
        <n x="3" s="1"/>
        <n x="6" s="1"/>
        <n x="68"/>
        <n x="74"/>
        <n x="66"/>
      </t>
    </mdx>
    <mdx n="0" f="m">
      <t c="1">
        <n x="75"/>
      </t>
    </mdx>
    <mdx n="0" f="v">
      <t c="8">
        <n x="4" s="1"/>
        <n x="7" s="1"/>
        <n x="67" s="1"/>
        <n x="3" s="1"/>
        <n x="6" s="1"/>
        <n x="68"/>
        <n x="75"/>
        <n x="8"/>
      </t>
    </mdx>
    <mdx n="0" f="v">
      <t c="8">
        <n x="4" s="1"/>
        <n x="7" s="1"/>
        <n x="67" s="1"/>
        <n x="3" s="1"/>
        <n x="6" s="1"/>
        <n x="68"/>
        <n x="75"/>
        <n x="9"/>
      </t>
    </mdx>
    <mdx n="0" f="v">
      <t c="8">
        <n x="4" s="1"/>
        <n x="7" s="1"/>
        <n x="67" s="1"/>
        <n x="3" s="1"/>
        <n x="6" s="1"/>
        <n x="68"/>
        <n x="75"/>
        <n x="10"/>
      </t>
    </mdx>
    <mdx n="0" f="v">
      <t c="8">
        <n x="4" s="1"/>
        <n x="7" s="1"/>
        <n x="67" s="1"/>
        <n x="3" s="1"/>
        <n x="6" s="1"/>
        <n x="68"/>
        <n x="75"/>
        <n x="11"/>
      </t>
    </mdx>
    <mdx n="0" f="v">
      <t c="8">
        <n x="4" s="1"/>
        <n x="7" s="1"/>
        <n x="67" s="1"/>
        <n x="3" s="1"/>
        <n x="6" s="1"/>
        <n x="68"/>
        <n x="75"/>
        <n x="12"/>
      </t>
    </mdx>
    <mdx n="0" f="v">
      <t c="8">
        <n x="4" s="1"/>
        <n x="7" s="1"/>
        <n x="67" s="1"/>
        <n x="3" s="1"/>
        <n x="6" s="1"/>
        <n x="68"/>
        <n x="75"/>
        <n x="13"/>
      </t>
    </mdx>
    <mdx n="0" f="v">
      <t c="8">
        <n x="4" s="1"/>
        <n x="7" s="1"/>
        <n x="67" s="1"/>
        <n x="3" s="1"/>
        <n x="6" s="1"/>
        <n x="68"/>
        <n x="75"/>
        <n x="14"/>
      </t>
    </mdx>
    <mdx n="0" f="v">
      <t c="8">
        <n x="4" s="1"/>
        <n x="7" s="1"/>
        <n x="67" s="1"/>
        <n x="3" s="1"/>
        <n x="6" s="1"/>
        <n x="68"/>
        <n x="75"/>
        <n x="15"/>
      </t>
    </mdx>
    <mdx n="0" f="v">
      <t c="8">
        <n x="4" s="1"/>
        <n x="7" s="1"/>
        <n x="67" s="1"/>
        <n x="3" s="1"/>
        <n x="6" s="1"/>
        <n x="68"/>
        <n x="75"/>
        <n x="16"/>
      </t>
    </mdx>
    <mdx n="0" f="v">
      <t c="8">
        <n x="4" s="1"/>
        <n x="7" s="1"/>
        <n x="67" s="1"/>
        <n x="3" s="1"/>
        <n x="6" s="1"/>
        <n x="68"/>
        <n x="75"/>
        <n x="17"/>
      </t>
    </mdx>
    <mdx n="0" f="v">
      <t c="8">
        <n x="4" s="1"/>
        <n x="7" s="1"/>
        <n x="67" s="1"/>
        <n x="3" s="1"/>
        <n x="6" s="1"/>
        <n x="68"/>
        <n x="75"/>
        <n x="18"/>
      </t>
    </mdx>
    <mdx n="0" f="v">
      <t c="8">
        <n x="4" s="1"/>
        <n x="7" s="1"/>
        <n x="67" s="1"/>
        <n x="3" s="1"/>
        <n x="6" s="1"/>
        <n x="68"/>
        <n x="75"/>
        <n x="19"/>
      </t>
    </mdx>
    <mdx n="0" f="v">
      <t c="8">
        <n x="4" s="1"/>
        <n x="7" s="1"/>
        <n x="67" s="1"/>
        <n x="3" s="1"/>
        <n x="6" s="1"/>
        <n x="68"/>
        <n x="75"/>
        <n x="20"/>
      </t>
    </mdx>
    <mdx n="0" f="v">
      <t c="8">
        <n x="4" s="1"/>
        <n x="7" s="1"/>
        <n x="67" s="1"/>
        <n x="3" s="1"/>
        <n x="6" s="1"/>
        <n x="68"/>
        <n x="75"/>
        <n x="21"/>
      </t>
    </mdx>
    <mdx n="0" f="v">
      <t c="8">
        <n x="4" s="1"/>
        <n x="7" s="1"/>
        <n x="67" s="1"/>
        <n x="3" s="1"/>
        <n x="6" s="1"/>
        <n x="68"/>
        <n x="75"/>
        <n x="22"/>
      </t>
    </mdx>
    <mdx n="0" f="v">
      <t c="8">
        <n x="4" s="1"/>
        <n x="7" s="1"/>
        <n x="67" s="1"/>
        <n x="3" s="1"/>
        <n x="6" s="1"/>
        <n x="68"/>
        <n x="75"/>
        <n x="23"/>
      </t>
    </mdx>
    <mdx n="0" f="v">
      <t c="8">
        <n x="4" s="1"/>
        <n x="7" s="1"/>
        <n x="67" s="1"/>
        <n x="3" s="1"/>
        <n x="6" s="1"/>
        <n x="68"/>
        <n x="75"/>
        <n x="24"/>
      </t>
    </mdx>
    <mdx n="0" f="v">
      <t c="8">
        <n x="4" s="1"/>
        <n x="7" s="1"/>
        <n x="67" s="1"/>
        <n x="3" s="1"/>
        <n x="6" s="1"/>
        <n x="68"/>
        <n x="75"/>
        <n x="25"/>
      </t>
    </mdx>
    <mdx n="0" f="v">
      <t c="8">
        <n x="4" s="1"/>
        <n x="7" s="1"/>
        <n x="67" s="1"/>
        <n x="3" s="1"/>
        <n x="6" s="1"/>
        <n x="68"/>
        <n x="75"/>
        <n x="26"/>
      </t>
    </mdx>
    <mdx n="0" f="v">
      <t c="8">
        <n x="4" s="1"/>
        <n x="7" s="1"/>
        <n x="67" s="1"/>
        <n x="3" s="1"/>
        <n x="6" s="1"/>
        <n x="68"/>
        <n x="75"/>
        <n x="27"/>
      </t>
    </mdx>
    <mdx n="0" f="v">
      <t c="8">
        <n x="4" s="1"/>
        <n x="7" s="1"/>
        <n x="67" s="1"/>
        <n x="3" s="1"/>
        <n x="6" s="1"/>
        <n x="68"/>
        <n x="75"/>
        <n x="28"/>
      </t>
    </mdx>
    <mdx n="0" f="v">
      <t c="8">
        <n x="4" s="1"/>
        <n x="7" s="1"/>
        <n x="67" s="1"/>
        <n x="3" s="1"/>
        <n x="6" s="1"/>
        <n x="68"/>
        <n x="75"/>
        <n x="29"/>
      </t>
    </mdx>
    <mdx n="0" f="v">
      <t c="8">
        <n x="4" s="1"/>
        <n x="7" s="1"/>
        <n x="67" s="1"/>
        <n x="3" s="1"/>
        <n x="6" s="1"/>
        <n x="68"/>
        <n x="75"/>
        <n x="30"/>
      </t>
    </mdx>
    <mdx n="0" f="v">
      <t c="8">
        <n x="4" s="1"/>
        <n x="7" s="1"/>
        <n x="67" s="1"/>
        <n x="3" s="1"/>
        <n x="6" s="1"/>
        <n x="68"/>
        <n x="75"/>
        <n x="31"/>
      </t>
    </mdx>
    <mdx n="0" f="v">
      <t c="8">
        <n x="4" s="1"/>
        <n x="7" s="1"/>
        <n x="67" s="1"/>
        <n x="3" s="1"/>
        <n x="6" s="1"/>
        <n x="68"/>
        <n x="75"/>
        <n x="32"/>
      </t>
    </mdx>
    <mdx n="0" f="v">
      <t c="8">
        <n x="4" s="1"/>
        <n x="7" s="1"/>
        <n x="67" s="1"/>
        <n x="3" s="1"/>
        <n x="6" s="1"/>
        <n x="68"/>
        <n x="75"/>
        <n x="33"/>
      </t>
    </mdx>
    <mdx n="0" f="v">
      <t c="8">
        <n x="4" s="1"/>
        <n x="7" s="1"/>
        <n x="67" s="1"/>
        <n x="3" s="1"/>
        <n x="6" s="1"/>
        <n x="68"/>
        <n x="75"/>
        <n x="34"/>
      </t>
    </mdx>
    <mdx n="0" f="v">
      <t c="8">
        <n x="4" s="1"/>
        <n x="7" s="1"/>
        <n x="67" s="1"/>
        <n x="3" s="1"/>
        <n x="6" s="1"/>
        <n x="68"/>
        <n x="75"/>
        <n x="35"/>
      </t>
    </mdx>
    <mdx n="0" f="v">
      <t c="8">
        <n x="4" s="1"/>
        <n x="7" s="1"/>
        <n x="67" s="1"/>
        <n x="3" s="1"/>
        <n x="6" s="1"/>
        <n x="68"/>
        <n x="75"/>
        <n x="36"/>
      </t>
    </mdx>
    <mdx n="0" f="v">
      <t c="8">
        <n x="4" s="1"/>
        <n x="7" s="1"/>
        <n x="67" s="1"/>
        <n x="3" s="1"/>
        <n x="6" s="1"/>
        <n x="68"/>
        <n x="75"/>
        <n x="37"/>
      </t>
    </mdx>
    <mdx n="0" f="v">
      <t c="8">
        <n x="4" s="1"/>
        <n x="7" s="1"/>
        <n x="67" s="1"/>
        <n x="3" s="1"/>
        <n x="6" s="1"/>
        <n x="68"/>
        <n x="75"/>
        <n x="38"/>
      </t>
    </mdx>
    <mdx n="0" f="v">
      <t c="8">
        <n x="4" s="1"/>
        <n x="7" s="1"/>
        <n x="67" s="1"/>
        <n x="3" s="1"/>
        <n x="6" s="1"/>
        <n x="68"/>
        <n x="75"/>
        <n x="39"/>
      </t>
    </mdx>
    <mdx n="0" f="v">
      <t c="8">
        <n x="4" s="1"/>
        <n x="7" s="1"/>
        <n x="67" s="1"/>
        <n x="3" s="1"/>
        <n x="6" s="1"/>
        <n x="68"/>
        <n x="75"/>
        <n x="40"/>
      </t>
    </mdx>
    <mdx n="0" f="v">
      <t c="8">
        <n x="4" s="1"/>
        <n x="7" s="1"/>
        <n x="67" s="1"/>
        <n x="3" s="1"/>
        <n x="6" s="1"/>
        <n x="68"/>
        <n x="75"/>
        <n x="41"/>
      </t>
    </mdx>
    <mdx n="0" f="v">
      <t c="8">
        <n x="4" s="1"/>
        <n x="7" s="1"/>
        <n x="67" s="1"/>
        <n x="3" s="1"/>
        <n x="6" s="1"/>
        <n x="68"/>
        <n x="75"/>
        <n x="42"/>
      </t>
    </mdx>
    <mdx n="0" f="v">
      <t c="8">
        <n x="4" s="1"/>
        <n x="7" s="1"/>
        <n x="67" s="1"/>
        <n x="3" s="1"/>
        <n x="6" s="1"/>
        <n x="68"/>
        <n x="75"/>
        <n x="43"/>
      </t>
    </mdx>
    <mdx n="0" f="v">
      <t c="8">
        <n x="4" s="1"/>
        <n x="7" s="1"/>
        <n x="67" s="1"/>
        <n x="3" s="1"/>
        <n x="6" s="1"/>
        <n x="68"/>
        <n x="75"/>
        <n x="44"/>
      </t>
    </mdx>
    <mdx n="0" f="v">
      <t c="8">
        <n x="4" s="1"/>
        <n x="7" s="1"/>
        <n x="67" s="1"/>
        <n x="3" s="1"/>
        <n x="6" s="1"/>
        <n x="68"/>
        <n x="75"/>
        <n x="45"/>
      </t>
    </mdx>
    <mdx n="0" f="v">
      <t c="8">
        <n x="4" s="1"/>
        <n x="7" s="1"/>
        <n x="67" s="1"/>
        <n x="3" s="1"/>
        <n x="6" s="1"/>
        <n x="68"/>
        <n x="75"/>
        <n x="46"/>
      </t>
    </mdx>
    <mdx n="0" f="v">
      <t c="8">
        <n x="4" s="1"/>
        <n x="7" s="1"/>
        <n x="67" s="1"/>
        <n x="3" s="1"/>
        <n x="6" s="1"/>
        <n x="68"/>
        <n x="75"/>
        <n x="47"/>
      </t>
    </mdx>
    <mdx n="0" f="v">
      <t c="8">
        <n x="4" s="1"/>
        <n x="7" s="1"/>
        <n x="67" s="1"/>
        <n x="3" s="1"/>
        <n x="6" s="1"/>
        <n x="68"/>
        <n x="75"/>
        <n x="48"/>
      </t>
    </mdx>
    <mdx n="0" f="v">
      <t c="8">
        <n x="4" s="1"/>
        <n x="7" s="1"/>
        <n x="67" s="1"/>
        <n x="3" s="1"/>
        <n x="6" s="1"/>
        <n x="68"/>
        <n x="75"/>
        <n x="49"/>
      </t>
    </mdx>
    <mdx n="0" f="v">
      <t c="8">
        <n x="4" s="1"/>
        <n x="7" s="1"/>
        <n x="67" s="1"/>
        <n x="3" s="1"/>
        <n x="6" s="1"/>
        <n x="68"/>
        <n x="75"/>
        <n x="50"/>
      </t>
    </mdx>
    <mdx n="0" f="v">
      <t c="8">
        <n x="4" s="1"/>
        <n x="7" s="1"/>
        <n x="67" s="1"/>
        <n x="3" s="1"/>
        <n x="6" s="1"/>
        <n x="68"/>
        <n x="75"/>
        <n x="51"/>
      </t>
    </mdx>
    <mdx n="0" f="v">
      <t c="8">
        <n x="4" s="1"/>
        <n x="7" s="1"/>
        <n x="67" s="1"/>
        <n x="3" s="1"/>
        <n x="6" s="1"/>
        <n x="68"/>
        <n x="75"/>
        <n x="52"/>
      </t>
    </mdx>
    <mdx n="0" f="v">
      <t c="8">
        <n x="4" s="1"/>
        <n x="7" s="1"/>
        <n x="67" s="1"/>
        <n x="3" s="1"/>
        <n x="6" s="1"/>
        <n x="68"/>
        <n x="75"/>
        <n x="53"/>
      </t>
    </mdx>
    <mdx n="0" f="v">
      <t c="8">
        <n x="4" s="1"/>
        <n x="7" s="1"/>
        <n x="67" s="1"/>
        <n x="3" s="1"/>
        <n x="6" s="1"/>
        <n x="68"/>
        <n x="75"/>
        <n x="54"/>
      </t>
    </mdx>
    <mdx n="0" f="v">
      <t c="8">
        <n x="4" s="1"/>
        <n x="7" s="1"/>
        <n x="67" s="1"/>
        <n x="3" s="1"/>
        <n x="6" s="1"/>
        <n x="68"/>
        <n x="75"/>
        <n x="55"/>
      </t>
    </mdx>
    <mdx n="0" f="v">
      <t c="8">
        <n x="4" s="1"/>
        <n x="7" s="1"/>
        <n x="67" s="1"/>
        <n x="3" s="1"/>
        <n x="6" s="1"/>
        <n x="68"/>
        <n x="75"/>
        <n x="56"/>
      </t>
    </mdx>
    <mdx n="0" f="v">
      <t c="8">
        <n x="4" s="1"/>
        <n x="7" s="1"/>
        <n x="67" s="1"/>
        <n x="3" s="1"/>
        <n x="6" s="1"/>
        <n x="68"/>
        <n x="75"/>
        <n x="57"/>
      </t>
    </mdx>
    <mdx n="0" f="v">
      <t c="8">
        <n x="4" s="1"/>
        <n x="7" s="1"/>
        <n x="67" s="1"/>
        <n x="3" s="1"/>
        <n x="6" s="1"/>
        <n x="68"/>
        <n x="75"/>
        <n x="58"/>
      </t>
    </mdx>
    <mdx n="0" f="v">
      <t c="8">
        <n x="4" s="1"/>
        <n x="7" s="1"/>
        <n x="67" s="1"/>
        <n x="3" s="1"/>
        <n x="6" s="1"/>
        <n x="68"/>
        <n x="75"/>
        <n x="59"/>
      </t>
    </mdx>
    <mdx n="0" f="v">
      <t c="8">
        <n x="4" s="1"/>
        <n x="7" s="1"/>
        <n x="67" s="1"/>
        <n x="3" s="1"/>
        <n x="6" s="1"/>
        <n x="68"/>
        <n x="75"/>
        <n x="60"/>
      </t>
    </mdx>
    <mdx n="0" f="v">
      <t c="8">
        <n x="4" s="1"/>
        <n x="7" s="1"/>
        <n x="67" s="1"/>
        <n x="3" s="1"/>
        <n x="6" s="1"/>
        <n x="68"/>
        <n x="75"/>
        <n x="61"/>
      </t>
    </mdx>
    <mdx n="0" f="v">
      <t c="8">
        <n x="4" s="1"/>
        <n x="7" s="1"/>
        <n x="67" s="1"/>
        <n x="3" s="1"/>
        <n x="6" s="1"/>
        <n x="68"/>
        <n x="75"/>
        <n x="62"/>
      </t>
    </mdx>
    <mdx n="0" f="v">
      <t c="8">
        <n x="4" s="1"/>
        <n x="7" s="1"/>
        <n x="67" s="1"/>
        <n x="3" s="1"/>
        <n x="6" s="1"/>
        <n x="68"/>
        <n x="75"/>
        <n x="63"/>
      </t>
    </mdx>
    <mdx n="0" f="v">
      <t c="8">
        <n x="4" s="1"/>
        <n x="7" s="1"/>
        <n x="67" s="1"/>
        <n x="3" s="1"/>
        <n x="6" s="1"/>
        <n x="68"/>
        <n x="75"/>
        <n x="64"/>
      </t>
    </mdx>
    <mdx n="0" f="v">
      <t c="8">
        <n x="4" s="1"/>
        <n x="7" s="1"/>
        <n x="67" s="1"/>
        <n x="3" s="1"/>
        <n x="6" s="1"/>
        <n x="68"/>
        <n x="75"/>
        <n x="65"/>
      </t>
    </mdx>
    <mdx n="0" f="v">
      <t c="8">
        <n x="4" s="1"/>
        <n x="7" s="1"/>
        <n x="67" s="1"/>
        <n x="3" s="1"/>
        <n x="6" s="1"/>
        <n x="68"/>
        <n x="75"/>
        <n x="66"/>
      </t>
    </mdx>
    <mdx n="0" f="m">
      <t c="1">
        <n x="76"/>
      </t>
    </mdx>
    <mdx n="0" f="v">
      <t c="8">
        <n x="4" s="1"/>
        <n x="7" s="1"/>
        <n x="67" s="1"/>
        <n x="3" s="1"/>
        <n x="6" s="1"/>
        <n x="68"/>
        <n x="76"/>
        <n x="8"/>
      </t>
    </mdx>
    <mdx n="0" f="v">
      <t c="8">
        <n x="4" s="1"/>
        <n x="7" s="1"/>
        <n x="67" s="1"/>
        <n x="3" s="1"/>
        <n x="6" s="1"/>
        <n x="68"/>
        <n x="76"/>
        <n x="9"/>
      </t>
    </mdx>
    <mdx n="0" f="v">
      <t c="8">
        <n x="4" s="1"/>
        <n x="7" s="1"/>
        <n x="67" s="1"/>
        <n x="3" s="1"/>
        <n x="6" s="1"/>
        <n x="68"/>
        <n x="76"/>
        <n x="10"/>
      </t>
    </mdx>
    <mdx n="0" f="v">
      <t c="8">
        <n x="4" s="1"/>
        <n x="7" s="1"/>
        <n x="67" s="1"/>
        <n x="3" s="1"/>
        <n x="6" s="1"/>
        <n x="68"/>
        <n x="76"/>
        <n x="11"/>
      </t>
    </mdx>
    <mdx n="0" f="v">
      <t c="8">
        <n x="4" s="1"/>
        <n x="7" s="1"/>
        <n x="67" s="1"/>
        <n x="3" s="1"/>
        <n x="6" s="1"/>
        <n x="68"/>
        <n x="76"/>
        <n x="12"/>
      </t>
    </mdx>
    <mdx n="0" f="v">
      <t c="8">
        <n x="4" s="1"/>
        <n x="7" s="1"/>
        <n x="67" s="1"/>
        <n x="3" s="1"/>
        <n x="6" s="1"/>
        <n x="68"/>
        <n x="76"/>
        <n x="13"/>
      </t>
    </mdx>
    <mdx n="0" f="v">
      <t c="8">
        <n x="4" s="1"/>
        <n x="7" s="1"/>
        <n x="67" s="1"/>
        <n x="3" s="1"/>
        <n x="6" s="1"/>
        <n x="68"/>
        <n x="76"/>
        <n x="14"/>
      </t>
    </mdx>
    <mdx n="0" f="v">
      <t c="8">
        <n x="4" s="1"/>
        <n x="7" s="1"/>
        <n x="67" s="1"/>
        <n x="3" s="1"/>
        <n x="6" s="1"/>
        <n x="68"/>
        <n x="76"/>
        <n x="15"/>
      </t>
    </mdx>
    <mdx n="0" f="v">
      <t c="8">
        <n x="4" s="1"/>
        <n x="7" s="1"/>
        <n x="67" s="1"/>
        <n x="3" s="1"/>
        <n x="6" s="1"/>
        <n x="68"/>
        <n x="76"/>
        <n x="16"/>
      </t>
    </mdx>
    <mdx n="0" f="v">
      <t c="8">
        <n x="4" s="1"/>
        <n x="7" s="1"/>
        <n x="67" s="1"/>
        <n x="3" s="1"/>
        <n x="6" s="1"/>
        <n x="68"/>
        <n x="76"/>
        <n x="17"/>
      </t>
    </mdx>
    <mdx n="0" f="v">
      <t c="8">
        <n x="4" s="1"/>
        <n x="7" s="1"/>
        <n x="67" s="1"/>
        <n x="3" s="1"/>
        <n x="6" s="1"/>
        <n x="68"/>
        <n x="76"/>
        <n x="18"/>
      </t>
    </mdx>
    <mdx n="0" f="v">
      <t c="8">
        <n x="4" s="1"/>
        <n x="7" s="1"/>
        <n x="67" s="1"/>
        <n x="3" s="1"/>
        <n x="6" s="1"/>
        <n x="68"/>
        <n x="76"/>
        <n x="19"/>
      </t>
    </mdx>
    <mdx n="0" f="v">
      <t c="8">
        <n x="4" s="1"/>
        <n x="7" s="1"/>
        <n x="67" s="1"/>
        <n x="3" s="1"/>
        <n x="6" s="1"/>
        <n x="68"/>
        <n x="76"/>
        <n x="20"/>
      </t>
    </mdx>
    <mdx n="0" f="v">
      <t c="8">
        <n x="4" s="1"/>
        <n x="7" s="1"/>
        <n x="67" s="1"/>
        <n x="3" s="1"/>
        <n x="6" s="1"/>
        <n x="68"/>
        <n x="76"/>
        <n x="21"/>
      </t>
    </mdx>
    <mdx n="0" f="v">
      <t c="8">
        <n x="4" s="1"/>
        <n x="7" s="1"/>
        <n x="67" s="1"/>
        <n x="3" s="1"/>
        <n x="6" s="1"/>
        <n x="68"/>
        <n x="76"/>
        <n x="22"/>
      </t>
    </mdx>
    <mdx n="0" f="v">
      <t c="8">
        <n x="4" s="1"/>
        <n x="7" s="1"/>
        <n x="67" s="1"/>
        <n x="3" s="1"/>
        <n x="6" s="1"/>
        <n x="68"/>
        <n x="76"/>
        <n x="23"/>
      </t>
    </mdx>
    <mdx n="0" f="v">
      <t c="8">
        <n x="4" s="1"/>
        <n x="7" s="1"/>
        <n x="67" s="1"/>
        <n x="3" s="1"/>
        <n x="6" s="1"/>
        <n x="68"/>
        <n x="76"/>
        <n x="24"/>
      </t>
    </mdx>
    <mdx n="0" f="v">
      <t c="8">
        <n x="4" s="1"/>
        <n x="7" s="1"/>
        <n x="67" s="1"/>
        <n x="3" s="1"/>
        <n x="6" s="1"/>
        <n x="68"/>
        <n x="76"/>
        <n x="25"/>
      </t>
    </mdx>
    <mdx n="0" f="v">
      <t c="8">
        <n x="4" s="1"/>
        <n x="7" s="1"/>
        <n x="67" s="1"/>
        <n x="3" s="1"/>
        <n x="6" s="1"/>
        <n x="68"/>
        <n x="76"/>
        <n x="26"/>
      </t>
    </mdx>
    <mdx n="0" f="v">
      <t c="8">
        <n x="4" s="1"/>
        <n x="7" s="1"/>
        <n x="67" s="1"/>
        <n x="3" s="1"/>
        <n x="6" s="1"/>
        <n x="68"/>
        <n x="76"/>
        <n x="27"/>
      </t>
    </mdx>
    <mdx n="0" f="v">
      <t c="8">
        <n x="4" s="1"/>
        <n x="7" s="1"/>
        <n x="67" s="1"/>
        <n x="3" s="1"/>
        <n x="6" s="1"/>
        <n x="68"/>
        <n x="76"/>
        <n x="28"/>
      </t>
    </mdx>
    <mdx n="0" f="v">
      <t c="8">
        <n x="4" s="1"/>
        <n x="7" s="1"/>
        <n x="67" s="1"/>
        <n x="3" s="1"/>
        <n x="6" s="1"/>
        <n x="68"/>
        <n x="76"/>
        <n x="29"/>
      </t>
    </mdx>
    <mdx n="0" f="v">
      <t c="8">
        <n x="4" s="1"/>
        <n x="7" s="1"/>
        <n x="67" s="1"/>
        <n x="3" s="1"/>
        <n x="6" s="1"/>
        <n x="68"/>
        <n x="76"/>
        <n x="30"/>
      </t>
    </mdx>
    <mdx n="0" f="v">
      <t c="8">
        <n x="4" s="1"/>
        <n x="7" s="1"/>
        <n x="67" s="1"/>
        <n x="3" s="1"/>
        <n x="6" s="1"/>
        <n x="68"/>
        <n x="76"/>
        <n x="31"/>
      </t>
    </mdx>
    <mdx n="0" f="v">
      <t c="8">
        <n x="4" s="1"/>
        <n x="7" s="1"/>
        <n x="67" s="1"/>
        <n x="3" s="1"/>
        <n x="6" s="1"/>
        <n x="68"/>
        <n x="76"/>
        <n x="32"/>
      </t>
    </mdx>
    <mdx n="0" f="v">
      <t c="8">
        <n x="4" s="1"/>
        <n x="7" s="1"/>
        <n x="67" s="1"/>
        <n x="3" s="1"/>
        <n x="6" s="1"/>
        <n x="68"/>
        <n x="76"/>
        <n x="33"/>
      </t>
    </mdx>
    <mdx n="0" f="v">
      <t c="8">
        <n x="4" s="1"/>
        <n x="7" s="1"/>
        <n x="67" s="1"/>
        <n x="3" s="1"/>
        <n x="6" s="1"/>
        <n x="68"/>
        <n x="76"/>
        <n x="34"/>
      </t>
    </mdx>
    <mdx n="0" f="v">
      <t c="8">
        <n x="4" s="1"/>
        <n x="7" s="1"/>
        <n x="67" s="1"/>
        <n x="3" s="1"/>
        <n x="6" s="1"/>
        <n x="68"/>
        <n x="76"/>
        <n x="35"/>
      </t>
    </mdx>
    <mdx n="0" f="v">
      <t c="8">
        <n x="4" s="1"/>
        <n x="7" s="1"/>
        <n x="67" s="1"/>
        <n x="3" s="1"/>
        <n x="6" s="1"/>
        <n x="68"/>
        <n x="76"/>
        <n x="36"/>
      </t>
    </mdx>
    <mdx n="0" f="v">
      <t c="8">
        <n x="4" s="1"/>
        <n x="7" s="1"/>
        <n x="67" s="1"/>
        <n x="3" s="1"/>
        <n x="6" s="1"/>
        <n x="68"/>
        <n x="76"/>
        <n x="37"/>
      </t>
    </mdx>
    <mdx n="0" f="v">
      <t c="8">
        <n x="4" s="1"/>
        <n x="7" s="1"/>
        <n x="67" s="1"/>
        <n x="3" s="1"/>
        <n x="6" s="1"/>
        <n x="68"/>
        <n x="76"/>
        <n x="38"/>
      </t>
    </mdx>
    <mdx n="0" f="v">
      <t c="8">
        <n x="4" s="1"/>
        <n x="7" s="1"/>
        <n x="67" s="1"/>
        <n x="3" s="1"/>
        <n x="6" s="1"/>
        <n x="68"/>
        <n x="76"/>
        <n x="39"/>
      </t>
    </mdx>
    <mdx n="0" f="v">
      <t c="8">
        <n x="4" s="1"/>
        <n x="7" s="1"/>
        <n x="67" s="1"/>
        <n x="3" s="1"/>
        <n x="6" s="1"/>
        <n x="68"/>
        <n x="76"/>
        <n x="40"/>
      </t>
    </mdx>
    <mdx n="0" f="v">
      <t c="8">
        <n x="4" s="1"/>
        <n x="7" s="1"/>
        <n x="67" s="1"/>
        <n x="3" s="1"/>
        <n x="6" s="1"/>
        <n x="68"/>
        <n x="76"/>
        <n x="41"/>
      </t>
    </mdx>
    <mdx n="0" f="v">
      <t c="8">
        <n x="4" s="1"/>
        <n x="7" s="1"/>
        <n x="67" s="1"/>
        <n x="3" s="1"/>
        <n x="6" s="1"/>
        <n x="68"/>
        <n x="76"/>
        <n x="42"/>
      </t>
    </mdx>
    <mdx n="0" f="v">
      <t c="8">
        <n x="4" s="1"/>
        <n x="7" s="1"/>
        <n x="67" s="1"/>
        <n x="3" s="1"/>
        <n x="6" s="1"/>
        <n x="68"/>
        <n x="76"/>
        <n x="43"/>
      </t>
    </mdx>
    <mdx n="0" f="v">
      <t c="8">
        <n x="4" s="1"/>
        <n x="7" s="1"/>
        <n x="67" s="1"/>
        <n x="3" s="1"/>
        <n x="6" s="1"/>
        <n x="68"/>
        <n x="76"/>
        <n x="44"/>
      </t>
    </mdx>
    <mdx n="0" f="v">
      <t c="8">
        <n x="4" s="1"/>
        <n x="7" s="1"/>
        <n x="67" s="1"/>
        <n x="3" s="1"/>
        <n x="6" s="1"/>
        <n x="68"/>
        <n x="76"/>
        <n x="45"/>
      </t>
    </mdx>
    <mdx n="0" f="v">
      <t c="8">
        <n x="4" s="1"/>
        <n x="7" s="1"/>
        <n x="67" s="1"/>
        <n x="3" s="1"/>
        <n x="6" s="1"/>
        <n x="68"/>
        <n x="76"/>
        <n x="46"/>
      </t>
    </mdx>
    <mdx n="0" f="v">
      <t c="8">
        <n x="4" s="1"/>
        <n x="7" s="1"/>
        <n x="67" s="1"/>
        <n x="3" s="1"/>
        <n x="6" s="1"/>
        <n x="68"/>
        <n x="76"/>
        <n x="47"/>
      </t>
    </mdx>
    <mdx n="0" f="v">
      <t c="8">
        <n x="4" s="1"/>
        <n x="7" s="1"/>
        <n x="67" s="1"/>
        <n x="3" s="1"/>
        <n x="6" s="1"/>
        <n x="68"/>
        <n x="76"/>
        <n x="48"/>
      </t>
    </mdx>
    <mdx n="0" f="v">
      <t c="8">
        <n x="4" s="1"/>
        <n x="7" s="1"/>
        <n x="67" s="1"/>
        <n x="3" s="1"/>
        <n x="6" s="1"/>
        <n x="68"/>
        <n x="76"/>
        <n x="49"/>
      </t>
    </mdx>
    <mdx n="0" f="v">
      <t c="8">
        <n x="4" s="1"/>
        <n x="7" s="1"/>
        <n x="67" s="1"/>
        <n x="3" s="1"/>
        <n x="6" s="1"/>
        <n x="68"/>
        <n x="76"/>
        <n x="50"/>
      </t>
    </mdx>
    <mdx n="0" f="v">
      <t c="8">
        <n x="4" s="1"/>
        <n x="7" s="1"/>
        <n x="67" s="1"/>
        <n x="3" s="1"/>
        <n x="6" s="1"/>
        <n x="68"/>
        <n x="76"/>
        <n x="51"/>
      </t>
    </mdx>
    <mdx n="0" f="v">
      <t c="8">
        <n x="4" s="1"/>
        <n x="7" s="1"/>
        <n x="67" s="1"/>
        <n x="3" s="1"/>
        <n x="6" s="1"/>
        <n x="68"/>
        <n x="76"/>
        <n x="52"/>
      </t>
    </mdx>
    <mdx n="0" f="v">
      <t c="8">
        <n x="4" s="1"/>
        <n x="7" s="1"/>
        <n x="67" s="1"/>
        <n x="3" s="1"/>
        <n x="6" s="1"/>
        <n x="68"/>
        <n x="76"/>
        <n x="53"/>
      </t>
    </mdx>
    <mdx n="0" f="v">
      <t c="8">
        <n x="4" s="1"/>
        <n x="7" s="1"/>
        <n x="67" s="1"/>
        <n x="3" s="1"/>
        <n x="6" s="1"/>
        <n x="68"/>
        <n x="76"/>
        <n x="54"/>
      </t>
    </mdx>
    <mdx n="0" f="v">
      <t c="8">
        <n x="4" s="1"/>
        <n x="7" s="1"/>
        <n x="67" s="1"/>
        <n x="3" s="1"/>
        <n x="6" s="1"/>
        <n x="68"/>
        <n x="76"/>
        <n x="55"/>
      </t>
    </mdx>
    <mdx n="0" f="v">
      <t c="8">
        <n x="4" s="1"/>
        <n x="7" s="1"/>
        <n x="67" s="1"/>
        <n x="3" s="1"/>
        <n x="6" s="1"/>
        <n x="68"/>
        <n x="76"/>
        <n x="56"/>
      </t>
    </mdx>
    <mdx n="0" f="v">
      <t c="8">
        <n x="4" s="1"/>
        <n x="7" s="1"/>
        <n x="67" s="1"/>
        <n x="3" s="1"/>
        <n x="6" s="1"/>
        <n x="68"/>
        <n x="76"/>
        <n x="57"/>
      </t>
    </mdx>
    <mdx n="0" f="v">
      <t c="8">
        <n x="4" s="1"/>
        <n x="7" s="1"/>
        <n x="67" s="1"/>
        <n x="3" s="1"/>
        <n x="6" s="1"/>
        <n x="68"/>
        <n x="76"/>
        <n x="58"/>
      </t>
    </mdx>
    <mdx n="0" f="v">
      <t c="8">
        <n x="4" s="1"/>
        <n x="7" s="1"/>
        <n x="67" s="1"/>
        <n x="3" s="1"/>
        <n x="6" s="1"/>
        <n x="68"/>
        <n x="76"/>
        <n x="59"/>
      </t>
    </mdx>
    <mdx n="0" f="v">
      <t c="8">
        <n x="4" s="1"/>
        <n x="7" s="1"/>
        <n x="67" s="1"/>
        <n x="3" s="1"/>
        <n x="6" s="1"/>
        <n x="68"/>
        <n x="76"/>
        <n x="60"/>
      </t>
    </mdx>
    <mdx n="0" f="v">
      <t c="8">
        <n x="4" s="1"/>
        <n x="7" s="1"/>
        <n x="67" s="1"/>
        <n x="3" s="1"/>
        <n x="6" s="1"/>
        <n x="68"/>
        <n x="76"/>
        <n x="61"/>
      </t>
    </mdx>
    <mdx n="0" f="v">
      <t c="8">
        <n x="4" s="1"/>
        <n x="7" s="1"/>
        <n x="67" s="1"/>
        <n x="3" s="1"/>
        <n x="6" s="1"/>
        <n x="68"/>
        <n x="76"/>
        <n x="62"/>
      </t>
    </mdx>
    <mdx n="0" f="v">
      <t c="8">
        <n x="4" s="1"/>
        <n x="7" s="1"/>
        <n x="67" s="1"/>
        <n x="3" s="1"/>
        <n x="6" s="1"/>
        <n x="68"/>
        <n x="76"/>
        <n x="63"/>
      </t>
    </mdx>
    <mdx n="0" f="v">
      <t c="8">
        <n x="4" s="1"/>
        <n x="7" s="1"/>
        <n x="67" s="1"/>
        <n x="3" s="1"/>
        <n x="6" s="1"/>
        <n x="68"/>
        <n x="76"/>
        <n x="64"/>
      </t>
    </mdx>
    <mdx n="0" f="v">
      <t c="8">
        <n x="4" s="1"/>
        <n x="7" s="1"/>
        <n x="67" s="1"/>
        <n x="3" s="1"/>
        <n x="6" s="1"/>
        <n x="68"/>
        <n x="76"/>
        <n x="65"/>
      </t>
    </mdx>
    <mdx n="0" f="v">
      <t c="8">
        <n x="4" s="1"/>
        <n x="7" s="1"/>
        <n x="67" s="1"/>
        <n x="3" s="1"/>
        <n x="6" s="1"/>
        <n x="68"/>
        <n x="76"/>
        <n x="66"/>
      </t>
    </mdx>
    <mdx n="0" f="m">
      <t c="1">
        <n x="77"/>
      </t>
    </mdx>
    <mdx n="0" f="v">
      <t c="8">
        <n x="4" s="1"/>
        <n x="7" s="1"/>
        <n x="67" s="1"/>
        <n x="3" s="1"/>
        <n x="6" s="1"/>
        <n x="68"/>
        <n x="77"/>
        <n x="8"/>
      </t>
    </mdx>
    <mdx n="0" f="v">
      <t c="8">
        <n x="4" s="1"/>
        <n x="7" s="1"/>
        <n x="67" s="1"/>
        <n x="3" s="1"/>
        <n x="6" s="1"/>
        <n x="68"/>
        <n x="77"/>
        <n x="9"/>
      </t>
    </mdx>
    <mdx n="0" f="v">
      <t c="8">
        <n x="4" s="1"/>
        <n x="7" s="1"/>
        <n x="67" s="1"/>
        <n x="3" s="1"/>
        <n x="6" s="1"/>
        <n x="68"/>
        <n x="77"/>
        <n x="10"/>
      </t>
    </mdx>
    <mdx n="0" f="v">
      <t c="8">
        <n x="4" s="1"/>
        <n x="7" s="1"/>
        <n x="67" s="1"/>
        <n x="3" s="1"/>
        <n x="6" s="1"/>
        <n x="68"/>
        <n x="77"/>
        <n x="11"/>
      </t>
    </mdx>
    <mdx n="0" f="v">
      <t c="8">
        <n x="4" s="1"/>
        <n x="7" s="1"/>
        <n x="67" s="1"/>
        <n x="3" s="1"/>
        <n x="6" s="1"/>
        <n x="68"/>
        <n x="77"/>
        <n x="12"/>
      </t>
    </mdx>
    <mdx n="0" f="v">
      <t c="8">
        <n x="4" s="1"/>
        <n x="7" s="1"/>
        <n x="67" s="1"/>
        <n x="3" s="1"/>
        <n x="6" s="1"/>
        <n x="68"/>
        <n x="77"/>
        <n x="13"/>
      </t>
    </mdx>
    <mdx n="0" f="v">
      <t c="8">
        <n x="4" s="1"/>
        <n x="7" s="1"/>
        <n x="67" s="1"/>
        <n x="3" s="1"/>
        <n x="6" s="1"/>
        <n x="68"/>
        <n x="77"/>
        <n x="14"/>
      </t>
    </mdx>
    <mdx n="0" f="v">
      <t c="8">
        <n x="4" s="1"/>
        <n x="7" s="1"/>
        <n x="67" s="1"/>
        <n x="3" s="1"/>
        <n x="6" s="1"/>
        <n x="68"/>
        <n x="77"/>
        <n x="15"/>
      </t>
    </mdx>
    <mdx n="0" f="v">
      <t c="8">
        <n x="4" s="1"/>
        <n x="7" s="1"/>
        <n x="67" s="1"/>
        <n x="3" s="1"/>
        <n x="6" s="1"/>
        <n x="68"/>
        <n x="77"/>
        <n x="16"/>
      </t>
    </mdx>
    <mdx n="0" f="v">
      <t c="8">
        <n x="4" s="1"/>
        <n x="7" s="1"/>
        <n x="67" s="1"/>
        <n x="3" s="1"/>
        <n x="6" s="1"/>
        <n x="68"/>
        <n x="77"/>
        <n x="17"/>
      </t>
    </mdx>
    <mdx n="0" f="v">
      <t c="8">
        <n x="4" s="1"/>
        <n x="7" s="1"/>
        <n x="67" s="1"/>
        <n x="3" s="1"/>
        <n x="6" s="1"/>
        <n x="68"/>
        <n x="77"/>
        <n x="18"/>
      </t>
    </mdx>
    <mdx n="0" f="v">
      <t c="8">
        <n x="4" s="1"/>
        <n x="7" s="1"/>
        <n x="67" s="1"/>
        <n x="3" s="1"/>
        <n x="6" s="1"/>
        <n x="68"/>
        <n x="77"/>
        <n x="19"/>
      </t>
    </mdx>
    <mdx n="0" f="v">
      <t c="8">
        <n x="4" s="1"/>
        <n x="7" s="1"/>
        <n x="67" s="1"/>
        <n x="3" s="1"/>
        <n x="6" s="1"/>
        <n x="68"/>
        <n x="77"/>
        <n x="20"/>
      </t>
    </mdx>
    <mdx n="0" f="v">
      <t c="8">
        <n x="4" s="1"/>
        <n x="7" s="1"/>
        <n x="67" s="1"/>
        <n x="3" s="1"/>
        <n x="6" s="1"/>
        <n x="68"/>
        <n x="77"/>
        <n x="21"/>
      </t>
    </mdx>
    <mdx n="0" f="v">
      <t c="8">
        <n x="4" s="1"/>
        <n x="7" s="1"/>
        <n x="67" s="1"/>
        <n x="3" s="1"/>
        <n x="6" s="1"/>
        <n x="68"/>
        <n x="77"/>
        <n x="22"/>
      </t>
    </mdx>
    <mdx n="0" f="v">
      <t c="8">
        <n x="4" s="1"/>
        <n x="7" s="1"/>
        <n x="67" s="1"/>
        <n x="3" s="1"/>
        <n x="6" s="1"/>
        <n x="68"/>
        <n x="77"/>
        <n x="23"/>
      </t>
    </mdx>
    <mdx n="0" f="v">
      <t c="8">
        <n x="4" s="1"/>
        <n x="7" s="1"/>
        <n x="67" s="1"/>
        <n x="3" s="1"/>
        <n x="6" s="1"/>
        <n x="68"/>
        <n x="77"/>
        <n x="24"/>
      </t>
    </mdx>
    <mdx n="0" f="v">
      <t c="8">
        <n x="4" s="1"/>
        <n x="7" s="1"/>
        <n x="67" s="1"/>
        <n x="3" s="1"/>
        <n x="6" s="1"/>
        <n x="68"/>
        <n x="77"/>
        <n x="25"/>
      </t>
    </mdx>
    <mdx n="0" f="v">
      <t c="8">
        <n x="4" s="1"/>
        <n x="7" s="1"/>
        <n x="67" s="1"/>
        <n x="3" s="1"/>
        <n x="6" s="1"/>
        <n x="68"/>
        <n x="77"/>
        <n x="26"/>
      </t>
    </mdx>
    <mdx n="0" f="v">
      <t c="8">
        <n x="4" s="1"/>
        <n x="7" s="1"/>
        <n x="67" s="1"/>
        <n x="3" s="1"/>
        <n x="6" s="1"/>
        <n x="68"/>
        <n x="77"/>
        <n x="27"/>
      </t>
    </mdx>
    <mdx n="0" f="v">
      <t c="8">
        <n x="4" s="1"/>
        <n x="7" s="1"/>
        <n x="67" s="1"/>
        <n x="3" s="1"/>
        <n x="6" s="1"/>
        <n x="68"/>
        <n x="77"/>
        <n x="28"/>
      </t>
    </mdx>
    <mdx n="0" f="v">
      <t c="8">
        <n x="4" s="1"/>
        <n x="7" s="1"/>
        <n x="67" s="1"/>
        <n x="3" s="1"/>
        <n x="6" s="1"/>
        <n x="68"/>
        <n x="77"/>
        <n x="29"/>
      </t>
    </mdx>
    <mdx n="0" f="v">
      <t c="8">
        <n x="4" s="1"/>
        <n x="7" s="1"/>
        <n x="67" s="1"/>
        <n x="3" s="1"/>
        <n x="6" s="1"/>
        <n x="68"/>
        <n x="77"/>
        <n x="30"/>
      </t>
    </mdx>
    <mdx n="0" f="v">
      <t c="8">
        <n x="4" s="1"/>
        <n x="7" s="1"/>
        <n x="67" s="1"/>
        <n x="3" s="1"/>
        <n x="6" s="1"/>
        <n x="68"/>
        <n x="77"/>
        <n x="31"/>
      </t>
    </mdx>
    <mdx n="0" f="v">
      <t c="8">
        <n x="4" s="1"/>
        <n x="7" s="1"/>
        <n x="67" s="1"/>
        <n x="3" s="1"/>
        <n x="6" s="1"/>
        <n x="68"/>
        <n x="77"/>
        <n x="32"/>
      </t>
    </mdx>
    <mdx n="0" f="v">
      <t c="8">
        <n x="4" s="1"/>
        <n x="7" s="1"/>
        <n x="67" s="1"/>
        <n x="3" s="1"/>
        <n x="6" s="1"/>
        <n x="68"/>
        <n x="77"/>
        <n x="33"/>
      </t>
    </mdx>
    <mdx n="0" f="v">
      <t c="8">
        <n x="4" s="1"/>
        <n x="7" s="1"/>
        <n x="67" s="1"/>
        <n x="3" s="1"/>
        <n x="6" s="1"/>
        <n x="68"/>
        <n x="77"/>
        <n x="34"/>
      </t>
    </mdx>
    <mdx n="0" f="v">
      <t c="8">
        <n x="4" s="1"/>
        <n x="7" s="1"/>
        <n x="67" s="1"/>
        <n x="3" s="1"/>
        <n x="6" s="1"/>
        <n x="68"/>
        <n x="77"/>
        <n x="35"/>
      </t>
    </mdx>
    <mdx n="0" f="v">
      <t c="8">
        <n x="4" s="1"/>
        <n x="7" s="1"/>
        <n x="67" s="1"/>
        <n x="3" s="1"/>
        <n x="6" s="1"/>
        <n x="68"/>
        <n x="77"/>
        <n x="36"/>
      </t>
    </mdx>
    <mdx n="0" f="v">
      <t c="8">
        <n x="4" s="1"/>
        <n x="7" s="1"/>
        <n x="67" s="1"/>
        <n x="3" s="1"/>
        <n x="6" s="1"/>
        <n x="68"/>
        <n x="77"/>
        <n x="37"/>
      </t>
    </mdx>
    <mdx n="0" f="v">
      <t c="8">
        <n x="4" s="1"/>
        <n x="7" s="1"/>
        <n x="67" s="1"/>
        <n x="3" s="1"/>
        <n x="6" s="1"/>
        <n x="68"/>
        <n x="77"/>
        <n x="38"/>
      </t>
    </mdx>
    <mdx n="0" f="v">
      <t c="8">
        <n x="4" s="1"/>
        <n x="7" s="1"/>
        <n x="67" s="1"/>
        <n x="3" s="1"/>
        <n x="6" s="1"/>
        <n x="68"/>
        <n x="77"/>
        <n x="39"/>
      </t>
    </mdx>
    <mdx n="0" f="v">
      <t c="8">
        <n x="4" s="1"/>
        <n x="7" s="1"/>
        <n x="67" s="1"/>
        <n x="3" s="1"/>
        <n x="6" s="1"/>
        <n x="68"/>
        <n x="77"/>
        <n x="40"/>
      </t>
    </mdx>
    <mdx n="0" f="v">
      <t c="8">
        <n x="4" s="1"/>
        <n x="7" s="1"/>
        <n x="67" s="1"/>
        <n x="3" s="1"/>
        <n x="6" s="1"/>
        <n x="68"/>
        <n x="77"/>
        <n x="41"/>
      </t>
    </mdx>
    <mdx n="0" f="v">
      <t c="8">
        <n x="4" s="1"/>
        <n x="7" s="1"/>
        <n x="67" s="1"/>
        <n x="3" s="1"/>
        <n x="6" s="1"/>
        <n x="68"/>
        <n x="77"/>
        <n x="42"/>
      </t>
    </mdx>
    <mdx n="0" f="v">
      <t c="8">
        <n x="4" s="1"/>
        <n x="7" s="1"/>
        <n x="67" s="1"/>
        <n x="3" s="1"/>
        <n x="6" s="1"/>
        <n x="68"/>
        <n x="77"/>
        <n x="43"/>
      </t>
    </mdx>
    <mdx n="0" f="v">
      <t c="8">
        <n x="4" s="1"/>
        <n x="7" s="1"/>
        <n x="67" s="1"/>
        <n x="3" s="1"/>
        <n x="6" s="1"/>
        <n x="68"/>
        <n x="77"/>
        <n x="44"/>
      </t>
    </mdx>
    <mdx n="0" f="v">
      <t c="8">
        <n x="4" s="1"/>
        <n x="7" s="1"/>
        <n x="67" s="1"/>
        <n x="3" s="1"/>
        <n x="6" s="1"/>
        <n x="68"/>
        <n x="77"/>
        <n x="45"/>
      </t>
    </mdx>
    <mdx n="0" f="v">
      <t c="8">
        <n x="4" s="1"/>
        <n x="7" s="1"/>
        <n x="67" s="1"/>
        <n x="3" s="1"/>
        <n x="6" s="1"/>
        <n x="68"/>
        <n x="77"/>
        <n x="46"/>
      </t>
    </mdx>
    <mdx n="0" f="v">
      <t c="8">
        <n x="4" s="1"/>
        <n x="7" s="1"/>
        <n x="67" s="1"/>
        <n x="3" s="1"/>
        <n x="6" s="1"/>
        <n x="68"/>
        <n x="77"/>
        <n x="47"/>
      </t>
    </mdx>
    <mdx n="0" f="v">
      <t c="8">
        <n x="4" s="1"/>
        <n x="7" s="1"/>
        <n x="67" s="1"/>
        <n x="3" s="1"/>
        <n x="6" s="1"/>
        <n x="68"/>
        <n x="77"/>
        <n x="48"/>
      </t>
    </mdx>
    <mdx n="0" f="v">
      <t c="8">
        <n x="4" s="1"/>
        <n x="7" s="1"/>
        <n x="67" s="1"/>
        <n x="3" s="1"/>
        <n x="6" s="1"/>
        <n x="68"/>
        <n x="77"/>
        <n x="49"/>
      </t>
    </mdx>
    <mdx n="0" f="v">
      <t c="8">
        <n x="4" s="1"/>
        <n x="7" s="1"/>
        <n x="67" s="1"/>
        <n x="3" s="1"/>
        <n x="6" s="1"/>
        <n x="68"/>
        <n x="77"/>
        <n x="50"/>
      </t>
    </mdx>
    <mdx n="0" f="v">
      <t c="8">
        <n x="4" s="1"/>
        <n x="7" s="1"/>
        <n x="67" s="1"/>
        <n x="3" s="1"/>
        <n x="6" s="1"/>
        <n x="68"/>
        <n x="77"/>
        <n x="51"/>
      </t>
    </mdx>
    <mdx n="0" f="v">
      <t c="8">
        <n x="4" s="1"/>
        <n x="7" s="1"/>
        <n x="67" s="1"/>
        <n x="3" s="1"/>
        <n x="6" s="1"/>
        <n x="68"/>
        <n x="77"/>
        <n x="52"/>
      </t>
    </mdx>
    <mdx n="0" f="v">
      <t c="8">
        <n x="4" s="1"/>
        <n x="7" s="1"/>
        <n x="67" s="1"/>
        <n x="3" s="1"/>
        <n x="6" s="1"/>
        <n x="68"/>
        <n x="77"/>
        <n x="53"/>
      </t>
    </mdx>
    <mdx n="0" f="v">
      <t c="8">
        <n x="4" s="1"/>
        <n x="7" s="1"/>
        <n x="67" s="1"/>
        <n x="3" s="1"/>
        <n x="6" s="1"/>
        <n x="68"/>
        <n x="77"/>
        <n x="54"/>
      </t>
    </mdx>
    <mdx n="0" f="v">
      <t c="8">
        <n x="4" s="1"/>
        <n x="7" s="1"/>
        <n x="67" s="1"/>
        <n x="3" s="1"/>
        <n x="6" s="1"/>
        <n x="68"/>
        <n x="77"/>
        <n x="55"/>
      </t>
    </mdx>
    <mdx n="0" f="v">
      <t c="8">
        <n x="4" s="1"/>
        <n x="7" s="1"/>
        <n x="67" s="1"/>
        <n x="3" s="1"/>
        <n x="6" s="1"/>
        <n x="68"/>
        <n x="77"/>
        <n x="56"/>
      </t>
    </mdx>
    <mdx n="0" f="v">
      <t c="8">
        <n x="4" s="1"/>
        <n x="7" s="1"/>
        <n x="67" s="1"/>
        <n x="3" s="1"/>
        <n x="6" s="1"/>
        <n x="68"/>
        <n x="77"/>
        <n x="57"/>
      </t>
    </mdx>
    <mdx n="0" f="v">
      <t c="8">
        <n x="4" s="1"/>
        <n x="7" s="1"/>
        <n x="67" s="1"/>
        <n x="3" s="1"/>
        <n x="6" s="1"/>
        <n x="68"/>
        <n x="77"/>
        <n x="58"/>
      </t>
    </mdx>
    <mdx n="0" f="v">
      <t c="8">
        <n x="4" s="1"/>
        <n x="7" s="1"/>
        <n x="67" s="1"/>
        <n x="3" s="1"/>
        <n x="6" s="1"/>
        <n x="68"/>
        <n x="77"/>
        <n x="59"/>
      </t>
    </mdx>
    <mdx n="0" f="v">
      <t c="8">
        <n x="4" s="1"/>
        <n x="7" s="1"/>
        <n x="67" s="1"/>
        <n x="3" s="1"/>
        <n x="6" s="1"/>
        <n x="68"/>
        <n x="77"/>
        <n x="60"/>
      </t>
    </mdx>
    <mdx n="0" f="v">
      <t c="8">
        <n x="4" s="1"/>
        <n x="7" s="1"/>
        <n x="67" s="1"/>
        <n x="3" s="1"/>
        <n x="6" s="1"/>
        <n x="68"/>
        <n x="77"/>
        <n x="61"/>
      </t>
    </mdx>
    <mdx n="0" f="v">
      <t c="8">
        <n x="4" s="1"/>
        <n x="7" s="1"/>
        <n x="67" s="1"/>
        <n x="3" s="1"/>
        <n x="6" s="1"/>
        <n x="68"/>
        <n x="77"/>
        <n x="62"/>
      </t>
    </mdx>
    <mdx n="0" f="v">
      <t c="8">
        <n x="4" s="1"/>
        <n x="7" s="1"/>
        <n x="67" s="1"/>
        <n x="3" s="1"/>
        <n x="6" s="1"/>
        <n x="68"/>
        <n x="77"/>
        <n x="63"/>
      </t>
    </mdx>
    <mdx n="0" f="v">
      <t c="8">
        <n x="4" s="1"/>
        <n x="7" s="1"/>
        <n x="67" s="1"/>
        <n x="3" s="1"/>
        <n x="6" s="1"/>
        <n x="68"/>
        <n x="77"/>
        <n x="64"/>
      </t>
    </mdx>
    <mdx n="0" f="v">
      <t c="8">
        <n x="4" s="1"/>
        <n x="7" s="1"/>
        <n x="67" s="1"/>
        <n x="3" s="1"/>
        <n x="6" s="1"/>
        <n x="68"/>
        <n x="77"/>
        <n x="65"/>
      </t>
    </mdx>
    <mdx n="0" f="v">
      <t c="8">
        <n x="4" s="1"/>
        <n x="7" s="1"/>
        <n x="67" s="1"/>
        <n x="3" s="1"/>
        <n x="6" s="1"/>
        <n x="68"/>
        <n x="77"/>
        <n x="66"/>
      </t>
    </mdx>
    <mdx n="0" f="m">
      <t c="1">
        <n x="78"/>
      </t>
    </mdx>
    <mdx n="0" f="v">
      <t c="8">
        <n x="4" s="1"/>
        <n x="7" s="1"/>
        <n x="67" s="1"/>
        <n x="3" s="1"/>
        <n x="6" s="1"/>
        <n x="68"/>
        <n x="78"/>
        <n x="8"/>
      </t>
    </mdx>
    <mdx n="0" f="v">
      <t c="8">
        <n x="4" s="1"/>
        <n x="7" s="1"/>
        <n x="67" s="1"/>
        <n x="3" s="1"/>
        <n x="6" s="1"/>
        <n x="68"/>
        <n x="78"/>
        <n x="9"/>
      </t>
    </mdx>
    <mdx n="0" f="v">
      <t c="8">
        <n x="4" s="1"/>
        <n x="7" s="1"/>
        <n x="67" s="1"/>
        <n x="3" s="1"/>
        <n x="6" s="1"/>
        <n x="68"/>
        <n x="78"/>
        <n x="10"/>
      </t>
    </mdx>
    <mdx n="0" f="v">
      <t c="8">
        <n x="4" s="1"/>
        <n x="7" s="1"/>
        <n x="67" s="1"/>
        <n x="3" s="1"/>
        <n x="6" s="1"/>
        <n x="68"/>
        <n x="78"/>
        <n x="11"/>
      </t>
    </mdx>
    <mdx n="0" f="v">
      <t c="8">
        <n x="4" s="1"/>
        <n x="7" s="1"/>
        <n x="67" s="1"/>
        <n x="3" s="1"/>
        <n x="6" s="1"/>
        <n x="68"/>
        <n x="78"/>
        <n x="12"/>
      </t>
    </mdx>
    <mdx n="0" f="v">
      <t c="8">
        <n x="4" s="1"/>
        <n x="7" s="1"/>
        <n x="67" s="1"/>
        <n x="3" s="1"/>
        <n x="6" s="1"/>
        <n x="68"/>
        <n x="78"/>
        <n x="13"/>
      </t>
    </mdx>
    <mdx n="0" f="v">
      <t c="8">
        <n x="4" s="1"/>
        <n x="7" s="1"/>
        <n x="67" s="1"/>
        <n x="3" s="1"/>
        <n x="6" s="1"/>
        <n x="68"/>
        <n x="78"/>
        <n x="14"/>
      </t>
    </mdx>
    <mdx n="0" f="v">
      <t c="8">
        <n x="4" s="1"/>
        <n x="7" s="1"/>
        <n x="67" s="1"/>
        <n x="3" s="1"/>
        <n x="6" s="1"/>
        <n x="68"/>
        <n x="78"/>
        <n x="15"/>
      </t>
    </mdx>
    <mdx n="0" f="v">
      <t c="8">
        <n x="4" s="1"/>
        <n x="7" s="1"/>
        <n x="67" s="1"/>
        <n x="3" s="1"/>
        <n x="6" s="1"/>
        <n x="68"/>
        <n x="78"/>
        <n x="16"/>
      </t>
    </mdx>
    <mdx n="0" f="v">
      <t c="8">
        <n x="4" s="1"/>
        <n x="7" s="1"/>
        <n x="67" s="1"/>
        <n x="3" s="1"/>
        <n x="6" s="1"/>
        <n x="68"/>
        <n x="78"/>
        <n x="17"/>
      </t>
    </mdx>
    <mdx n="0" f="v">
      <t c="8">
        <n x="4" s="1"/>
        <n x="7" s="1"/>
        <n x="67" s="1"/>
        <n x="3" s="1"/>
        <n x="6" s="1"/>
        <n x="68"/>
        <n x="78"/>
        <n x="18"/>
      </t>
    </mdx>
    <mdx n="0" f="v">
      <t c="8">
        <n x="4" s="1"/>
        <n x="7" s="1"/>
        <n x="67" s="1"/>
        <n x="3" s="1"/>
        <n x="6" s="1"/>
        <n x="68"/>
        <n x="78"/>
        <n x="19"/>
      </t>
    </mdx>
    <mdx n="0" f="v">
      <t c="8">
        <n x="4" s="1"/>
        <n x="7" s="1"/>
        <n x="67" s="1"/>
        <n x="3" s="1"/>
        <n x="6" s="1"/>
        <n x="68"/>
        <n x="78"/>
        <n x="20"/>
      </t>
    </mdx>
    <mdx n="0" f="v">
      <t c="8">
        <n x="4" s="1"/>
        <n x="7" s="1"/>
        <n x="67" s="1"/>
        <n x="3" s="1"/>
        <n x="6" s="1"/>
        <n x="68"/>
        <n x="78"/>
        <n x="21"/>
      </t>
    </mdx>
    <mdx n="0" f="v">
      <t c="8">
        <n x="4" s="1"/>
        <n x="7" s="1"/>
        <n x="67" s="1"/>
        <n x="3" s="1"/>
        <n x="6" s="1"/>
        <n x="68"/>
        <n x="78"/>
        <n x="22"/>
      </t>
    </mdx>
    <mdx n="0" f="v">
      <t c="8">
        <n x="4" s="1"/>
        <n x="7" s="1"/>
        <n x="67" s="1"/>
        <n x="3" s="1"/>
        <n x="6" s="1"/>
        <n x="68"/>
        <n x="78"/>
        <n x="23"/>
      </t>
    </mdx>
    <mdx n="0" f="v">
      <t c="8">
        <n x="4" s="1"/>
        <n x="7" s="1"/>
        <n x="67" s="1"/>
        <n x="3" s="1"/>
        <n x="6" s="1"/>
        <n x="68"/>
        <n x="78"/>
        <n x="24"/>
      </t>
    </mdx>
    <mdx n="0" f="v">
      <t c="8">
        <n x="4" s="1"/>
        <n x="7" s="1"/>
        <n x="67" s="1"/>
        <n x="3" s="1"/>
        <n x="6" s="1"/>
        <n x="68"/>
        <n x="78"/>
        <n x="25"/>
      </t>
    </mdx>
    <mdx n="0" f="v">
      <t c="8">
        <n x="4" s="1"/>
        <n x="7" s="1"/>
        <n x="67" s="1"/>
        <n x="3" s="1"/>
        <n x="6" s="1"/>
        <n x="68"/>
        <n x="78"/>
        <n x="26"/>
      </t>
    </mdx>
    <mdx n="0" f="v">
      <t c="8">
        <n x="4" s="1"/>
        <n x="7" s="1"/>
        <n x="67" s="1"/>
        <n x="3" s="1"/>
        <n x="6" s="1"/>
        <n x="68"/>
        <n x="78"/>
        <n x="27"/>
      </t>
    </mdx>
    <mdx n="0" f="v">
      <t c="8">
        <n x="4" s="1"/>
        <n x="7" s="1"/>
        <n x="67" s="1"/>
        <n x="3" s="1"/>
        <n x="6" s="1"/>
        <n x="68"/>
        <n x="78"/>
        <n x="28"/>
      </t>
    </mdx>
    <mdx n="0" f="v">
      <t c="8">
        <n x="4" s="1"/>
        <n x="7" s="1"/>
        <n x="67" s="1"/>
        <n x="3" s="1"/>
        <n x="6" s="1"/>
        <n x="68"/>
        <n x="78"/>
        <n x="29"/>
      </t>
    </mdx>
    <mdx n="0" f="v">
      <t c="8">
        <n x="4" s="1"/>
        <n x="7" s="1"/>
        <n x="67" s="1"/>
        <n x="3" s="1"/>
        <n x="6" s="1"/>
        <n x="68"/>
        <n x="78"/>
        <n x="30"/>
      </t>
    </mdx>
    <mdx n="0" f="v">
      <t c="8">
        <n x="4" s="1"/>
        <n x="7" s="1"/>
        <n x="67" s="1"/>
        <n x="3" s="1"/>
        <n x="6" s="1"/>
        <n x="68"/>
        <n x="78"/>
        <n x="31"/>
      </t>
    </mdx>
    <mdx n="0" f="v">
      <t c="8">
        <n x="4" s="1"/>
        <n x="7" s="1"/>
        <n x="67" s="1"/>
        <n x="3" s="1"/>
        <n x="6" s="1"/>
        <n x="68"/>
        <n x="78"/>
        <n x="32"/>
      </t>
    </mdx>
    <mdx n="0" f="v">
      <t c="8">
        <n x="4" s="1"/>
        <n x="7" s="1"/>
        <n x="67" s="1"/>
        <n x="3" s="1"/>
        <n x="6" s="1"/>
        <n x="68"/>
        <n x="78"/>
        <n x="33"/>
      </t>
    </mdx>
    <mdx n="0" f="v">
      <t c="8">
        <n x="4" s="1"/>
        <n x="7" s="1"/>
        <n x="67" s="1"/>
        <n x="3" s="1"/>
        <n x="6" s="1"/>
        <n x="68"/>
        <n x="78"/>
        <n x="34"/>
      </t>
    </mdx>
    <mdx n="0" f="v">
      <t c="8">
        <n x="4" s="1"/>
        <n x="7" s="1"/>
        <n x="67" s="1"/>
        <n x="3" s="1"/>
        <n x="6" s="1"/>
        <n x="68"/>
        <n x="78"/>
        <n x="35"/>
      </t>
    </mdx>
    <mdx n="0" f="v">
      <t c="8">
        <n x="4" s="1"/>
        <n x="7" s="1"/>
        <n x="67" s="1"/>
        <n x="3" s="1"/>
        <n x="6" s="1"/>
        <n x="68"/>
        <n x="78"/>
        <n x="36"/>
      </t>
    </mdx>
    <mdx n="0" f="v">
      <t c="8">
        <n x="4" s="1"/>
        <n x="7" s="1"/>
        <n x="67" s="1"/>
        <n x="3" s="1"/>
        <n x="6" s="1"/>
        <n x="68"/>
        <n x="78"/>
        <n x="37"/>
      </t>
    </mdx>
    <mdx n="0" f="v">
      <t c="8">
        <n x="4" s="1"/>
        <n x="7" s="1"/>
        <n x="67" s="1"/>
        <n x="3" s="1"/>
        <n x="6" s="1"/>
        <n x="68"/>
        <n x="78"/>
        <n x="38"/>
      </t>
    </mdx>
    <mdx n="0" f="v">
      <t c="8">
        <n x="4" s="1"/>
        <n x="7" s="1"/>
        <n x="67" s="1"/>
        <n x="3" s="1"/>
        <n x="6" s="1"/>
        <n x="68"/>
        <n x="78"/>
        <n x="39"/>
      </t>
    </mdx>
    <mdx n="0" f="v">
      <t c="8">
        <n x="4" s="1"/>
        <n x="7" s="1"/>
        <n x="67" s="1"/>
        <n x="3" s="1"/>
        <n x="6" s="1"/>
        <n x="68"/>
        <n x="78"/>
        <n x="40"/>
      </t>
    </mdx>
    <mdx n="0" f="v">
      <t c="8">
        <n x="4" s="1"/>
        <n x="7" s="1"/>
        <n x="67" s="1"/>
        <n x="3" s="1"/>
        <n x="6" s="1"/>
        <n x="68"/>
        <n x="78"/>
        <n x="41"/>
      </t>
    </mdx>
    <mdx n="0" f="v">
      <t c="8">
        <n x="4" s="1"/>
        <n x="7" s="1"/>
        <n x="67" s="1"/>
        <n x="3" s="1"/>
        <n x="6" s="1"/>
        <n x="68"/>
        <n x="78"/>
        <n x="42"/>
      </t>
    </mdx>
    <mdx n="0" f="v">
      <t c="8">
        <n x="4" s="1"/>
        <n x="7" s="1"/>
        <n x="67" s="1"/>
        <n x="3" s="1"/>
        <n x="6" s="1"/>
        <n x="68"/>
        <n x="78"/>
        <n x="43"/>
      </t>
    </mdx>
    <mdx n="0" f="v">
      <t c="8">
        <n x="4" s="1"/>
        <n x="7" s="1"/>
        <n x="67" s="1"/>
        <n x="3" s="1"/>
        <n x="6" s="1"/>
        <n x="68"/>
        <n x="78"/>
        <n x="44"/>
      </t>
    </mdx>
    <mdx n="0" f="v">
      <t c="8">
        <n x="4" s="1"/>
        <n x="7" s="1"/>
        <n x="67" s="1"/>
        <n x="3" s="1"/>
        <n x="6" s="1"/>
        <n x="68"/>
        <n x="78"/>
        <n x="45"/>
      </t>
    </mdx>
    <mdx n="0" f="v">
      <t c="8">
        <n x="4" s="1"/>
        <n x="7" s="1"/>
        <n x="67" s="1"/>
        <n x="3" s="1"/>
        <n x="6" s="1"/>
        <n x="68"/>
        <n x="78"/>
        <n x="46"/>
      </t>
    </mdx>
    <mdx n="0" f="v">
      <t c="8">
        <n x="4" s="1"/>
        <n x="7" s="1"/>
        <n x="67" s="1"/>
        <n x="3" s="1"/>
        <n x="6" s="1"/>
        <n x="68"/>
        <n x="78"/>
        <n x="47"/>
      </t>
    </mdx>
    <mdx n="0" f="v">
      <t c="8">
        <n x="4" s="1"/>
        <n x="7" s="1"/>
        <n x="67" s="1"/>
        <n x="3" s="1"/>
        <n x="6" s="1"/>
        <n x="68"/>
        <n x="78"/>
        <n x="48"/>
      </t>
    </mdx>
    <mdx n="0" f="v">
      <t c="8">
        <n x="4" s="1"/>
        <n x="7" s="1"/>
        <n x="67" s="1"/>
        <n x="3" s="1"/>
        <n x="6" s="1"/>
        <n x="68"/>
        <n x="78"/>
        <n x="49"/>
      </t>
    </mdx>
    <mdx n="0" f="v">
      <t c="8">
        <n x="4" s="1"/>
        <n x="7" s="1"/>
        <n x="67" s="1"/>
        <n x="3" s="1"/>
        <n x="6" s="1"/>
        <n x="68"/>
        <n x="78"/>
        <n x="50"/>
      </t>
    </mdx>
    <mdx n="0" f="v">
      <t c="8">
        <n x="4" s="1"/>
        <n x="7" s="1"/>
        <n x="67" s="1"/>
        <n x="3" s="1"/>
        <n x="6" s="1"/>
        <n x="68"/>
        <n x="78"/>
        <n x="51"/>
      </t>
    </mdx>
    <mdx n="0" f="v">
      <t c="8">
        <n x="4" s="1"/>
        <n x="7" s="1"/>
        <n x="67" s="1"/>
        <n x="3" s="1"/>
        <n x="6" s="1"/>
        <n x="68"/>
        <n x="78"/>
        <n x="52"/>
      </t>
    </mdx>
    <mdx n="0" f="v">
      <t c="8">
        <n x="4" s="1"/>
        <n x="7" s="1"/>
        <n x="67" s="1"/>
        <n x="3" s="1"/>
        <n x="6" s="1"/>
        <n x="68"/>
        <n x="78"/>
        <n x="53"/>
      </t>
    </mdx>
    <mdx n="0" f="v">
      <t c="8">
        <n x="4" s="1"/>
        <n x="7" s="1"/>
        <n x="67" s="1"/>
        <n x="3" s="1"/>
        <n x="6" s="1"/>
        <n x="68"/>
        <n x="78"/>
        <n x="54"/>
      </t>
    </mdx>
    <mdx n="0" f="v">
      <t c="8">
        <n x="4" s="1"/>
        <n x="7" s="1"/>
        <n x="67" s="1"/>
        <n x="3" s="1"/>
        <n x="6" s="1"/>
        <n x="68"/>
        <n x="78"/>
        <n x="55"/>
      </t>
    </mdx>
    <mdx n="0" f="v">
      <t c="8">
        <n x="4" s="1"/>
        <n x="7" s="1"/>
        <n x="67" s="1"/>
        <n x="3" s="1"/>
        <n x="6" s="1"/>
        <n x="68"/>
        <n x="78"/>
        <n x="56"/>
      </t>
    </mdx>
    <mdx n="0" f="v">
      <t c="8">
        <n x="4" s="1"/>
        <n x="7" s="1"/>
        <n x="67" s="1"/>
        <n x="3" s="1"/>
        <n x="6" s="1"/>
        <n x="68"/>
        <n x="78"/>
        <n x="57"/>
      </t>
    </mdx>
    <mdx n="0" f="v">
      <t c="8">
        <n x="4" s="1"/>
        <n x="7" s="1"/>
        <n x="67" s="1"/>
        <n x="3" s="1"/>
        <n x="6" s="1"/>
        <n x="68"/>
        <n x="78"/>
        <n x="58"/>
      </t>
    </mdx>
    <mdx n="0" f="v">
      <t c="8">
        <n x="4" s="1"/>
        <n x="7" s="1"/>
        <n x="67" s="1"/>
        <n x="3" s="1"/>
        <n x="6" s="1"/>
        <n x="68"/>
        <n x="78"/>
        <n x="59"/>
      </t>
    </mdx>
    <mdx n="0" f="v">
      <t c="8">
        <n x="4" s="1"/>
        <n x="7" s="1"/>
        <n x="67" s="1"/>
        <n x="3" s="1"/>
        <n x="6" s="1"/>
        <n x="68"/>
        <n x="78"/>
        <n x="60"/>
      </t>
    </mdx>
    <mdx n="0" f="v">
      <t c="8">
        <n x="4" s="1"/>
        <n x="7" s="1"/>
        <n x="67" s="1"/>
        <n x="3" s="1"/>
        <n x="6" s="1"/>
        <n x="68"/>
        <n x="78"/>
        <n x="61"/>
      </t>
    </mdx>
    <mdx n="0" f="v">
      <t c="8">
        <n x="4" s="1"/>
        <n x="7" s="1"/>
        <n x="67" s="1"/>
        <n x="3" s="1"/>
        <n x="6" s="1"/>
        <n x="68"/>
        <n x="78"/>
        <n x="62"/>
      </t>
    </mdx>
    <mdx n="0" f="v">
      <t c="8">
        <n x="4" s="1"/>
        <n x="7" s="1"/>
        <n x="67" s="1"/>
        <n x="3" s="1"/>
        <n x="6" s="1"/>
        <n x="68"/>
        <n x="78"/>
        <n x="63"/>
      </t>
    </mdx>
    <mdx n="0" f="v">
      <t c="8">
        <n x="4" s="1"/>
        <n x="7" s="1"/>
        <n x="67" s="1"/>
        <n x="3" s="1"/>
        <n x="6" s="1"/>
        <n x="68"/>
        <n x="78"/>
        <n x="64"/>
      </t>
    </mdx>
    <mdx n="0" f="v">
      <t c="8">
        <n x="4" s="1"/>
        <n x="7" s="1"/>
        <n x="67" s="1"/>
        <n x="3" s="1"/>
        <n x="6" s="1"/>
        <n x="68"/>
        <n x="78"/>
        <n x="65"/>
      </t>
    </mdx>
    <mdx n="0" f="v">
      <t c="8">
        <n x="4" s="1"/>
        <n x="7" s="1"/>
        <n x="67" s="1"/>
        <n x="3" s="1"/>
        <n x="6" s="1"/>
        <n x="68"/>
        <n x="78"/>
        <n x="66"/>
      </t>
    </mdx>
    <mdx n="0" f="m">
      <t c="1">
        <n x="79"/>
      </t>
    </mdx>
    <mdx n="0" f="v">
      <t c="8">
        <n x="4" s="1"/>
        <n x="7" s="1"/>
        <n x="67" s="1"/>
        <n x="3" s="1"/>
        <n x="6" s="1"/>
        <n x="68"/>
        <n x="79"/>
        <n x="8"/>
      </t>
    </mdx>
    <mdx n="0" f="v">
      <t c="8">
        <n x="4" s="1"/>
        <n x="7" s="1"/>
        <n x="67" s="1"/>
        <n x="3" s="1"/>
        <n x="6" s="1"/>
        <n x="68"/>
        <n x="79"/>
        <n x="9"/>
      </t>
    </mdx>
    <mdx n="0" f="v">
      <t c="8">
        <n x="4" s="1"/>
        <n x="7" s="1"/>
        <n x="67" s="1"/>
        <n x="3" s="1"/>
        <n x="6" s="1"/>
        <n x="68"/>
        <n x="79"/>
        <n x="10"/>
      </t>
    </mdx>
    <mdx n="0" f="v">
      <t c="8">
        <n x="4" s="1"/>
        <n x="7" s="1"/>
        <n x="67" s="1"/>
        <n x="3" s="1"/>
        <n x="6" s="1"/>
        <n x="68"/>
        <n x="79"/>
        <n x="11"/>
      </t>
    </mdx>
    <mdx n="0" f="v">
      <t c="8">
        <n x="4" s="1"/>
        <n x="7" s="1"/>
        <n x="67" s="1"/>
        <n x="3" s="1"/>
        <n x="6" s="1"/>
        <n x="68"/>
        <n x="79"/>
        <n x="12"/>
      </t>
    </mdx>
    <mdx n="0" f="v">
      <t c="8">
        <n x="4" s="1"/>
        <n x="7" s="1"/>
        <n x="67" s="1"/>
        <n x="3" s="1"/>
        <n x="6" s="1"/>
        <n x="68"/>
        <n x="79"/>
        <n x="13"/>
      </t>
    </mdx>
    <mdx n="0" f="v">
      <t c="8">
        <n x="4" s="1"/>
        <n x="7" s="1"/>
        <n x="67" s="1"/>
        <n x="3" s="1"/>
        <n x="6" s="1"/>
        <n x="68"/>
        <n x="79"/>
        <n x="14"/>
      </t>
    </mdx>
    <mdx n="0" f="v">
      <t c="8">
        <n x="4" s="1"/>
        <n x="7" s="1"/>
        <n x="67" s="1"/>
        <n x="3" s="1"/>
        <n x="6" s="1"/>
        <n x="68"/>
        <n x="79"/>
        <n x="15"/>
      </t>
    </mdx>
    <mdx n="0" f="v">
      <t c="8">
        <n x="4" s="1"/>
        <n x="7" s="1"/>
        <n x="67" s="1"/>
        <n x="3" s="1"/>
        <n x="6" s="1"/>
        <n x="68"/>
        <n x="79"/>
        <n x="16"/>
      </t>
    </mdx>
    <mdx n="0" f="v">
      <t c="8">
        <n x="4" s="1"/>
        <n x="7" s="1"/>
        <n x="67" s="1"/>
        <n x="3" s="1"/>
        <n x="6" s="1"/>
        <n x="68"/>
        <n x="79"/>
        <n x="17"/>
      </t>
    </mdx>
    <mdx n="0" f="v">
      <t c="8">
        <n x="4" s="1"/>
        <n x="7" s="1"/>
        <n x="67" s="1"/>
        <n x="3" s="1"/>
        <n x="6" s="1"/>
        <n x="68"/>
        <n x="79"/>
        <n x="18"/>
      </t>
    </mdx>
    <mdx n="0" f="v">
      <t c="8">
        <n x="4" s="1"/>
        <n x="7" s="1"/>
        <n x="67" s="1"/>
        <n x="3" s="1"/>
        <n x="6" s="1"/>
        <n x="68"/>
        <n x="79"/>
        <n x="19"/>
      </t>
    </mdx>
    <mdx n="0" f="v">
      <t c="8">
        <n x="4" s="1"/>
        <n x="7" s="1"/>
        <n x="67" s="1"/>
        <n x="3" s="1"/>
        <n x="6" s="1"/>
        <n x="68"/>
        <n x="79"/>
        <n x="20"/>
      </t>
    </mdx>
    <mdx n="0" f="v">
      <t c="8">
        <n x="4" s="1"/>
        <n x="7" s="1"/>
        <n x="67" s="1"/>
        <n x="3" s="1"/>
        <n x="6" s="1"/>
        <n x="68"/>
        <n x="79"/>
        <n x="21"/>
      </t>
    </mdx>
    <mdx n="0" f="v">
      <t c="8">
        <n x="4" s="1"/>
        <n x="7" s="1"/>
        <n x="67" s="1"/>
        <n x="3" s="1"/>
        <n x="6" s="1"/>
        <n x="68"/>
        <n x="79"/>
        <n x="22"/>
      </t>
    </mdx>
    <mdx n="0" f="v">
      <t c="8">
        <n x="4" s="1"/>
        <n x="7" s="1"/>
        <n x="67" s="1"/>
        <n x="3" s="1"/>
        <n x="6" s="1"/>
        <n x="68"/>
        <n x="79"/>
        <n x="23"/>
      </t>
    </mdx>
    <mdx n="0" f="v">
      <t c="8">
        <n x="4" s="1"/>
        <n x="7" s="1"/>
        <n x="67" s="1"/>
        <n x="3" s="1"/>
        <n x="6" s="1"/>
        <n x="68"/>
        <n x="79"/>
        <n x="24"/>
      </t>
    </mdx>
    <mdx n="0" f="v">
      <t c="8">
        <n x="4" s="1"/>
        <n x="7" s="1"/>
        <n x="67" s="1"/>
        <n x="3" s="1"/>
        <n x="6" s="1"/>
        <n x="68"/>
        <n x="79"/>
        <n x="25"/>
      </t>
    </mdx>
    <mdx n="0" f="v">
      <t c="8">
        <n x="4" s="1"/>
        <n x="7" s="1"/>
        <n x="67" s="1"/>
        <n x="3" s="1"/>
        <n x="6" s="1"/>
        <n x="68"/>
        <n x="79"/>
        <n x="26"/>
      </t>
    </mdx>
    <mdx n="0" f="v">
      <t c="8">
        <n x="4" s="1"/>
        <n x="7" s="1"/>
        <n x="67" s="1"/>
        <n x="3" s="1"/>
        <n x="6" s="1"/>
        <n x="68"/>
        <n x="79"/>
        <n x="27"/>
      </t>
    </mdx>
    <mdx n="0" f="v">
      <t c="8">
        <n x="4" s="1"/>
        <n x="7" s="1"/>
        <n x="67" s="1"/>
        <n x="3" s="1"/>
        <n x="6" s="1"/>
        <n x="68"/>
        <n x="79"/>
        <n x="28"/>
      </t>
    </mdx>
    <mdx n="0" f="v">
      <t c="8">
        <n x="4" s="1"/>
        <n x="7" s="1"/>
        <n x="67" s="1"/>
        <n x="3" s="1"/>
        <n x="6" s="1"/>
        <n x="68"/>
        <n x="79"/>
        <n x="29"/>
      </t>
    </mdx>
    <mdx n="0" f="v">
      <t c="8">
        <n x="4" s="1"/>
        <n x="7" s="1"/>
        <n x="67" s="1"/>
        <n x="3" s="1"/>
        <n x="6" s="1"/>
        <n x="68"/>
        <n x="79"/>
        <n x="30"/>
      </t>
    </mdx>
    <mdx n="0" f="v">
      <t c="8">
        <n x="4" s="1"/>
        <n x="7" s="1"/>
        <n x="67" s="1"/>
        <n x="3" s="1"/>
        <n x="6" s="1"/>
        <n x="68"/>
        <n x="79"/>
        <n x="31"/>
      </t>
    </mdx>
    <mdx n="0" f="v">
      <t c="8">
        <n x="4" s="1"/>
        <n x="7" s="1"/>
        <n x="67" s="1"/>
        <n x="3" s="1"/>
        <n x="6" s="1"/>
        <n x="68"/>
        <n x="79"/>
        <n x="32"/>
      </t>
    </mdx>
    <mdx n="0" f="v">
      <t c="8">
        <n x="4" s="1"/>
        <n x="7" s="1"/>
        <n x="67" s="1"/>
        <n x="3" s="1"/>
        <n x="6" s="1"/>
        <n x="68"/>
        <n x="79"/>
        <n x="33"/>
      </t>
    </mdx>
    <mdx n="0" f="v">
      <t c="8">
        <n x="4" s="1"/>
        <n x="7" s="1"/>
        <n x="67" s="1"/>
        <n x="3" s="1"/>
        <n x="6" s="1"/>
        <n x="68"/>
        <n x="79"/>
        <n x="34"/>
      </t>
    </mdx>
    <mdx n="0" f="v">
      <t c="8">
        <n x="4" s="1"/>
        <n x="7" s="1"/>
        <n x="67" s="1"/>
        <n x="3" s="1"/>
        <n x="6" s="1"/>
        <n x="68"/>
        <n x="79"/>
        <n x="35"/>
      </t>
    </mdx>
    <mdx n="0" f="v">
      <t c="8">
        <n x="4" s="1"/>
        <n x="7" s="1"/>
        <n x="67" s="1"/>
        <n x="3" s="1"/>
        <n x="6" s="1"/>
        <n x="68"/>
        <n x="79"/>
        <n x="36"/>
      </t>
    </mdx>
    <mdx n="0" f="v">
      <t c="8">
        <n x="4" s="1"/>
        <n x="7" s="1"/>
        <n x="67" s="1"/>
        <n x="3" s="1"/>
        <n x="6" s="1"/>
        <n x="68"/>
        <n x="79"/>
        <n x="37"/>
      </t>
    </mdx>
    <mdx n="0" f="v">
      <t c="8">
        <n x="4" s="1"/>
        <n x="7" s="1"/>
        <n x="67" s="1"/>
        <n x="3" s="1"/>
        <n x="6" s="1"/>
        <n x="68"/>
        <n x="79"/>
        <n x="38"/>
      </t>
    </mdx>
    <mdx n="0" f="v">
      <t c="8">
        <n x="4" s="1"/>
        <n x="7" s="1"/>
        <n x="67" s="1"/>
        <n x="3" s="1"/>
        <n x="6" s="1"/>
        <n x="68"/>
        <n x="79"/>
        <n x="39"/>
      </t>
    </mdx>
    <mdx n="0" f="v">
      <t c="8">
        <n x="4" s="1"/>
        <n x="7" s="1"/>
        <n x="67" s="1"/>
        <n x="3" s="1"/>
        <n x="6" s="1"/>
        <n x="68"/>
        <n x="79"/>
        <n x="40"/>
      </t>
    </mdx>
    <mdx n="0" f="v">
      <t c="8">
        <n x="4" s="1"/>
        <n x="7" s="1"/>
        <n x="67" s="1"/>
        <n x="3" s="1"/>
        <n x="6" s="1"/>
        <n x="68"/>
        <n x="79"/>
        <n x="41"/>
      </t>
    </mdx>
    <mdx n="0" f="v">
      <t c="8">
        <n x="4" s="1"/>
        <n x="7" s="1"/>
        <n x="67" s="1"/>
        <n x="3" s="1"/>
        <n x="6" s="1"/>
        <n x="68"/>
        <n x="79"/>
        <n x="42"/>
      </t>
    </mdx>
    <mdx n="0" f="v">
      <t c="8">
        <n x="4" s="1"/>
        <n x="7" s="1"/>
        <n x="67" s="1"/>
        <n x="3" s="1"/>
        <n x="6" s="1"/>
        <n x="68"/>
        <n x="79"/>
        <n x="43"/>
      </t>
    </mdx>
    <mdx n="0" f="v">
      <t c="8">
        <n x="4" s="1"/>
        <n x="7" s="1"/>
        <n x="67" s="1"/>
        <n x="3" s="1"/>
        <n x="6" s="1"/>
        <n x="68"/>
        <n x="79"/>
        <n x="44"/>
      </t>
    </mdx>
    <mdx n="0" f="v">
      <t c="8">
        <n x="4" s="1"/>
        <n x="7" s="1"/>
        <n x="67" s="1"/>
        <n x="3" s="1"/>
        <n x="6" s="1"/>
        <n x="68"/>
        <n x="79"/>
        <n x="45"/>
      </t>
    </mdx>
    <mdx n="0" f="v">
      <t c="8">
        <n x="4" s="1"/>
        <n x="7" s="1"/>
        <n x="67" s="1"/>
        <n x="3" s="1"/>
        <n x="6" s="1"/>
        <n x="68"/>
        <n x="79"/>
        <n x="46"/>
      </t>
    </mdx>
    <mdx n="0" f="v">
      <t c="8">
        <n x="4" s="1"/>
        <n x="7" s="1"/>
        <n x="67" s="1"/>
        <n x="3" s="1"/>
        <n x="6" s="1"/>
        <n x="68"/>
        <n x="79"/>
        <n x="47"/>
      </t>
    </mdx>
    <mdx n="0" f="v">
      <t c="8">
        <n x="4" s="1"/>
        <n x="7" s="1"/>
        <n x="67" s="1"/>
        <n x="3" s="1"/>
        <n x="6" s="1"/>
        <n x="68"/>
        <n x="79"/>
        <n x="48"/>
      </t>
    </mdx>
    <mdx n="0" f="v">
      <t c="8">
        <n x="4" s="1"/>
        <n x="7" s="1"/>
        <n x="67" s="1"/>
        <n x="3" s="1"/>
        <n x="6" s="1"/>
        <n x="68"/>
        <n x="79"/>
        <n x="49"/>
      </t>
    </mdx>
    <mdx n="0" f="v">
      <t c="8">
        <n x="4" s="1"/>
        <n x="7" s="1"/>
        <n x="67" s="1"/>
        <n x="3" s="1"/>
        <n x="6" s="1"/>
        <n x="68"/>
        <n x="79"/>
        <n x="50"/>
      </t>
    </mdx>
    <mdx n="0" f="v">
      <t c="8">
        <n x="4" s="1"/>
        <n x="7" s="1"/>
        <n x="67" s="1"/>
        <n x="3" s="1"/>
        <n x="6" s="1"/>
        <n x="68"/>
        <n x="79"/>
        <n x="51"/>
      </t>
    </mdx>
    <mdx n="0" f="v">
      <t c="8">
        <n x="4" s="1"/>
        <n x="7" s="1"/>
        <n x="67" s="1"/>
        <n x="3" s="1"/>
        <n x="6" s="1"/>
        <n x="68"/>
        <n x="79"/>
        <n x="52"/>
      </t>
    </mdx>
    <mdx n="0" f="v">
      <t c="8">
        <n x="4" s="1"/>
        <n x="7" s="1"/>
        <n x="67" s="1"/>
        <n x="3" s="1"/>
        <n x="6" s="1"/>
        <n x="68"/>
        <n x="79"/>
        <n x="53"/>
      </t>
    </mdx>
    <mdx n="0" f="v">
      <t c="8">
        <n x="4" s="1"/>
        <n x="7" s="1"/>
        <n x="67" s="1"/>
        <n x="3" s="1"/>
        <n x="6" s="1"/>
        <n x="68"/>
        <n x="79"/>
        <n x="54"/>
      </t>
    </mdx>
    <mdx n="0" f="v">
      <t c="8">
        <n x="4" s="1"/>
        <n x="7" s="1"/>
        <n x="67" s="1"/>
        <n x="3" s="1"/>
        <n x="6" s="1"/>
        <n x="68"/>
        <n x="79"/>
        <n x="55"/>
      </t>
    </mdx>
    <mdx n="0" f="v">
      <t c="8">
        <n x="4" s="1"/>
        <n x="7" s="1"/>
        <n x="67" s="1"/>
        <n x="3" s="1"/>
        <n x="6" s="1"/>
        <n x="68"/>
        <n x="79"/>
        <n x="56"/>
      </t>
    </mdx>
    <mdx n="0" f="v">
      <t c="8">
        <n x="4" s="1"/>
        <n x="7" s="1"/>
        <n x="67" s="1"/>
        <n x="3" s="1"/>
        <n x="6" s="1"/>
        <n x="68"/>
        <n x="79"/>
        <n x="57"/>
      </t>
    </mdx>
    <mdx n="0" f="v">
      <t c="8">
        <n x="4" s="1"/>
        <n x="7" s="1"/>
        <n x="67" s="1"/>
        <n x="3" s="1"/>
        <n x="6" s="1"/>
        <n x="68"/>
        <n x="79"/>
        <n x="58"/>
      </t>
    </mdx>
    <mdx n="0" f="v">
      <t c="8">
        <n x="4" s="1"/>
        <n x="7" s="1"/>
        <n x="67" s="1"/>
        <n x="3" s="1"/>
        <n x="6" s="1"/>
        <n x="68"/>
        <n x="79"/>
        <n x="59"/>
      </t>
    </mdx>
    <mdx n="0" f="v">
      <t c="8">
        <n x="4" s="1"/>
        <n x="7" s="1"/>
        <n x="67" s="1"/>
        <n x="3" s="1"/>
        <n x="6" s="1"/>
        <n x="68"/>
        <n x="79"/>
        <n x="60"/>
      </t>
    </mdx>
    <mdx n="0" f="v">
      <t c="8">
        <n x="4" s="1"/>
        <n x="7" s="1"/>
        <n x="67" s="1"/>
        <n x="3" s="1"/>
        <n x="6" s="1"/>
        <n x="68"/>
        <n x="79"/>
        <n x="61"/>
      </t>
    </mdx>
    <mdx n="0" f="v">
      <t c="8">
        <n x="4" s="1"/>
        <n x="7" s="1"/>
        <n x="67" s="1"/>
        <n x="3" s="1"/>
        <n x="6" s="1"/>
        <n x="68"/>
        <n x="79"/>
        <n x="62"/>
      </t>
    </mdx>
    <mdx n="0" f="v">
      <t c="8">
        <n x="4" s="1"/>
        <n x="7" s="1"/>
        <n x="67" s="1"/>
        <n x="3" s="1"/>
        <n x="6" s="1"/>
        <n x="68"/>
        <n x="79"/>
        <n x="63"/>
      </t>
    </mdx>
    <mdx n="0" f="v">
      <t c="8">
        <n x="4" s="1"/>
        <n x="7" s="1"/>
        <n x="67" s="1"/>
        <n x="3" s="1"/>
        <n x="6" s="1"/>
        <n x="68"/>
        <n x="79"/>
        <n x="64"/>
      </t>
    </mdx>
    <mdx n="0" f="v">
      <t c="8">
        <n x="4" s="1"/>
        <n x="7" s="1"/>
        <n x="67" s="1"/>
        <n x="3" s="1"/>
        <n x="6" s="1"/>
        <n x="68"/>
        <n x="79"/>
        <n x="65"/>
      </t>
    </mdx>
    <mdx n="0" f="v">
      <t c="8">
        <n x="4" s="1"/>
        <n x="7" s="1"/>
        <n x="67" s="1"/>
        <n x="3" s="1"/>
        <n x="6" s="1"/>
        <n x="68"/>
        <n x="79"/>
        <n x="66"/>
      </t>
    </mdx>
    <mdx n="0" f="m">
      <t c="1">
        <n x="80"/>
      </t>
    </mdx>
    <mdx n="0" f="v">
      <t c="8">
        <n x="4" s="1"/>
        <n x="7" s="1"/>
        <n x="67" s="1"/>
        <n x="3" s="1"/>
        <n x="6" s="1"/>
        <n x="68"/>
        <n x="80"/>
        <n x="8"/>
      </t>
    </mdx>
    <mdx n="0" f="v">
      <t c="8">
        <n x="4" s="1"/>
        <n x="7" s="1"/>
        <n x="67" s="1"/>
        <n x="3" s="1"/>
        <n x="6" s="1"/>
        <n x="68"/>
        <n x="80"/>
        <n x="9"/>
      </t>
    </mdx>
    <mdx n="0" f="v">
      <t c="8">
        <n x="4" s="1"/>
        <n x="7" s="1"/>
        <n x="67" s="1"/>
        <n x="3" s="1"/>
        <n x="6" s="1"/>
        <n x="68"/>
        <n x="80"/>
        <n x="10"/>
      </t>
    </mdx>
    <mdx n="0" f="v">
      <t c="8">
        <n x="4" s="1"/>
        <n x="7" s="1"/>
        <n x="67" s="1"/>
        <n x="3" s="1"/>
        <n x="6" s="1"/>
        <n x="68"/>
        <n x="80"/>
        <n x="11"/>
      </t>
    </mdx>
    <mdx n="0" f="v">
      <t c="8">
        <n x="4" s="1"/>
        <n x="7" s="1"/>
        <n x="67" s="1"/>
        <n x="3" s="1"/>
        <n x="6" s="1"/>
        <n x="68"/>
        <n x="80"/>
        <n x="12"/>
      </t>
    </mdx>
    <mdx n="0" f="v">
      <t c="8">
        <n x="4" s="1"/>
        <n x="7" s="1"/>
        <n x="67" s="1"/>
        <n x="3" s="1"/>
        <n x="6" s="1"/>
        <n x="68"/>
        <n x="80"/>
        <n x="13"/>
      </t>
    </mdx>
    <mdx n="0" f="v">
      <t c="8">
        <n x="4" s="1"/>
        <n x="7" s="1"/>
        <n x="67" s="1"/>
        <n x="3" s="1"/>
        <n x="6" s="1"/>
        <n x="68"/>
        <n x="80"/>
        <n x="14"/>
      </t>
    </mdx>
    <mdx n="0" f="v">
      <t c="8">
        <n x="4" s="1"/>
        <n x="7" s="1"/>
        <n x="67" s="1"/>
        <n x="3" s="1"/>
        <n x="6" s="1"/>
        <n x="68"/>
        <n x="80"/>
        <n x="15"/>
      </t>
    </mdx>
    <mdx n="0" f="v">
      <t c="8">
        <n x="4" s="1"/>
        <n x="7" s="1"/>
        <n x="67" s="1"/>
        <n x="3" s="1"/>
        <n x="6" s="1"/>
        <n x="68"/>
        <n x="80"/>
        <n x="16"/>
      </t>
    </mdx>
    <mdx n="0" f="v">
      <t c="8">
        <n x="4" s="1"/>
        <n x="7" s="1"/>
        <n x="67" s="1"/>
        <n x="3" s="1"/>
        <n x="6" s="1"/>
        <n x="68"/>
        <n x="80"/>
        <n x="17"/>
      </t>
    </mdx>
    <mdx n="0" f="v">
      <t c="8">
        <n x="4" s="1"/>
        <n x="7" s="1"/>
        <n x="67" s="1"/>
        <n x="3" s="1"/>
        <n x="6" s="1"/>
        <n x="68"/>
        <n x="80"/>
        <n x="18"/>
      </t>
    </mdx>
    <mdx n="0" f="v">
      <t c="8">
        <n x="4" s="1"/>
        <n x="7" s="1"/>
        <n x="67" s="1"/>
        <n x="3" s="1"/>
        <n x="6" s="1"/>
        <n x="68"/>
        <n x="80"/>
        <n x="19"/>
      </t>
    </mdx>
    <mdx n="0" f="v">
      <t c="8">
        <n x="4" s="1"/>
        <n x="7" s="1"/>
        <n x="67" s="1"/>
        <n x="3" s="1"/>
        <n x="6" s="1"/>
        <n x="68"/>
        <n x="80"/>
        <n x="20"/>
      </t>
    </mdx>
    <mdx n="0" f="v">
      <t c="8">
        <n x="4" s="1"/>
        <n x="7" s="1"/>
        <n x="67" s="1"/>
        <n x="3" s="1"/>
        <n x="6" s="1"/>
        <n x="68"/>
        <n x="80"/>
        <n x="21"/>
      </t>
    </mdx>
    <mdx n="0" f="v">
      <t c="8">
        <n x="4" s="1"/>
        <n x="7" s="1"/>
        <n x="67" s="1"/>
        <n x="3" s="1"/>
        <n x="6" s="1"/>
        <n x="68"/>
        <n x="80"/>
        <n x="22"/>
      </t>
    </mdx>
    <mdx n="0" f="v">
      <t c="8">
        <n x="4" s="1"/>
        <n x="7" s="1"/>
        <n x="67" s="1"/>
        <n x="3" s="1"/>
        <n x="6" s="1"/>
        <n x="68"/>
        <n x="80"/>
        <n x="23"/>
      </t>
    </mdx>
    <mdx n="0" f="v">
      <t c="8">
        <n x="4" s="1"/>
        <n x="7" s="1"/>
        <n x="67" s="1"/>
        <n x="3" s="1"/>
        <n x="6" s="1"/>
        <n x="68"/>
        <n x="80"/>
        <n x="24"/>
      </t>
    </mdx>
    <mdx n="0" f="v">
      <t c="8">
        <n x="4" s="1"/>
        <n x="7" s="1"/>
        <n x="67" s="1"/>
        <n x="3" s="1"/>
        <n x="6" s="1"/>
        <n x="68"/>
        <n x="80"/>
        <n x="25"/>
      </t>
    </mdx>
    <mdx n="0" f="v">
      <t c="8">
        <n x="4" s="1"/>
        <n x="7" s="1"/>
        <n x="67" s="1"/>
        <n x="3" s="1"/>
        <n x="6" s="1"/>
        <n x="68"/>
        <n x="80"/>
        <n x="26"/>
      </t>
    </mdx>
    <mdx n="0" f="v">
      <t c="8">
        <n x="4" s="1"/>
        <n x="7" s="1"/>
        <n x="67" s="1"/>
        <n x="3" s="1"/>
        <n x="6" s="1"/>
        <n x="68"/>
        <n x="80"/>
        <n x="27"/>
      </t>
    </mdx>
    <mdx n="0" f="v">
      <t c="8">
        <n x="4" s="1"/>
        <n x="7" s="1"/>
        <n x="67" s="1"/>
        <n x="3" s="1"/>
        <n x="6" s="1"/>
        <n x="68"/>
        <n x="80"/>
        <n x="28"/>
      </t>
    </mdx>
    <mdx n="0" f="v">
      <t c="8">
        <n x="4" s="1"/>
        <n x="7" s="1"/>
        <n x="67" s="1"/>
        <n x="3" s="1"/>
        <n x="6" s="1"/>
        <n x="68"/>
        <n x="80"/>
        <n x="29"/>
      </t>
    </mdx>
    <mdx n="0" f="v">
      <t c="8">
        <n x="4" s="1"/>
        <n x="7" s="1"/>
        <n x="67" s="1"/>
        <n x="3" s="1"/>
        <n x="6" s="1"/>
        <n x="68"/>
        <n x="80"/>
        <n x="30"/>
      </t>
    </mdx>
    <mdx n="0" f="v">
      <t c="8">
        <n x="4" s="1"/>
        <n x="7" s="1"/>
        <n x="67" s="1"/>
        <n x="3" s="1"/>
        <n x="6" s="1"/>
        <n x="68"/>
        <n x="80"/>
        <n x="31"/>
      </t>
    </mdx>
    <mdx n="0" f="v">
      <t c="8">
        <n x="4" s="1"/>
        <n x="7" s="1"/>
        <n x="67" s="1"/>
        <n x="3" s="1"/>
        <n x="6" s="1"/>
        <n x="68"/>
        <n x="80"/>
        <n x="32"/>
      </t>
    </mdx>
    <mdx n="0" f="v">
      <t c="8">
        <n x="4" s="1"/>
        <n x="7" s="1"/>
        <n x="67" s="1"/>
        <n x="3" s="1"/>
        <n x="6" s="1"/>
        <n x="68"/>
        <n x="80"/>
        <n x="33"/>
      </t>
    </mdx>
    <mdx n="0" f="v">
      <t c="8">
        <n x="4" s="1"/>
        <n x="7" s="1"/>
        <n x="67" s="1"/>
        <n x="3" s="1"/>
        <n x="6" s="1"/>
        <n x="68"/>
        <n x="80"/>
        <n x="34"/>
      </t>
    </mdx>
    <mdx n="0" f="v">
      <t c="8">
        <n x="4" s="1"/>
        <n x="7" s="1"/>
        <n x="67" s="1"/>
        <n x="3" s="1"/>
        <n x="6" s="1"/>
        <n x="68"/>
        <n x="80"/>
        <n x="35"/>
      </t>
    </mdx>
    <mdx n="0" f="v">
      <t c="8">
        <n x="4" s="1"/>
        <n x="7" s="1"/>
        <n x="67" s="1"/>
        <n x="3" s="1"/>
        <n x="6" s="1"/>
        <n x="68"/>
        <n x="80"/>
        <n x="36"/>
      </t>
    </mdx>
    <mdx n="0" f="v">
      <t c="8">
        <n x="4" s="1"/>
        <n x="7" s="1"/>
        <n x="67" s="1"/>
        <n x="3" s="1"/>
        <n x="6" s="1"/>
        <n x="68"/>
        <n x="80"/>
        <n x="37"/>
      </t>
    </mdx>
    <mdx n="0" f="v">
      <t c="8">
        <n x="4" s="1"/>
        <n x="7" s="1"/>
        <n x="67" s="1"/>
        <n x="3" s="1"/>
        <n x="6" s="1"/>
        <n x="68"/>
        <n x="80"/>
        <n x="38"/>
      </t>
    </mdx>
    <mdx n="0" f="v">
      <t c="8">
        <n x="4" s="1"/>
        <n x="7" s="1"/>
        <n x="67" s="1"/>
        <n x="3" s="1"/>
        <n x="6" s="1"/>
        <n x="68"/>
        <n x="80"/>
        <n x="39"/>
      </t>
    </mdx>
    <mdx n="0" f="v">
      <t c="8">
        <n x="4" s="1"/>
        <n x="7" s="1"/>
        <n x="67" s="1"/>
        <n x="3" s="1"/>
        <n x="6" s="1"/>
        <n x="68"/>
        <n x="80"/>
        <n x="40"/>
      </t>
    </mdx>
    <mdx n="0" f="v">
      <t c="8">
        <n x="4" s="1"/>
        <n x="7" s="1"/>
        <n x="67" s="1"/>
        <n x="3" s="1"/>
        <n x="6" s="1"/>
        <n x="68"/>
        <n x="80"/>
        <n x="41"/>
      </t>
    </mdx>
    <mdx n="0" f="v">
      <t c="8">
        <n x="4" s="1"/>
        <n x="7" s="1"/>
        <n x="67" s="1"/>
        <n x="3" s="1"/>
        <n x="6" s="1"/>
        <n x="68"/>
        <n x="80"/>
        <n x="42"/>
      </t>
    </mdx>
    <mdx n="0" f="v">
      <t c="8">
        <n x="4" s="1"/>
        <n x="7" s="1"/>
        <n x="67" s="1"/>
        <n x="3" s="1"/>
        <n x="6" s="1"/>
        <n x="68"/>
        <n x="80"/>
        <n x="43"/>
      </t>
    </mdx>
    <mdx n="0" f="v">
      <t c="8">
        <n x="4" s="1"/>
        <n x="7" s="1"/>
        <n x="67" s="1"/>
        <n x="3" s="1"/>
        <n x="6" s="1"/>
        <n x="68"/>
        <n x="80"/>
        <n x="44"/>
      </t>
    </mdx>
    <mdx n="0" f="v">
      <t c="8">
        <n x="4" s="1"/>
        <n x="7" s="1"/>
        <n x="67" s="1"/>
        <n x="3" s="1"/>
        <n x="6" s="1"/>
        <n x="68"/>
        <n x="80"/>
        <n x="45"/>
      </t>
    </mdx>
    <mdx n="0" f="v">
      <t c="8">
        <n x="4" s="1"/>
        <n x="7" s="1"/>
        <n x="67" s="1"/>
        <n x="3" s="1"/>
        <n x="6" s="1"/>
        <n x="68"/>
        <n x="80"/>
        <n x="46"/>
      </t>
    </mdx>
    <mdx n="0" f="v">
      <t c="8">
        <n x="4" s="1"/>
        <n x="7" s="1"/>
        <n x="67" s="1"/>
        <n x="3" s="1"/>
        <n x="6" s="1"/>
        <n x="68"/>
        <n x="80"/>
        <n x="47"/>
      </t>
    </mdx>
    <mdx n="0" f="v">
      <t c="8">
        <n x="4" s="1"/>
        <n x="7" s="1"/>
        <n x="67" s="1"/>
        <n x="3" s="1"/>
        <n x="6" s="1"/>
        <n x="68"/>
        <n x="80"/>
        <n x="48"/>
      </t>
    </mdx>
    <mdx n="0" f="v">
      <t c="8">
        <n x="4" s="1"/>
        <n x="7" s="1"/>
        <n x="67" s="1"/>
        <n x="3" s="1"/>
        <n x="6" s="1"/>
        <n x="68"/>
        <n x="80"/>
        <n x="49"/>
      </t>
    </mdx>
    <mdx n="0" f="v">
      <t c="8">
        <n x="4" s="1"/>
        <n x="7" s="1"/>
        <n x="67" s="1"/>
        <n x="3" s="1"/>
        <n x="6" s="1"/>
        <n x="68"/>
        <n x="80"/>
        <n x="50"/>
      </t>
    </mdx>
    <mdx n="0" f="v">
      <t c="8">
        <n x="4" s="1"/>
        <n x="7" s="1"/>
        <n x="67" s="1"/>
        <n x="3" s="1"/>
        <n x="6" s="1"/>
        <n x="68"/>
        <n x="80"/>
        <n x="51"/>
      </t>
    </mdx>
    <mdx n="0" f="v">
      <t c="8">
        <n x="4" s="1"/>
        <n x="7" s="1"/>
        <n x="67" s="1"/>
        <n x="3" s="1"/>
        <n x="6" s="1"/>
        <n x="68"/>
        <n x="80"/>
        <n x="52"/>
      </t>
    </mdx>
    <mdx n="0" f="v">
      <t c="8">
        <n x="4" s="1"/>
        <n x="7" s="1"/>
        <n x="67" s="1"/>
        <n x="3" s="1"/>
        <n x="6" s="1"/>
        <n x="68"/>
        <n x="80"/>
        <n x="53"/>
      </t>
    </mdx>
    <mdx n="0" f="v">
      <t c="8">
        <n x="4" s="1"/>
        <n x="7" s="1"/>
        <n x="67" s="1"/>
        <n x="3" s="1"/>
        <n x="6" s="1"/>
        <n x="68"/>
        <n x="80"/>
        <n x="54"/>
      </t>
    </mdx>
    <mdx n="0" f="v">
      <t c="8">
        <n x="4" s="1"/>
        <n x="7" s="1"/>
        <n x="67" s="1"/>
        <n x="3" s="1"/>
        <n x="6" s="1"/>
        <n x="68"/>
        <n x="80"/>
        <n x="55"/>
      </t>
    </mdx>
    <mdx n="0" f="v">
      <t c="8">
        <n x="4" s="1"/>
        <n x="7" s="1"/>
        <n x="67" s="1"/>
        <n x="3" s="1"/>
        <n x="6" s="1"/>
        <n x="68"/>
        <n x="80"/>
        <n x="56"/>
      </t>
    </mdx>
    <mdx n="0" f="v">
      <t c="8">
        <n x="4" s="1"/>
        <n x="7" s="1"/>
        <n x="67" s="1"/>
        <n x="3" s="1"/>
        <n x="6" s="1"/>
        <n x="68"/>
        <n x="80"/>
        <n x="57"/>
      </t>
    </mdx>
    <mdx n="0" f="v">
      <t c="8">
        <n x="4" s="1"/>
        <n x="7" s="1"/>
        <n x="67" s="1"/>
        <n x="3" s="1"/>
        <n x="6" s="1"/>
        <n x="68"/>
        <n x="80"/>
        <n x="58"/>
      </t>
    </mdx>
    <mdx n="0" f="v">
      <t c="8">
        <n x="4" s="1"/>
        <n x="7" s="1"/>
        <n x="67" s="1"/>
        <n x="3" s="1"/>
        <n x="6" s="1"/>
        <n x="68"/>
        <n x="80"/>
        <n x="59"/>
      </t>
    </mdx>
    <mdx n="0" f="v">
      <t c="8">
        <n x="4" s="1"/>
        <n x="7" s="1"/>
        <n x="67" s="1"/>
        <n x="3" s="1"/>
        <n x="6" s="1"/>
        <n x="68"/>
        <n x="80"/>
        <n x="60"/>
      </t>
    </mdx>
    <mdx n="0" f="v">
      <t c="8">
        <n x="4" s="1"/>
        <n x="7" s="1"/>
        <n x="67" s="1"/>
        <n x="3" s="1"/>
        <n x="6" s="1"/>
        <n x="68"/>
        <n x="80"/>
        <n x="61"/>
      </t>
    </mdx>
    <mdx n="0" f="v">
      <t c="8">
        <n x="4" s="1"/>
        <n x="7" s="1"/>
        <n x="67" s="1"/>
        <n x="3" s="1"/>
        <n x="6" s="1"/>
        <n x="68"/>
        <n x="80"/>
        <n x="62"/>
      </t>
    </mdx>
    <mdx n="0" f="v">
      <t c="8">
        <n x="4" s="1"/>
        <n x="7" s="1"/>
        <n x="67" s="1"/>
        <n x="3" s="1"/>
        <n x="6" s="1"/>
        <n x="68"/>
        <n x="80"/>
        <n x="63"/>
      </t>
    </mdx>
    <mdx n="0" f="v">
      <t c="8">
        <n x="4" s="1"/>
        <n x="7" s="1"/>
        <n x="67" s="1"/>
        <n x="3" s="1"/>
        <n x="6" s="1"/>
        <n x="68"/>
        <n x="80"/>
        <n x="64"/>
      </t>
    </mdx>
    <mdx n="0" f="v">
      <t c="8">
        <n x="4" s="1"/>
        <n x="7" s="1"/>
        <n x="67" s="1"/>
        <n x="3" s="1"/>
        <n x="6" s="1"/>
        <n x="68"/>
        <n x="80"/>
        <n x="65"/>
      </t>
    </mdx>
    <mdx n="0" f="v">
      <t c="8">
        <n x="4" s="1"/>
        <n x="7" s="1"/>
        <n x="67" s="1"/>
        <n x="3" s="1"/>
        <n x="6" s="1"/>
        <n x="68"/>
        <n x="80"/>
        <n x="66"/>
      </t>
    </mdx>
    <mdx n="0" f="m">
      <t c="1">
        <n x="81"/>
      </t>
    </mdx>
    <mdx n="0" f="v">
      <t c="8">
        <n x="4" s="1"/>
        <n x="7" s="1"/>
        <n x="67" s="1"/>
        <n x="3" s="1"/>
        <n x="6" s="1"/>
        <n x="68"/>
        <n x="81"/>
        <n x="8"/>
      </t>
    </mdx>
    <mdx n="0" f="v">
      <t c="8">
        <n x="4" s="1"/>
        <n x="7" s="1"/>
        <n x="67" s="1"/>
        <n x="3" s="1"/>
        <n x="6" s="1"/>
        <n x="68"/>
        <n x="81"/>
        <n x="9"/>
      </t>
    </mdx>
    <mdx n="0" f="v">
      <t c="8">
        <n x="4" s="1"/>
        <n x="7" s="1"/>
        <n x="67" s="1"/>
        <n x="3" s="1"/>
        <n x="6" s="1"/>
        <n x="68"/>
        <n x="81"/>
        <n x="10"/>
      </t>
    </mdx>
    <mdx n="0" f="v">
      <t c="8">
        <n x="4" s="1"/>
        <n x="7" s="1"/>
        <n x="67" s="1"/>
        <n x="3" s="1"/>
        <n x="6" s="1"/>
        <n x="68"/>
        <n x="81"/>
        <n x="11"/>
      </t>
    </mdx>
    <mdx n="0" f="v">
      <t c="8">
        <n x="4" s="1"/>
        <n x="7" s="1"/>
        <n x="67" s="1"/>
        <n x="3" s="1"/>
        <n x="6" s="1"/>
        <n x="68"/>
        <n x="81"/>
        <n x="12"/>
      </t>
    </mdx>
    <mdx n="0" f="v">
      <t c="8">
        <n x="4" s="1"/>
        <n x="7" s="1"/>
        <n x="67" s="1"/>
        <n x="3" s="1"/>
        <n x="6" s="1"/>
        <n x="68"/>
        <n x="81"/>
        <n x="13"/>
      </t>
    </mdx>
    <mdx n="0" f="v">
      <t c="8">
        <n x="4" s="1"/>
        <n x="7" s="1"/>
        <n x="67" s="1"/>
        <n x="3" s="1"/>
        <n x="6" s="1"/>
        <n x="68"/>
        <n x="81"/>
        <n x="14"/>
      </t>
    </mdx>
    <mdx n="0" f="v">
      <t c="8">
        <n x="4" s="1"/>
        <n x="7" s="1"/>
        <n x="67" s="1"/>
        <n x="3" s="1"/>
        <n x="6" s="1"/>
        <n x="68"/>
        <n x="81"/>
        <n x="15"/>
      </t>
    </mdx>
    <mdx n="0" f="v">
      <t c="8">
        <n x="4" s="1"/>
        <n x="7" s="1"/>
        <n x="67" s="1"/>
        <n x="3" s="1"/>
        <n x="6" s="1"/>
        <n x="68"/>
        <n x="81"/>
        <n x="16"/>
      </t>
    </mdx>
    <mdx n="0" f="v">
      <t c="8">
        <n x="4" s="1"/>
        <n x="7" s="1"/>
        <n x="67" s="1"/>
        <n x="3" s="1"/>
        <n x="6" s="1"/>
        <n x="68"/>
        <n x="81"/>
        <n x="17"/>
      </t>
    </mdx>
    <mdx n="0" f="v">
      <t c="8">
        <n x="4" s="1"/>
        <n x="7" s="1"/>
        <n x="67" s="1"/>
        <n x="3" s="1"/>
        <n x="6" s="1"/>
        <n x="68"/>
        <n x="81"/>
        <n x="18"/>
      </t>
    </mdx>
    <mdx n="0" f="v">
      <t c="8">
        <n x="4" s="1"/>
        <n x="7" s="1"/>
        <n x="67" s="1"/>
        <n x="3" s="1"/>
        <n x="6" s="1"/>
        <n x="68"/>
        <n x="81"/>
        <n x="19"/>
      </t>
    </mdx>
    <mdx n="0" f="v">
      <t c="8">
        <n x="4" s="1"/>
        <n x="7" s="1"/>
        <n x="67" s="1"/>
        <n x="3" s="1"/>
        <n x="6" s="1"/>
        <n x="68"/>
        <n x="81"/>
        <n x="20"/>
      </t>
    </mdx>
    <mdx n="0" f="v">
      <t c="8">
        <n x="4" s="1"/>
        <n x="7" s="1"/>
        <n x="67" s="1"/>
        <n x="3" s="1"/>
        <n x="6" s="1"/>
        <n x="68"/>
        <n x="81"/>
        <n x="21"/>
      </t>
    </mdx>
    <mdx n="0" f="v">
      <t c="8">
        <n x="4" s="1"/>
        <n x="7" s="1"/>
        <n x="67" s="1"/>
        <n x="3" s="1"/>
        <n x="6" s="1"/>
        <n x="68"/>
        <n x="81"/>
        <n x="22"/>
      </t>
    </mdx>
    <mdx n="0" f="v">
      <t c="8">
        <n x="4" s="1"/>
        <n x="7" s="1"/>
        <n x="67" s="1"/>
        <n x="3" s="1"/>
        <n x="6" s="1"/>
        <n x="68"/>
        <n x="81"/>
        <n x="23"/>
      </t>
    </mdx>
    <mdx n="0" f="v">
      <t c="8">
        <n x="4" s="1"/>
        <n x="7" s="1"/>
        <n x="67" s="1"/>
        <n x="3" s="1"/>
        <n x="6" s="1"/>
        <n x="68"/>
        <n x="81"/>
        <n x="24"/>
      </t>
    </mdx>
    <mdx n="0" f="v">
      <t c="8">
        <n x="4" s="1"/>
        <n x="7" s="1"/>
        <n x="67" s="1"/>
        <n x="3" s="1"/>
        <n x="6" s="1"/>
        <n x="68"/>
        <n x="81"/>
        <n x="25"/>
      </t>
    </mdx>
    <mdx n="0" f="v">
      <t c="8">
        <n x="4" s="1"/>
        <n x="7" s="1"/>
        <n x="67" s="1"/>
        <n x="3" s="1"/>
        <n x="6" s="1"/>
        <n x="68"/>
        <n x="81"/>
        <n x="26"/>
      </t>
    </mdx>
    <mdx n="0" f="v">
      <t c="8">
        <n x="4" s="1"/>
        <n x="7" s="1"/>
        <n x="67" s="1"/>
        <n x="3" s="1"/>
        <n x="6" s="1"/>
        <n x="68"/>
        <n x="81"/>
        <n x="27"/>
      </t>
    </mdx>
    <mdx n="0" f="v">
      <t c="8">
        <n x="4" s="1"/>
        <n x="7" s="1"/>
        <n x="67" s="1"/>
        <n x="3" s="1"/>
        <n x="6" s="1"/>
        <n x="68"/>
        <n x="81"/>
        <n x="28"/>
      </t>
    </mdx>
    <mdx n="0" f="v">
      <t c="8">
        <n x="4" s="1"/>
        <n x="7" s="1"/>
        <n x="67" s="1"/>
        <n x="3" s="1"/>
        <n x="6" s="1"/>
        <n x="68"/>
        <n x="81"/>
        <n x="29"/>
      </t>
    </mdx>
    <mdx n="0" f="v">
      <t c="8">
        <n x="4" s="1"/>
        <n x="7" s="1"/>
        <n x="67" s="1"/>
        <n x="3" s="1"/>
        <n x="6" s="1"/>
        <n x="68"/>
        <n x="81"/>
        <n x="30"/>
      </t>
    </mdx>
    <mdx n="0" f="v">
      <t c="8">
        <n x="4" s="1"/>
        <n x="7" s="1"/>
        <n x="67" s="1"/>
        <n x="3" s="1"/>
        <n x="6" s="1"/>
        <n x="68"/>
        <n x="81"/>
        <n x="31"/>
      </t>
    </mdx>
    <mdx n="0" f="v">
      <t c="8">
        <n x="4" s="1"/>
        <n x="7" s="1"/>
        <n x="67" s="1"/>
        <n x="3" s="1"/>
        <n x="6" s="1"/>
        <n x="68"/>
        <n x="81"/>
        <n x="32"/>
      </t>
    </mdx>
    <mdx n="0" f="v">
      <t c="8">
        <n x="4" s="1"/>
        <n x="7" s="1"/>
        <n x="67" s="1"/>
        <n x="3" s="1"/>
        <n x="6" s="1"/>
        <n x="68"/>
        <n x="81"/>
        <n x="33"/>
      </t>
    </mdx>
    <mdx n="0" f="v">
      <t c="8">
        <n x="4" s="1"/>
        <n x="7" s="1"/>
        <n x="67" s="1"/>
        <n x="3" s="1"/>
        <n x="6" s="1"/>
        <n x="68"/>
        <n x="81"/>
        <n x="34"/>
      </t>
    </mdx>
    <mdx n="0" f="v">
      <t c="8">
        <n x="4" s="1"/>
        <n x="7" s="1"/>
        <n x="67" s="1"/>
        <n x="3" s="1"/>
        <n x="6" s="1"/>
        <n x="68"/>
        <n x="81"/>
        <n x="35"/>
      </t>
    </mdx>
    <mdx n="0" f="v">
      <t c="8">
        <n x="4" s="1"/>
        <n x="7" s="1"/>
        <n x="67" s="1"/>
        <n x="3" s="1"/>
        <n x="6" s="1"/>
        <n x="68"/>
        <n x="81"/>
        <n x="36"/>
      </t>
    </mdx>
    <mdx n="0" f="v">
      <t c="8">
        <n x="4" s="1"/>
        <n x="7" s="1"/>
        <n x="67" s="1"/>
        <n x="3" s="1"/>
        <n x="6" s="1"/>
        <n x="68"/>
        <n x="81"/>
        <n x="37"/>
      </t>
    </mdx>
    <mdx n="0" f="v">
      <t c="8">
        <n x="4" s="1"/>
        <n x="7" s="1"/>
        <n x="67" s="1"/>
        <n x="3" s="1"/>
        <n x="6" s="1"/>
        <n x="68"/>
        <n x="81"/>
        <n x="38"/>
      </t>
    </mdx>
    <mdx n="0" f="v">
      <t c="8">
        <n x="4" s="1"/>
        <n x="7" s="1"/>
        <n x="67" s="1"/>
        <n x="3" s="1"/>
        <n x="6" s="1"/>
        <n x="68"/>
        <n x="81"/>
        <n x="39"/>
      </t>
    </mdx>
    <mdx n="0" f="v">
      <t c="8">
        <n x="4" s="1"/>
        <n x="7" s="1"/>
        <n x="67" s="1"/>
        <n x="3" s="1"/>
        <n x="6" s="1"/>
        <n x="68"/>
        <n x="81"/>
        <n x="40"/>
      </t>
    </mdx>
    <mdx n="0" f="v">
      <t c="8">
        <n x="4" s="1"/>
        <n x="7" s="1"/>
        <n x="67" s="1"/>
        <n x="3" s="1"/>
        <n x="6" s="1"/>
        <n x="68"/>
        <n x="81"/>
        <n x="41"/>
      </t>
    </mdx>
    <mdx n="0" f="v">
      <t c="8">
        <n x="4" s="1"/>
        <n x="7" s="1"/>
        <n x="67" s="1"/>
        <n x="3" s="1"/>
        <n x="6" s="1"/>
        <n x="68"/>
        <n x="81"/>
        <n x="42"/>
      </t>
    </mdx>
    <mdx n="0" f="v">
      <t c="8">
        <n x="4" s="1"/>
        <n x="7" s="1"/>
        <n x="67" s="1"/>
        <n x="3" s="1"/>
        <n x="6" s="1"/>
        <n x="68"/>
        <n x="81"/>
        <n x="43"/>
      </t>
    </mdx>
    <mdx n="0" f="v">
      <t c="8">
        <n x="4" s="1"/>
        <n x="7" s="1"/>
        <n x="67" s="1"/>
        <n x="3" s="1"/>
        <n x="6" s="1"/>
        <n x="68"/>
        <n x="81"/>
        <n x="44"/>
      </t>
    </mdx>
    <mdx n="0" f="v">
      <t c="8">
        <n x="4" s="1"/>
        <n x="7" s="1"/>
        <n x="67" s="1"/>
        <n x="3" s="1"/>
        <n x="6" s="1"/>
        <n x="68"/>
        <n x="81"/>
        <n x="45"/>
      </t>
    </mdx>
    <mdx n="0" f="v">
      <t c="8">
        <n x="4" s="1"/>
        <n x="7" s="1"/>
        <n x="67" s="1"/>
        <n x="3" s="1"/>
        <n x="6" s="1"/>
        <n x="68"/>
        <n x="81"/>
        <n x="46"/>
      </t>
    </mdx>
    <mdx n="0" f="v">
      <t c="8">
        <n x="4" s="1"/>
        <n x="7" s="1"/>
        <n x="67" s="1"/>
        <n x="3" s="1"/>
        <n x="6" s="1"/>
        <n x="68"/>
        <n x="81"/>
        <n x="47"/>
      </t>
    </mdx>
    <mdx n="0" f="v">
      <t c="8">
        <n x="4" s="1"/>
        <n x="7" s="1"/>
        <n x="67" s="1"/>
        <n x="3" s="1"/>
        <n x="6" s="1"/>
        <n x="68"/>
        <n x="81"/>
        <n x="48"/>
      </t>
    </mdx>
    <mdx n="0" f="v">
      <t c="8">
        <n x="4" s="1"/>
        <n x="7" s="1"/>
        <n x="67" s="1"/>
        <n x="3" s="1"/>
        <n x="6" s="1"/>
        <n x="68"/>
        <n x="81"/>
        <n x="49"/>
      </t>
    </mdx>
    <mdx n="0" f="v">
      <t c="8">
        <n x="4" s="1"/>
        <n x="7" s="1"/>
        <n x="67" s="1"/>
        <n x="3" s="1"/>
        <n x="6" s="1"/>
        <n x="68"/>
        <n x="81"/>
        <n x="50"/>
      </t>
    </mdx>
    <mdx n="0" f="v">
      <t c="8">
        <n x="4" s="1"/>
        <n x="7" s="1"/>
        <n x="67" s="1"/>
        <n x="3" s="1"/>
        <n x="6" s="1"/>
        <n x="68"/>
        <n x="81"/>
        <n x="51"/>
      </t>
    </mdx>
    <mdx n="0" f="v">
      <t c="8">
        <n x="4" s="1"/>
        <n x="7" s="1"/>
        <n x="67" s="1"/>
        <n x="3" s="1"/>
        <n x="6" s="1"/>
        <n x="68"/>
        <n x="81"/>
        <n x="52"/>
      </t>
    </mdx>
    <mdx n="0" f="v">
      <t c="8">
        <n x="4" s="1"/>
        <n x="7" s="1"/>
        <n x="67" s="1"/>
        <n x="3" s="1"/>
        <n x="6" s="1"/>
        <n x="68"/>
        <n x="81"/>
        <n x="53"/>
      </t>
    </mdx>
    <mdx n="0" f="v">
      <t c="8">
        <n x="4" s="1"/>
        <n x="7" s="1"/>
        <n x="67" s="1"/>
        <n x="3" s="1"/>
        <n x="6" s="1"/>
        <n x="68"/>
        <n x="81"/>
        <n x="54"/>
      </t>
    </mdx>
    <mdx n="0" f="v">
      <t c="8">
        <n x="4" s="1"/>
        <n x="7" s="1"/>
        <n x="67" s="1"/>
        <n x="3" s="1"/>
        <n x="6" s="1"/>
        <n x="68"/>
        <n x="81"/>
        <n x="55"/>
      </t>
    </mdx>
    <mdx n="0" f="v">
      <t c="8">
        <n x="4" s="1"/>
        <n x="7" s="1"/>
        <n x="67" s="1"/>
        <n x="3" s="1"/>
        <n x="6" s="1"/>
        <n x="68"/>
        <n x="81"/>
        <n x="56"/>
      </t>
    </mdx>
    <mdx n="0" f="v">
      <t c="8">
        <n x="4" s="1"/>
        <n x="7" s="1"/>
        <n x="67" s="1"/>
        <n x="3" s="1"/>
        <n x="6" s="1"/>
        <n x="68"/>
        <n x="81"/>
        <n x="57"/>
      </t>
    </mdx>
    <mdx n="0" f="v">
      <t c="8">
        <n x="4" s="1"/>
        <n x="7" s="1"/>
        <n x="67" s="1"/>
        <n x="3" s="1"/>
        <n x="6" s="1"/>
        <n x="68"/>
        <n x="81"/>
        <n x="58"/>
      </t>
    </mdx>
    <mdx n="0" f="v">
      <t c="8">
        <n x="4" s="1"/>
        <n x="7" s="1"/>
        <n x="67" s="1"/>
        <n x="3" s="1"/>
        <n x="6" s="1"/>
        <n x="68"/>
        <n x="81"/>
        <n x="59"/>
      </t>
    </mdx>
    <mdx n="0" f="v">
      <t c="8">
        <n x="4" s="1"/>
        <n x="7" s="1"/>
        <n x="67" s="1"/>
        <n x="3" s="1"/>
        <n x="6" s="1"/>
        <n x="68"/>
        <n x="81"/>
        <n x="60"/>
      </t>
    </mdx>
    <mdx n="0" f="v">
      <t c="8">
        <n x="4" s="1"/>
        <n x="7" s="1"/>
        <n x="67" s="1"/>
        <n x="3" s="1"/>
        <n x="6" s="1"/>
        <n x="68"/>
        <n x="81"/>
        <n x="61"/>
      </t>
    </mdx>
    <mdx n="0" f="v">
      <t c="8">
        <n x="4" s="1"/>
        <n x="7" s="1"/>
        <n x="67" s="1"/>
        <n x="3" s="1"/>
        <n x="6" s="1"/>
        <n x="68"/>
        <n x="81"/>
        <n x="62"/>
      </t>
    </mdx>
    <mdx n="0" f="v">
      <t c="8">
        <n x="4" s="1"/>
        <n x="7" s="1"/>
        <n x="67" s="1"/>
        <n x="3" s="1"/>
        <n x="6" s="1"/>
        <n x="68"/>
        <n x="81"/>
        <n x="63"/>
      </t>
    </mdx>
    <mdx n="0" f="v">
      <t c="8">
        <n x="4" s="1"/>
        <n x="7" s="1"/>
        <n x="67" s="1"/>
        <n x="3" s="1"/>
        <n x="6" s="1"/>
        <n x="68"/>
        <n x="81"/>
        <n x="64"/>
      </t>
    </mdx>
    <mdx n="0" f="v">
      <t c="8">
        <n x="4" s="1"/>
        <n x="7" s="1"/>
        <n x="67" s="1"/>
        <n x="3" s="1"/>
        <n x="6" s="1"/>
        <n x="68"/>
        <n x="81"/>
        <n x="65"/>
      </t>
    </mdx>
    <mdx n="0" f="v">
      <t c="8">
        <n x="4" s="1"/>
        <n x="7" s="1"/>
        <n x="67" s="1"/>
        <n x="3" s="1"/>
        <n x="6" s="1"/>
        <n x="68"/>
        <n x="81"/>
        <n x="66"/>
      </t>
    </mdx>
    <mdx n="0" f="m">
      <t c="1">
        <n x="82"/>
      </t>
    </mdx>
    <mdx n="0" f="v">
      <t c="8">
        <n x="4" s="1"/>
        <n x="7" s="1"/>
        <n x="67" s="1"/>
        <n x="3" s="1"/>
        <n x="6" s="1"/>
        <n x="68"/>
        <n x="82"/>
        <n x="8"/>
      </t>
    </mdx>
    <mdx n="0" f="v">
      <t c="8">
        <n x="4" s="1"/>
        <n x="7" s="1"/>
        <n x="67" s="1"/>
        <n x="3" s="1"/>
        <n x="6" s="1"/>
        <n x="68"/>
        <n x="82"/>
        <n x="9"/>
      </t>
    </mdx>
    <mdx n="0" f="v">
      <t c="8">
        <n x="4" s="1"/>
        <n x="7" s="1"/>
        <n x="67" s="1"/>
        <n x="3" s="1"/>
        <n x="6" s="1"/>
        <n x="68"/>
        <n x="82"/>
        <n x="10"/>
      </t>
    </mdx>
    <mdx n="0" f="v">
      <t c="8">
        <n x="4" s="1"/>
        <n x="7" s="1"/>
        <n x="67" s="1"/>
        <n x="3" s="1"/>
        <n x="6" s="1"/>
        <n x="68"/>
        <n x="82"/>
        <n x="11"/>
      </t>
    </mdx>
    <mdx n="0" f="v">
      <t c="8">
        <n x="4" s="1"/>
        <n x="7" s="1"/>
        <n x="67" s="1"/>
        <n x="3" s="1"/>
        <n x="6" s="1"/>
        <n x="68"/>
        <n x="82"/>
        <n x="12"/>
      </t>
    </mdx>
    <mdx n="0" f="v">
      <t c="8">
        <n x="4" s="1"/>
        <n x="7" s="1"/>
        <n x="67" s="1"/>
        <n x="3" s="1"/>
        <n x="6" s="1"/>
        <n x="68"/>
        <n x="82"/>
        <n x="13"/>
      </t>
    </mdx>
    <mdx n="0" f="v">
      <t c="8">
        <n x="4" s="1"/>
        <n x="7" s="1"/>
        <n x="67" s="1"/>
        <n x="3" s="1"/>
        <n x="6" s="1"/>
        <n x="68"/>
        <n x="82"/>
        <n x="14"/>
      </t>
    </mdx>
    <mdx n="0" f="v">
      <t c="8">
        <n x="4" s="1"/>
        <n x="7" s="1"/>
        <n x="67" s="1"/>
        <n x="3" s="1"/>
        <n x="6" s="1"/>
        <n x="68"/>
        <n x="82"/>
        <n x="15"/>
      </t>
    </mdx>
    <mdx n="0" f="v">
      <t c="8">
        <n x="4" s="1"/>
        <n x="7" s="1"/>
        <n x="67" s="1"/>
        <n x="3" s="1"/>
        <n x="6" s="1"/>
        <n x="68"/>
        <n x="82"/>
        <n x="16"/>
      </t>
    </mdx>
    <mdx n="0" f="v">
      <t c="8">
        <n x="4" s="1"/>
        <n x="7" s="1"/>
        <n x="67" s="1"/>
        <n x="3" s="1"/>
        <n x="6" s="1"/>
        <n x="68"/>
        <n x="82"/>
        <n x="17"/>
      </t>
    </mdx>
    <mdx n="0" f="v">
      <t c="8">
        <n x="4" s="1"/>
        <n x="7" s="1"/>
        <n x="67" s="1"/>
        <n x="3" s="1"/>
        <n x="6" s="1"/>
        <n x="68"/>
        <n x="82"/>
        <n x="18"/>
      </t>
    </mdx>
    <mdx n="0" f="v">
      <t c="8">
        <n x="4" s="1"/>
        <n x="7" s="1"/>
        <n x="67" s="1"/>
        <n x="3" s="1"/>
        <n x="6" s="1"/>
        <n x="68"/>
        <n x="82"/>
        <n x="19"/>
      </t>
    </mdx>
    <mdx n="0" f="v">
      <t c="8">
        <n x="4" s="1"/>
        <n x="7" s="1"/>
        <n x="67" s="1"/>
        <n x="3" s="1"/>
        <n x="6" s="1"/>
        <n x="68"/>
        <n x="82"/>
        <n x="20"/>
      </t>
    </mdx>
    <mdx n="0" f="v">
      <t c="8">
        <n x="4" s="1"/>
        <n x="7" s="1"/>
        <n x="67" s="1"/>
        <n x="3" s="1"/>
        <n x="6" s="1"/>
        <n x="68"/>
        <n x="82"/>
        <n x="21"/>
      </t>
    </mdx>
    <mdx n="0" f="v">
      <t c="8">
        <n x="4" s="1"/>
        <n x="7" s="1"/>
        <n x="67" s="1"/>
        <n x="3" s="1"/>
        <n x="6" s="1"/>
        <n x="68"/>
        <n x="82"/>
        <n x="22"/>
      </t>
    </mdx>
    <mdx n="0" f="v">
      <t c="8">
        <n x="4" s="1"/>
        <n x="7" s="1"/>
        <n x="67" s="1"/>
        <n x="3" s="1"/>
        <n x="6" s="1"/>
        <n x="68"/>
        <n x="82"/>
        <n x="23"/>
      </t>
    </mdx>
    <mdx n="0" f="v">
      <t c="8">
        <n x="4" s="1"/>
        <n x="7" s="1"/>
        <n x="67" s="1"/>
        <n x="3" s="1"/>
        <n x="6" s="1"/>
        <n x="68"/>
        <n x="82"/>
        <n x="24"/>
      </t>
    </mdx>
    <mdx n="0" f="v">
      <t c="8">
        <n x="4" s="1"/>
        <n x="7" s="1"/>
        <n x="67" s="1"/>
        <n x="3" s="1"/>
        <n x="6" s="1"/>
        <n x="68"/>
        <n x="82"/>
        <n x="25"/>
      </t>
    </mdx>
    <mdx n="0" f="v">
      <t c="8">
        <n x="4" s="1"/>
        <n x="7" s="1"/>
        <n x="67" s="1"/>
        <n x="3" s="1"/>
        <n x="6" s="1"/>
        <n x="68"/>
        <n x="82"/>
        <n x="26"/>
      </t>
    </mdx>
    <mdx n="0" f="v">
      <t c="8">
        <n x="4" s="1"/>
        <n x="7" s="1"/>
        <n x="67" s="1"/>
        <n x="3" s="1"/>
        <n x="6" s="1"/>
        <n x="68"/>
        <n x="82"/>
        <n x="27"/>
      </t>
    </mdx>
    <mdx n="0" f="v">
      <t c="8">
        <n x="4" s="1"/>
        <n x="7" s="1"/>
        <n x="67" s="1"/>
        <n x="3" s="1"/>
        <n x="6" s="1"/>
        <n x="68"/>
        <n x="82"/>
        <n x="28"/>
      </t>
    </mdx>
    <mdx n="0" f="v">
      <t c="8">
        <n x="4" s="1"/>
        <n x="7" s="1"/>
        <n x="67" s="1"/>
        <n x="3" s="1"/>
        <n x="6" s="1"/>
        <n x="68"/>
        <n x="82"/>
        <n x="29"/>
      </t>
    </mdx>
    <mdx n="0" f="v">
      <t c="8">
        <n x="4" s="1"/>
        <n x="7" s="1"/>
        <n x="67" s="1"/>
        <n x="3" s="1"/>
        <n x="6" s="1"/>
        <n x="68"/>
        <n x="82"/>
        <n x="30"/>
      </t>
    </mdx>
    <mdx n="0" f="v">
      <t c="8">
        <n x="4" s="1"/>
        <n x="7" s="1"/>
        <n x="67" s="1"/>
        <n x="3" s="1"/>
        <n x="6" s="1"/>
        <n x="68"/>
        <n x="82"/>
        <n x="31"/>
      </t>
    </mdx>
    <mdx n="0" f="v">
      <t c="8">
        <n x="4" s="1"/>
        <n x="7" s="1"/>
        <n x="67" s="1"/>
        <n x="3" s="1"/>
        <n x="6" s="1"/>
        <n x="68"/>
        <n x="82"/>
        <n x="32"/>
      </t>
    </mdx>
    <mdx n="0" f="v">
      <t c="8">
        <n x="4" s="1"/>
        <n x="7" s="1"/>
        <n x="67" s="1"/>
        <n x="3" s="1"/>
        <n x="6" s="1"/>
        <n x="68"/>
        <n x="82"/>
        <n x="33"/>
      </t>
    </mdx>
    <mdx n="0" f="v">
      <t c="8">
        <n x="4" s="1"/>
        <n x="7" s="1"/>
        <n x="67" s="1"/>
        <n x="3" s="1"/>
        <n x="6" s="1"/>
        <n x="68"/>
        <n x="82"/>
        <n x="34"/>
      </t>
    </mdx>
    <mdx n="0" f="v">
      <t c="8">
        <n x="4" s="1"/>
        <n x="7" s="1"/>
        <n x="67" s="1"/>
        <n x="3" s="1"/>
        <n x="6" s="1"/>
        <n x="68"/>
        <n x="82"/>
        <n x="35"/>
      </t>
    </mdx>
    <mdx n="0" f="v">
      <t c="8">
        <n x="4" s="1"/>
        <n x="7" s="1"/>
        <n x="67" s="1"/>
        <n x="3" s="1"/>
        <n x="6" s="1"/>
        <n x="68"/>
        <n x="82"/>
        <n x="36"/>
      </t>
    </mdx>
    <mdx n="0" f="v">
      <t c="8">
        <n x="4" s="1"/>
        <n x="7" s="1"/>
        <n x="67" s="1"/>
        <n x="3" s="1"/>
        <n x="6" s="1"/>
        <n x="68"/>
        <n x="82"/>
        <n x="37"/>
      </t>
    </mdx>
    <mdx n="0" f="v">
      <t c="8">
        <n x="4" s="1"/>
        <n x="7" s="1"/>
        <n x="67" s="1"/>
        <n x="3" s="1"/>
        <n x="6" s="1"/>
        <n x="68"/>
        <n x="82"/>
        <n x="38"/>
      </t>
    </mdx>
    <mdx n="0" f="v">
      <t c="8">
        <n x="4" s="1"/>
        <n x="7" s="1"/>
        <n x="67" s="1"/>
        <n x="3" s="1"/>
        <n x="6" s="1"/>
        <n x="68"/>
        <n x="82"/>
        <n x="39"/>
      </t>
    </mdx>
    <mdx n="0" f="v">
      <t c="8">
        <n x="4" s="1"/>
        <n x="7" s="1"/>
        <n x="67" s="1"/>
        <n x="3" s="1"/>
        <n x="6" s="1"/>
        <n x="68"/>
        <n x="82"/>
        <n x="40"/>
      </t>
    </mdx>
    <mdx n="0" f="v">
      <t c="8">
        <n x="4" s="1"/>
        <n x="7" s="1"/>
        <n x="67" s="1"/>
        <n x="3" s="1"/>
        <n x="6" s="1"/>
        <n x="68"/>
        <n x="82"/>
        <n x="41"/>
      </t>
    </mdx>
    <mdx n="0" f="v">
      <t c="8">
        <n x="4" s="1"/>
        <n x="7" s="1"/>
        <n x="67" s="1"/>
        <n x="3" s="1"/>
        <n x="6" s="1"/>
        <n x="68"/>
        <n x="82"/>
        <n x="42"/>
      </t>
    </mdx>
    <mdx n="0" f="v">
      <t c="8">
        <n x="4" s="1"/>
        <n x="7" s="1"/>
        <n x="67" s="1"/>
        <n x="3" s="1"/>
        <n x="6" s="1"/>
        <n x="68"/>
        <n x="82"/>
        <n x="43"/>
      </t>
    </mdx>
    <mdx n="0" f="v">
      <t c="8">
        <n x="4" s="1"/>
        <n x="7" s="1"/>
        <n x="67" s="1"/>
        <n x="3" s="1"/>
        <n x="6" s="1"/>
        <n x="68"/>
        <n x="82"/>
        <n x="44"/>
      </t>
    </mdx>
    <mdx n="0" f="v">
      <t c="8">
        <n x="4" s="1"/>
        <n x="7" s="1"/>
        <n x="67" s="1"/>
        <n x="3" s="1"/>
        <n x="6" s="1"/>
        <n x="68"/>
        <n x="82"/>
        <n x="45"/>
      </t>
    </mdx>
    <mdx n="0" f="v">
      <t c="8">
        <n x="4" s="1"/>
        <n x="7" s="1"/>
        <n x="67" s="1"/>
        <n x="3" s="1"/>
        <n x="6" s="1"/>
        <n x="68"/>
        <n x="82"/>
        <n x="46"/>
      </t>
    </mdx>
    <mdx n="0" f="v">
      <t c="8">
        <n x="4" s="1"/>
        <n x="7" s="1"/>
        <n x="67" s="1"/>
        <n x="3" s="1"/>
        <n x="6" s="1"/>
        <n x="68"/>
        <n x="82"/>
        <n x="47"/>
      </t>
    </mdx>
    <mdx n="0" f="v">
      <t c="8">
        <n x="4" s="1"/>
        <n x="7" s="1"/>
        <n x="67" s="1"/>
        <n x="3" s="1"/>
        <n x="6" s="1"/>
        <n x="68"/>
        <n x="82"/>
        <n x="48"/>
      </t>
    </mdx>
    <mdx n="0" f="v">
      <t c="8">
        <n x="4" s="1"/>
        <n x="7" s="1"/>
        <n x="67" s="1"/>
        <n x="3" s="1"/>
        <n x="6" s="1"/>
        <n x="68"/>
        <n x="82"/>
        <n x="49"/>
      </t>
    </mdx>
    <mdx n="0" f="v">
      <t c="8">
        <n x="4" s="1"/>
        <n x="7" s="1"/>
        <n x="67" s="1"/>
        <n x="3" s="1"/>
        <n x="6" s="1"/>
        <n x="68"/>
        <n x="82"/>
        <n x="50"/>
      </t>
    </mdx>
    <mdx n="0" f="v">
      <t c="8">
        <n x="4" s="1"/>
        <n x="7" s="1"/>
        <n x="67" s="1"/>
        <n x="3" s="1"/>
        <n x="6" s="1"/>
        <n x="68"/>
        <n x="82"/>
        <n x="51"/>
      </t>
    </mdx>
    <mdx n="0" f="v">
      <t c="8">
        <n x="4" s="1"/>
        <n x="7" s="1"/>
        <n x="67" s="1"/>
        <n x="3" s="1"/>
        <n x="6" s="1"/>
        <n x="68"/>
        <n x="82"/>
        <n x="52"/>
      </t>
    </mdx>
    <mdx n="0" f="v">
      <t c="8">
        <n x="4" s="1"/>
        <n x="7" s="1"/>
        <n x="67" s="1"/>
        <n x="3" s="1"/>
        <n x="6" s="1"/>
        <n x="68"/>
        <n x="82"/>
        <n x="53"/>
      </t>
    </mdx>
    <mdx n="0" f="v">
      <t c="8">
        <n x="4" s="1"/>
        <n x="7" s="1"/>
        <n x="67" s="1"/>
        <n x="3" s="1"/>
        <n x="6" s="1"/>
        <n x="68"/>
        <n x="82"/>
        <n x="54"/>
      </t>
    </mdx>
    <mdx n="0" f="v">
      <t c="8">
        <n x="4" s="1"/>
        <n x="7" s="1"/>
        <n x="67" s="1"/>
        <n x="3" s="1"/>
        <n x="6" s="1"/>
        <n x="68"/>
        <n x="82"/>
        <n x="55"/>
      </t>
    </mdx>
    <mdx n="0" f="v">
      <t c="8">
        <n x="4" s="1"/>
        <n x="7" s="1"/>
        <n x="67" s="1"/>
        <n x="3" s="1"/>
        <n x="6" s="1"/>
        <n x="68"/>
        <n x="82"/>
        <n x="56"/>
      </t>
    </mdx>
    <mdx n="0" f="v">
      <t c="8">
        <n x="4" s="1"/>
        <n x="7" s="1"/>
        <n x="67" s="1"/>
        <n x="3" s="1"/>
        <n x="6" s="1"/>
        <n x="68"/>
        <n x="82"/>
        <n x="57"/>
      </t>
    </mdx>
    <mdx n="0" f="v">
      <t c="8">
        <n x="4" s="1"/>
        <n x="7" s="1"/>
        <n x="67" s="1"/>
        <n x="3" s="1"/>
        <n x="6" s="1"/>
        <n x="68"/>
        <n x="82"/>
        <n x="58"/>
      </t>
    </mdx>
    <mdx n="0" f="v">
      <t c="8">
        <n x="4" s="1"/>
        <n x="7" s="1"/>
        <n x="67" s="1"/>
        <n x="3" s="1"/>
        <n x="6" s="1"/>
        <n x="68"/>
        <n x="82"/>
        <n x="59"/>
      </t>
    </mdx>
    <mdx n="0" f="v">
      <t c="8">
        <n x="4" s="1"/>
        <n x="7" s="1"/>
        <n x="67" s="1"/>
        <n x="3" s="1"/>
        <n x="6" s="1"/>
        <n x="68"/>
        <n x="82"/>
        <n x="60"/>
      </t>
    </mdx>
    <mdx n="0" f="v">
      <t c="8">
        <n x="4" s="1"/>
        <n x="7" s="1"/>
        <n x="67" s="1"/>
        <n x="3" s="1"/>
        <n x="6" s="1"/>
        <n x="68"/>
        <n x="82"/>
        <n x="61"/>
      </t>
    </mdx>
    <mdx n="0" f="v">
      <t c="8">
        <n x="4" s="1"/>
        <n x="7" s="1"/>
        <n x="67" s="1"/>
        <n x="3" s="1"/>
        <n x="6" s="1"/>
        <n x="68"/>
        <n x="82"/>
        <n x="62"/>
      </t>
    </mdx>
    <mdx n="0" f="v">
      <t c="8">
        <n x="4" s="1"/>
        <n x="7" s="1"/>
        <n x="67" s="1"/>
        <n x="3" s="1"/>
        <n x="6" s="1"/>
        <n x="68"/>
        <n x="82"/>
        <n x="63"/>
      </t>
    </mdx>
    <mdx n="0" f="v">
      <t c="8">
        <n x="4" s="1"/>
        <n x="7" s="1"/>
        <n x="67" s="1"/>
        <n x="3" s="1"/>
        <n x="6" s="1"/>
        <n x="68"/>
        <n x="82"/>
        <n x="64"/>
      </t>
    </mdx>
    <mdx n="0" f="v">
      <t c="8">
        <n x="4" s="1"/>
        <n x="7" s="1"/>
        <n x="67" s="1"/>
        <n x="3" s="1"/>
        <n x="6" s="1"/>
        <n x="68"/>
        <n x="82"/>
        <n x="65"/>
      </t>
    </mdx>
    <mdx n="0" f="v">
      <t c="8">
        <n x="4" s="1"/>
        <n x="7" s="1"/>
        <n x="67" s="1"/>
        <n x="3" s="1"/>
        <n x="6" s="1"/>
        <n x="68"/>
        <n x="82"/>
        <n x="66"/>
      </t>
    </mdx>
    <mdx n="0" f="m">
      <t c="1">
        <n x="83"/>
      </t>
    </mdx>
    <mdx n="0" f="v">
      <t c="8">
        <n x="4" s="1"/>
        <n x="7" s="1"/>
        <n x="67" s="1"/>
        <n x="3" s="1"/>
        <n x="6" s="1"/>
        <n x="68"/>
        <n x="83"/>
        <n x="8"/>
      </t>
    </mdx>
    <mdx n="0" f="v">
      <t c="8">
        <n x="4" s="1"/>
        <n x="7" s="1"/>
        <n x="67" s="1"/>
        <n x="3" s="1"/>
        <n x="6" s="1"/>
        <n x="68"/>
        <n x="83"/>
        <n x="9"/>
      </t>
    </mdx>
    <mdx n="0" f="v">
      <t c="8">
        <n x="4" s="1"/>
        <n x="7" s="1"/>
        <n x="67" s="1"/>
        <n x="3" s="1"/>
        <n x="6" s="1"/>
        <n x="68"/>
        <n x="83"/>
        <n x="10"/>
      </t>
    </mdx>
    <mdx n="0" f="v">
      <t c="8">
        <n x="4" s="1"/>
        <n x="7" s="1"/>
        <n x="67" s="1"/>
        <n x="3" s="1"/>
        <n x="6" s="1"/>
        <n x="68"/>
        <n x="83"/>
        <n x="11"/>
      </t>
    </mdx>
    <mdx n="0" f="v">
      <t c="8">
        <n x="4" s="1"/>
        <n x="7" s="1"/>
        <n x="67" s="1"/>
        <n x="3" s="1"/>
        <n x="6" s="1"/>
        <n x="68"/>
        <n x="83"/>
        <n x="12"/>
      </t>
    </mdx>
    <mdx n="0" f="v">
      <t c="8">
        <n x="4" s="1"/>
        <n x="7" s="1"/>
        <n x="67" s="1"/>
        <n x="3" s="1"/>
        <n x="6" s="1"/>
        <n x="68"/>
        <n x="83"/>
        <n x="13"/>
      </t>
    </mdx>
    <mdx n="0" f="v">
      <t c="8">
        <n x="4" s="1"/>
        <n x="7" s="1"/>
        <n x="67" s="1"/>
        <n x="3" s="1"/>
        <n x="6" s="1"/>
        <n x="68"/>
        <n x="83"/>
        <n x="14"/>
      </t>
    </mdx>
    <mdx n="0" f="v">
      <t c="8">
        <n x="4" s="1"/>
        <n x="7" s="1"/>
        <n x="67" s="1"/>
        <n x="3" s="1"/>
        <n x="6" s="1"/>
        <n x="68"/>
        <n x="83"/>
        <n x="15"/>
      </t>
    </mdx>
    <mdx n="0" f="v">
      <t c="8">
        <n x="4" s="1"/>
        <n x="7" s="1"/>
        <n x="67" s="1"/>
        <n x="3" s="1"/>
        <n x="6" s="1"/>
        <n x="68"/>
        <n x="83"/>
        <n x="16"/>
      </t>
    </mdx>
    <mdx n="0" f="v">
      <t c="8">
        <n x="4" s="1"/>
        <n x="7" s="1"/>
        <n x="67" s="1"/>
        <n x="3" s="1"/>
        <n x="6" s="1"/>
        <n x="68"/>
        <n x="83"/>
        <n x="17"/>
      </t>
    </mdx>
    <mdx n="0" f="v">
      <t c="8">
        <n x="4" s="1"/>
        <n x="7" s="1"/>
        <n x="67" s="1"/>
        <n x="3" s="1"/>
        <n x="6" s="1"/>
        <n x="68"/>
        <n x="83"/>
        <n x="18"/>
      </t>
    </mdx>
    <mdx n="0" f="v">
      <t c="8">
        <n x="4" s="1"/>
        <n x="7" s="1"/>
        <n x="67" s="1"/>
        <n x="3" s="1"/>
        <n x="6" s="1"/>
        <n x="68"/>
        <n x="83"/>
        <n x="19"/>
      </t>
    </mdx>
    <mdx n="0" f="v">
      <t c="8">
        <n x="4" s="1"/>
        <n x="7" s="1"/>
        <n x="67" s="1"/>
        <n x="3" s="1"/>
        <n x="6" s="1"/>
        <n x="68"/>
        <n x="83"/>
        <n x="20"/>
      </t>
    </mdx>
    <mdx n="0" f="v">
      <t c="8">
        <n x="4" s="1"/>
        <n x="7" s="1"/>
        <n x="67" s="1"/>
        <n x="3" s="1"/>
        <n x="6" s="1"/>
        <n x="68"/>
        <n x="83"/>
        <n x="21"/>
      </t>
    </mdx>
    <mdx n="0" f="v">
      <t c="8">
        <n x="4" s="1"/>
        <n x="7" s="1"/>
        <n x="67" s="1"/>
        <n x="3" s="1"/>
        <n x="6" s="1"/>
        <n x="68"/>
        <n x="83"/>
        <n x="22"/>
      </t>
    </mdx>
    <mdx n="0" f="v">
      <t c="8">
        <n x="4" s="1"/>
        <n x="7" s="1"/>
        <n x="67" s="1"/>
        <n x="3" s="1"/>
        <n x="6" s="1"/>
        <n x="68"/>
        <n x="83"/>
        <n x="23"/>
      </t>
    </mdx>
    <mdx n="0" f="v">
      <t c="8">
        <n x="4" s="1"/>
        <n x="7" s="1"/>
        <n x="67" s="1"/>
        <n x="3" s="1"/>
        <n x="6" s="1"/>
        <n x="68"/>
        <n x="83"/>
        <n x="24"/>
      </t>
    </mdx>
    <mdx n="0" f="v">
      <t c="8">
        <n x="4" s="1"/>
        <n x="7" s="1"/>
        <n x="67" s="1"/>
        <n x="3" s="1"/>
        <n x="6" s="1"/>
        <n x="68"/>
        <n x="83"/>
        <n x="25"/>
      </t>
    </mdx>
    <mdx n="0" f="v">
      <t c="8">
        <n x="4" s="1"/>
        <n x="7" s="1"/>
        <n x="67" s="1"/>
        <n x="3" s="1"/>
        <n x="6" s="1"/>
        <n x="68"/>
        <n x="83"/>
        <n x="26"/>
      </t>
    </mdx>
    <mdx n="0" f="v">
      <t c="8">
        <n x="4" s="1"/>
        <n x="7" s="1"/>
        <n x="67" s="1"/>
        <n x="3" s="1"/>
        <n x="6" s="1"/>
        <n x="68"/>
        <n x="83"/>
        <n x="27"/>
      </t>
    </mdx>
    <mdx n="0" f="v">
      <t c="8">
        <n x="4" s="1"/>
        <n x="7" s="1"/>
        <n x="67" s="1"/>
        <n x="3" s="1"/>
        <n x="6" s="1"/>
        <n x="68"/>
        <n x="83"/>
        <n x="28"/>
      </t>
    </mdx>
    <mdx n="0" f="v">
      <t c="8">
        <n x="4" s="1"/>
        <n x="7" s="1"/>
        <n x="67" s="1"/>
        <n x="3" s="1"/>
        <n x="6" s="1"/>
        <n x="68"/>
        <n x="83"/>
        <n x="29"/>
      </t>
    </mdx>
    <mdx n="0" f="v">
      <t c="8">
        <n x="4" s="1"/>
        <n x="7" s="1"/>
        <n x="67" s="1"/>
        <n x="3" s="1"/>
        <n x="6" s="1"/>
        <n x="68"/>
        <n x="83"/>
        <n x="30"/>
      </t>
    </mdx>
    <mdx n="0" f="v">
      <t c="8">
        <n x="4" s="1"/>
        <n x="7" s="1"/>
        <n x="67" s="1"/>
        <n x="3" s="1"/>
        <n x="6" s="1"/>
        <n x="68"/>
        <n x="83"/>
        <n x="31"/>
      </t>
    </mdx>
    <mdx n="0" f="v">
      <t c="8">
        <n x="4" s="1"/>
        <n x="7" s="1"/>
        <n x="67" s="1"/>
        <n x="3" s="1"/>
        <n x="6" s="1"/>
        <n x="68"/>
        <n x="83"/>
        <n x="32"/>
      </t>
    </mdx>
    <mdx n="0" f="v">
      <t c="8">
        <n x="4" s="1"/>
        <n x="7" s="1"/>
        <n x="67" s="1"/>
        <n x="3" s="1"/>
        <n x="6" s="1"/>
        <n x="68"/>
        <n x="83"/>
        <n x="33"/>
      </t>
    </mdx>
    <mdx n="0" f="v">
      <t c="8">
        <n x="4" s="1"/>
        <n x="7" s="1"/>
        <n x="67" s="1"/>
        <n x="3" s="1"/>
        <n x="6" s="1"/>
        <n x="68"/>
        <n x="83"/>
        <n x="34"/>
      </t>
    </mdx>
    <mdx n="0" f="v">
      <t c="8">
        <n x="4" s="1"/>
        <n x="7" s="1"/>
        <n x="67" s="1"/>
        <n x="3" s="1"/>
        <n x="6" s="1"/>
        <n x="68"/>
        <n x="83"/>
        <n x="35"/>
      </t>
    </mdx>
    <mdx n="0" f="v">
      <t c="8">
        <n x="4" s="1"/>
        <n x="7" s="1"/>
        <n x="67" s="1"/>
        <n x="3" s="1"/>
        <n x="6" s="1"/>
        <n x="68"/>
        <n x="83"/>
        <n x="36"/>
      </t>
    </mdx>
    <mdx n="0" f="v">
      <t c="8">
        <n x="4" s="1"/>
        <n x="7" s="1"/>
        <n x="67" s="1"/>
        <n x="3" s="1"/>
        <n x="6" s="1"/>
        <n x="68"/>
        <n x="83"/>
        <n x="37"/>
      </t>
    </mdx>
    <mdx n="0" f="v">
      <t c="8">
        <n x="4" s="1"/>
        <n x="7" s="1"/>
        <n x="67" s="1"/>
        <n x="3" s="1"/>
        <n x="6" s="1"/>
        <n x="68"/>
        <n x="83"/>
        <n x="38"/>
      </t>
    </mdx>
    <mdx n="0" f="v">
      <t c="8">
        <n x="4" s="1"/>
        <n x="7" s="1"/>
        <n x="67" s="1"/>
        <n x="3" s="1"/>
        <n x="6" s="1"/>
        <n x="68"/>
        <n x="83"/>
        <n x="39"/>
      </t>
    </mdx>
    <mdx n="0" f="v">
      <t c="8">
        <n x="4" s="1"/>
        <n x="7" s="1"/>
        <n x="67" s="1"/>
        <n x="3" s="1"/>
        <n x="6" s="1"/>
        <n x="68"/>
        <n x="83"/>
        <n x="40"/>
      </t>
    </mdx>
    <mdx n="0" f="v">
      <t c="8">
        <n x="4" s="1"/>
        <n x="7" s="1"/>
        <n x="67" s="1"/>
        <n x="3" s="1"/>
        <n x="6" s="1"/>
        <n x="68"/>
        <n x="83"/>
        <n x="41"/>
      </t>
    </mdx>
    <mdx n="0" f="v">
      <t c="8">
        <n x="4" s="1"/>
        <n x="7" s="1"/>
        <n x="67" s="1"/>
        <n x="3" s="1"/>
        <n x="6" s="1"/>
        <n x="68"/>
        <n x="83"/>
        <n x="42"/>
      </t>
    </mdx>
    <mdx n="0" f="v">
      <t c="8">
        <n x="4" s="1"/>
        <n x="7" s="1"/>
        <n x="67" s="1"/>
        <n x="3" s="1"/>
        <n x="6" s="1"/>
        <n x="68"/>
        <n x="83"/>
        <n x="43"/>
      </t>
    </mdx>
    <mdx n="0" f="v">
      <t c="8">
        <n x="4" s="1"/>
        <n x="7" s="1"/>
        <n x="67" s="1"/>
        <n x="3" s="1"/>
        <n x="6" s="1"/>
        <n x="68"/>
        <n x="83"/>
        <n x="44"/>
      </t>
    </mdx>
    <mdx n="0" f="v">
      <t c="8">
        <n x="4" s="1"/>
        <n x="7" s="1"/>
        <n x="67" s="1"/>
        <n x="3" s="1"/>
        <n x="6" s="1"/>
        <n x="68"/>
        <n x="83"/>
        <n x="45"/>
      </t>
    </mdx>
    <mdx n="0" f="v">
      <t c="8">
        <n x="4" s="1"/>
        <n x="7" s="1"/>
        <n x="67" s="1"/>
        <n x="3" s="1"/>
        <n x="6" s="1"/>
        <n x="68"/>
        <n x="83"/>
        <n x="46"/>
      </t>
    </mdx>
    <mdx n="0" f="v">
      <t c="8">
        <n x="4" s="1"/>
        <n x="7" s="1"/>
        <n x="67" s="1"/>
        <n x="3" s="1"/>
        <n x="6" s="1"/>
        <n x="68"/>
        <n x="83"/>
        <n x="47"/>
      </t>
    </mdx>
    <mdx n="0" f="v">
      <t c="8">
        <n x="4" s="1"/>
        <n x="7" s="1"/>
        <n x="67" s="1"/>
        <n x="3" s="1"/>
        <n x="6" s="1"/>
        <n x="68"/>
        <n x="83"/>
        <n x="48"/>
      </t>
    </mdx>
    <mdx n="0" f="v">
      <t c="8">
        <n x="4" s="1"/>
        <n x="7" s="1"/>
        <n x="67" s="1"/>
        <n x="3" s="1"/>
        <n x="6" s="1"/>
        <n x="68"/>
        <n x="83"/>
        <n x="49"/>
      </t>
    </mdx>
    <mdx n="0" f="v">
      <t c="8">
        <n x="4" s="1"/>
        <n x="7" s="1"/>
        <n x="67" s="1"/>
        <n x="3" s="1"/>
        <n x="6" s="1"/>
        <n x="68"/>
        <n x="83"/>
        <n x="50"/>
      </t>
    </mdx>
    <mdx n="0" f="v">
      <t c="8">
        <n x="4" s="1"/>
        <n x="7" s="1"/>
        <n x="67" s="1"/>
        <n x="3" s="1"/>
        <n x="6" s="1"/>
        <n x="68"/>
        <n x="83"/>
        <n x="51"/>
      </t>
    </mdx>
    <mdx n="0" f="v">
      <t c="8">
        <n x="4" s="1"/>
        <n x="7" s="1"/>
        <n x="67" s="1"/>
        <n x="3" s="1"/>
        <n x="6" s="1"/>
        <n x="68"/>
        <n x="83"/>
        <n x="52"/>
      </t>
    </mdx>
    <mdx n="0" f="v">
      <t c="8">
        <n x="4" s="1"/>
        <n x="7" s="1"/>
        <n x="67" s="1"/>
        <n x="3" s="1"/>
        <n x="6" s="1"/>
        <n x="68"/>
        <n x="83"/>
        <n x="53"/>
      </t>
    </mdx>
    <mdx n="0" f="v">
      <t c="8">
        <n x="4" s="1"/>
        <n x="7" s="1"/>
        <n x="67" s="1"/>
        <n x="3" s="1"/>
        <n x="6" s="1"/>
        <n x="68"/>
        <n x="83"/>
        <n x="54"/>
      </t>
    </mdx>
    <mdx n="0" f="v">
      <t c="8">
        <n x="4" s="1"/>
        <n x="7" s="1"/>
        <n x="67" s="1"/>
        <n x="3" s="1"/>
        <n x="6" s="1"/>
        <n x="68"/>
        <n x="83"/>
        <n x="55"/>
      </t>
    </mdx>
    <mdx n="0" f="v">
      <t c="8">
        <n x="4" s="1"/>
        <n x="7" s="1"/>
        <n x="67" s="1"/>
        <n x="3" s="1"/>
        <n x="6" s="1"/>
        <n x="68"/>
        <n x="83"/>
        <n x="56"/>
      </t>
    </mdx>
    <mdx n="0" f="v">
      <t c="8">
        <n x="4" s="1"/>
        <n x="7" s="1"/>
        <n x="67" s="1"/>
        <n x="3" s="1"/>
        <n x="6" s="1"/>
        <n x="68"/>
        <n x="83"/>
        <n x="57"/>
      </t>
    </mdx>
    <mdx n="0" f="v">
      <t c="8">
        <n x="4" s="1"/>
        <n x="7" s="1"/>
        <n x="67" s="1"/>
        <n x="3" s="1"/>
        <n x="6" s="1"/>
        <n x="68"/>
        <n x="83"/>
        <n x="58"/>
      </t>
    </mdx>
    <mdx n="0" f="v">
      <t c="8">
        <n x="4" s="1"/>
        <n x="7" s="1"/>
        <n x="67" s="1"/>
        <n x="3" s="1"/>
        <n x="6" s="1"/>
        <n x="68"/>
        <n x="83"/>
        <n x="59"/>
      </t>
    </mdx>
    <mdx n="0" f="v">
      <t c="8">
        <n x="4" s="1"/>
        <n x="7" s="1"/>
        <n x="67" s="1"/>
        <n x="3" s="1"/>
        <n x="6" s="1"/>
        <n x="68"/>
        <n x="83"/>
        <n x="60"/>
      </t>
    </mdx>
    <mdx n="0" f="v">
      <t c="8">
        <n x="4" s="1"/>
        <n x="7" s="1"/>
        <n x="67" s="1"/>
        <n x="3" s="1"/>
        <n x="6" s="1"/>
        <n x="68"/>
        <n x="83"/>
        <n x="61"/>
      </t>
    </mdx>
    <mdx n="0" f="v">
      <t c="8">
        <n x="4" s="1"/>
        <n x="7" s="1"/>
        <n x="67" s="1"/>
        <n x="3" s="1"/>
        <n x="6" s="1"/>
        <n x="68"/>
        <n x="83"/>
        <n x="62"/>
      </t>
    </mdx>
    <mdx n="0" f="v">
      <t c="8">
        <n x="4" s="1"/>
        <n x="7" s="1"/>
        <n x="67" s="1"/>
        <n x="3" s="1"/>
        <n x="6" s="1"/>
        <n x="68"/>
        <n x="83"/>
        <n x="63"/>
      </t>
    </mdx>
    <mdx n="0" f="v">
      <t c="8">
        <n x="4" s="1"/>
        <n x="7" s="1"/>
        <n x="67" s="1"/>
        <n x="3" s="1"/>
        <n x="6" s="1"/>
        <n x="68"/>
        <n x="83"/>
        <n x="64"/>
      </t>
    </mdx>
    <mdx n="0" f="v">
      <t c="8">
        <n x="4" s="1"/>
        <n x="7" s="1"/>
        <n x="67" s="1"/>
        <n x="3" s="1"/>
        <n x="6" s="1"/>
        <n x="68"/>
        <n x="83"/>
        <n x="65"/>
      </t>
    </mdx>
    <mdx n="0" f="v">
      <t c="8">
        <n x="4" s="1"/>
        <n x="7" s="1"/>
        <n x="67" s="1"/>
        <n x="3" s="1"/>
        <n x="6" s="1"/>
        <n x="68"/>
        <n x="83"/>
        <n x="66"/>
      </t>
    </mdx>
    <mdx n="0" f="m">
      <t c="1">
        <n x="84"/>
      </t>
    </mdx>
    <mdx n="0" f="v">
      <t c="8">
        <n x="4" s="1"/>
        <n x="7" s="1"/>
        <n x="67" s="1"/>
        <n x="3" s="1"/>
        <n x="6" s="1"/>
        <n x="68"/>
        <n x="84"/>
        <n x="8"/>
      </t>
    </mdx>
    <mdx n="0" f="v">
      <t c="8">
        <n x="4" s="1"/>
        <n x="7" s="1"/>
        <n x="67" s="1"/>
        <n x="3" s="1"/>
        <n x="6" s="1"/>
        <n x="68"/>
        <n x="84"/>
        <n x="9"/>
      </t>
    </mdx>
    <mdx n="0" f="v">
      <t c="8">
        <n x="4" s="1"/>
        <n x="7" s="1"/>
        <n x="67" s="1"/>
        <n x="3" s="1"/>
        <n x="6" s="1"/>
        <n x="68"/>
        <n x="84"/>
        <n x="10"/>
      </t>
    </mdx>
    <mdx n="0" f="v">
      <t c="8">
        <n x="4" s="1"/>
        <n x="7" s="1"/>
        <n x="67" s="1"/>
        <n x="3" s="1"/>
        <n x="6" s="1"/>
        <n x="68"/>
        <n x="84"/>
        <n x="11"/>
      </t>
    </mdx>
    <mdx n="0" f="v">
      <t c="8">
        <n x="4" s="1"/>
        <n x="7" s="1"/>
        <n x="67" s="1"/>
        <n x="3" s="1"/>
        <n x="6" s="1"/>
        <n x="68"/>
        <n x="84"/>
        <n x="12"/>
      </t>
    </mdx>
    <mdx n="0" f="v">
      <t c="8">
        <n x="4" s="1"/>
        <n x="7" s="1"/>
        <n x="67" s="1"/>
        <n x="3" s="1"/>
        <n x="6" s="1"/>
        <n x="68"/>
        <n x="84"/>
        <n x="13"/>
      </t>
    </mdx>
    <mdx n="0" f="v">
      <t c="8">
        <n x="4" s="1"/>
        <n x="7" s="1"/>
        <n x="67" s="1"/>
        <n x="3" s="1"/>
        <n x="6" s="1"/>
        <n x="68"/>
        <n x="84"/>
        <n x="14"/>
      </t>
    </mdx>
    <mdx n="0" f="v">
      <t c="8">
        <n x="4" s="1"/>
        <n x="7" s="1"/>
        <n x="67" s="1"/>
        <n x="3" s="1"/>
        <n x="6" s="1"/>
        <n x="68"/>
        <n x="84"/>
        <n x="15"/>
      </t>
    </mdx>
    <mdx n="0" f="v">
      <t c="8">
        <n x="4" s="1"/>
        <n x="7" s="1"/>
        <n x="67" s="1"/>
        <n x="3" s="1"/>
        <n x="6" s="1"/>
        <n x="68"/>
        <n x="84"/>
        <n x="16"/>
      </t>
    </mdx>
    <mdx n="0" f="v">
      <t c="8">
        <n x="4" s="1"/>
        <n x="7" s="1"/>
        <n x="67" s="1"/>
        <n x="3" s="1"/>
        <n x="6" s="1"/>
        <n x="68"/>
        <n x="84"/>
        <n x="17"/>
      </t>
    </mdx>
    <mdx n="0" f="v">
      <t c="8">
        <n x="4" s="1"/>
        <n x="7" s="1"/>
        <n x="67" s="1"/>
        <n x="3" s="1"/>
        <n x="6" s="1"/>
        <n x="68"/>
        <n x="84"/>
        <n x="18"/>
      </t>
    </mdx>
    <mdx n="0" f="v">
      <t c="8">
        <n x="4" s="1"/>
        <n x="7" s="1"/>
        <n x="67" s="1"/>
        <n x="3" s="1"/>
        <n x="6" s="1"/>
        <n x="68"/>
        <n x="84"/>
        <n x="19"/>
      </t>
    </mdx>
    <mdx n="0" f="v">
      <t c="8">
        <n x="4" s="1"/>
        <n x="7" s="1"/>
        <n x="67" s="1"/>
        <n x="3" s="1"/>
        <n x="6" s="1"/>
        <n x="68"/>
        <n x="84"/>
        <n x="20"/>
      </t>
    </mdx>
    <mdx n="0" f="v">
      <t c="8">
        <n x="4" s="1"/>
        <n x="7" s="1"/>
        <n x="67" s="1"/>
        <n x="3" s="1"/>
        <n x="6" s="1"/>
        <n x="68"/>
        <n x="84"/>
        <n x="21"/>
      </t>
    </mdx>
    <mdx n="0" f="v">
      <t c="8">
        <n x="4" s="1"/>
        <n x="7" s="1"/>
        <n x="67" s="1"/>
        <n x="3" s="1"/>
        <n x="6" s="1"/>
        <n x="68"/>
        <n x="84"/>
        <n x="22"/>
      </t>
    </mdx>
    <mdx n="0" f="v">
      <t c="8">
        <n x="4" s="1"/>
        <n x="7" s="1"/>
        <n x="67" s="1"/>
        <n x="3" s="1"/>
        <n x="6" s="1"/>
        <n x="68"/>
        <n x="84"/>
        <n x="23"/>
      </t>
    </mdx>
    <mdx n="0" f="v">
      <t c="8">
        <n x="4" s="1"/>
        <n x="7" s="1"/>
        <n x="67" s="1"/>
        <n x="3" s="1"/>
        <n x="6" s="1"/>
        <n x="68"/>
        <n x="84"/>
        <n x="24"/>
      </t>
    </mdx>
    <mdx n="0" f="v">
      <t c="8">
        <n x="4" s="1"/>
        <n x="7" s="1"/>
        <n x="67" s="1"/>
        <n x="3" s="1"/>
        <n x="6" s="1"/>
        <n x="68"/>
        <n x="84"/>
        <n x="25"/>
      </t>
    </mdx>
    <mdx n="0" f="v">
      <t c="8">
        <n x="4" s="1"/>
        <n x="7" s="1"/>
        <n x="67" s="1"/>
        <n x="3" s="1"/>
        <n x="6" s="1"/>
        <n x="68"/>
        <n x="84"/>
        <n x="26"/>
      </t>
    </mdx>
    <mdx n="0" f="v">
      <t c="8">
        <n x="4" s="1"/>
        <n x="7" s="1"/>
        <n x="67" s="1"/>
        <n x="3" s="1"/>
        <n x="6" s="1"/>
        <n x="68"/>
        <n x="84"/>
        <n x="27"/>
      </t>
    </mdx>
    <mdx n="0" f="v">
      <t c="8">
        <n x="4" s="1"/>
        <n x="7" s="1"/>
        <n x="67" s="1"/>
        <n x="3" s="1"/>
        <n x="6" s="1"/>
        <n x="68"/>
        <n x="84"/>
        <n x="28"/>
      </t>
    </mdx>
    <mdx n="0" f="v">
      <t c="8">
        <n x="4" s="1"/>
        <n x="7" s="1"/>
        <n x="67" s="1"/>
        <n x="3" s="1"/>
        <n x="6" s="1"/>
        <n x="68"/>
        <n x="84"/>
        <n x="29"/>
      </t>
    </mdx>
    <mdx n="0" f="v">
      <t c="8">
        <n x="4" s="1"/>
        <n x="7" s="1"/>
        <n x="67" s="1"/>
        <n x="3" s="1"/>
        <n x="6" s="1"/>
        <n x="68"/>
        <n x="84"/>
        <n x="30"/>
      </t>
    </mdx>
    <mdx n="0" f="v">
      <t c="8">
        <n x="4" s="1"/>
        <n x="7" s="1"/>
        <n x="67" s="1"/>
        <n x="3" s="1"/>
        <n x="6" s="1"/>
        <n x="68"/>
        <n x="84"/>
        <n x="31"/>
      </t>
    </mdx>
    <mdx n="0" f="v">
      <t c="8">
        <n x="4" s="1"/>
        <n x="7" s="1"/>
        <n x="67" s="1"/>
        <n x="3" s="1"/>
        <n x="6" s="1"/>
        <n x="68"/>
        <n x="84"/>
        <n x="32"/>
      </t>
    </mdx>
    <mdx n="0" f="v">
      <t c="8">
        <n x="4" s="1"/>
        <n x="7" s="1"/>
        <n x="67" s="1"/>
        <n x="3" s="1"/>
        <n x="6" s="1"/>
        <n x="68"/>
        <n x="84"/>
        <n x="33"/>
      </t>
    </mdx>
    <mdx n="0" f="v">
      <t c="8">
        <n x="4" s="1"/>
        <n x="7" s="1"/>
        <n x="67" s="1"/>
        <n x="3" s="1"/>
        <n x="6" s="1"/>
        <n x="68"/>
        <n x="84"/>
        <n x="34"/>
      </t>
    </mdx>
    <mdx n="0" f="v">
      <t c="8">
        <n x="4" s="1"/>
        <n x="7" s="1"/>
        <n x="67" s="1"/>
        <n x="3" s="1"/>
        <n x="6" s="1"/>
        <n x="68"/>
        <n x="84"/>
        <n x="35"/>
      </t>
    </mdx>
    <mdx n="0" f="v">
      <t c="8">
        <n x="4" s="1"/>
        <n x="7" s="1"/>
        <n x="67" s="1"/>
        <n x="3" s="1"/>
        <n x="6" s="1"/>
        <n x="68"/>
        <n x="84"/>
        <n x="36"/>
      </t>
    </mdx>
    <mdx n="0" f="v">
      <t c="8">
        <n x="4" s="1"/>
        <n x="7" s="1"/>
        <n x="67" s="1"/>
        <n x="3" s="1"/>
        <n x="6" s="1"/>
        <n x="68"/>
        <n x="84"/>
        <n x="37"/>
      </t>
    </mdx>
    <mdx n="0" f="v">
      <t c="8">
        <n x="4" s="1"/>
        <n x="7" s="1"/>
        <n x="67" s="1"/>
        <n x="3" s="1"/>
        <n x="6" s="1"/>
        <n x="68"/>
        <n x="84"/>
        <n x="38"/>
      </t>
    </mdx>
    <mdx n="0" f="v">
      <t c="8">
        <n x="4" s="1"/>
        <n x="7" s="1"/>
        <n x="67" s="1"/>
        <n x="3" s="1"/>
        <n x="6" s="1"/>
        <n x="68"/>
        <n x="84"/>
        <n x="39"/>
      </t>
    </mdx>
    <mdx n="0" f="v">
      <t c="8">
        <n x="4" s="1"/>
        <n x="7" s="1"/>
        <n x="67" s="1"/>
        <n x="3" s="1"/>
        <n x="6" s="1"/>
        <n x="68"/>
        <n x="84"/>
        <n x="40"/>
      </t>
    </mdx>
    <mdx n="0" f="v">
      <t c="8">
        <n x="4" s="1"/>
        <n x="7" s="1"/>
        <n x="67" s="1"/>
        <n x="3" s="1"/>
        <n x="6" s="1"/>
        <n x="68"/>
        <n x="84"/>
        <n x="41"/>
      </t>
    </mdx>
    <mdx n="0" f="v">
      <t c="8">
        <n x="4" s="1"/>
        <n x="7" s="1"/>
        <n x="67" s="1"/>
        <n x="3" s="1"/>
        <n x="6" s="1"/>
        <n x="68"/>
        <n x="84"/>
        <n x="42"/>
      </t>
    </mdx>
    <mdx n="0" f="v">
      <t c="8">
        <n x="4" s="1"/>
        <n x="7" s="1"/>
        <n x="67" s="1"/>
        <n x="3" s="1"/>
        <n x="6" s="1"/>
        <n x="68"/>
        <n x="84"/>
        <n x="43"/>
      </t>
    </mdx>
    <mdx n="0" f="v">
      <t c="8">
        <n x="4" s="1"/>
        <n x="7" s="1"/>
        <n x="67" s="1"/>
        <n x="3" s="1"/>
        <n x="6" s="1"/>
        <n x="68"/>
        <n x="84"/>
        <n x="44"/>
      </t>
    </mdx>
    <mdx n="0" f="v">
      <t c="8">
        <n x="4" s="1"/>
        <n x="7" s="1"/>
        <n x="67" s="1"/>
        <n x="3" s="1"/>
        <n x="6" s="1"/>
        <n x="68"/>
        <n x="84"/>
        <n x="45"/>
      </t>
    </mdx>
    <mdx n="0" f="v">
      <t c="8">
        <n x="4" s="1"/>
        <n x="7" s="1"/>
        <n x="67" s="1"/>
        <n x="3" s="1"/>
        <n x="6" s="1"/>
        <n x="68"/>
        <n x="84"/>
        <n x="46"/>
      </t>
    </mdx>
    <mdx n="0" f="v">
      <t c="8">
        <n x="4" s="1"/>
        <n x="7" s="1"/>
        <n x="67" s="1"/>
        <n x="3" s="1"/>
        <n x="6" s="1"/>
        <n x="68"/>
        <n x="84"/>
        <n x="47"/>
      </t>
    </mdx>
    <mdx n="0" f="v">
      <t c="8">
        <n x="4" s="1"/>
        <n x="7" s="1"/>
        <n x="67" s="1"/>
        <n x="3" s="1"/>
        <n x="6" s="1"/>
        <n x="68"/>
        <n x="84"/>
        <n x="48"/>
      </t>
    </mdx>
    <mdx n="0" f="v">
      <t c="8">
        <n x="4" s="1"/>
        <n x="7" s="1"/>
        <n x="67" s="1"/>
        <n x="3" s="1"/>
        <n x="6" s="1"/>
        <n x="68"/>
        <n x="84"/>
        <n x="49"/>
      </t>
    </mdx>
    <mdx n="0" f="v">
      <t c="8">
        <n x="4" s="1"/>
        <n x="7" s="1"/>
        <n x="67" s="1"/>
        <n x="3" s="1"/>
        <n x="6" s="1"/>
        <n x="68"/>
        <n x="84"/>
        <n x="50"/>
      </t>
    </mdx>
    <mdx n="0" f="v">
      <t c="8">
        <n x="4" s="1"/>
        <n x="7" s="1"/>
        <n x="67" s="1"/>
        <n x="3" s="1"/>
        <n x="6" s="1"/>
        <n x="68"/>
        <n x="84"/>
        <n x="51"/>
      </t>
    </mdx>
    <mdx n="0" f="v">
      <t c="8">
        <n x="4" s="1"/>
        <n x="7" s="1"/>
        <n x="67" s="1"/>
        <n x="3" s="1"/>
        <n x="6" s="1"/>
        <n x="68"/>
        <n x="84"/>
        <n x="52"/>
      </t>
    </mdx>
    <mdx n="0" f="v">
      <t c="8">
        <n x="4" s="1"/>
        <n x="7" s="1"/>
        <n x="67" s="1"/>
        <n x="3" s="1"/>
        <n x="6" s="1"/>
        <n x="68"/>
        <n x="84"/>
        <n x="53"/>
      </t>
    </mdx>
    <mdx n="0" f="v">
      <t c="8">
        <n x="4" s="1"/>
        <n x="7" s="1"/>
        <n x="67" s="1"/>
        <n x="3" s="1"/>
        <n x="6" s="1"/>
        <n x="68"/>
        <n x="84"/>
        <n x="54"/>
      </t>
    </mdx>
    <mdx n="0" f="v">
      <t c="8">
        <n x="4" s="1"/>
        <n x="7" s="1"/>
        <n x="67" s="1"/>
        <n x="3" s="1"/>
        <n x="6" s="1"/>
        <n x="68"/>
        <n x="84"/>
        <n x="55"/>
      </t>
    </mdx>
    <mdx n="0" f="v">
      <t c="8">
        <n x="4" s="1"/>
        <n x="7" s="1"/>
        <n x="67" s="1"/>
        <n x="3" s="1"/>
        <n x="6" s="1"/>
        <n x="68"/>
        <n x="84"/>
        <n x="56"/>
      </t>
    </mdx>
    <mdx n="0" f="v">
      <t c="8">
        <n x="4" s="1"/>
        <n x="7" s="1"/>
        <n x="67" s="1"/>
        <n x="3" s="1"/>
        <n x="6" s="1"/>
        <n x="68"/>
        <n x="84"/>
        <n x="57"/>
      </t>
    </mdx>
    <mdx n="0" f="v">
      <t c="8">
        <n x="4" s="1"/>
        <n x="7" s="1"/>
        <n x="67" s="1"/>
        <n x="3" s="1"/>
        <n x="6" s="1"/>
        <n x="68"/>
        <n x="84"/>
        <n x="58"/>
      </t>
    </mdx>
    <mdx n="0" f="v">
      <t c="8">
        <n x="4" s="1"/>
        <n x="7" s="1"/>
        <n x="67" s="1"/>
        <n x="3" s="1"/>
        <n x="6" s="1"/>
        <n x="68"/>
        <n x="84"/>
        <n x="59"/>
      </t>
    </mdx>
    <mdx n="0" f="v">
      <t c="8">
        <n x="4" s="1"/>
        <n x="7" s="1"/>
        <n x="67" s="1"/>
        <n x="3" s="1"/>
        <n x="6" s="1"/>
        <n x="68"/>
        <n x="84"/>
        <n x="60"/>
      </t>
    </mdx>
    <mdx n="0" f="v">
      <t c="8">
        <n x="4" s="1"/>
        <n x="7" s="1"/>
        <n x="67" s="1"/>
        <n x="3" s="1"/>
        <n x="6" s="1"/>
        <n x="68"/>
        <n x="84"/>
        <n x="61"/>
      </t>
    </mdx>
    <mdx n="0" f="v">
      <t c="8">
        <n x="4" s="1"/>
        <n x="7" s="1"/>
        <n x="67" s="1"/>
        <n x="3" s="1"/>
        <n x="6" s="1"/>
        <n x="68"/>
        <n x="84"/>
        <n x="62"/>
      </t>
    </mdx>
    <mdx n="0" f="v">
      <t c="8">
        <n x="4" s="1"/>
        <n x="7" s="1"/>
        <n x="67" s="1"/>
        <n x="3" s="1"/>
        <n x="6" s="1"/>
        <n x="68"/>
        <n x="84"/>
        <n x="63"/>
      </t>
    </mdx>
    <mdx n="0" f="v">
      <t c="8">
        <n x="4" s="1"/>
        <n x="7" s="1"/>
        <n x="67" s="1"/>
        <n x="3" s="1"/>
        <n x="6" s="1"/>
        <n x="68"/>
        <n x="84"/>
        <n x="64"/>
      </t>
    </mdx>
    <mdx n="0" f="v">
      <t c="8">
        <n x="4" s="1"/>
        <n x="7" s="1"/>
        <n x="67" s="1"/>
        <n x="3" s="1"/>
        <n x="6" s="1"/>
        <n x="68"/>
        <n x="84"/>
        <n x="65"/>
      </t>
    </mdx>
    <mdx n="0" f="v">
      <t c="8">
        <n x="4" s="1"/>
        <n x="7" s="1"/>
        <n x="67" s="1"/>
        <n x="3" s="1"/>
        <n x="6" s="1"/>
        <n x="68"/>
        <n x="84"/>
        <n x="66"/>
      </t>
    </mdx>
    <mdx n="0" f="m">
      <t c="1">
        <n x="85"/>
      </t>
    </mdx>
    <mdx n="0" f="v">
      <t c="8">
        <n x="4" s="1"/>
        <n x="7" s="1"/>
        <n x="67" s="1"/>
        <n x="3" s="1"/>
        <n x="6" s="1"/>
        <n x="68"/>
        <n x="85"/>
        <n x="8"/>
      </t>
    </mdx>
    <mdx n="0" f="v">
      <t c="8">
        <n x="4" s="1"/>
        <n x="7" s="1"/>
        <n x="67" s="1"/>
        <n x="3" s="1"/>
        <n x="6" s="1"/>
        <n x="68"/>
        <n x="85"/>
        <n x="9"/>
      </t>
    </mdx>
    <mdx n="0" f="v">
      <t c="8">
        <n x="4" s="1"/>
        <n x="7" s="1"/>
        <n x="67" s="1"/>
        <n x="3" s="1"/>
        <n x="6" s="1"/>
        <n x="68"/>
        <n x="85"/>
        <n x="10"/>
      </t>
    </mdx>
    <mdx n="0" f="v">
      <t c="8">
        <n x="4" s="1"/>
        <n x="7" s="1"/>
        <n x="67" s="1"/>
        <n x="3" s="1"/>
        <n x="6" s="1"/>
        <n x="68"/>
        <n x="85"/>
        <n x="11"/>
      </t>
    </mdx>
    <mdx n="0" f="v">
      <t c="8">
        <n x="4" s="1"/>
        <n x="7" s="1"/>
        <n x="67" s="1"/>
        <n x="3" s="1"/>
        <n x="6" s="1"/>
        <n x="68"/>
        <n x="85"/>
        <n x="12"/>
      </t>
    </mdx>
    <mdx n="0" f="v">
      <t c="8">
        <n x="4" s="1"/>
        <n x="7" s="1"/>
        <n x="67" s="1"/>
        <n x="3" s="1"/>
        <n x="6" s="1"/>
        <n x="68"/>
        <n x="85"/>
        <n x="13"/>
      </t>
    </mdx>
    <mdx n="0" f="v">
      <t c="8">
        <n x="4" s="1"/>
        <n x="7" s="1"/>
        <n x="67" s="1"/>
        <n x="3" s="1"/>
        <n x="6" s="1"/>
        <n x="68"/>
        <n x="85"/>
        <n x="14"/>
      </t>
    </mdx>
    <mdx n="0" f="v">
      <t c="8">
        <n x="4" s="1"/>
        <n x="7" s="1"/>
        <n x="67" s="1"/>
        <n x="3" s="1"/>
        <n x="6" s="1"/>
        <n x="68"/>
        <n x="85"/>
        <n x="15"/>
      </t>
    </mdx>
    <mdx n="0" f="v">
      <t c="8">
        <n x="4" s="1"/>
        <n x="7" s="1"/>
        <n x="67" s="1"/>
        <n x="3" s="1"/>
        <n x="6" s="1"/>
        <n x="68"/>
        <n x="85"/>
        <n x="16"/>
      </t>
    </mdx>
    <mdx n="0" f="v">
      <t c="8">
        <n x="4" s="1"/>
        <n x="7" s="1"/>
        <n x="67" s="1"/>
        <n x="3" s="1"/>
        <n x="6" s="1"/>
        <n x="68"/>
        <n x="85"/>
        <n x="17"/>
      </t>
    </mdx>
    <mdx n="0" f="v">
      <t c="8">
        <n x="4" s="1"/>
        <n x="7" s="1"/>
        <n x="67" s="1"/>
        <n x="3" s="1"/>
        <n x="6" s="1"/>
        <n x="68"/>
        <n x="85"/>
        <n x="18"/>
      </t>
    </mdx>
    <mdx n="0" f="v">
      <t c="8">
        <n x="4" s="1"/>
        <n x="7" s="1"/>
        <n x="67" s="1"/>
        <n x="3" s="1"/>
        <n x="6" s="1"/>
        <n x="68"/>
        <n x="85"/>
        <n x="19"/>
      </t>
    </mdx>
    <mdx n="0" f="v">
      <t c="8">
        <n x="4" s="1"/>
        <n x="7" s="1"/>
        <n x="67" s="1"/>
        <n x="3" s="1"/>
        <n x="6" s="1"/>
        <n x="68"/>
        <n x="85"/>
        <n x="20"/>
      </t>
    </mdx>
    <mdx n="0" f="v">
      <t c="8">
        <n x="4" s="1"/>
        <n x="7" s="1"/>
        <n x="67" s="1"/>
        <n x="3" s="1"/>
        <n x="6" s="1"/>
        <n x="68"/>
        <n x="85"/>
        <n x="21"/>
      </t>
    </mdx>
    <mdx n="0" f="v">
      <t c="8">
        <n x="4" s="1"/>
        <n x="7" s="1"/>
        <n x="67" s="1"/>
        <n x="3" s="1"/>
        <n x="6" s="1"/>
        <n x="68"/>
        <n x="85"/>
        <n x="22"/>
      </t>
    </mdx>
    <mdx n="0" f="v">
      <t c="8">
        <n x="4" s="1"/>
        <n x="7" s="1"/>
        <n x="67" s="1"/>
        <n x="3" s="1"/>
        <n x="6" s="1"/>
        <n x="68"/>
        <n x="85"/>
        <n x="23"/>
      </t>
    </mdx>
    <mdx n="0" f="v">
      <t c="8">
        <n x="4" s="1"/>
        <n x="7" s="1"/>
        <n x="67" s="1"/>
        <n x="3" s="1"/>
        <n x="6" s="1"/>
        <n x="68"/>
        <n x="85"/>
        <n x="24"/>
      </t>
    </mdx>
    <mdx n="0" f="v">
      <t c="8">
        <n x="4" s="1"/>
        <n x="7" s="1"/>
        <n x="67" s="1"/>
        <n x="3" s="1"/>
        <n x="6" s="1"/>
        <n x="68"/>
        <n x="85"/>
        <n x="25"/>
      </t>
    </mdx>
    <mdx n="0" f="v">
      <t c="8">
        <n x="4" s="1"/>
        <n x="7" s="1"/>
        <n x="67" s="1"/>
        <n x="3" s="1"/>
        <n x="6" s="1"/>
        <n x="68"/>
        <n x="85"/>
        <n x="26"/>
      </t>
    </mdx>
    <mdx n="0" f="v">
      <t c="8">
        <n x="4" s="1"/>
        <n x="7" s="1"/>
        <n x="67" s="1"/>
        <n x="3" s="1"/>
        <n x="6" s="1"/>
        <n x="68"/>
        <n x="85"/>
        <n x="27"/>
      </t>
    </mdx>
    <mdx n="0" f="v">
      <t c="8">
        <n x="4" s="1"/>
        <n x="7" s="1"/>
        <n x="67" s="1"/>
        <n x="3" s="1"/>
        <n x="6" s="1"/>
        <n x="68"/>
        <n x="85"/>
        <n x="28"/>
      </t>
    </mdx>
    <mdx n="0" f="v">
      <t c="8">
        <n x="4" s="1"/>
        <n x="7" s="1"/>
        <n x="67" s="1"/>
        <n x="3" s="1"/>
        <n x="6" s="1"/>
        <n x="68"/>
        <n x="85"/>
        <n x="29"/>
      </t>
    </mdx>
    <mdx n="0" f="v">
      <t c="8">
        <n x="4" s="1"/>
        <n x="7" s="1"/>
        <n x="67" s="1"/>
        <n x="3" s="1"/>
        <n x="6" s="1"/>
        <n x="68"/>
        <n x="85"/>
        <n x="30"/>
      </t>
    </mdx>
    <mdx n="0" f="v">
      <t c="8">
        <n x="4" s="1"/>
        <n x="7" s="1"/>
        <n x="67" s="1"/>
        <n x="3" s="1"/>
        <n x="6" s="1"/>
        <n x="68"/>
        <n x="85"/>
        <n x="31"/>
      </t>
    </mdx>
    <mdx n="0" f="v">
      <t c="8">
        <n x="4" s="1"/>
        <n x="7" s="1"/>
        <n x="67" s="1"/>
        <n x="3" s="1"/>
        <n x="6" s="1"/>
        <n x="68"/>
        <n x="85"/>
        <n x="32"/>
      </t>
    </mdx>
    <mdx n="0" f="v">
      <t c="8">
        <n x="4" s="1"/>
        <n x="7" s="1"/>
        <n x="67" s="1"/>
        <n x="3" s="1"/>
        <n x="6" s="1"/>
        <n x="68"/>
        <n x="85"/>
        <n x="33"/>
      </t>
    </mdx>
    <mdx n="0" f="v">
      <t c="8">
        <n x="4" s="1"/>
        <n x="7" s="1"/>
        <n x="67" s="1"/>
        <n x="3" s="1"/>
        <n x="6" s="1"/>
        <n x="68"/>
        <n x="85"/>
        <n x="34"/>
      </t>
    </mdx>
    <mdx n="0" f="v">
      <t c="8">
        <n x="4" s="1"/>
        <n x="7" s="1"/>
        <n x="67" s="1"/>
        <n x="3" s="1"/>
        <n x="6" s="1"/>
        <n x="68"/>
        <n x="85"/>
        <n x="35"/>
      </t>
    </mdx>
    <mdx n="0" f="v">
      <t c="8">
        <n x="4" s="1"/>
        <n x="7" s="1"/>
        <n x="67" s="1"/>
        <n x="3" s="1"/>
        <n x="6" s="1"/>
        <n x="68"/>
        <n x="85"/>
        <n x="36"/>
      </t>
    </mdx>
    <mdx n="0" f="v">
      <t c="8">
        <n x="4" s="1"/>
        <n x="7" s="1"/>
        <n x="67" s="1"/>
        <n x="3" s="1"/>
        <n x="6" s="1"/>
        <n x="68"/>
        <n x="85"/>
        <n x="37"/>
      </t>
    </mdx>
    <mdx n="0" f="v">
      <t c="8">
        <n x="4" s="1"/>
        <n x="7" s="1"/>
        <n x="67" s="1"/>
        <n x="3" s="1"/>
        <n x="6" s="1"/>
        <n x="68"/>
        <n x="85"/>
        <n x="38"/>
      </t>
    </mdx>
    <mdx n="0" f="v">
      <t c="8">
        <n x="4" s="1"/>
        <n x="7" s="1"/>
        <n x="67" s="1"/>
        <n x="3" s="1"/>
        <n x="6" s="1"/>
        <n x="68"/>
        <n x="85"/>
        <n x="39"/>
      </t>
    </mdx>
    <mdx n="0" f="v">
      <t c="8">
        <n x="4" s="1"/>
        <n x="7" s="1"/>
        <n x="67" s="1"/>
        <n x="3" s="1"/>
        <n x="6" s="1"/>
        <n x="68"/>
        <n x="85"/>
        <n x="40"/>
      </t>
    </mdx>
    <mdx n="0" f="v">
      <t c="8">
        <n x="4" s="1"/>
        <n x="7" s="1"/>
        <n x="67" s="1"/>
        <n x="3" s="1"/>
        <n x="6" s="1"/>
        <n x="68"/>
        <n x="85"/>
        <n x="41"/>
      </t>
    </mdx>
    <mdx n="0" f="v">
      <t c="8">
        <n x="4" s="1"/>
        <n x="7" s="1"/>
        <n x="67" s="1"/>
        <n x="3" s="1"/>
        <n x="6" s="1"/>
        <n x="68"/>
        <n x="85"/>
        <n x="42"/>
      </t>
    </mdx>
    <mdx n="0" f="v">
      <t c="8">
        <n x="4" s="1"/>
        <n x="7" s="1"/>
        <n x="67" s="1"/>
        <n x="3" s="1"/>
        <n x="6" s="1"/>
        <n x="68"/>
        <n x="85"/>
        <n x="43"/>
      </t>
    </mdx>
    <mdx n="0" f="v">
      <t c="8">
        <n x="4" s="1"/>
        <n x="7" s="1"/>
        <n x="67" s="1"/>
        <n x="3" s="1"/>
        <n x="6" s="1"/>
        <n x="68"/>
        <n x="85"/>
        <n x="44"/>
      </t>
    </mdx>
    <mdx n="0" f="v">
      <t c="8">
        <n x="4" s="1"/>
        <n x="7" s="1"/>
        <n x="67" s="1"/>
        <n x="3" s="1"/>
        <n x="6" s="1"/>
        <n x="68"/>
        <n x="85"/>
        <n x="45"/>
      </t>
    </mdx>
    <mdx n="0" f="v">
      <t c="8">
        <n x="4" s="1"/>
        <n x="7" s="1"/>
        <n x="67" s="1"/>
        <n x="3" s="1"/>
        <n x="6" s="1"/>
        <n x="68"/>
        <n x="85"/>
        <n x="46"/>
      </t>
    </mdx>
    <mdx n="0" f="v">
      <t c="8">
        <n x="4" s="1"/>
        <n x="7" s="1"/>
        <n x="67" s="1"/>
        <n x="3" s="1"/>
        <n x="6" s="1"/>
        <n x="68"/>
        <n x="85"/>
        <n x="47"/>
      </t>
    </mdx>
    <mdx n="0" f="v">
      <t c="8">
        <n x="4" s="1"/>
        <n x="7" s="1"/>
        <n x="67" s="1"/>
        <n x="3" s="1"/>
        <n x="6" s="1"/>
        <n x="68"/>
        <n x="85"/>
        <n x="48"/>
      </t>
    </mdx>
    <mdx n="0" f="v">
      <t c="8">
        <n x="4" s="1"/>
        <n x="7" s="1"/>
        <n x="67" s="1"/>
        <n x="3" s="1"/>
        <n x="6" s="1"/>
        <n x="68"/>
        <n x="85"/>
        <n x="49"/>
      </t>
    </mdx>
    <mdx n="0" f="v">
      <t c="8">
        <n x="4" s="1"/>
        <n x="7" s="1"/>
        <n x="67" s="1"/>
        <n x="3" s="1"/>
        <n x="6" s="1"/>
        <n x="68"/>
        <n x="85"/>
        <n x="50"/>
      </t>
    </mdx>
    <mdx n="0" f="v">
      <t c="8">
        <n x="4" s="1"/>
        <n x="7" s="1"/>
        <n x="67" s="1"/>
        <n x="3" s="1"/>
        <n x="6" s="1"/>
        <n x="68"/>
        <n x="85"/>
        <n x="51"/>
      </t>
    </mdx>
    <mdx n="0" f="v">
      <t c="8">
        <n x="4" s="1"/>
        <n x="7" s="1"/>
        <n x="67" s="1"/>
        <n x="3" s="1"/>
        <n x="6" s="1"/>
        <n x="68"/>
        <n x="85"/>
        <n x="52"/>
      </t>
    </mdx>
    <mdx n="0" f="v">
      <t c="8">
        <n x="4" s="1"/>
        <n x="7" s="1"/>
        <n x="67" s="1"/>
        <n x="3" s="1"/>
        <n x="6" s="1"/>
        <n x="68"/>
        <n x="85"/>
        <n x="53"/>
      </t>
    </mdx>
    <mdx n="0" f="v">
      <t c="8">
        <n x="4" s="1"/>
        <n x="7" s="1"/>
        <n x="67" s="1"/>
        <n x="3" s="1"/>
        <n x="6" s="1"/>
        <n x="68"/>
        <n x="85"/>
        <n x="54"/>
      </t>
    </mdx>
    <mdx n="0" f="v">
      <t c="8">
        <n x="4" s="1"/>
        <n x="7" s="1"/>
        <n x="67" s="1"/>
        <n x="3" s="1"/>
        <n x="6" s="1"/>
        <n x="68"/>
        <n x="85"/>
        <n x="55"/>
      </t>
    </mdx>
    <mdx n="0" f="v">
      <t c="8">
        <n x="4" s="1"/>
        <n x="7" s="1"/>
        <n x="67" s="1"/>
        <n x="3" s="1"/>
        <n x="6" s="1"/>
        <n x="68"/>
        <n x="85"/>
        <n x="56"/>
      </t>
    </mdx>
    <mdx n="0" f="v">
      <t c="8">
        <n x="4" s="1"/>
        <n x="7" s="1"/>
        <n x="67" s="1"/>
        <n x="3" s="1"/>
        <n x="6" s="1"/>
        <n x="68"/>
        <n x="85"/>
        <n x="57"/>
      </t>
    </mdx>
    <mdx n="0" f="v">
      <t c="8">
        <n x="4" s="1"/>
        <n x="7" s="1"/>
        <n x="67" s="1"/>
        <n x="3" s="1"/>
        <n x="6" s="1"/>
        <n x="68"/>
        <n x="85"/>
        <n x="58"/>
      </t>
    </mdx>
    <mdx n="0" f="v">
      <t c="8">
        <n x="4" s="1"/>
        <n x="7" s="1"/>
        <n x="67" s="1"/>
        <n x="3" s="1"/>
        <n x="6" s="1"/>
        <n x="68"/>
        <n x="85"/>
        <n x="59"/>
      </t>
    </mdx>
    <mdx n="0" f="v">
      <t c="8">
        <n x="4" s="1"/>
        <n x="7" s="1"/>
        <n x="67" s="1"/>
        <n x="3" s="1"/>
        <n x="6" s="1"/>
        <n x="68"/>
        <n x="85"/>
        <n x="60"/>
      </t>
    </mdx>
    <mdx n="0" f="v">
      <t c="8">
        <n x="4" s="1"/>
        <n x="7" s="1"/>
        <n x="67" s="1"/>
        <n x="3" s="1"/>
        <n x="6" s="1"/>
        <n x="68"/>
        <n x="85"/>
        <n x="61"/>
      </t>
    </mdx>
    <mdx n="0" f="v">
      <t c="8">
        <n x="4" s="1"/>
        <n x="7" s="1"/>
        <n x="67" s="1"/>
        <n x="3" s="1"/>
        <n x="6" s="1"/>
        <n x="68"/>
        <n x="85"/>
        <n x="62"/>
      </t>
    </mdx>
    <mdx n="0" f="v">
      <t c="8">
        <n x="4" s="1"/>
        <n x="7" s="1"/>
        <n x="67" s="1"/>
        <n x="3" s="1"/>
        <n x="6" s="1"/>
        <n x="68"/>
        <n x="85"/>
        <n x="63"/>
      </t>
    </mdx>
    <mdx n="0" f="v">
      <t c="8">
        <n x="4" s="1"/>
        <n x="7" s="1"/>
        <n x="67" s="1"/>
        <n x="3" s="1"/>
        <n x="6" s="1"/>
        <n x="68"/>
        <n x="85"/>
        <n x="64"/>
      </t>
    </mdx>
    <mdx n="0" f="v">
      <t c="8">
        <n x="4" s="1"/>
        <n x="7" s="1"/>
        <n x="67" s="1"/>
        <n x="3" s="1"/>
        <n x="6" s="1"/>
        <n x="68"/>
        <n x="85"/>
        <n x="65"/>
      </t>
    </mdx>
    <mdx n="0" f="v">
      <t c="8">
        <n x="4" s="1"/>
        <n x="7" s="1"/>
        <n x="67" s="1"/>
        <n x="3" s="1"/>
        <n x="6" s="1"/>
        <n x="68"/>
        <n x="85"/>
        <n x="66"/>
      </t>
    </mdx>
    <mdx n="0" f="m">
      <t c="1">
        <n x="86"/>
      </t>
    </mdx>
    <mdx n="0" f="v">
      <t c="8">
        <n x="4" s="1"/>
        <n x="7" s="1"/>
        <n x="67" s="1"/>
        <n x="3" s="1"/>
        <n x="6" s="1"/>
        <n x="68"/>
        <n x="86"/>
        <n x="8"/>
      </t>
    </mdx>
    <mdx n="0" f="v">
      <t c="8">
        <n x="4" s="1"/>
        <n x="7" s="1"/>
        <n x="67" s="1"/>
        <n x="3" s="1"/>
        <n x="6" s="1"/>
        <n x="68"/>
        <n x="86"/>
        <n x="9"/>
      </t>
    </mdx>
    <mdx n="0" f="v">
      <t c="8">
        <n x="4" s="1"/>
        <n x="7" s="1"/>
        <n x="67" s="1"/>
        <n x="3" s="1"/>
        <n x="6" s="1"/>
        <n x="68"/>
        <n x="86"/>
        <n x="10"/>
      </t>
    </mdx>
    <mdx n="0" f="v">
      <t c="8">
        <n x="4" s="1"/>
        <n x="7" s="1"/>
        <n x="67" s="1"/>
        <n x="3" s="1"/>
        <n x="6" s="1"/>
        <n x="68"/>
        <n x="86"/>
        <n x="11"/>
      </t>
    </mdx>
    <mdx n="0" f="v">
      <t c="8">
        <n x="4" s="1"/>
        <n x="7" s="1"/>
        <n x="67" s="1"/>
        <n x="3" s="1"/>
        <n x="6" s="1"/>
        <n x="68"/>
        <n x="86"/>
        <n x="12"/>
      </t>
    </mdx>
    <mdx n="0" f="v">
      <t c="8">
        <n x="4" s="1"/>
        <n x="7" s="1"/>
        <n x="67" s="1"/>
        <n x="3" s="1"/>
        <n x="6" s="1"/>
        <n x="68"/>
        <n x="86"/>
        <n x="13"/>
      </t>
    </mdx>
    <mdx n="0" f="v">
      <t c="8">
        <n x="4" s="1"/>
        <n x="7" s="1"/>
        <n x="67" s="1"/>
        <n x="3" s="1"/>
        <n x="6" s="1"/>
        <n x="68"/>
        <n x="86"/>
        <n x="14"/>
      </t>
    </mdx>
    <mdx n="0" f="v">
      <t c="8">
        <n x="4" s="1"/>
        <n x="7" s="1"/>
        <n x="67" s="1"/>
        <n x="3" s="1"/>
        <n x="6" s="1"/>
        <n x="68"/>
        <n x="86"/>
        <n x="15"/>
      </t>
    </mdx>
    <mdx n="0" f="v">
      <t c="8">
        <n x="4" s="1"/>
        <n x="7" s="1"/>
        <n x="67" s="1"/>
        <n x="3" s="1"/>
        <n x="6" s="1"/>
        <n x="68"/>
        <n x="86"/>
        <n x="16"/>
      </t>
    </mdx>
    <mdx n="0" f="v">
      <t c="8">
        <n x="4" s="1"/>
        <n x="7" s="1"/>
        <n x="67" s="1"/>
        <n x="3" s="1"/>
        <n x="6" s="1"/>
        <n x="68"/>
        <n x="86"/>
        <n x="17"/>
      </t>
    </mdx>
    <mdx n="0" f="v">
      <t c="8">
        <n x="4" s="1"/>
        <n x="7" s="1"/>
        <n x="67" s="1"/>
        <n x="3" s="1"/>
        <n x="6" s="1"/>
        <n x="68"/>
        <n x="86"/>
        <n x="18"/>
      </t>
    </mdx>
    <mdx n="0" f="v">
      <t c="8">
        <n x="4" s="1"/>
        <n x="7" s="1"/>
        <n x="67" s="1"/>
        <n x="3" s="1"/>
        <n x="6" s="1"/>
        <n x="68"/>
        <n x="86"/>
        <n x="19"/>
      </t>
    </mdx>
    <mdx n="0" f="v">
      <t c="8">
        <n x="4" s="1"/>
        <n x="7" s="1"/>
        <n x="67" s="1"/>
        <n x="3" s="1"/>
        <n x="6" s="1"/>
        <n x="68"/>
        <n x="86"/>
        <n x="20"/>
      </t>
    </mdx>
    <mdx n="0" f="v">
      <t c="8">
        <n x="4" s="1"/>
        <n x="7" s="1"/>
        <n x="67" s="1"/>
        <n x="3" s="1"/>
        <n x="6" s="1"/>
        <n x="68"/>
        <n x="86"/>
        <n x="21"/>
      </t>
    </mdx>
    <mdx n="0" f="v">
      <t c="8">
        <n x="4" s="1"/>
        <n x="7" s="1"/>
        <n x="67" s="1"/>
        <n x="3" s="1"/>
        <n x="6" s="1"/>
        <n x="68"/>
        <n x="86"/>
        <n x="22"/>
      </t>
    </mdx>
    <mdx n="0" f="v">
      <t c="8">
        <n x="4" s="1"/>
        <n x="7" s="1"/>
        <n x="67" s="1"/>
        <n x="3" s="1"/>
        <n x="6" s="1"/>
        <n x="68"/>
        <n x="86"/>
        <n x="23"/>
      </t>
    </mdx>
    <mdx n="0" f="v">
      <t c="8">
        <n x="4" s="1"/>
        <n x="7" s="1"/>
        <n x="67" s="1"/>
        <n x="3" s="1"/>
        <n x="6" s="1"/>
        <n x="68"/>
        <n x="86"/>
        <n x="24"/>
      </t>
    </mdx>
    <mdx n="0" f="v">
      <t c="8">
        <n x="4" s="1"/>
        <n x="7" s="1"/>
        <n x="67" s="1"/>
        <n x="3" s="1"/>
        <n x="6" s="1"/>
        <n x="68"/>
        <n x="86"/>
        <n x="25"/>
      </t>
    </mdx>
    <mdx n="0" f="v">
      <t c="8">
        <n x="4" s="1"/>
        <n x="7" s="1"/>
        <n x="67" s="1"/>
        <n x="3" s="1"/>
        <n x="6" s="1"/>
        <n x="68"/>
        <n x="86"/>
        <n x="26"/>
      </t>
    </mdx>
    <mdx n="0" f="v">
      <t c="8">
        <n x="4" s="1"/>
        <n x="7" s="1"/>
        <n x="67" s="1"/>
        <n x="3" s="1"/>
        <n x="6" s="1"/>
        <n x="68"/>
        <n x="86"/>
        <n x="27"/>
      </t>
    </mdx>
    <mdx n="0" f="v">
      <t c="8">
        <n x="4" s="1"/>
        <n x="7" s="1"/>
        <n x="67" s="1"/>
        <n x="3" s="1"/>
        <n x="6" s="1"/>
        <n x="68"/>
        <n x="86"/>
        <n x="28"/>
      </t>
    </mdx>
    <mdx n="0" f="v">
      <t c="8">
        <n x="4" s="1"/>
        <n x="7" s="1"/>
        <n x="67" s="1"/>
        <n x="3" s="1"/>
        <n x="6" s="1"/>
        <n x="68"/>
        <n x="86"/>
        <n x="29"/>
      </t>
    </mdx>
    <mdx n="0" f="v">
      <t c="8">
        <n x="4" s="1"/>
        <n x="7" s="1"/>
        <n x="67" s="1"/>
        <n x="3" s="1"/>
        <n x="6" s="1"/>
        <n x="68"/>
        <n x="86"/>
        <n x="30"/>
      </t>
    </mdx>
    <mdx n="0" f="v">
      <t c="8">
        <n x="4" s="1"/>
        <n x="7" s="1"/>
        <n x="67" s="1"/>
        <n x="3" s="1"/>
        <n x="6" s="1"/>
        <n x="68"/>
        <n x="86"/>
        <n x="31"/>
      </t>
    </mdx>
    <mdx n="0" f="v">
      <t c="8">
        <n x="4" s="1"/>
        <n x="7" s="1"/>
        <n x="67" s="1"/>
        <n x="3" s="1"/>
        <n x="6" s="1"/>
        <n x="68"/>
        <n x="86"/>
        <n x="32"/>
      </t>
    </mdx>
    <mdx n="0" f="v">
      <t c="8">
        <n x="4" s="1"/>
        <n x="7" s="1"/>
        <n x="67" s="1"/>
        <n x="3" s="1"/>
        <n x="6" s="1"/>
        <n x="68"/>
        <n x="86"/>
        <n x="33"/>
      </t>
    </mdx>
    <mdx n="0" f="v">
      <t c="8">
        <n x="4" s="1"/>
        <n x="7" s="1"/>
        <n x="67" s="1"/>
        <n x="3" s="1"/>
        <n x="6" s="1"/>
        <n x="68"/>
        <n x="86"/>
        <n x="34"/>
      </t>
    </mdx>
    <mdx n="0" f="v">
      <t c="8">
        <n x="4" s="1"/>
        <n x="7" s="1"/>
        <n x="67" s="1"/>
        <n x="3" s="1"/>
        <n x="6" s="1"/>
        <n x="68"/>
        <n x="86"/>
        <n x="35"/>
      </t>
    </mdx>
    <mdx n="0" f="v">
      <t c="8">
        <n x="4" s="1"/>
        <n x="7" s="1"/>
        <n x="67" s="1"/>
        <n x="3" s="1"/>
        <n x="6" s="1"/>
        <n x="68"/>
        <n x="86"/>
        <n x="36"/>
      </t>
    </mdx>
    <mdx n="0" f="v">
      <t c="8">
        <n x="4" s="1"/>
        <n x="7" s="1"/>
        <n x="67" s="1"/>
        <n x="3" s="1"/>
        <n x="6" s="1"/>
        <n x="68"/>
        <n x="86"/>
        <n x="37"/>
      </t>
    </mdx>
    <mdx n="0" f="v">
      <t c="8">
        <n x="4" s="1"/>
        <n x="7" s="1"/>
        <n x="67" s="1"/>
        <n x="3" s="1"/>
        <n x="6" s="1"/>
        <n x="68"/>
        <n x="86"/>
        <n x="38"/>
      </t>
    </mdx>
    <mdx n="0" f="v">
      <t c="8">
        <n x="4" s="1"/>
        <n x="7" s="1"/>
        <n x="67" s="1"/>
        <n x="3" s="1"/>
        <n x="6" s="1"/>
        <n x="68"/>
        <n x="86"/>
        <n x="39"/>
      </t>
    </mdx>
    <mdx n="0" f="v">
      <t c="8">
        <n x="4" s="1"/>
        <n x="7" s="1"/>
        <n x="67" s="1"/>
        <n x="3" s="1"/>
        <n x="6" s="1"/>
        <n x="68"/>
        <n x="86"/>
        <n x="40"/>
      </t>
    </mdx>
    <mdx n="0" f="v">
      <t c="8">
        <n x="4" s="1"/>
        <n x="7" s="1"/>
        <n x="67" s="1"/>
        <n x="3" s="1"/>
        <n x="6" s="1"/>
        <n x="68"/>
        <n x="86"/>
        <n x="41"/>
      </t>
    </mdx>
    <mdx n="0" f="v">
      <t c="8">
        <n x="4" s="1"/>
        <n x="7" s="1"/>
        <n x="67" s="1"/>
        <n x="3" s="1"/>
        <n x="6" s="1"/>
        <n x="68"/>
        <n x="86"/>
        <n x="42"/>
      </t>
    </mdx>
    <mdx n="0" f="v">
      <t c="8">
        <n x="4" s="1"/>
        <n x="7" s="1"/>
        <n x="67" s="1"/>
        <n x="3" s="1"/>
        <n x="6" s="1"/>
        <n x="68"/>
        <n x="86"/>
        <n x="43"/>
      </t>
    </mdx>
    <mdx n="0" f="v">
      <t c="8">
        <n x="4" s="1"/>
        <n x="7" s="1"/>
        <n x="67" s="1"/>
        <n x="3" s="1"/>
        <n x="6" s="1"/>
        <n x="68"/>
        <n x="86"/>
        <n x="44"/>
      </t>
    </mdx>
    <mdx n="0" f="v">
      <t c="8">
        <n x="4" s="1"/>
        <n x="7" s="1"/>
        <n x="67" s="1"/>
        <n x="3" s="1"/>
        <n x="6" s="1"/>
        <n x="68"/>
        <n x="86"/>
        <n x="45"/>
      </t>
    </mdx>
    <mdx n="0" f="v">
      <t c="8">
        <n x="4" s="1"/>
        <n x="7" s="1"/>
        <n x="67" s="1"/>
        <n x="3" s="1"/>
        <n x="6" s="1"/>
        <n x="68"/>
        <n x="86"/>
        <n x="46"/>
      </t>
    </mdx>
    <mdx n="0" f="v">
      <t c="8">
        <n x="4" s="1"/>
        <n x="7" s="1"/>
        <n x="67" s="1"/>
        <n x="3" s="1"/>
        <n x="6" s="1"/>
        <n x="68"/>
        <n x="86"/>
        <n x="47"/>
      </t>
    </mdx>
    <mdx n="0" f="v">
      <t c="8">
        <n x="4" s="1"/>
        <n x="7" s="1"/>
        <n x="67" s="1"/>
        <n x="3" s="1"/>
        <n x="6" s="1"/>
        <n x="68"/>
        <n x="86"/>
        <n x="48"/>
      </t>
    </mdx>
    <mdx n="0" f="v">
      <t c="8">
        <n x="4" s="1"/>
        <n x="7" s="1"/>
        <n x="67" s="1"/>
        <n x="3" s="1"/>
        <n x="6" s="1"/>
        <n x="68"/>
        <n x="86"/>
        <n x="49"/>
      </t>
    </mdx>
    <mdx n="0" f="v">
      <t c="8">
        <n x="4" s="1"/>
        <n x="7" s="1"/>
        <n x="67" s="1"/>
        <n x="3" s="1"/>
        <n x="6" s="1"/>
        <n x="68"/>
        <n x="86"/>
        <n x="50"/>
      </t>
    </mdx>
    <mdx n="0" f="v">
      <t c="8">
        <n x="4" s="1"/>
        <n x="7" s="1"/>
        <n x="67" s="1"/>
        <n x="3" s="1"/>
        <n x="6" s="1"/>
        <n x="68"/>
        <n x="86"/>
        <n x="51"/>
      </t>
    </mdx>
    <mdx n="0" f="v">
      <t c="8">
        <n x="4" s="1"/>
        <n x="7" s="1"/>
        <n x="67" s="1"/>
        <n x="3" s="1"/>
        <n x="6" s="1"/>
        <n x="68"/>
        <n x="86"/>
        <n x="52"/>
      </t>
    </mdx>
    <mdx n="0" f="v">
      <t c="8">
        <n x="4" s="1"/>
        <n x="7" s="1"/>
        <n x="67" s="1"/>
        <n x="3" s="1"/>
        <n x="6" s="1"/>
        <n x="68"/>
        <n x="86"/>
        <n x="53"/>
      </t>
    </mdx>
    <mdx n="0" f="v">
      <t c="8">
        <n x="4" s="1"/>
        <n x="7" s="1"/>
        <n x="67" s="1"/>
        <n x="3" s="1"/>
        <n x="6" s="1"/>
        <n x="68"/>
        <n x="86"/>
        <n x="54"/>
      </t>
    </mdx>
    <mdx n="0" f="v">
      <t c="8">
        <n x="4" s="1"/>
        <n x="7" s="1"/>
        <n x="67" s="1"/>
        <n x="3" s="1"/>
        <n x="6" s="1"/>
        <n x="68"/>
        <n x="86"/>
        <n x="55"/>
      </t>
    </mdx>
    <mdx n="0" f="v">
      <t c="8">
        <n x="4" s="1"/>
        <n x="7" s="1"/>
        <n x="67" s="1"/>
        <n x="3" s="1"/>
        <n x="6" s="1"/>
        <n x="68"/>
        <n x="86"/>
        <n x="56"/>
      </t>
    </mdx>
    <mdx n="0" f="v">
      <t c="8">
        <n x="4" s="1"/>
        <n x="7" s="1"/>
        <n x="67" s="1"/>
        <n x="3" s="1"/>
        <n x="6" s="1"/>
        <n x="68"/>
        <n x="86"/>
        <n x="57"/>
      </t>
    </mdx>
    <mdx n="0" f="v">
      <t c="8">
        <n x="4" s="1"/>
        <n x="7" s="1"/>
        <n x="67" s="1"/>
        <n x="3" s="1"/>
        <n x="6" s="1"/>
        <n x="68"/>
        <n x="86"/>
        <n x="58"/>
      </t>
    </mdx>
    <mdx n="0" f="v">
      <t c="8">
        <n x="4" s="1"/>
        <n x="7" s="1"/>
        <n x="67" s="1"/>
        <n x="3" s="1"/>
        <n x="6" s="1"/>
        <n x="68"/>
        <n x="86"/>
        <n x="59"/>
      </t>
    </mdx>
    <mdx n="0" f="v">
      <t c="8">
        <n x="4" s="1"/>
        <n x="7" s="1"/>
        <n x="67" s="1"/>
        <n x="3" s="1"/>
        <n x="6" s="1"/>
        <n x="68"/>
        <n x="86"/>
        <n x="60"/>
      </t>
    </mdx>
    <mdx n="0" f="v">
      <t c="8">
        <n x="4" s="1"/>
        <n x="7" s="1"/>
        <n x="67" s="1"/>
        <n x="3" s="1"/>
        <n x="6" s="1"/>
        <n x="68"/>
        <n x="86"/>
        <n x="61"/>
      </t>
    </mdx>
    <mdx n="0" f="v">
      <t c="8">
        <n x="4" s="1"/>
        <n x="7" s="1"/>
        <n x="67" s="1"/>
        <n x="3" s="1"/>
        <n x="6" s="1"/>
        <n x="68"/>
        <n x="86"/>
        <n x="62"/>
      </t>
    </mdx>
    <mdx n="0" f="v">
      <t c="8">
        <n x="4" s="1"/>
        <n x="7" s="1"/>
        <n x="67" s="1"/>
        <n x="3" s="1"/>
        <n x="6" s="1"/>
        <n x="68"/>
        <n x="86"/>
        <n x="63"/>
      </t>
    </mdx>
    <mdx n="0" f="v">
      <t c="8">
        <n x="4" s="1"/>
        <n x="7" s="1"/>
        <n x="67" s="1"/>
        <n x="3" s="1"/>
        <n x="6" s="1"/>
        <n x="68"/>
        <n x="86"/>
        <n x="64"/>
      </t>
    </mdx>
    <mdx n="0" f="v">
      <t c="8">
        <n x="4" s="1"/>
        <n x="7" s="1"/>
        <n x="67" s="1"/>
        <n x="3" s="1"/>
        <n x="6" s="1"/>
        <n x="68"/>
        <n x="86"/>
        <n x="65"/>
      </t>
    </mdx>
    <mdx n="0" f="v">
      <t c="8">
        <n x="4" s="1"/>
        <n x="7" s="1"/>
        <n x="67" s="1"/>
        <n x="3" s="1"/>
        <n x="6" s="1"/>
        <n x="68"/>
        <n x="86"/>
        <n x="66"/>
      </t>
    </mdx>
    <mdx n="0" f="m">
      <t c="1">
        <n x="87"/>
      </t>
    </mdx>
    <mdx n="0" f="v">
      <t c="8">
        <n x="4" s="1"/>
        <n x="7" s="1"/>
        <n x="67" s="1"/>
        <n x="3" s="1"/>
        <n x="6" s="1"/>
        <n x="68"/>
        <n x="87"/>
        <n x="8"/>
      </t>
    </mdx>
    <mdx n="0" f="v">
      <t c="8">
        <n x="4" s="1"/>
        <n x="7" s="1"/>
        <n x="67" s="1"/>
        <n x="3" s="1"/>
        <n x="6" s="1"/>
        <n x="68"/>
        <n x="87"/>
        <n x="9"/>
      </t>
    </mdx>
    <mdx n="0" f="v">
      <t c="8">
        <n x="4" s="1"/>
        <n x="7" s="1"/>
        <n x="67" s="1"/>
        <n x="3" s="1"/>
        <n x="6" s="1"/>
        <n x="68"/>
        <n x="87"/>
        <n x="10"/>
      </t>
    </mdx>
    <mdx n="0" f="v">
      <t c="8">
        <n x="4" s="1"/>
        <n x="7" s="1"/>
        <n x="67" s="1"/>
        <n x="3" s="1"/>
        <n x="6" s="1"/>
        <n x="68"/>
        <n x="87"/>
        <n x="11"/>
      </t>
    </mdx>
    <mdx n="0" f="v">
      <t c="8">
        <n x="4" s="1"/>
        <n x="7" s="1"/>
        <n x="67" s="1"/>
        <n x="3" s="1"/>
        <n x="6" s="1"/>
        <n x="68"/>
        <n x="87"/>
        <n x="12"/>
      </t>
    </mdx>
    <mdx n="0" f="v">
      <t c="8">
        <n x="4" s="1"/>
        <n x="7" s="1"/>
        <n x="67" s="1"/>
        <n x="3" s="1"/>
        <n x="6" s="1"/>
        <n x="68"/>
        <n x="87"/>
        <n x="13"/>
      </t>
    </mdx>
    <mdx n="0" f="v">
      <t c="8">
        <n x="4" s="1"/>
        <n x="7" s="1"/>
        <n x="67" s="1"/>
        <n x="3" s="1"/>
        <n x="6" s="1"/>
        <n x="68"/>
        <n x="87"/>
        <n x="14"/>
      </t>
    </mdx>
    <mdx n="0" f="v">
      <t c="8">
        <n x="4" s="1"/>
        <n x="7" s="1"/>
        <n x="67" s="1"/>
        <n x="3" s="1"/>
        <n x="6" s="1"/>
        <n x="68"/>
        <n x="87"/>
        <n x="15"/>
      </t>
    </mdx>
    <mdx n="0" f="v">
      <t c="8">
        <n x="4" s="1"/>
        <n x="7" s="1"/>
        <n x="67" s="1"/>
        <n x="3" s="1"/>
        <n x="6" s="1"/>
        <n x="68"/>
        <n x="87"/>
        <n x="16"/>
      </t>
    </mdx>
    <mdx n="0" f="v">
      <t c="8">
        <n x="4" s="1"/>
        <n x="7" s="1"/>
        <n x="67" s="1"/>
        <n x="3" s="1"/>
        <n x="6" s="1"/>
        <n x="68"/>
        <n x="87"/>
        <n x="17"/>
      </t>
    </mdx>
    <mdx n="0" f="v">
      <t c="8">
        <n x="4" s="1"/>
        <n x="7" s="1"/>
        <n x="67" s="1"/>
        <n x="3" s="1"/>
        <n x="6" s="1"/>
        <n x="68"/>
        <n x="87"/>
        <n x="18"/>
      </t>
    </mdx>
    <mdx n="0" f="v">
      <t c="8">
        <n x="4" s="1"/>
        <n x="7" s="1"/>
        <n x="67" s="1"/>
        <n x="3" s="1"/>
        <n x="6" s="1"/>
        <n x="68"/>
        <n x="87"/>
        <n x="19"/>
      </t>
    </mdx>
    <mdx n="0" f="v">
      <t c="8">
        <n x="4" s="1"/>
        <n x="7" s="1"/>
        <n x="67" s="1"/>
        <n x="3" s="1"/>
        <n x="6" s="1"/>
        <n x="68"/>
        <n x="87"/>
        <n x="20"/>
      </t>
    </mdx>
    <mdx n="0" f="v">
      <t c="8">
        <n x="4" s="1"/>
        <n x="7" s="1"/>
        <n x="67" s="1"/>
        <n x="3" s="1"/>
        <n x="6" s="1"/>
        <n x="68"/>
        <n x="87"/>
        <n x="21"/>
      </t>
    </mdx>
    <mdx n="0" f="v">
      <t c="8">
        <n x="4" s="1"/>
        <n x="7" s="1"/>
        <n x="67" s="1"/>
        <n x="3" s="1"/>
        <n x="6" s="1"/>
        <n x="68"/>
        <n x="87"/>
        <n x="22"/>
      </t>
    </mdx>
    <mdx n="0" f="v">
      <t c="8">
        <n x="4" s="1"/>
        <n x="7" s="1"/>
        <n x="67" s="1"/>
        <n x="3" s="1"/>
        <n x="6" s="1"/>
        <n x="68"/>
        <n x="87"/>
        <n x="23"/>
      </t>
    </mdx>
    <mdx n="0" f="v">
      <t c="8">
        <n x="4" s="1"/>
        <n x="7" s="1"/>
        <n x="67" s="1"/>
        <n x="3" s="1"/>
        <n x="6" s="1"/>
        <n x="68"/>
        <n x="87"/>
        <n x="24"/>
      </t>
    </mdx>
    <mdx n="0" f="v">
      <t c="8">
        <n x="4" s="1"/>
        <n x="7" s="1"/>
        <n x="67" s="1"/>
        <n x="3" s="1"/>
        <n x="6" s="1"/>
        <n x="68"/>
        <n x="87"/>
        <n x="25"/>
      </t>
    </mdx>
    <mdx n="0" f="v">
      <t c="8">
        <n x="4" s="1"/>
        <n x="7" s="1"/>
        <n x="67" s="1"/>
        <n x="3" s="1"/>
        <n x="6" s="1"/>
        <n x="68"/>
        <n x="87"/>
        <n x="26"/>
      </t>
    </mdx>
    <mdx n="0" f="v">
      <t c="8">
        <n x="4" s="1"/>
        <n x="7" s="1"/>
        <n x="67" s="1"/>
        <n x="3" s="1"/>
        <n x="6" s="1"/>
        <n x="68"/>
        <n x="87"/>
        <n x="27"/>
      </t>
    </mdx>
    <mdx n="0" f="v">
      <t c="8">
        <n x="4" s="1"/>
        <n x="7" s="1"/>
        <n x="67" s="1"/>
        <n x="3" s="1"/>
        <n x="6" s="1"/>
        <n x="68"/>
        <n x="87"/>
        <n x="28"/>
      </t>
    </mdx>
    <mdx n="0" f="v">
      <t c="8">
        <n x="4" s="1"/>
        <n x="7" s="1"/>
        <n x="67" s="1"/>
        <n x="3" s="1"/>
        <n x="6" s="1"/>
        <n x="68"/>
        <n x="87"/>
        <n x="29"/>
      </t>
    </mdx>
    <mdx n="0" f="v">
      <t c="8">
        <n x="4" s="1"/>
        <n x="7" s="1"/>
        <n x="67" s="1"/>
        <n x="3" s="1"/>
        <n x="6" s="1"/>
        <n x="68"/>
        <n x="87"/>
        <n x="30"/>
      </t>
    </mdx>
    <mdx n="0" f="v">
      <t c="8">
        <n x="4" s="1"/>
        <n x="7" s="1"/>
        <n x="67" s="1"/>
        <n x="3" s="1"/>
        <n x="6" s="1"/>
        <n x="68"/>
        <n x="87"/>
        <n x="31"/>
      </t>
    </mdx>
    <mdx n="0" f="v">
      <t c="8">
        <n x="4" s="1"/>
        <n x="7" s="1"/>
        <n x="67" s="1"/>
        <n x="3" s="1"/>
        <n x="6" s="1"/>
        <n x="68"/>
        <n x="87"/>
        <n x="32"/>
      </t>
    </mdx>
    <mdx n="0" f="v">
      <t c="8">
        <n x="4" s="1"/>
        <n x="7" s="1"/>
        <n x="67" s="1"/>
        <n x="3" s="1"/>
        <n x="6" s="1"/>
        <n x="68"/>
        <n x="87"/>
        <n x="33"/>
      </t>
    </mdx>
    <mdx n="0" f="v">
      <t c="8">
        <n x="4" s="1"/>
        <n x="7" s="1"/>
        <n x="67" s="1"/>
        <n x="3" s="1"/>
        <n x="6" s="1"/>
        <n x="68"/>
        <n x="87"/>
        <n x="34"/>
      </t>
    </mdx>
    <mdx n="0" f="v">
      <t c="8">
        <n x="4" s="1"/>
        <n x="7" s="1"/>
        <n x="67" s="1"/>
        <n x="3" s="1"/>
        <n x="6" s="1"/>
        <n x="68"/>
        <n x="87"/>
        <n x="35"/>
      </t>
    </mdx>
    <mdx n="0" f="v">
      <t c="8">
        <n x="4" s="1"/>
        <n x="7" s="1"/>
        <n x="67" s="1"/>
        <n x="3" s="1"/>
        <n x="6" s="1"/>
        <n x="68"/>
        <n x="87"/>
        <n x="36"/>
      </t>
    </mdx>
    <mdx n="0" f="v">
      <t c="8">
        <n x="4" s="1"/>
        <n x="7" s="1"/>
        <n x="67" s="1"/>
        <n x="3" s="1"/>
        <n x="6" s="1"/>
        <n x="68"/>
        <n x="87"/>
        <n x="37"/>
      </t>
    </mdx>
    <mdx n="0" f="v">
      <t c="8">
        <n x="4" s="1"/>
        <n x="7" s="1"/>
        <n x="67" s="1"/>
        <n x="3" s="1"/>
        <n x="6" s="1"/>
        <n x="68"/>
        <n x="87"/>
        <n x="38"/>
      </t>
    </mdx>
    <mdx n="0" f="v">
      <t c="8">
        <n x="4" s="1"/>
        <n x="7" s="1"/>
        <n x="67" s="1"/>
        <n x="3" s="1"/>
        <n x="6" s="1"/>
        <n x="68"/>
        <n x="87"/>
        <n x="39"/>
      </t>
    </mdx>
    <mdx n="0" f="v">
      <t c="8">
        <n x="4" s="1"/>
        <n x="7" s="1"/>
        <n x="67" s="1"/>
        <n x="3" s="1"/>
        <n x="6" s="1"/>
        <n x="68"/>
        <n x="87"/>
        <n x="40"/>
      </t>
    </mdx>
    <mdx n="0" f="v">
      <t c="8">
        <n x="4" s="1"/>
        <n x="7" s="1"/>
        <n x="67" s="1"/>
        <n x="3" s="1"/>
        <n x="6" s="1"/>
        <n x="68"/>
        <n x="87"/>
        <n x="41"/>
      </t>
    </mdx>
    <mdx n="0" f="v">
      <t c="8">
        <n x="4" s="1"/>
        <n x="7" s="1"/>
        <n x="67" s="1"/>
        <n x="3" s="1"/>
        <n x="6" s="1"/>
        <n x="68"/>
        <n x="87"/>
        <n x="42"/>
      </t>
    </mdx>
    <mdx n="0" f="v">
      <t c="8">
        <n x="4" s="1"/>
        <n x="7" s="1"/>
        <n x="67" s="1"/>
        <n x="3" s="1"/>
        <n x="6" s="1"/>
        <n x="68"/>
        <n x="87"/>
        <n x="43"/>
      </t>
    </mdx>
    <mdx n="0" f="v">
      <t c="8">
        <n x="4" s="1"/>
        <n x="7" s="1"/>
        <n x="67" s="1"/>
        <n x="3" s="1"/>
        <n x="6" s="1"/>
        <n x="68"/>
        <n x="87"/>
        <n x="44"/>
      </t>
    </mdx>
    <mdx n="0" f="v">
      <t c="8">
        <n x="4" s="1"/>
        <n x="7" s="1"/>
        <n x="67" s="1"/>
        <n x="3" s="1"/>
        <n x="6" s="1"/>
        <n x="68"/>
        <n x="87"/>
        <n x="45"/>
      </t>
    </mdx>
    <mdx n="0" f="v">
      <t c="8">
        <n x="4" s="1"/>
        <n x="7" s="1"/>
        <n x="67" s="1"/>
        <n x="3" s="1"/>
        <n x="6" s="1"/>
        <n x="68"/>
        <n x="87"/>
        <n x="46"/>
      </t>
    </mdx>
    <mdx n="0" f="v">
      <t c="8">
        <n x="4" s="1"/>
        <n x="7" s="1"/>
        <n x="67" s="1"/>
        <n x="3" s="1"/>
        <n x="6" s="1"/>
        <n x="68"/>
        <n x="87"/>
        <n x="47"/>
      </t>
    </mdx>
    <mdx n="0" f="v">
      <t c="8">
        <n x="4" s="1"/>
        <n x="7" s="1"/>
        <n x="67" s="1"/>
        <n x="3" s="1"/>
        <n x="6" s="1"/>
        <n x="68"/>
        <n x="87"/>
        <n x="48"/>
      </t>
    </mdx>
    <mdx n="0" f="v">
      <t c="8">
        <n x="4" s="1"/>
        <n x="7" s="1"/>
        <n x="67" s="1"/>
        <n x="3" s="1"/>
        <n x="6" s="1"/>
        <n x="68"/>
        <n x="87"/>
        <n x="49"/>
      </t>
    </mdx>
    <mdx n="0" f="v">
      <t c="8">
        <n x="4" s="1"/>
        <n x="7" s="1"/>
        <n x="67" s="1"/>
        <n x="3" s="1"/>
        <n x="6" s="1"/>
        <n x="68"/>
        <n x="87"/>
        <n x="50"/>
      </t>
    </mdx>
    <mdx n="0" f="v">
      <t c="8">
        <n x="4" s="1"/>
        <n x="7" s="1"/>
        <n x="67" s="1"/>
        <n x="3" s="1"/>
        <n x="6" s="1"/>
        <n x="68"/>
        <n x="87"/>
        <n x="51"/>
      </t>
    </mdx>
    <mdx n="0" f="v">
      <t c="8">
        <n x="4" s="1"/>
        <n x="7" s="1"/>
        <n x="67" s="1"/>
        <n x="3" s="1"/>
        <n x="6" s="1"/>
        <n x="68"/>
        <n x="87"/>
        <n x="52"/>
      </t>
    </mdx>
    <mdx n="0" f="v">
      <t c="8">
        <n x="4" s="1"/>
        <n x="7" s="1"/>
        <n x="67" s="1"/>
        <n x="3" s="1"/>
        <n x="6" s="1"/>
        <n x="68"/>
        <n x="87"/>
        <n x="53"/>
      </t>
    </mdx>
    <mdx n="0" f="v">
      <t c="8">
        <n x="4" s="1"/>
        <n x="7" s="1"/>
        <n x="67" s="1"/>
        <n x="3" s="1"/>
        <n x="6" s="1"/>
        <n x="68"/>
        <n x="87"/>
        <n x="54"/>
      </t>
    </mdx>
    <mdx n="0" f="v">
      <t c="8">
        <n x="4" s="1"/>
        <n x="7" s="1"/>
        <n x="67" s="1"/>
        <n x="3" s="1"/>
        <n x="6" s="1"/>
        <n x="68"/>
        <n x="87"/>
        <n x="55"/>
      </t>
    </mdx>
    <mdx n="0" f="v">
      <t c="8">
        <n x="4" s="1"/>
        <n x="7" s="1"/>
        <n x="67" s="1"/>
        <n x="3" s="1"/>
        <n x="6" s="1"/>
        <n x="68"/>
        <n x="87"/>
        <n x="56"/>
      </t>
    </mdx>
    <mdx n="0" f="v">
      <t c="8">
        <n x="4" s="1"/>
        <n x="7" s="1"/>
        <n x="67" s="1"/>
        <n x="3" s="1"/>
        <n x="6" s="1"/>
        <n x="68"/>
        <n x="87"/>
        <n x="57"/>
      </t>
    </mdx>
    <mdx n="0" f="v">
      <t c="8">
        <n x="4" s="1"/>
        <n x="7" s="1"/>
        <n x="67" s="1"/>
        <n x="3" s="1"/>
        <n x="6" s="1"/>
        <n x="68"/>
        <n x="87"/>
        <n x="58"/>
      </t>
    </mdx>
    <mdx n="0" f="v">
      <t c="8">
        <n x="4" s="1"/>
        <n x="7" s="1"/>
        <n x="67" s="1"/>
        <n x="3" s="1"/>
        <n x="6" s="1"/>
        <n x="68"/>
        <n x="87"/>
        <n x="59"/>
      </t>
    </mdx>
    <mdx n="0" f="v">
      <t c="8">
        <n x="4" s="1"/>
        <n x="7" s="1"/>
        <n x="67" s="1"/>
        <n x="3" s="1"/>
        <n x="6" s="1"/>
        <n x="68"/>
        <n x="87"/>
        <n x="60"/>
      </t>
    </mdx>
    <mdx n="0" f="v">
      <t c="8">
        <n x="4" s="1"/>
        <n x="7" s="1"/>
        <n x="67" s="1"/>
        <n x="3" s="1"/>
        <n x="6" s="1"/>
        <n x="68"/>
        <n x="87"/>
        <n x="61"/>
      </t>
    </mdx>
    <mdx n="0" f="v">
      <t c="8">
        <n x="4" s="1"/>
        <n x="7" s="1"/>
        <n x="67" s="1"/>
        <n x="3" s="1"/>
        <n x="6" s="1"/>
        <n x="68"/>
        <n x="87"/>
        <n x="62"/>
      </t>
    </mdx>
    <mdx n="0" f="v">
      <t c="8">
        <n x="4" s="1"/>
        <n x="7" s="1"/>
        <n x="67" s="1"/>
        <n x="3" s="1"/>
        <n x="6" s="1"/>
        <n x="68"/>
        <n x="87"/>
        <n x="63"/>
      </t>
    </mdx>
    <mdx n="0" f="v">
      <t c="8">
        <n x="4" s="1"/>
        <n x="7" s="1"/>
        <n x="67" s="1"/>
        <n x="3" s="1"/>
        <n x="6" s="1"/>
        <n x="68"/>
        <n x="87"/>
        <n x="64"/>
      </t>
    </mdx>
    <mdx n="0" f="v">
      <t c="8">
        <n x="4" s="1"/>
        <n x="7" s="1"/>
        <n x="67" s="1"/>
        <n x="3" s="1"/>
        <n x="6" s="1"/>
        <n x="68"/>
        <n x="87"/>
        <n x="65"/>
      </t>
    </mdx>
    <mdx n="0" f="v">
      <t c="8">
        <n x="4" s="1"/>
        <n x="7" s="1"/>
        <n x="67" s="1"/>
        <n x="3" s="1"/>
        <n x="6" s="1"/>
        <n x="68"/>
        <n x="87"/>
        <n x="66"/>
      </t>
    </mdx>
    <mdx n="0" f="m">
      <t c="1">
        <n x="88"/>
      </t>
    </mdx>
    <mdx n="0" f="v">
      <t c="8">
        <n x="4" s="1"/>
        <n x="7" s="1"/>
        <n x="67" s="1"/>
        <n x="3" s="1"/>
        <n x="6" s="1"/>
        <n x="68"/>
        <n x="88"/>
        <n x="8"/>
      </t>
    </mdx>
    <mdx n="0" f="v">
      <t c="8">
        <n x="4" s="1"/>
        <n x="7" s="1"/>
        <n x="67" s="1"/>
        <n x="3" s="1"/>
        <n x="6" s="1"/>
        <n x="68"/>
        <n x="88"/>
        <n x="9"/>
      </t>
    </mdx>
    <mdx n="0" f="v">
      <t c="8">
        <n x="4" s="1"/>
        <n x="7" s="1"/>
        <n x="67" s="1"/>
        <n x="3" s="1"/>
        <n x="6" s="1"/>
        <n x="68"/>
        <n x="88"/>
        <n x="10"/>
      </t>
    </mdx>
    <mdx n="0" f="v">
      <t c="8">
        <n x="4" s="1"/>
        <n x="7" s="1"/>
        <n x="67" s="1"/>
        <n x="3" s="1"/>
        <n x="6" s="1"/>
        <n x="68"/>
        <n x="88"/>
        <n x="11"/>
      </t>
    </mdx>
    <mdx n="0" f="v">
      <t c="8">
        <n x="4" s="1"/>
        <n x="7" s="1"/>
        <n x="67" s="1"/>
        <n x="3" s="1"/>
        <n x="6" s="1"/>
        <n x="68"/>
        <n x="88"/>
        <n x="12"/>
      </t>
    </mdx>
    <mdx n="0" f="v">
      <t c="8">
        <n x="4" s="1"/>
        <n x="7" s="1"/>
        <n x="67" s="1"/>
        <n x="3" s="1"/>
        <n x="6" s="1"/>
        <n x="68"/>
        <n x="88"/>
        <n x="13"/>
      </t>
    </mdx>
    <mdx n="0" f="v">
      <t c="8">
        <n x="4" s="1"/>
        <n x="7" s="1"/>
        <n x="67" s="1"/>
        <n x="3" s="1"/>
        <n x="6" s="1"/>
        <n x="68"/>
        <n x="88"/>
        <n x="14"/>
      </t>
    </mdx>
    <mdx n="0" f="v">
      <t c="8">
        <n x="4" s="1"/>
        <n x="7" s="1"/>
        <n x="67" s="1"/>
        <n x="3" s="1"/>
        <n x="6" s="1"/>
        <n x="68"/>
        <n x="88"/>
        <n x="15"/>
      </t>
    </mdx>
    <mdx n="0" f="v">
      <t c="8">
        <n x="4" s="1"/>
        <n x="7" s="1"/>
        <n x="67" s="1"/>
        <n x="3" s="1"/>
        <n x="6" s="1"/>
        <n x="68"/>
        <n x="88"/>
        <n x="16"/>
      </t>
    </mdx>
    <mdx n="0" f="v">
      <t c="8">
        <n x="4" s="1"/>
        <n x="7" s="1"/>
        <n x="67" s="1"/>
        <n x="3" s="1"/>
        <n x="6" s="1"/>
        <n x="68"/>
        <n x="88"/>
        <n x="17"/>
      </t>
    </mdx>
    <mdx n="0" f="v">
      <t c="8">
        <n x="4" s="1"/>
        <n x="7" s="1"/>
        <n x="67" s="1"/>
        <n x="3" s="1"/>
        <n x="6" s="1"/>
        <n x="68"/>
        <n x="88"/>
        <n x="18"/>
      </t>
    </mdx>
    <mdx n="0" f="v">
      <t c="8">
        <n x="4" s="1"/>
        <n x="7" s="1"/>
        <n x="67" s="1"/>
        <n x="3" s="1"/>
        <n x="6" s="1"/>
        <n x="68"/>
        <n x="88"/>
        <n x="19"/>
      </t>
    </mdx>
    <mdx n="0" f="v">
      <t c="8">
        <n x="4" s="1"/>
        <n x="7" s="1"/>
        <n x="67" s="1"/>
        <n x="3" s="1"/>
        <n x="6" s="1"/>
        <n x="68"/>
        <n x="88"/>
        <n x="20"/>
      </t>
    </mdx>
    <mdx n="0" f="v">
      <t c="8">
        <n x="4" s="1"/>
        <n x="7" s="1"/>
        <n x="67" s="1"/>
        <n x="3" s="1"/>
        <n x="6" s="1"/>
        <n x="68"/>
        <n x="88"/>
        <n x="21"/>
      </t>
    </mdx>
    <mdx n="0" f="v">
      <t c="8">
        <n x="4" s="1"/>
        <n x="7" s="1"/>
        <n x="67" s="1"/>
        <n x="3" s="1"/>
        <n x="6" s="1"/>
        <n x="68"/>
        <n x="88"/>
        <n x="22"/>
      </t>
    </mdx>
    <mdx n="0" f="v">
      <t c="8">
        <n x="4" s="1"/>
        <n x="7" s="1"/>
        <n x="67" s="1"/>
        <n x="3" s="1"/>
        <n x="6" s="1"/>
        <n x="68"/>
        <n x="88"/>
        <n x="23"/>
      </t>
    </mdx>
    <mdx n="0" f="v">
      <t c="8">
        <n x="4" s="1"/>
        <n x="7" s="1"/>
        <n x="67" s="1"/>
        <n x="3" s="1"/>
        <n x="6" s="1"/>
        <n x="68"/>
        <n x="88"/>
        <n x="24"/>
      </t>
    </mdx>
    <mdx n="0" f="v">
      <t c="8">
        <n x="4" s="1"/>
        <n x="7" s="1"/>
        <n x="67" s="1"/>
        <n x="3" s="1"/>
        <n x="6" s="1"/>
        <n x="68"/>
        <n x="88"/>
        <n x="25"/>
      </t>
    </mdx>
    <mdx n="0" f="v">
      <t c="8">
        <n x="4" s="1"/>
        <n x="7" s="1"/>
        <n x="67" s="1"/>
        <n x="3" s="1"/>
        <n x="6" s="1"/>
        <n x="68"/>
        <n x="88"/>
        <n x="26"/>
      </t>
    </mdx>
    <mdx n="0" f="v">
      <t c="8">
        <n x="4" s="1"/>
        <n x="7" s="1"/>
        <n x="67" s="1"/>
        <n x="3" s="1"/>
        <n x="6" s="1"/>
        <n x="68"/>
        <n x="88"/>
        <n x="27"/>
      </t>
    </mdx>
    <mdx n="0" f="v">
      <t c="8">
        <n x="4" s="1"/>
        <n x="7" s="1"/>
        <n x="67" s="1"/>
        <n x="3" s="1"/>
        <n x="6" s="1"/>
        <n x="68"/>
        <n x="88"/>
        <n x="28"/>
      </t>
    </mdx>
    <mdx n="0" f="v">
      <t c="8">
        <n x="4" s="1"/>
        <n x="7" s="1"/>
        <n x="67" s="1"/>
        <n x="3" s="1"/>
        <n x="6" s="1"/>
        <n x="68"/>
        <n x="88"/>
        <n x="29"/>
      </t>
    </mdx>
    <mdx n="0" f="v">
      <t c="8">
        <n x="4" s="1"/>
        <n x="7" s="1"/>
        <n x="67" s="1"/>
        <n x="3" s="1"/>
        <n x="6" s="1"/>
        <n x="68"/>
        <n x="88"/>
        <n x="30"/>
      </t>
    </mdx>
    <mdx n="0" f="v">
      <t c="8">
        <n x="4" s="1"/>
        <n x="7" s="1"/>
        <n x="67" s="1"/>
        <n x="3" s="1"/>
        <n x="6" s="1"/>
        <n x="68"/>
        <n x="88"/>
        <n x="31"/>
      </t>
    </mdx>
    <mdx n="0" f="v">
      <t c="8">
        <n x="4" s="1"/>
        <n x="7" s="1"/>
        <n x="67" s="1"/>
        <n x="3" s="1"/>
        <n x="6" s="1"/>
        <n x="68"/>
        <n x="88"/>
        <n x="32"/>
      </t>
    </mdx>
    <mdx n="0" f="v">
      <t c="8">
        <n x="4" s="1"/>
        <n x="7" s="1"/>
        <n x="67" s="1"/>
        <n x="3" s="1"/>
        <n x="6" s="1"/>
        <n x="68"/>
        <n x="88"/>
        <n x="33"/>
      </t>
    </mdx>
    <mdx n="0" f="v">
      <t c="8">
        <n x="4" s="1"/>
        <n x="7" s="1"/>
        <n x="67" s="1"/>
        <n x="3" s="1"/>
        <n x="6" s="1"/>
        <n x="68"/>
        <n x="88"/>
        <n x="34"/>
      </t>
    </mdx>
    <mdx n="0" f="v">
      <t c="8">
        <n x="4" s="1"/>
        <n x="7" s="1"/>
        <n x="67" s="1"/>
        <n x="3" s="1"/>
        <n x="6" s="1"/>
        <n x="68"/>
        <n x="88"/>
        <n x="35"/>
      </t>
    </mdx>
    <mdx n="0" f="v">
      <t c="8">
        <n x="4" s="1"/>
        <n x="7" s="1"/>
        <n x="67" s="1"/>
        <n x="3" s="1"/>
        <n x="6" s="1"/>
        <n x="68"/>
        <n x="88"/>
        <n x="36"/>
      </t>
    </mdx>
    <mdx n="0" f="v">
      <t c="8">
        <n x="4" s="1"/>
        <n x="7" s="1"/>
        <n x="67" s="1"/>
        <n x="3" s="1"/>
        <n x="6" s="1"/>
        <n x="68"/>
        <n x="88"/>
        <n x="37"/>
      </t>
    </mdx>
    <mdx n="0" f="v">
      <t c="8">
        <n x="4" s="1"/>
        <n x="7" s="1"/>
        <n x="67" s="1"/>
        <n x="3" s="1"/>
        <n x="6" s="1"/>
        <n x="68"/>
        <n x="88"/>
        <n x="38"/>
      </t>
    </mdx>
    <mdx n="0" f="v">
      <t c="8">
        <n x="4" s="1"/>
        <n x="7" s="1"/>
        <n x="67" s="1"/>
        <n x="3" s="1"/>
        <n x="6" s="1"/>
        <n x="68"/>
        <n x="88"/>
        <n x="39"/>
      </t>
    </mdx>
    <mdx n="0" f="v">
      <t c="8">
        <n x="4" s="1"/>
        <n x="7" s="1"/>
        <n x="67" s="1"/>
        <n x="3" s="1"/>
        <n x="6" s="1"/>
        <n x="68"/>
        <n x="88"/>
        <n x="40"/>
      </t>
    </mdx>
    <mdx n="0" f="v">
      <t c="8">
        <n x="4" s="1"/>
        <n x="7" s="1"/>
        <n x="67" s="1"/>
        <n x="3" s="1"/>
        <n x="6" s="1"/>
        <n x="68"/>
        <n x="88"/>
        <n x="41"/>
      </t>
    </mdx>
    <mdx n="0" f="v">
      <t c="8">
        <n x="4" s="1"/>
        <n x="7" s="1"/>
        <n x="67" s="1"/>
        <n x="3" s="1"/>
        <n x="6" s="1"/>
        <n x="68"/>
        <n x="88"/>
        <n x="42"/>
      </t>
    </mdx>
    <mdx n="0" f="v">
      <t c="8">
        <n x="4" s="1"/>
        <n x="7" s="1"/>
        <n x="67" s="1"/>
        <n x="3" s="1"/>
        <n x="6" s="1"/>
        <n x="68"/>
        <n x="88"/>
        <n x="43"/>
      </t>
    </mdx>
    <mdx n="0" f="v">
      <t c="8">
        <n x="4" s="1"/>
        <n x="7" s="1"/>
        <n x="67" s="1"/>
        <n x="3" s="1"/>
        <n x="6" s="1"/>
        <n x="68"/>
        <n x="88"/>
        <n x="44"/>
      </t>
    </mdx>
    <mdx n="0" f="v">
      <t c="8">
        <n x="4" s="1"/>
        <n x="7" s="1"/>
        <n x="67" s="1"/>
        <n x="3" s="1"/>
        <n x="6" s="1"/>
        <n x="68"/>
        <n x="88"/>
        <n x="45"/>
      </t>
    </mdx>
    <mdx n="0" f="v">
      <t c="8">
        <n x="4" s="1"/>
        <n x="7" s="1"/>
        <n x="67" s="1"/>
        <n x="3" s="1"/>
        <n x="6" s="1"/>
        <n x="68"/>
        <n x="88"/>
        <n x="46"/>
      </t>
    </mdx>
    <mdx n="0" f="v">
      <t c="8">
        <n x="4" s="1"/>
        <n x="7" s="1"/>
        <n x="67" s="1"/>
        <n x="3" s="1"/>
        <n x="6" s="1"/>
        <n x="68"/>
        <n x="88"/>
        <n x="47"/>
      </t>
    </mdx>
    <mdx n="0" f="v">
      <t c="8">
        <n x="4" s="1"/>
        <n x="7" s="1"/>
        <n x="67" s="1"/>
        <n x="3" s="1"/>
        <n x="6" s="1"/>
        <n x="68"/>
        <n x="88"/>
        <n x="48"/>
      </t>
    </mdx>
    <mdx n="0" f="v">
      <t c="8">
        <n x="4" s="1"/>
        <n x="7" s="1"/>
        <n x="67" s="1"/>
        <n x="3" s="1"/>
        <n x="6" s="1"/>
        <n x="68"/>
        <n x="88"/>
        <n x="49"/>
      </t>
    </mdx>
    <mdx n="0" f="v">
      <t c="8">
        <n x="4" s="1"/>
        <n x="7" s="1"/>
        <n x="67" s="1"/>
        <n x="3" s="1"/>
        <n x="6" s="1"/>
        <n x="68"/>
        <n x="88"/>
        <n x="50"/>
      </t>
    </mdx>
    <mdx n="0" f="v">
      <t c="8">
        <n x="4" s="1"/>
        <n x="7" s="1"/>
        <n x="67" s="1"/>
        <n x="3" s="1"/>
        <n x="6" s="1"/>
        <n x="68"/>
        <n x="88"/>
        <n x="51"/>
      </t>
    </mdx>
    <mdx n="0" f="v">
      <t c="8">
        <n x="4" s="1"/>
        <n x="7" s="1"/>
        <n x="67" s="1"/>
        <n x="3" s="1"/>
        <n x="6" s="1"/>
        <n x="68"/>
        <n x="88"/>
        <n x="52"/>
      </t>
    </mdx>
    <mdx n="0" f="v">
      <t c="8">
        <n x="4" s="1"/>
        <n x="7" s="1"/>
        <n x="67" s="1"/>
        <n x="3" s="1"/>
        <n x="6" s="1"/>
        <n x="68"/>
        <n x="88"/>
        <n x="53"/>
      </t>
    </mdx>
    <mdx n="0" f="v">
      <t c="8">
        <n x="4" s="1"/>
        <n x="7" s="1"/>
        <n x="67" s="1"/>
        <n x="3" s="1"/>
        <n x="6" s="1"/>
        <n x="68"/>
        <n x="88"/>
        <n x="54"/>
      </t>
    </mdx>
    <mdx n="0" f="v">
      <t c="8">
        <n x="4" s="1"/>
        <n x="7" s="1"/>
        <n x="67" s="1"/>
        <n x="3" s="1"/>
        <n x="6" s="1"/>
        <n x="68"/>
        <n x="88"/>
        <n x="55"/>
      </t>
    </mdx>
    <mdx n="0" f="v">
      <t c="8">
        <n x="4" s="1"/>
        <n x="7" s="1"/>
        <n x="67" s="1"/>
        <n x="3" s="1"/>
        <n x="6" s="1"/>
        <n x="68"/>
        <n x="88"/>
        <n x="56"/>
      </t>
    </mdx>
    <mdx n="0" f="v">
      <t c="8">
        <n x="4" s="1"/>
        <n x="7" s="1"/>
        <n x="67" s="1"/>
        <n x="3" s="1"/>
        <n x="6" s="1"/>
        <n x="68"/>
        <n x="88"/>
        <n x="57"/>
      </t>
    </mdx>
    <mdx n="0" f="v">
      <t c="8">
        <n x="4" s="1"/>
        <n x="7" s="1"/>
        <n x="67" s="1"/>
        <n x="3" s="1"/>
        <n x="6" s="1"/>
        <n x="68"/>
        <n x="88"/>
        <n x="58"/>
      </t>
    </mdx>
    <mdx n="0" f="v">
      <t c="8">
        <n x="4" s="1"/>
        <n x="7" s="1"/>
        <n x="67" s="1"/>
        <n x="3" s="1"/>
        <n x="6" s="1"/>
        <n x="68"/>
        <n x="88"/>
        <n x="59"/>
      </t>
    </mdx>
    <mdx n="0" f="v">
      <t c="8">
        <n x="4" s="1"/>
        <n x="7" s="1"/>
        <n x="67" s="1"/>
        <n x="3" s="1"/>
        <n x="6" s="1"/>
        <n x="68"/>
        <n x="88"/>
        <n x="60"/>
      </t>
    </mdx>
    <mdx n="0" f="v">
      <t c="8">
        <n x="4" s="1"/>
        <n x="7" s="1"/>
        <n x="67" s="1"/>
        <n x="3" s="1"/>
        <n x="6" s="1"/>
        <n x="68"/>
        <n x="88"/>
        <n x="61"/>
      </t>
    </mdx>
    <mdx n="0" f="v">
      <t c="8">
        <n x="4" s="1"/>
        <n x="7" s="1"/>
        <n x="67" s="1"/>
        <n x="3" s="1"/>
        <n x="6" s="1"/>
        <n x="68"/>
        <n x="88"/>
        <n x="62"/>
      </t>
    </mdx>
    <mdx n="0" f="v">
      <t c="8">
        <n x="4" s="1"/>
        <n x="7" s="1"/>
        <n x="67" s="1"/>
        <n x="3" s="1"/>
        <n x="6" s="1"/>
        <n x="68"/>
        <n x="88"/>
        <n x="63"/>
      </t>
    </mdx>
    <mdx n="0" f="v">
      <t c="8">
        <n x="4" s="1"/>
        <n x="7" s="1"/>
        <n x="67" s="1"/>
        <n x="3" s="1"/>
        <n x="6" s="1"/>
        <n x="68"/>
        <n x="88"/>
        <n x="64"/>
      </t>
    </mdx>
    <mdx n="0" f="v">
      <t c="8">
        <n x="4" s="1"/>
        <n x="7" s="1"/>
        <n x="67" s="1"/>
        <n x="3" s="1"/>
        <n x="6" s="1"/>
        <n x="68"/>
        <n x="88"/>
        <n x="65"/>
      </t>
    </mdx>
    <mdx n="0" f="v">
      <t c="8">
        <n x="4" s="1"/>
        <n x="7" s="1"/>
        <n x="67" s="1"/>
        <n x="3" s="1"/>
        <n x="6" s="1"/>
        <n x="68"/>
        <n x="88"/>
        <n x="66"/>
      </t>
    </mdx>
    <mdx n="0" f="m">
      <t c="1">
        <n x="89"/>
      </t>
    </mdx>
    <mdx n="0" f="v">
      <t c="8">
        <n x="4" s="1"/>
        <n x="7" s="1"/>
        <n x="67" s="1"/>
        <n x="3" s="1"/>
        <n x="6" s="1"/>
        <n x="68"/>
        <n x="89"/>
        <n x="8"/>
      </t>
    </mdx>
    <mdx n="0" f="v">
      <t c="8">
        <n x="4" s="1"/>
        <n x="7" s="1"/>
        <n x="67" s="1"/>
        <n x="3" s="1"/>
        <n x="6" s="1"/>
        <n x="68"/>
        <n x="89"/>
        <n x="9"/>
      </t>
    </mdx>
    <mdx n="0" f="v">
      <t c="8">
        <n x="4" s="1"/>
        <n x="7" s="1"/>
        <n x="67" s="1"/>
        <n x="3" s="1"/>
        <n x="6" s="1"/>
        <n x="68"/>
        <n x="89"/>
        <n x="10"/>
      </t>
    </mdx>
    <mdx n="0" f="v">
      <t c="8">
        <n x="4" s="1"/>
        <n x="7" s="1"/>
        <n x="67" s="1"/>
        <n x="3" s="1"/>
        <n x="6" s="1"/>
        <n x="68"/>
        <n x="89"/>
        <n x="11"/>
      </t>
    </mdx>
    <mdx n="0" f="v">
      <t c="8">
        <n x="4" s="1"/>
        <n x="7" s="1"/>
        <n x="67" s="1"/>
        <n x="3" s="1"/>
        <n x="6" s="1"/>
        <n x="68"/>
        <n x="89"/>
        <n x="12"/>
      </t>
    </mdx>
    <mdx n="0" f="v">
      <t c="8">
        <n x="4" s="1"/>
        <n x="7" s="1"/>
        <n x="67" s="1"/>
        <n x="3" s="1"/>
        <n x="6" s="1"/>
        <n x="68"/>
        <n x="89"/>
        <n x="13"/>
      </t>
    </mdx>
    <mdx n="0" f="v">
      <t c="8">
        <n x="4" s="1"/>
        <n x="7" s="1"/>
        <n x="67" s="1"/>
        <n x="3" s="1"/>
        <n x="6" s="1"/>
        <n x="68"/>
        <n x="89"/>
        <n x="14"/>
      </t>
    </mdx>
    <mdx n="0" f="v">
      <t c="8">
        <n x="4" s="1"/>
        <n x="7" s="1"/>
        <n x="67" s="1"/>
        <n x="3" s="1"/>
        <n x="6" s="1"/>
        <n x="68"/>
        <n x="89"/>
        <n x="15"/>
      </t>
    </mdx>
    <mdx n="0" f="v">
      <t c="8">
        <n x="4" s="1"/>
        <n x="7" s="1"/>
        <n x="67" s="1"/>
        <n x="3" s="1"/>
        <n x="6" s="1"/>
        <n x="68"/>
        <n x="89"/>
        <n x="16"/>
      </t>
    </mdx>
    <mdx n="0" f="v">
      <t c="8">
        <n x="4" s="1"/>
        <n x="7" s="1"/>
        <n x="67" s="1"/>
        <n x="3" s="1"/>
        <n x="6" s="1"/>
        <n x="68"/>
        <n x="89"/>
        <n x="17"/>
      </t>
    </mdx>
    <mdx n="0" f="v">
      <t c="8">
        <n x="4" s="1"/>
        <n x="7" s="1"/>
        <n x="67" s="1"/>
        <n x="3" s="1"/>
        <n x="6" s="1"/>
        <n x="68"/>
        <n x="89"/>
        <n x="18"/>
      </t>
    </mdx>
    <mdx n="0" f="v">
      <t c="8">
        <n x="4" s="1"/>
        <n x="7" s="1"/>
        <n x="67" s="1"/>
        <n x="3" s="1"/>
        <n x="6" s="1"/>
        <n x="68"/>
        <n x="89"/>
        <n x="19"/>
      </t>
    </mdx>
    <mdx n="0" f="v">
      <t c="8">
        <n x="4" s="1"/>
        <n x="7" s="1"/>
        <n x="67" s="1"/>
        <n x="3" s="1"/>
        <n x="6" s="1"/>
        <n x="68"/>
        <n x="89"/>
        <n x="20"/>
      </t>
    </mdx>
    <mdx n="0" f="v">
      <t c="8">
        <n x="4" s="1"/>
        <n x="7" s="1"/>
        <n x="67" s="1"/>
        <n x="3" s="1"/>
        <n x="6" s="1"/>
        <n x="68"/>
        <n x="89"/>
        <n x="21"/>
      </t>
    </mdx>
    <mdx n="0" f="v">
      <t c="8">
        <n x="4" s="1"/>
        <n x="7" s="1"/>
        <n x="67" s="1"/>
        <n x="3" s="1"/>
        <n x="6" s="1"/>
        <n x="68"/>
        <n x="89"/>
        <n x="22"/>
      </t>
    </mdx>
    <mdx n="0" f="v">
      <t c="8">
        <n x="4" s="1"/>
        <n x="7" s="1"/>
        <n x="67" s="1"/>
        <n x="3" s="1"/>
        <n x="6" s="1"/>
        <n x="68"/>
        <n x="89"/>
        <n x="23"/>
      </t>
    </mdx>
    <mdx n="0" f="v">
      <t c="8">
        <n x="4" s="1"/>
        <n x="7" s="1"/>
        <n x="67" s="1"/>
        <n x="3" s="1"/>
        <n x="6" s="1"/>
        <n x="68"/>
        <n x="89"/>
        <n x="24"/>
      </t>
    </mdx>
    <mdx n="0" f="v">
      <t c="8">
        <n x="4" s="1"/>
        <n x="7" s="1"/>
        <n x="67" s="1"/>
        <n x="3" s="1"/>
        <n x="6" s="1"/>
        <n x="68"/>
        <n x="89"/>
        <n x="25"/>
      </t>
    </mdx>
    <mdx n="0" f="v">
      <t c="8">
        <n x="4" s="1"/>
        <n x="7" s="1"/>
        <n x="67" s="1"/>
        <n x="3" s="1"/>
        <n x="6" s="1"/>
        <n x="68"/>
        <n x="89"/>
        <n x="26"/>
      </t>
    </mdx>
    <mdx n="0" f="v">
      <t c="8">
        <n x="4" s="1"/>
        <n x="7" s="1"/>
        <n x="67" s="1"/>
        <n x="3" s="1"/>
        <n x="6" s="1"/>
        <n x="68"/>
        <n x="89"/>
        <n x="27"/>
      </t>
    </mdx>
    <mdx n="0" f="v">
      <t c="8">
        <n x="4" s="1"/>
        <n x="7" s="1"/>
        <n x="67" s="1"/>
        <n x="3" s="1"/>
        <n x="6" s="1"/>
        <n x="68"/>
        <n x="89"/>
        <n x="28"/>
      </t>
    </mdx>
    <mdx n="0" f="v">
      <t c="8">
        <n x="4" s="1"/>
        <n x="7" s="1"/>
        <n x="67" s="1"/>
        <n x="3" s="1"/>
        <n x="6" s="1"/>
        <n x="68"/>
        <n x="89"/>
        <n x="29"/>
      </t>
    </mdx>
    <mdx n="0" f="v">
      <t c="8">
        <n x="4" s="1"/>
        <n x="7" s="1"/>
        <n x="67" s="1"/>
        <n x="3" s="1"/>
        <n x="6" s="1"/>
        <n x="68"/>
        <n x="89"/>
        <n x="30"/>
      </t>
    </mdx>
    <mdx n="0" f="v">
      <t c="8">
        <n x="4" s="1"/>
        <n x="7" s="1"/>
        <n x="67" s="1"/>
        <n x="3" s="1"/>
        <n x="6" s="1"/>
        <n x="68"/>
        <n x="89"/>
        <n x="31"/>
      </t>
    </mdx>
    <mdx n="0" f="v">
      <t c="8">
        <n x="4" s="1"/>
        <n x="7" s="1"/>
        <n x="67" s="1"/>
        <n x="3" s="1"/>
        <n x="6" s="1"/>
        <n x="68"/>
        <n x="89"/>
        <n x="32"/>
      </t>
    </mdx>
    <mdx n="0" f="v">
      <t c="8">
        <n x="4" s="1"/>
        <n x="7" s="1"/>
        <n x="67" s="1"/>
        <n x="3" s="1"/>
        <n x="6" s="1"/>
        <n x="68"/>
        <n x="89"/>
        <n x="33"/>
      </t>
    </mdx>
    <mdx n="0" f="v">
      <t c="8">
        <n x="4" s="1"/>
        <n x="7" s="1"/>
        <n x="67" s="1"/>
        <n x="3" s="1"/>
        <n x="6" s="1"/>
        <n x="68"/>
        <n x="89"/>
        <n x="34"/>
      </t>
    </mdx>
    <mdx n="0" f="v">
      <t c="8">
        <n x="4" s="1"/>
        <n x="7" s="1"/>
        <n x="67" s="1"/>
        <n x="3" s="1"/>
        <n x="6" s="1"/>
        <n x="68"/>
        <n x="89"/>
        <n x="35"/>
      </t>
    </mdx>
    <mdx n="0" f="v">
      <t c="8">
        <n x="4" s="1"/>
        <n x="7" s="1"/>
        <n x="67" s="1"/>
        <n x="3" s="1"/>
        <n x="6" s="1"/>
        <n x="68"/>
        <n x="89"/>
        <n x="36"/>
      </t>
    </mdx>
    <mdx n="0" f="v">
      <t c="8">
        <n x="4" s="1"/>
        <n x="7" s="1"/>
        <n x="67" s="1"/>
        <n x="3" s="1"/>
        <n x="6" s="1"/>
        <n x="68"/>
        <n x="89"/>
        <n x="37"/>
      </t>
    </mdx>
    <mdx n="0" f="v">
      <t c="8">
        <n x="4" s="1"/>
        <n x="7" s="1"/>
        <n x="67" s="1"/>
        <n x="3" s="1"/>
        <n x="6" s="1"/>
        <n x="68"/>
        <n x="89"/>
        <n x="38"/>
      </t>
    </mdx>
    <mdx n="0" f="v">
      <t c="8">
        <n x="4" s="1"/>
        <n x="7" s="1"/>
        <n x="67" s="1"/>
        <n x="3" s="1"/>
        <n x="6" s="1"/>
        <n x="68"/>
        <n x="89"/>
        <n x="39"/>
      </t>
    </mdx>
    <mdx n="0" f="v">
      <t c="8">
        <n x="4" s="1"/>
        <n x="7" s="1"/>
        <n x="67" s="1"/>
        <n x="3" s="1"/>
        <n x="6" s="1"/>
        <n x="68"/>
        <n x="89"/>
        <n x="40"/>
      </t>
    </mdx>
    <mdx n="0" f="v">
      <t c="8">
        <n x="4" s="1"/>
        <n x="7" s="1"/>
        <n x="67" s="1"/>
        <n x="3" s="1"/>
        <n x="6" s="1"/>
        <n x="68"/>
        <n x="89"/>
        <n x="41"/>
      </t>
    </mdx>
    <mdx n="0" f="v">
      <t c="8">
        <n x="4" s="1"/>
        <n x="7" s="1"/>
        <n x="67" s="1"/>
        <n x="3" s="1"/>
        <n x="6" s="1"/>
        <n x="68"/>
        <n x="89"/>
        <n x="42"/>
      </t>
    </mdx>
    <mdx n="0" f="v">
      <t c="8">
        <n x="4" s="1"/>
        <n x="7" s="1"/>
        <n x="67" s="1"/>
        <n x="3" s="1"/>
        <n x="6" s="1"/>
        <n x="68"/>
        <n x="89"/>
        <n x="43"/>
      </t>
    </mdx>
    <mdx n="0" f="v">
      <t c="8">
        <n x="4" s="1"/>
        <n x="7" s="1"/>
        <n x="67" s="1"/>
        <n x="3" s="1"/>
        <n x="6" s="1"/>
        <n x="68"/>
        <n x="89"/>
        <n x="44"/>
      </t>
    </mdx>
    <mdx n="0" f="v">
      <t c="8">
        <n x="4" s="1"/>
        <n x="7" s="1"/>
        <n x="67" s="1"/>
        <n x="3" s="1"/>
        <n x="6" s="1"/>
        <n x="68"/>
        <n x="89"/>
        <n x="45"/>
      </t>
    </mdx>
    <mdx n="0" f="v">
      <t c="8">
        <n x="4" s="1"/>
        <n x="7" s="1"/>
        <n x="67" s="1"/>
        <n x="3" s="1"/>
        <n x="6" s="1"/>
        <n x="68"/>
        <n x="89"/>
        <n x="46"/>
      </t>
    </mdx>
    <mdx n="0" f="v">
      <t c="8">
        <n x="4" s="1"/>
        <n x="7" s="1"/>
        <n x="67" s="1"/>
        <n x="3" s="1"/>
        <n x="6" s="1"/>
        <n x="68"/>
        <n x="89"/>
        <n x="47"/>
      </t>
    </mdx>
    <mdx n="0" f="v">
      <t c="8">
        <n x="4" s="1"/>
        <n x="7" s="1"/>
        <n x="67" s="1"/>
        <n x="3" s="1"/>
        <n x="6" s="1"/>
        <n x="68"/>
        <n x="89"/>
        <n x="48"/>
      </t>
    </mdx>
    <mdx n="0" f="v">
      <t c="8">
        <n x="4" s="1"/>
        <n x="7" s="1"/>
        <n x="67" s="1"/>
        <n x="3" s="1"/>
        <n x="6" s="1"/>
        <n x="68"/>
        <n x="89"/>
        <n x="49"/>
      </t>
    </mdx>
    <mdx n="0" f="v">
      <t c="8">
        <n x="4" s="1"/>
        <n x="7" s="1"/>
        <n x="67" s="1"/>
        <n x="3" s="1"/>
        <n x="6" s="1"/>
        <n x="68"/>
        <n x="89"/>
        <n x="50"/>
      </t>
    </mdx>
    <mdx n="0" f="v">
      <t c="8">
        <n x="4" s="1"/>
        <n x="7" s="1"/>
        <n x="67" s="1"/>
        <n x="3" s="1"/>
        <n x="6" s="1"/>
        <n x="68"/>
        <n x="89"/>
        <n x="51"/>
      </t>
    </mdx>
    <mdx n="0" f="v">
      <t c="8">
        <n x="4" s="1"/>
        <n x="7" s="1"/>
        <n x="67" s="1"/>
        <n x="3" s="1"/>
        <n x="6" s="1"/>
        <n x="68"/>
        <n x="89"/>
        <n x="52"/>
      </t>
    </mdx>
    <mdx n="0" f="v">
      <t c="8">
        <n x="4" s="1"/>
        <n x="7" s="1"/>
        <n x="67" s="1"/>
        <n x="3" s="1"/>
        <n x="6" s="1"/>
        <n x="68"/>
        <n x="89"/>
        <n x="53"/>
      </t>
    </mdx>
    <mdx n="0" f="v">
      <t c="8">
        <n x="4" s="1"/>
        <n x="7" s="1"/>
        <n x="67" s="1"/>
        <n x="3" s="1"/>
        <n x="6" s="1"/>
        <n x="68"/>
        <n x="89"/>
        <n x="54"/>
      </t>
    </mdx>
    <mdx n="0" f="v">
      <t c="8">
        <n x="4" s="1"/>
        <n x="7" s="1"/>
        <n x="67" s="1"/>
        <n x="3" s="1"/>
        <n x="6" s="1"/>
        <n x="68"/>
        <n x="89"/>
        <n x="55"/>
      </t>
    </mdx>
    <mdx n="0" f="v">
      <t c="8">
        <n x="4" s="1"/>
        <n x="7" s="1"/>
        <n x="67" s="1"/>
        <n x="3" s="1"/>
        <n x="6" s="1"/>
        <n x="68"/>
        <n x="89"/>
        <n x="56"/>
      </t>
    </mdx>
    <mdx n="0" f="v">
      <t c="8">
        <n x="4" s="1"/>
        <n x="7" s="1"/>
        <n x="67" s="1"/>
        <n x="3" s="1"/>
        <n x="6" s="1"/>
        <n x="68"/>
        <n x="89"/>
        <n x="57"/>
      </t>
    </mdx>
    <mdx n="0" f="v">
      <t c="8">
        <n x="4" s="1"/>
        <n x="7" s="1"/>
        <n x="67" s="1"/>
        <n x="3" s="1"/>
        <n x="6" s="1"/>
        <n x="68"/>
        <n x="89"/>
        <n x="58"/>
      </t>
    </mdx>
    <mdx n="0" f="v">
      <t c="8">
        <n x="4" s="1"/>
        <n x="7" s="1"/>
        <n x="67" s="1"/>
        <n x="3" s="1"/>
        <n x="6" s="1"/>
        <n x="68"/>
        <n x="89"/>
        <n x="59"/>
      </t>
    </mdx>
    <mdx n="0" f="v">
      <t c="8">
        <n x="4" s="1"/>
        <n x="7" s="1"/>
        <n x="67" s="1"/>
        <n x="3" s="1"/>
        <n x="6" s="1"/>
        <n x="68"/>
        <n x="89"/>
        <n x="60"/>
      </t>
    </mdx>
    <mdx n="0" f="v">
      <t c="8">
        <n x="4" s="1"/>
        <n x="7" s="1"/>
        <n x="67" s="1"/>
        <n x="3" s="1"/>
        <n x="6" s="1"/>
        <n x="68"/>
        <n x="89"/>
        <n x="61"/>
      </t>
    </mdx>
    <mdx n="0" f="v">
      <t c="8">
        <n x="4" s="1"/>
        <n x="7" s="1"/>
        <n x="67" s="1"/>
        <n x="3" s="1"/>
        <n x="6" s="1"/>
        <n x="68"/>
        <n x="89"/>
        <n x="62"/>
      </t>
    </mdx>
    <mdx n="0" f="v">
      <t c="8">
        <n x="4" s="1"/>
        <n x="7" s="1"/>
        <n x="67" s="1"/>
        <n x="3" s="1"/>
        <n x="6" s="1"/>
        <n x="68"/>
        <n x="89"/>
        <n x="63"/>
      </t>
    </mdx>
    <mdx n="0" f="v">
      <t c="8">
        <n x="4" s="1"/>
        <n x="7" s="1"/>
        <n x="67" s="1"/>
        <n x="3" s="1"/>
        <n x="6" s="1"/>
        <n x="68"/>
        <n x="89"/>
        <n x="64"/>
      </t>
    </mdx>
    <mdx n="0" f="v">
      <t c="8">
        <n x="4" s="1"/>
        <n x="7" s="1"/>
        <n x="67" s="1"/>
        <n x="3" s="1"/>
        <n x="6" s="1"/>
        <n x="68"/>
        <n x="89"/>
        <n x="65"/>
      </t>
    </mdx>
    <mdx n="0" f="v">
      <t c="8">
        <n x="4" s="1"/>
        <n x="7" s="1"/>
        <n x="67" s="1"/>
        <n x="3" s="1"/>
        <n x="6" s="1"/>
        <n x="68"/>
        <n x="89"/>
        <n x="66"/>
      </t>
    </mdx>
    <mdx n="0" f="v">
      <t c="8">
        <n x="7" s="1"/>
        <n x="69" s="1"/>
        <n x="3" s="1"/>
        <n x="70" s="1"/>
        <n x="2" s="1"/>
        <n x="68"/>
        <n x="71"/>
        <n x="8"/>
      </t>
    </mdx>
    <mdx n="0" f="v">
      <t c="8">
        <n x="7" s="1"/>
        <n x="69" s="1"/>
        <n x="3" s="1"/>
        <n x="70" s="1"/>
        <n x="2" s="1"/>
        <n x="68"/>
        <n x="71"/>
        <n x="9"/>
      </t>
    </mdx>
    <mdx n="0" f="v">
      <t c="8">
        <n x="7" s="1"/>
        <n x="69" s="1"/>
        <n x="3" s="1"/>
        <n x="70" s="1"/>
        <n x="2" s="1"/>
        <n x="68"/>
        <n x="71"/>
        <n x="10"/>
      </t>
    </mdx>
    <mdx n="0" f="v">
      <t c="8">
        <n x="7" s="1"/>
        <n x="69" s="1"/>
        <n x="3" s="1"/>
        <n x="70" s="1"/>
        <n x="2" s="1"/>
        <n x="68"/>
        <n x="71"/>
        <n x="11"/>
      </t>
    </mdx>
    <mdx n="0" f="v">
      <t c="8">
        <n x="7" s="1"/>
        <n x="69" s="1"/>
        <n x="3" s="1"/>
        <n x="70" s="1"/>
        <n x="2" s="1"/>
        <n x="68"/>
        <n x="71"/>
        <n x="12"/>
      </t>
    </mdx>
    <mdx n="0" f="v">
      <t c="8">
        <n x="7" s="1"/>
        <n x="69" s="1"/>
        <n x="3" s="1"/>
        <n x="70" s="1"/>
        <n x="2" s="1"/>
        <n x="68"/>
        <n x="71"/>
        <n x="13"/>
      </t>
    </mdx>
    <mdx n="0" f="v">
      <t c="8">
        <n x="7" s="1"/>
        <n x="69" s="1"/>
        <n x="3" s="1"/>
        <n x="70" s="1"/>
        <n x="2" s="1"/>
        <n x="68"/>
        <n x="71"/>
        <n x="14"/>
      </t>
    </mdx>
    <mdx n="0" f="v">
      <t c="8">
        <n x="7" s="1"/>
        <n x="69" s="1"/>
        <n x="3" s="1"/>
        <n x="70" s="1"/>
        <n x="2" s="1"/>
        <n x="68"/>
        <n x="71"/>
        <n x="15"/>
      </t>
    </mdx>
    <mdx n="0" f="v">
      <t c="8">
        <n x="7" s="1"/>
        <n x="69" s="1"/>
        <n x="3" s="1"/>
        <n x="70" s="1"/>
        <n x="2" s="1"/>
        <n x="68"/>
        <n x="71"/>
        <n x="16"/>
      </t>
    </mdx>
    <mdx n="0" f="v">
      <t c="8">
        <n x="7" s="1"/>
        <n x="69" s="1"/>
        <n x="3" s="1"/>
        <n x="70" s="1"/>
        <n x="2" s="1"/>
        <n x="68"/>
        <n x="71"/>
        <n x="17"/>
      </t>
    </mdx>
    <mdx n="0" f="v">
      <t c="8">
        <n x="7" s="1"/>
        <n x="69" s="1"/>
        <n x="3" s="1"/>
        <n x="70" s="1"/>
        <n x="2" s="1"/>
        <n x="68"/>
        <n x="71"/>
        <n x="18"/>
      </t>
    </mdx>
    <mdx n="0" f="v">
      <t c="8">
        <n x="7" s="1"/>
        <n x="69" s="1"/>
        <n x="3" s="1"/>
        <n x="70" s="1"/>
        <n x="2" s="1"/>
        <n x="68"/>
        <n x="71"/>
        <n x="19"/>
      </t>
    </mdx>
    <mdx n="0" f="v">
      <t c="8">
        <n x="7" s="1"/>
        <n x="69" s="1"/>
        <n x="3" s="1"/>
        <n x="70" s="1"/>
        <n x="2" s="1"/>
        <n x="68"/>
        <n x="71"/>
        <n x="20"/>
      </t>
    </mdx>
    <mdx n="0" f="v">
      <t c="8">
        <n x="7" s="1"/>
        <n x="69" s="1"/>
        <n x="3" s="1"/>
        <n x="70" s="1"/>
        <n x="2" s="1"/>
        <n x="68"/>
        <n x="71"/>
        <n x="21"/>
      </t>
    </mdx>
    <mdx n="0" f="v">
      <t c="8">
        <n x="7" s="1"/>
        <n x="69" s="1"/>
        <n x="3" s="1"/>
        <n x="70" s="1"/>
        <n x="2" s="1"/>
        <n x="68"/>
        <n x="71"/>
        <n x="22"/>
      </t>
    </mdx>
    <mdx n="0" f="v">
      <t c="8">
        <n x="7" s="1"/>
        <n x="69" s="1"/>
        <n x="3" s="1"/>
        <n x="70" s="1"/>
        <n x="2" s="1"/>
        <n x="68"/>
        <n x="71"/>
        <n x="23"/>
      </t>
    </mdx>
    <mdx n="0" f="v">
      <t c="8">
        <n x="7" s="1"/>
        <n x="69" s="1"/>
        <n x="3" s="1"/>
        <n x="70" s="1"/>
        <n x="2" s="1"/>
        <n x="68"/>
        <n x="71"/>
        <n x="24"/>
      </t>
    </mdx>
    <mdx n="0" f="v">
      <t c="8">
        <n x="7" s="1"/>
        <n x="69" s="1"/>
        <n x="3" s="1"/>
        <n x="70" s="1"/>
        <n x="2" s="1"/>
        <n x="68"/>
        <n x="71"/>
        <n x="25"/>
      </t>
    </mdx>
    <mdx n="0" f="v">
      <t c="8">
        <n x="7" s="1"/>
        <n x="69" s="1"/>
        <n x="3" s="1"/>
        <n x="70" s="1"/>
        <n x="2" s="1"/>
        <n x="68"/>
        <n x="71"/>
        <n x="26"/>
      </t>
    </mdx>
    <mdx n="0" f="v">
      <t c="8">
        <n x="7" s="1"/>
        <n x="69" s="1"/>
        <n x="3" s="1"/>
        <n x="70" s="1"/>
        <n x="2" s="1"/>
        <n x="68"/>
        <n x="71"/>
        <n x="27"/>
      </t>
    </mdx>
    <mdx n="0" f="v">
      <t c="8">
        <n x="7" s="1"/>
        <n x="69" s="1"/>
        <n x="3" s="1"/>
        <n x="70" s="1"/>
        <n x="2" s="1"/>
        <n x="68"/>
        <n x="71"/>
        <n x="28"/>
      </t>
    </mdx>
    <mdx n="0" f="v">
      <t c="8">
        <n x="7" s="1"/>
        <n x="69" s="1"/>
        <n x="3" s="1"/>
        <n x="70" s="1"/>
        <n x="2" s="1"/>
        <n x="68"/>
        <n x="71"/>
        <n x="29"/>
      </t>
    </mdx>
    <mdx n="0" f="v">
      <t c="8">
        <n x="7" s="1"/>
        <n x="69" s="1"/>
        <n x="3" s="1"/>
        <n x="70" s="1"/>
        <n x="2" s="1"/>
        <n x="68"/>
        <n x="71"/>
        <n x="30"/>
      </t>
    </mdx>
    <mdx n="0" f="v">
      <t c="8">
        <n x="7" s="1"/>
        <n x="69" s="1"/>
        <n x="3" s="1"/>
        <n x="70" s="1"/>
        <n x="2" s="1"/>
        <n x="68"/>
        <n x="71"/>
        <n x="31"/>
      </t>
    </mdx>
    <mdx n="0" f="v">
      <t c="8">
        <n x="7" s="1"/>
        <n x="69" s="1"/>
        <n x="3" s="1"/>
        <n x="70" s="1"/>
        <n x="2" s="1"/>
        <n x="68"/>
        <n x="71"/>
        <n x="32"/>
      </t>
    </mdx>
    <mdx n="0" f="v">
      <t c="8">
        <n x="7" s="1"/>
        <n x="69" s="1"/>
        <n x="3" s="1"/>
        <n x="70" s="1"/>
        <n x="2" s="1"/>
        <n x="68"/>
        <n x="71"/>
        <n x="33"/>
      </t>
    </mdx>
    <mdx n="0" f="v">
      <t c="8">
        <n x="7" s="1"/>
        <n x="69" s="1"/>
        <n x="3" s="1"/>
        <n x="70" s="1"/>
        <n x="2" s="1"/>
        <n x="68"/>
        <n x="71"/>
        <n x="34"/>
      </t>
    </mdx>
    <mdx n="0" f="v">
      <t c="8">
        <n x="7" s="1"/>
        <n x="69" s="1"/>
        <n x="3" s="1"/>
        <n x="70" s="1"/>
        <n x="2" s="1"/>
        <n x="68"/>
        <n x="71"/>
        <n x="35"/>
      </t>
    </mdx>
    <mdx n="0" f="v">
      <t c="8">
        <n x="7" s="1"/>
        <n x="69" s="1"/>
        <n x="3" s="1"/>
        <n x="70" s="1"/>
        <n x="2" s="1"/>
        <n x="68"/>
        <n x="71"/>
        <n x="36"/>
      </t>
    </mdx>
    <mdx n="0" f="v">
      <t c="8">
        <n x="7" s="1"/>
        <n x="69" s="1"/>
        <n x="3" s="1"/>
        <n x="70" s="1"/>
        <n x="2" s="1"/>
        <n x="68"/>
        <n x="71"/>
        <n x="37"/>
      </t>
    </mdx>
    <mdx n="0" f="v">
      <t c="8">
        <n x="7" s="1"/>
        <n x="69" s="1"/>
        <n x="3" s="1"/>
        <n x="70" s="1"/>
        <n x="2" s="1"/>
        <n x="68"/>
        <n x="71"/>
        <n x="38"/>
      </t>
    </mdx>
    <mdx n="0" f="v">
      <t c="8">
        <n x="7" s="1"/>
        <n x="69" s="1"/>
        <n x="3" s="1"/>
        <n x="70" s="1"/>
        <n x="2" s="1"/>
        <n x="68"/>
        <n x="71"/>
        <n x="39"/>
      </t>
    </mdx>
    <mdx n="0" f="v">
      <t c="8">
        <n x="7" s="1"/>
        <n x="69" s="1"/>
        <n x="3" s="1"/>
        <n x="70" s="1"/>
        <n x="2" s="1"/>
        <n x="68"/>
        <n x="71"/>
        <n x="40"/>
      </t>
    </mdx>
    <mdx n="0" f="v">
      <t c="8">
        <n x="7" s="1"/>
        <n x="69" s="1"/>
        <n x="3" s="1"/>
        <n x="70" s="1"/>
        <n x="2" s="1"/>
        <n x="68"/>
        <n x="71"/>
        <n x="41"/>
      </t>
    </mdx>
    <mdx n="0" f="v">
      <t c="8">
        <n x="7" s="1"/>
        <n x="69" s="1"/>
        <n x="3" s="1"/>
        <n x="70" s="1"/>
        <n x="2" s="1"/>
        <n x="68"/>
        <n x="71"/>
        <n x="42"/>
      </t>
    </mdx>
    <mdx n="0" f="v">
      <t c="8">
        <n x="7" s="1"/>
        <n x="69" s="1"/>
        <n x="3" s="1"/>
        <n x="70" s="1"/>
        <n x="2" s="1"/>
        <n x="68"/>
        <n x="71"/>
        <n x="43"/>
      </t>
    </mdx>
    <mdx n="0" f="v">
      <t c="8">
        <n x="7" s="1"/>
        <n x="69" s="1"/>
        <n x="3" s="1"/>
        <n x="70" s="1"/>
        <n x="2" s="1"/>
        <n x="68"/>
        <n x="71"/>
        <n x="44"/>
      </t>
    </mdx>
    <mdx n="0" f="v">
      <t c="8">
        <n x="7" s="1"/>
        <n x="69" s="1"/>
        <n x="3" s="1"/>
        <n x="70" s="1"/>
        <n x="2" s="1"/>
        <n x="68"/>
        <n x="71"/>
        <n x="45"/>
      </t>
    </mdx>
    <mdx n="0" f="v">
      <t c="8">
        <n x="7" s="1"/>
        <n x="69" s="1"/>
        <n x="3" s="1"/>
        <n x="70" s="1"/>
        <n x="2" s="1"/>
        <n x="68"/>
        <n x="71"/>
        <n x="46"/>
      </t>
    </mdx>
    <mdx n="0" f="v">
      <t c="8">
        <n x="7" s="1"/>
        <n x="69" s="1"/>
        <n x="3" s="1"/>
        <n x="70" s="1"/>
        <n x="2" s="1"/>
        <n x="68"/>
        <n x="71"/>
        <n x="47"/>
      </t>
    </mdx>
    <mdx n="0" f="v">
      <t c="8">
        <n x="7" s="1"/>
        <n x="69" s="1"/>
        <n x="3" s="1"/>
        <n x="70" s="1"/>
        <n x="2" s="1"/>
        <n x="68"/>
        <n x="71"/>
        <n x="48"/>
      </t>
    </mdx>
    <mdx n="0" f="v">
      <t c="8">
        <n x="7" s="1"/>
        <n x="69" s="1"/>
        <n x="3" s="1"/>
        <n x="70" s="1"/>
        <n x="2" s="1"/>
        <n x="68"/>
        <n x="71"/>
        <n x="49"/>
      </t>
    </mdx>
    <mdx n="0" f="v">
      <t c="8">
        <n x="7" s="1"/>
        <n x="69" s="1"/>
        <n x="3" s="1"/>
        <n x="70" s="1"/>
        <n x="2" s="1"/>
        <n x="68"/>
        <n x="71"/>
        <n x="50"/>
      </t>
    </mdx>
    <mdx n="0" f="v">
      <t c="8">
        <n x="7" s="1"/>
        <n x="69" s="1"/>
        <n x="3" s="1"/>
        <n x="70" s="1"/>
        <n x="2" s="1"/>
        <n x="68"/>
        <n x="71"/>
        <n x="51"/>
      </t>
    </mdx>
    <mdx n="0" f="v">
      <t c="8">
        <n x="7" s="1"/>
        <n x="69" s="1"/>
        <n x="3" s="1"/>
        <n x="70" s="1"/>
        <n x="2" s="1"/>
        <n x="68"/>
        <n x="71"/>
        <n x="52"/>
      </t>
    </mdx>
    <mdx n="0" f="v">
      <t c="8">
        <n x="7" s="1"/>
        <n x="69" s="1"/>
        <n x="3" s="1"/>
        <n x="70" s="1"/>
        <n x="2" s="1"/>
        <n x="68"/>
        <n x="71"/>
        <n x="53"/>
      </t>
    </mdx>
    <mdx n="0" f="v">
      <t c="8">
        <n x="7" s="1"/>
        <n x="69" s="1"/>
        <n x="3" s="1"/>
        <n x="70" s="1"/>
        <n x="2" s="1"/>
        <n x="68"/>
        <n x="71"/>
        <n x="54"/>
      </t>
    </mdx>
    <mdx n="0" f="v">
      <t c="8">
        <n x="7" s="1"/>
        <n x="69" s="1"/>
        <n x="3" s="1"/>
        <n x="70" s="1"/>
        <n x="2" s="1"/>
        <n x="68"/>
        <n x="71"/>
        <n x="55"/>
      </t>
    </mdx>
    <mdx n="0" f="v">
      <t c="8">
        <n x="7" s="1"/>
        <n x="69" s="1"/>
        <n x="3" s="1"/>
        <n x="70" s="1"/>
        <n x="2" s="1"/>
        <n x="68"/>
        <n x="71"/>
        <n x="56"/>
      </t>
    </mdx>
    <mdx n="0" f="v">
      <t c="8">
        <n x="7" s="1"/>
        <n x="69" s="1"/>
        <n x="3" s="1"/>
        <n x="70" s="1"/>
        <n x="2" s="1"/>
        <n x="68"/>
        <n x="71"/>
        <n x="57"/>
      </t>
    </mdx>
    <mdx n="0" f="v">
      <t c="8">
        <n x="7" s="1"/>
        <n x="69" s="1"/>
        <n x="3" s="1"/>
        <n x="70" s="1"/>
        <n x="2" s="1"/>
        <n x="68"/>
        <n x="71"/>
        <n x="58"/>
      </t>
    </mdx>
    <mdx n="0" f="v">
      <t c="8">
        <n x="7" s="1"/>
        <n x="69" s="1"/>
        <n x="3" s="1"/>
        <n x="70" s="1"/>
        <n x="2" s="1"/>
        <n x="68"/>
        <n x="71"/>
        <n x="59"/>
      </t>
    </mdx>
    <mdx n="0" f="v">
      <t c="8">
        <n x="7" s="1"/>
        <n x="69" s="1"/>
        <n x="3" s="1"/>
        <n x="70" s="1"/>
        <n x="2" s="1"/>
        <n x="68"/>
        <n x="71"/>
        <n x="60"/>
      </t>
    </mdx>
    <mdx n="0" f="v">
      <t c="8">
        <n x="7" s="1"/>
        <n x="69" s="1"/>
        <n x="3" s="1"/>
        <n x="70" s="1"/>
        <n x="2" s="1"/>
        <n x="68"/>
        <n x="71"/>
        <n x="61"/>
      </t>
    </mdx>
    <mdx n="0" f="v">
      <t c="8">
        <n x="7" s="1"/>
        <n x="69" s="1"/>
        <n x="3" s="1"/>
        <n x="70" s="1"/>
        <n x="2" s="1"/>
        <n x="68"/>
        <n x="71"/>
        <n x="62"/>
      </t>
    </mdx>
    <mdx n="0" f="v">
      <t c="8">
        <n x="7" s="1"/>
        <n x="69" s="1"/>
        <n x="3" s="1"/>
        <n x="70" s="1"/>
        <n x="2" s="1"/>
        <n x="68"/>
        <n x="71"/>
        <n x="63"/>
      </t>
    </mdx>
    <mdx n="0" f="v">
      <t c="8">
        <n x="7" s="1"/>
        <n x="69" s="1"/>
        <n x="3" s="1"/>
        <n x="70" s="1"/>
        <n x="2" s="1"/>
        <n x="68"/>
        <n x="71"/>
        <n x="64"/>
      </t>
    </mdx>
    <mdx n="0" f="v">
      <t c="8">
        <n x="7" s="1"/>
        <n x="69" s="1"/>
        <n x="3" s="1"/>
        <n x="70" s="1"/>
        <n x="2" s="1"/>
        <n x="68"/>
        <n x="71"/>
        <n x="65"/>
      </t>
    </mdx>
    <mdx n="0" f="v">
      <t c="8">
        <n x="7" s="1"/>
        <n x="69" s="1"/>
        <n x="3" s="1"/>
        <n x="70" s="1"/>
        <n x="2" s="1"/>
        <n x="68"/>
        <n x="71"/>
        <n x="66"/>
      </t>
    </mdx>
    <mdx n="0" f="v">
      <t c="8">
        <n x="7" s="1"/>
        <n x="69" s="1"/>
        <n x="3" s="1"/>
        <n x="70" s="1"/>
        <n x="2" s="1"/>
        <n x="68"/>
        <n x="72"/>
        <n x="8"/>
      </t>
    </mdx>
    <mdx n="0" f="v">
      <t c="8">
        <n x="7" s="1"/>
        <n x="69" s="1"/>
        <n x="3" s="1"/>
        <n x="70" s="1"/>
        <n x="2" s="1"/>
        <n x="68"/>
        <n x="72"/>
        <n x="9"/>
      </t>
    </mdx>
    <mdx n="0" f="v">
      <t c="8">
        <n x="7" s="1"/>
        <n x="69" s="1"/>
        <n x="3" s="1"/>
        <n x="70" s="1"/>
        <n x="2" s="1"/>
        <n x="68"/>
        <n x="72"/>
        <n x="10"/>
      </t>
    </mdx>
    <mdx n="0" f="v">
      <t c="8">
        <n x="7" s="1"/>
        <n x="69" s="1"/>
        <n x="3" s="1"/>
        <n x="70" s="1"/>
        <n x="2" s="1"/>
        <n x="68"/>
        <n x="72"/>
        <n x="11"/>
      </t>
    </mdx>
    <mdx n="0" f="v">
      <t c="8">
        <n x="7" s="1"/>
        <n x="69" s="1"/>
        <n x="3" s="1"/>
        <n x="70" s="1"/>
        <n x="2" s="1"/>
        <n x="68"/>
        <n x="72"/>
        <n x="12"/>
      </t>
    </mdx>
    <mdx n="0" f="v">
      <t c="8">
        <n x="7" s="1"/>
        <n x="69" s="1"/>
        <n x="3" s="1"/>
        <n x="70" s="1"/>
        <n x="2" s="1"/>
        <n x="68"/>
        <n x="72"/>
        <n x="13"/>
      </t>
    </mdx>
    <mdx n="0" f="v">
      <t c="8">
        <n x="7" s="1"/>
        <n x="69" s="1"/>
        <n x="3" s="1"/>
        <n x="70" s="1"/>
        <n x="2" s="1"/>
        <n x="68"/>
        <n x="72"/>
        <n x="14"/>
      </t>
    </mdx>
    <mdx n="0" f="v">
      <t c="8">
        <n x="7" s="1"/>
        <n x="69" s="1"/>
        <n x="3" s="1"/>
        <n x="70" s="1"/>
        <n x="2" s="1"/>
        <n x="68"/>
        <n x="72"/>
        <n x="15"/>
      </t>
    </mdx>
    <mdx n="0" f="v">
      <t c="8">
        <n x="7" s="1"/>
        <n x="69" s="1"/>
        <n x="3" s="1"/>
        <n x="70" s="1"/>
        <n x="2" s="1"/>
        <n x="68"/>
        <n x="72"/>
        <n x="16"/>
      </t>
    </mdx>
    <mdx n="0" f="v">
      <t c="8">
        <n x="7" s="1"/>
        <n x="69" s="1"/>
        <n x="3" s="1"/>
        <n x="70" s="1"/>
        <n x="2" s="1"/>
        <n x="68"/>
        <n x="72"/>
        <n x="17"/>
      </t>
    </mdx>
    <mdx n="0" f="v">
      <t c="8">
        <n x="7" s="1"/>
        <n x="69" s="1"/>
        <n x="3" s="1"/>
        <n x="70" s="1"/>
        <n x="2" s="1"/>
        <n x="68"/>
        <n x="72"/>
        <n x="18"/>
      </t>
    </mdx>
    <mdx n="0" f="v">
      <t c="8">
        <n x="7" s="1"/>
        <n x="69" s="1"/>
        <n x="3" s="1"/>
        <n x="70" s="1"/>
        <n x="2" s="1"/>
        <n x="68"/>
        <n x="72"/>
        <n x="19"/>
      </t>
    </mdx>
    <mdx n="0" f="v">
      <t c="8">
        <n x="7" s="1"/>
        <n x="69" s="1"/>
        <n x="3" s="1"/>
        <n x="70" s="1"/>
        <n x="2" s="1"/>
        <n x="68"/>
        <n x="72"/>
        <n x="20"/>
      </t>
    </mdx>
    <mdx n="0" f="v">
      <t c="8">
        <n x="7" s="1"/>
        <n x="69" s="1"/>
        <n x="3" s="1"/>
        <n x="70" s="1"/>
        <n x="2" s="1"/>
        <n x="68"/>
        <n x="72"/>
        <n x="21"/>
      </t>
    </mdx>
    <mdx n="0" f="v">
      <t c="8">
        <n x="7" s="1"/>
        <n x="69" s="1"/>
        <n x="3" s="1"/>
        <n x="70" s="1"/>
        <n x="2" s="1"/>
        <n x="68"/>
        <n x="72"/>
        <n x="22"/>
      </t>
    </mdx>
    <mdx n="0" f="v">
      <t c="8">
        <n x="7" s="1"/>
        <n x="69" s="1"/>
        <n x="3" s="1"/>
        <n x="70" s="1"/>
        <n x="2" s="1"/>
        <n x="68"/>
        <n x="72"/>
        <n x="23"/>
      </t>
    </mdx>
    <mdx n="0" f="v">
      <t c="8">
        <n x="7" s="1"/>
        <n x="69" s="1"/>
        <n x="3" s="1"/>
        <n x="70" s="1"/>
        <n x="2" s="1"/>
        <n x="68"/>
        <n x="72"/>
        <n x="24"/>
      </t>
    </mdx>
    <mdx n="0" f="v">
      <t c="8">
        <n x="7" s="1"/>
        <n x="69" s="1"/>
        <n x="3" s="1"/>
        <n x="70" s="1"/>
        <n x="2" s="1"/>
        <n x="68"/>
        <n x="72"/>
        <n x="25"/>
      </t>
    </mdx>
    <mdx n="0" f="v">
      <t c="8">
        <n x="7" s="1"/>
        <n x="69" s="1"/>
        <n x="3" s="1"/>
        <n x="70" s="1"/>
        <n x="2" s="1"/>
        <n x="68"/>
        <n x="72"/>
        <n x="26"/>
      </t>
    </mdx>
    <mdx n="0" f="v">
      <t c="8">
        <n x="7" s="1"/>
        <n x="69" s="1"/>
        <n x="3" s="1"/>
        <n x="70" s="1"/>
        <n x="2" s="1"/>
        <n x="68"/>
        <n x="72"/>
        <n x="27"/>
      </t>
    </mdx>
    <mdx n="0" f="v">
      <t c="8">
        <n x="7" s="1"/>
        <n x="69" s="1"/>
        <n x="3" s="1"/>
        <n x="70" s="1"/>
        <n x="2" s="1"/>
        <n x="68"/>
        <n x="72"/>
        <n x="28"/>
      </t>
    </mdx>
    <mdx n="0" f="v">
      <t c="8">
        <n x="7" s="1"/>
        <n x="69" s="1"/>
        <n x="3" s="1"/>
        <n x="70" s="1"/>
        <n x="2" s="1"/>
        <n x="68"/>
        <n x="72"/>
        <n x="29"/>
      </t>
    </mdx>
    <mdx n="0" f="v">
      <t c="8">
        <n x="7" s="1"/>
        <n x="69" s="1"/>
        <n x="3" s="1"/>
        <n x="70" s="1"/>
        <n x="2" s="1"/>
        <n x="68"/>
        <n x="72"/>
        <n x="30"/>
      </t>
    </mdx>
    <mdx n="0" f="v">
      <t c="8">
        <n x="7" s="1"/>
        <n x="69" s="1"/>
        <n x="3" s="1"/>
        <n x="70" s="1"/>
        <n x="2" s="1"/>
        <n x="68"/>
        <n x="72"/>
        <n x="31"/>
      </t>
    </mdx>
    <mdx n="0" f="v">
      <t c="8">
        <n x="7" s="1"/>
        <n x="69" s="1"/>
        <n x="3" s="1"/>
        <n x="70" s="1"/>
        <n x="2" s="1"/>
        <n x="68"/>
        <n x="72"/>
        <n x="32"/>
      </t>
    </mdx>
    <mdx n="0" f="v">
      <t c="8">
        <n x="7" s="1"/>
        <n x="69" s="1"/>
        <n x="3" s="1"/>
        <n x="70" s="1"/>
        <n x="2" s="1"/>
        <n x="68"/>
        <n x="72"/>
        <n x="33"/>
      </t>
    </mdx>
    <mdx n="0" f="v">
      <t c="8">
        <n x="7" s="1"/>
        <n x="69" s="1"/>
        <n x="3" s="1"/>
        <n x="70" s="1"/>
        <n x="2" s="1"/>
        <n x="68"/>
        <n x="72"/>
        <n x="34"/>
      </t>
    </mdx>
    <mdx n="0" f="v">
      <t c="8">
        <n x="7" s="1"/>
        <n x="69" s="1"/>
        <n x="3" s="1"/>
        <n x="70" s="1"/>
        <n x="2" s="1"/>
        <n x="68"/>
        <n x="72"/>
        <n x="35"/>
      </t>
    </mdx>
    <mdx n="0" f="v">
      <t c="8">
        <n x="7" s="1"/>
        <n x="69" s="1"/>
        <n x="3" s="1"/>
        <n x="70" s="1"/>
        <n x="2" s="1"/>
        <n x="68"/>
        <n x="72"/>
        <n x="36"/>
      </t>
    </mdx>
    <mdx n="0" f="v">
      <t c="8">
        <n x="7" s="1"/>
        <n x="69" s="1"/>
        <n x="3" s="1"/>
        <n x="70" s="1"/>
        <n x="2" s="1"/>
        <n x="68"/>
        <n x="72"/>
        <n x="37"/>
      </t>
    </mdx>
    <mdx n="0" f="v">
      <t c="8">
        <n x="7" s="1"/>
        <n x="69" s="1"/>
        <n x="3" s="1"/>
        <n x="70" s="1"/>
        <n x="2" s="1"/>
        <n x="68"/>
        <n x="72"/>
        <n x="38"/>
      </t>
    </mdx>
    <mdx n="0" f="v">
      <t c="8">
        <n x="7" s="1"/>
        <n x="69" s="1"/>
        <n x="3" s="1"/>
        <n x="70" s="1"/>
        <n x="2" s="1"/>
        <n x="68"/>
        <n x="72"/>
        <n x="39"/>
      </t>
    </mdx>
    <mdx n="0" f="v">
      <t c="8">
        <n x="7" s="1"/>
        <n x="69" s="1"/>
        <n x="3" s="1"/>
        <n x="70" s="1"/>
        <n x="2" s="1"/>
        <n x="68"/>
        <n x="72"/>
        <n x="40"/>
      </t>
    </mdx>
    <mdx n="0" f="v">
      <t c="8">
        <n x="7" s="1"/>
        <n x="69" s="1"/>
        <n x="3" s="1"/>
        <n x="70" s="1"/>
        <n x="2" s="1"/>
        <n x="68"/>
        <n x="72"/>
        <n x="41"/>
      </t>
    </mdx>
    <mdx n="0" f="v">
      <t c="8">
        <n x="7" s="1"/>
        <n x="69" s="1"/>
        <n x="3" s="1"/>
        <n x="70" s="1"/>
        <n x="2" s="1"/>
        <n x="68"/>
        <n x="72"/>
        <n x="42"/>
      </t>
    </mdx>
    <mdx n="0" f="v">
      <t c="8">
        <n x="7" s="1"/>
        <n x="69" s="1"/>
        <n x="3" s="1"/>
        <n x="70" s="1"/>
        <n x="2" s="1"/>
        <n x="68"/>
        <n x="72"/>
        <n x="43"/>
      </t>
    </mdx>
    <mdx n="0" f="v">
      <t c="8">
        <n x="7" s="1"/>
        <n x="69" s="1"/>
        <n x="3" s="1"/>
        <n x="70" s="1"/>
        <n x="2" s="1"/>
        <n x="68"/>
        <n x="72"/>
        <n x="44"/>
      </t>
    </mdx>
    <mdx n="0" f="v">
      <t c="8">
        <n x="7" s="1"/>
        <n x="69" s="1"/>
        <n x="3" s="1"/>
        <n x="70" s="1"/>
        <n x="2" s="1"/>
        <n x="68"/>
        <n x="72"/>
        <n x="45"/>
      </t>
    </mdx>
    <mdx n="0" f="v">
      <t c="8">
        <n x="7" s="1"/>
        <n x="69" s="1"/>
        <n x="3" s="1"/>
        <n x="70" s="1"/>
        <n x="2" s="1"/>
        <n x="68"/>
        <n x="72"/>
        <n x="46"/>
      </t>
    </mdx>
    <mdx n="0" f="v">
      <t c="8">
        <n x="7" s="1"/>
        <n x="69" s="1"/>
        <n x="3" s="1"/>
        <n x="70" s="1"/>
        <n x="2" s="1"/>
        <n x="68"/>
        <n x="72"/>
        <n x="47"/>
      </t>
    </mdx>
    <mdx n="0" f="v">
      <t c="8">
        <n x="7" s="1"/>
        <n x="69" s="1"/>
        <n x="3" s="1"/>
        <n x="70" s="1"/>
        <n x="2" s="1"/>
        <n x="68"/>
        <n x="72"/>
        <n x="48"/>
      </t>
    </mdx>
    <mdx n="0" f="v">
      <t c="8">
        <n x="7" s="1"/>
        <n x="69" s="1"/>
        <n x="3" s="1"/>
        <n x="70" s="1"/>
        <n x="2" s="1"/>
        <n x="68"/>
        <n x="72"/>
        <n x="49"/>
      </t>
    </mdx>
    <mdx n="0" f="v">
      <t c="8">
        <n x="7" s="1"/>
        <n x="69" s="1"/>
        <n x="3" s="1"/>
        <n x="70" s="1"/>
        <n x="2" s="1"/>
        <n x="68"/>
        <n x="72"/>
        <n x="50"/>
      </t>
    </mdx>
    <mdx n="0" f="v">
      <t c="8">
        <n x="7" s="1"/>
        <n x="69" s="1"/>
        <n x="3" s="1"/>
        <n x="70" s="1"/>
        <n x="2" s="1"/>
        <n x="68"/>
        <n x="72"/>
        <n x="51"/>
      </t>
    </mdx>
    <mdx n="0" f="v">
      <t c="8">
        <n x="7" s="1"/>
        <n x="69" s="1"/>
        <n x="3" s="1"/>
        <n x="70" s="1"/>
        <n x="2" s="1"/>
        <n x="68"/>
        <n x="72"/>
        <n x="52"/>
      </t>
    </mdx>
    <mdx n="0" f="v">
      <t c="8">
        <n x="7" s="1"/>
        <n x="69" s="1"/>
        <n x="3" s="1"/>
        <n x="70" s="1"/>
        <n x="2" s="1"/>
        <n x="68"/>
        <n x="72"/>
        <n x="53"/>
      </t>
    </mdx>
    <mdx n="0" f="v">
      <t c="8">
        <n x="7" s="1"/>
        <n x="69" s="1"/>
        <n x="3" s="1"/>
        <n x="70" s="1"/>
        <n x="2" s="1"/>
        <n x="68"/>
        <n x="72"/>
        <n x="54"/>
      </t>
    </mdx>
    <mdx n="0" f="v">
      <t c="8">
        <n x="7" s="1"/>
        <n x="69" s="1"/>
        <n x="3" s="1"/>
        <n x="70" s="1"/>
        <n x="2" s="1"/>
        <n x="68"/>
        <n x="72"/>
        <n x="55"/>
      </t>
    </mdx>
    <mdx n="0" f="v">
      <t c="8">
        <n x="7" s="1"/>
        <n x="69" s="1"/>
        <n x="3" s="1"/>
        <n x="70" s="1"/>
        <n x="2" s="1"/>
        <n x="68"/>
        <n x="72"/>
        <n x="56"/>
      </t>
    </mdx>
    <mdx n="0" f="v">
      <t c="8">
        <n x="7" s="1"/>
        <n x="69" s="1"/>
        <n x="3" s="1"/>
        <n x="70" s="1"/>
        <n x="2" s="1"/>
        <n x="68"/>
        <n x="72"/>
        <n x="57"/>
      </t>
    </mdx>
    <mdx n="0" f="v">
      <t c="8">
        <n x="7" s="1"/>
        <n x="69" s="1"/>
        <n x="3" s="1"/>
        <n x="70" s="1"/>
        <n x="2" s="1"/>
        <n x="68"/>
        <n x="72"/>
        <n x="58"/>
      </t>
    </mdx>
    <mdx n="0" f="v">
      <t c="8">
        <n x="7" s="1"/>
        <n x="69" s="1"/>
        <n x="3" s="1"/>
        <n x="70" s="1"/>
        <n x="2" s="1"/>
        <n x="68"/>
        <n x="72"/>
        <n x="59"/>
      </t>
    </mdx>
    <mdx n="0" f="v">
      <t c="8">
        <n x="7" s="1"/>
        <n x="69" s="1"/>
        <n x="3" s="1"/>
        <n x="70" s="1"/>
        <n x="2" s="1"/>
        <n x="68"/>
        <n x="72"/>
        <n x="60"/>
      </t>
    </mdx>
    <mdx n="0" f="v">
      <t c="8">
        <n x="7" s="1"/>
        <n x="69" s="1"/>
        <n x="3" s="1"/>
        <n x="70" s="1"/>
        <n x="2" s="1"/>
        <n x="68"/>
        <n x="72"/>
        <n x="61"/>
      </t>
    </mdx>
    <mdx n="0" f="v">
      <t c="8">
        <n x="7" s="1"/>
        <n x="69" s="1"/>
        <n x="3" s="1"/>
        <n x="70" s="1"/>
        <n x="2" s="1"/>
        <n x="68"/>
        <n x="72"/>
        <n x="62"/>
      </t>
    </mdx>
    <mdx n="0" f="v">
      <t c="8">
        <n x="7" s="1"/>
        <n x="69" s="1"/>
        <n x="3" s="1"/>
        <n x="70" s="1"/>
        <n x="2" s="1"/>
        <n x="68"/>
        <n x="72"/>
        <n x="63"/>
      </t>
    </mdx>
    <mdx n="0" f="v">
      <t c="8">
        <n x="7" s="1"/>
        <n x="69" s="1"/>
        <n x="3" s="1"/>
        <n x="70" s="1"/>
        <n x="2" s="1"/>
        <n x="68"/>
        <n x="72"/>
        <n x="64"/>
      </t>
    </mdx>
    <mdx n="0" f="v">
      <t c="8">
        <n x="7" s="1"/>
        <n x="69" s="1"/>
        <n x="3" s="1"/>
        <n x="70" s="1"/>
        <n x="2" s="1"/>
        <n x="68"/>
        <n x="72"/>
        <n x="65"/>
      </t>
    </mdx>
    <mdx n="0" f="v">
      <t c="8">
        <n x="7" s="1"/>
        <n x="69" s="1"/>
        <n x="3" s="1"/>
        <n x="70" s="1"/>
        <n x="2" s="1"/>
        <n x="68"/>
        <n x="72"/>
        <n x="66"/>
      </t>
    </mdx>
    <mdx n="0" f="v">
      <t c="8">
        <n x="7" s="1"/>
        <n x="69" s="1"/>
        <n x="3" s="1"/>
        <n x="70" s="1"/>
        <n x="2" s="1"/>
        <n x="68"/>
        <n x="73"/>
        <n x="8"/>
      </t>
    </mdx>
    <mdx n="0" f="v">
      <t c="8">
        <n x="7" s="1"/>
        <n x="69" s="1"/>
        <n x="3" s="1"/>
        <n x="70" s="1"/>
        <n x="2" s="1"/>
        <n x="68"/>
        <n x="73"/>
        <n x="9"/>
      </t>
    </mdx>
    <mdx n="0" f="v">
      <t c="8">
        <n x="7" s="1"/>
        <n x="69" s="1"/>
        <n x="3" s="1"/>
        <n x="70" s="1"/>
        <n x="2" s="1"/>
        <n x="68"/>
        <n x="73"/>
        <n x="10"/>
      </t>
    </mdx>
    <mdx n="0" f="v">
      <t c="8">
        <n x="7" s="1"/>
        <n x="69" s="1"/>
        <n x="3" s="1"/>
        <n x="70" s="1"/>
        <n x="2" s="1"/>
        <n x="68"/>
        <n x="73"/>
        <n x="11"/>
      </t>
    </mdx>
    <mdx n="0" f="v">
      <t c="8">
        <n x="7" s="1"/>
        <n x="69" s="1"/>
        <n x="3" s="1"/>
        <n x="70" s="1"/>
        <n x="2" s="1"/>
        <n x="68"/>
        <n x="73"/>
        <n x="12"/>
      </t>
    </mdx>
    <mdx n="0" f="v">
      <t c="8">
        <n x="7" s="1"/>
        <n x="69" s="1"/>
        <n x="3" s="1"/>
        <n x="70" s="1"/>
        <n x="2" s="1"/>
        <n x="68"/>
        <n x="73"/>
        <n x="13"/>
      </t>
    </mdx>
    <mdx n="0" f="v">
      <t c="8">
        <n x="7" s="1"/>
        <n x="69" s="1"/>
        <n x="3" s="1"/>
        <n x="70" s="1"/>
        <n x="2" s="1"/>
        <n x="68"/>
        <n x="73"/>
        <n x="14"/>
      </t>
    </mdx>
    <mdx n="0" f="v">
      <t c="8">
        <n x="7" s="1"/>
        <n x="69" s="1"/>
        <n x="3" s="1"/>
        <n x="70" s="1"/>
        <n x="2" s="1"/>
        <n x="68"/>
        <n x="73"/>
        <n x="15"/>
      </t>
    </mdx>
    <mdx n="0" f="v">
      <t c="8">
        <n x="7" s="1"/>
        <n x="69" s="1"/>
        <n x="3" s="1"/>
        <n x="70" s="1"/>
        <n x="2" s="1"/>
        <n x="68"/>
        <n x="73"/>
        <n x="16"/>
      </t>
    </mdx>
    <mdx n="0" f="v">
      <t c="8">
        <n x="7" s="1"/>
        <n x="69" s="1"/>
        <n x="3" s="1"/>
        <n x="70" s="1"/>
        <n x="2" s="1"/>
        <n x="68"/>
        <n x="73"/>
        <n x="17"/>
      </t>
    </mdx>
    <mdx n="0" f="v">
      <t c="8">
        <n x="7" s="1"/>
        <n x="69" s="1"/>
        <n x="3" s="1"/>
        <n x="70" s="1"/>
        <n x="2" s="1"/>
        <n x="68"/>
        <n x="73"/>
        <n x="18"/>
      </t>
    </mdx>
    <mdx n="0" f="v">
      <t c="8">
        <n x="7" s="1"/>
        <n x="69" s="1"/>
        <n x="3" s="1"/>
        <n x="70" s="1"/>
        <n x="2" s="1"/>
        <n x="68"/>
        <n x="73"/>
        <n x="19"/>
      </t>
    </mdx>
    <mdx n="0" f="v">
      <t c="8">
        <n x="7" s="1"/>
        <n x="69" s="1"/>
        <n x="3" s="1"/>
        <n x="70" s="1"/>
        <n x="2" s="1"/>
        <n x="68"/>
        <n x="73"/>
        <n x="20"/>
      </t>
    </mdx>
    <mdx n="0" f="v">
      <t c="8">
        <n x="7" s="1"/>
        <n x="69" s="1"/>
        <n x="3" s="1"/>
        <n x="70" s="1"/>
        <n x="2" s="1"/>
        <n x="68"/>
        <n x="73"/>
        <n x="21"/>
      </t>
    </mdx>
    <mdx n="0" f="v">
      <t c="8">
        <n x="7" s="1"/>
        <n x="69" s="1"/>
        <n x="3" s="1"/>
        <n x="70" s="1"/>
        <n x="2" s="1"/>
        <n x="68"/>
        <n x="73"/>
        <n x="22"/>
      </t>
    </mdx>
    <mdx n="0" f="v">
      <t c="8">
        <n x="7" s="1"/>
        <n x="69" s="1"/>
        <n x="3" s="1"/>
        <n x="70" s="1"/>
        <n x="2" s="1"/>
        <n x="68"/>
        <n x="73"/>
        <n x="23"/>
      </t>
    </mdx>
    <mdx n="0" f="v">
      <t c="8">
        <n x="7" s="1"/>
        <n x="69" s="1"/>
        <n x="3" s="1"/>
        <n x="70" s="1"/>
        <n x="2" s="1"/>
        <n x="68"/>
        <n x="73"/>
        <n x="24"/>
      </t>
    </mdx>
    <mdx n="0" f="v">
      <t c="8">
        <n x="7" s="1"/>
        <n x="69" s="1"/>
        <n x="3" s="1"/>
        <n x="70" s="1"/>
        <n x="2" s="1"/>
        <n x="68"/>
        <n x="73"/>
        <n x="25"/>
      </t>
    </mdx>
    <mdx n="0" f="v">
      <t c="8">
        <n x="7" s="1"/>
        <n x="69" s="1"/>
        <n x="3" s="1"/>
        <n x="70" s="1"/>
        <n x="2" s="1"/>
        <n x="68"/>
        <n x="73"/>
        <n x="26"/>
      </t>
    </mdx>
    <mdx n="0" f="v">
      <t c="8">
        <n x="7" s="1"/>
        <n x="69" s="1"/>
        <n x="3" s="1"/>
        <n x="70" s="1"/>
        <n x="2" s="1"/>
        <n x="68"/>
        <n x="73"/>
        <n x="27"/>
      </t>
    </mdx>
    <mdx n="0" f="v">
      <t c="8">
        <n x="7" s="1"/>
        <n x="69" s="1"/>
        <n x="3" s="1"/>
        <n x="70" s="1"/>
        <n x="2" s="1"/>
        <n x="68"/>
        <n x="73"/>
        <n x="28"/>
      </t>
    </mdx>
    <mdx n="0" f="v">
      <t c="8">
        <n x="7" s="1"/>
        <n x="69" s="1"/>
        <n x="3" s="1"/>
        <n x="70" s="1"/>
        <n x="2" s="1"/>
        <n x="68"/>
        <n x="73"/>
        <n x="29"/>
      </t>
    </mdx>
    <mdx n="0" f="v">
      <t c="8">
        <n x="7" s="1"/>
        <n x="69" s="1"/>
        <n x="3" s="1"/>
        <n x="70" s="1"/>
        <n x="2" s="1"/>
        <n x="68"/>
        <n x="73"/>
        <n x="30"/>
      </t>
    </mdx>
    <mdx n="0" f="v">
      <t c="8">
        <n x="7" s="1"/>
        <n x="69" s="1"/>
        <n x="3" s="1"/>
        <n x="70" s="1"/>
        <n x="2" s="1"/>
        <n x="68"/>
        <n x="73"/>
        <n x="31"/>
      </t>
    </mdx>
    <mdx n="0" f="v">
      <t c="8">
        <n x="7" s="1"/>
        <n x="69" s="1"/>
        <n x="3" s="1"/>
        <n x="70" s="1"/>
        <n x="2" s="1"/>
        <n x="68"/>
        <n x="73"/>
        <n x="32"/>
      </t>
    </mdx>
    <mdx n="0" f="v">
      <t c="8">
        <n x="7" s="1"/>
        <n x="69" s="1"/>
        <n x="3" s="1"/>
        <n x="70" s="1"/>
        <n x="2" s="1"/>
        <n x="68"/>
        <n x="73"/>
        <n x="33"/>
      </t>
    </mdx>
    <mdx n="0" f="v">
      <t c="8">
        <n x="7" s="1"/>
        <n x="69" s="1"/>
        <n x="3" s="1"/>
        <n x="70" s="1"/>
        <n x="2" s="1"/>
        <n x="68"/>
        <n x="73"/>
        <n x="34"/>
      </t>
    </mdx>
    <mdx n="0" f="v">
      <t c="8">
        <n x="7" s="1"/>
        <n x="69" s="1"/>
        <n x="3" s="1"/>
        <n x="70" s="1"/>
        <n x="2" s="1"/>
        <n x="68"/>
        <n x="73"/>
        <n x="35"/>
      </t>
    </mdx>
    <mdx n="0" f="v">
      <t c="8">
        <n x="7" s="1"/>
        <n x="69" s="1"/>
        <n x="3" s="1"/>
        <n x="70" s="1"/>
        <n x="2" s="1"/>
        <n x="68"/>
        <n x="73"/>
        <n x="36"/>
      </t>
    </mdx>
    <mdx n="0" f="v">
      <t c="8">
        <n x="7" s="1"/>
        <n x="69" s="1"/>
        <n x="3" s="1"/>
        <n x="70" s="1"/>
        <n x="2" s="1"/>
        <n x="68"/>
        <n x="73"/>
        <n x="37"/>
      </t>
    </mdx>
    <mdx n="0" f="v">
      <t c="8">
        <n x="7" s="1"/>
        <n x="69" s="1"/>
        <n x="3" s="1"/>
        <n x="70" s="1"/>
        <n x="2" s="1"/>
        <n x="68"/>
        <n x="73"/>
        <n x="38"/>
      </t>
    </mdx>
    <mdx n="0" f="v">
      <t c="8">
        <n x="7" s="1"/>
        <n x="69" s="1"/>
        <n x="3" s="1"/>
        <n x="70" s="1"/>
        <n x="2" s="1"/>
        <n x="68"/>
        <n x="73"/>
        <n x="39"/>
      </t>
    </mdx>
    <mdx n="0" f="v">
      <t c="8">
        <n x="7" s="1"/>
        <n x="69" s="1"/>
        <n x="3" s="1"/>
        <n x="70" s="1"/>
        <n x="2" s="1"/>
        <n x="68"/>
        <n x="73"/>
        <n x="40"/>
      </t>
    </mdx>
    <mdx n="0" f="v">
      <t c="8">
        <n x="7" s="1"/>
        <n x="69" s="1"/>
        <n x="3" s="1"/>
        <n x="70" s="1"/>
        <n x="2" s="1"/>
        <n x="68"/>
        <n x="73"/>
        <n x="41"/>
      </t>
    </mdx>
    <mdx n="0" f="v">
      <t c="8">
        <n x="7" s="1"/>
        <n x="69" s="1"/>
        <n x="3" s="1"/>
        <n x="70" s="1"/>
        <n x="2" s="1"/>
        <n x="68"/>
        <n x="73"/>
        <n x="42"/>
      </t>
    </mdx>
    <mdx n="0" f="v">
      <t c="8">
        <n x="7" s="1"/>
        <n x="69" s="1"/>
        <n x="3" s="1"/>
        <n x="70" s="1"/>
        <n x="2" s="1"/>
        <n x="68"/>
        <n x="73"/>
        <n x="43"/>
      </t>
    </mdx>
    <mdx n="0" f="v">
      <t c="8">
        <n x="7" s="1"/>
        <n x="69" s="1"/>
        <n x="3" s="1"/>
        <n x="70" s="1"/>
        <n x="2" s="1"/>
        <n x="68"/>
        <n x="73"/>
        <n x="44"/>
      </t>
    </mdx>
    <mdx n="0" f="v">
      <t c="8">
        <n x="7" s="1"/>
        <n x="69" s="1"/>
        <n x="3" s="1"/>
        <n x="70" s="1"/>
        <n x="2" s="1"/>
        <n x="68"/>
        <n x="73"/>
        <n x="45"/>
      </t>
    </mdx>
    <mdx n="0" f="v">
      <t c="8">
        <n x="7" s="1"/>
        <n x="69" s="1"/>
        <n x="3" s="1"/>
        <n x="70" s="1"/>
        <n x="2" s="1"/>
        <n x="68"/>
        <n x="73"/>
        <n x="46"/>
      </t>
    </mdx>
    <mdx n="0" f="v">
      <t c="8">
        <n x="7" s="1"/>
        <n x="69" s="1"/>
        <n x="3" s="1"/>
        <n x="70" s="1"/>
        <n x="2" s="1"/>
        <n x="68"/>
        <n x="73"/>
        <n x="47"/>
      </t>
    </mdx>
    <mdx n="0" f="v">
      <t c="8">
        <n x="7" s="1"/>
        <n x="69" s="1"/>
        <n x="3" s="1"/>
        <n x="70" s="1"/>
        <n x="2" s="1"/>
        <n x="68"/>
        <n x="73"/>
        <n x="48"/>
      </t>
    </mdx>
    <mdx n="0" f="v">
      <t c="8">
        <n x="7" s="1"/>
        <n x="69" s="1"/>
        <n x="3" s="1"/>
        <n x="70" s="1"/>
        <n x="2" s="1"/>
        <n x="68"/>
        <n x="73"/>
        <n x="49"/>
      </t>
    </mdx>
    <mdx n="0" f="v">
      <t c="8">
        <n x="7" s="1"/>
        <n x="69" s="1"/>
        <n x="3" s="1"/>
        <n x="70" s="1"/>
        <n x="2" s="1"/>
        <n x="68"/>
        <n x="73"/>
        <n x="50"/>
      </t>
    </mdx>
    <mdx n="0" f="v">
      <t c="8">
        <n x="7" s="1"/>
        <n x="69" s="1"/>
        <n x="3" s="1"/>
        <n x="70" s="1"/>
        <n x="2" s="1"/>
        <n x="68"/>
        <n x="73"/>
        <n x="51"/>
      </t>
    </mdx>
    <mdx n="0" f="v">
      <t c="8">
        <n x="7" s="1"/>
        <n x="69" s="1"/>
        <n x="3" s="1"/>
        <n x="70" s="1"/>
        <n x="2" s="1"/>
        <n x="68"/>
        <n x="73"/>
        <n x="52"/>
      </t>
    </mdx>
    <mdx n="0" f="v">
      <t c="8">
        <n x="7" s="1"/>
        <n x="69" s="1"/>
        <n x="3" s="1"/>
        <n x="70" s="1"/>
        <n x="2" s="1"/>
        <n x="68"/>
        <n x="73"/>
        <n x="53"/>
      </t>
    </mdx>
    <mdx n="0" f="v">
      <t c="8">
        <n x="7" s="1"/>
        <n x="69" s="1"/>
        <n x="3" s="1"/>
        <n x="70" s="1"/>
        <n x="2" s="1"/>
        <n x="68"/>
        <n x="73"/>
        <n x="54"/>
      </t>
    </mdx>
    <mdx n="0" f="v">
      <t c="8">
        <n x="7" s="1"/>
        <n x="69" s="1"/>
        <n x="3" s="1"/>
        <n x="70" s="1"/>
        <n x="2" s="1"/>
        <n x="68"/>
        <n x="73"/>
        <n x="55"/>
      </t>
    </mdx>
    <mdx n="0" f="v">
      <t c="8">
        <n x="7" s="1"/>
        <n x="69" s="1"/>
        <n x="3" s="1"/>
        <n x="70" s="1"/>
        <n x="2" s="1"/>
        <n x="68"/>
        <n x="73"/>
        <n x="56"/>
      </t>
    </mdx>
    <mdx n="0" f="v">
      <t c="8">
        <n x="7" s="1"/>
        <n x="69" s="1"/>
        <n x="3" s="1"/>
        <n x="70" s="1"/>
        <n x="2" s="1"/>
        <n x="68"/>
        <n x="73"/>
        <n x="57"/>
      </t>
    </mdx>
    <mdx n="0" f="v">
      <t c="8">
        <n x="7" s="1"/>
        <n x="69" s="1"/>
        <n x="3" s="1"/>
        <n x="70" s="1"/>
        <n x="2" s="1"/>
        <n x="68"/>
        <n x="73"/>
        <n x="58"/>
      </t>
    </mdx>
    <mdx n="0" f="v">
      <t c="8">
        <n x="7" s="1"/>
        <n x="69" s="1"/>
        <n x="3" s="1"/>
        <n x="70" s="1"/>
        <n x="2" s="1"/>
        <n x="68"/>
        <n x="73"/>
        <n x="59"/>
      </t>
    </mdx>
    <mdx n="0" f="v">
      <t c="8">
        <n x="7" s="1"/>
        <n x="69" s="1"/>
        <n x="3" s="1"/>
        <n x="70" s="1"/>
        <n x="2" s="1"/>
        <n x="68"/>
        <n x="73"/>
        <n x="60"/>
      </t>
    </mdx>
    <mdx n="0" f="v">
      <t c="8">
        <n x="7" s="1"/>
        <n x="69" s="1"/>
        <n x="3" s="1"/>
        <n x="70" s="1"/>
        <n x="2" s="1"/>
        <n x="68"/>
        <n x="73"/>
        <n x="61"/>
      </t>
    </mdx>
    <mdx n="0" f="v">
      <t c="8">
        <n x="7" s="1"/>
        <n x="69" s="1"/>
        <n x="3" s="1"/>
        <n x="70" s="1"/>
        <n x="2" s="1"/>
        <n x="68"/>
        <n x="73"/>
        <n x="62"/>
      </t>
    </mdx>
    <mdx n="0" f="v">
      <t c="8">
        <n x="7" s="1"/>
        <n x="69" s="1"/>
        <n x="3" s="1"/>
        <n x="70" s="1"/>
        <n x="2" s="1"/>
        <n x="68"/>
        <n x="73"/>
        <n x="63"/>
      </t>
    </mdx>
    <mdx n="0" f="v">
      <t c="8">
        <n x="7" s="1"/>
        <n x="69" s="1"/>
        <n x="3" s="1"/>
        <n x="70" s="1"/>
        <n x="2" s="1"/>
        <n x="68"/>
        <n x="73"/>
        <n x="64"/>
      </t>
    </mdx>
    <mdx n="0" f="v">
      <t c="8">
        <n x="7" s="1"/>
        <n x="69" s="1"/>
        <n x="3" s="1"/>
        <n x="70" s="1"/>
        <n x="2" s="1"/>
        <n x="68"/>
        <n x="73"/>
        <n x="65"/>
      </t>
    </mdx>
    <mdx n="0" f="v">
      <t c="8">
        <n x="7" s="1"/>
        <n x="69" s="1"/>
        <n x="3" s="1"/>
        <n x="70" s="1"/>
        <n x="2" s="1"/>
        <n x="68"/>
        <n x="73"/>
        <n x="66"/>
      </t>
    </mdx>
    <mdx n="0" f="v">
      <t c="8">
        <n x="7" s="1"/>
        <n x="69" s="1"/>
        <n x="3" s="1"/>
        <n x="70" s="1"/>
        <n x="2" s="1"/>
        <n x="68"/>
        <n x="74"/>
        <n x="8"/>
      </t>
    </mdx>
    <mdx n="0" f="v">
      <t c="8">
        <n x="7" s="1"/>
        <n x="69" s="1"/>
        <n x="3" s="1"/>
        <n x="70" s="1"/>
        <n x="2" s="1"/>
        <n x="68"/>
        <n x="74"/>
        <n x="9"/>
      </t>
    </mdx>
    <mdx n="0" f="v">
      <t c="8">
        <n x="7" s="1"/>
        <n x="69" s="1"/>
        <n x="3" s="1"/>
        <n x="70" s="1"/>
        <n x="2" s="1"/>
        <n x="68"/>
        <n x="74"/>
        <n x="10"/>
      </t>
    </mdx>
    <mdx n="0" f="v">
      <t c="8">
        <n x="7" s="1"/>
        <n x="69" s="1"/>
        <n x="3" s="1"/>
        <n x="70" s="1"/>
        <n x="2" s="1"/>
        <n x="68"/>
        <n x="74"/>
        <n x="11"/>
      </t>
    </mdx>
    <mdx n="0" f="v">
      <t c="8">
        <n x="7" s="1"/>
        <n x="69" s="1"/>
        <n x="3" s="1"/>
        <n x="70" s="1"/>
        <n x="2" s="1"/>
        <n x="68"/>
        <n x="74"/>
        <n x="12"/>
      </t>
    </mdx>
    <mdx n="0" f="v">
      <t c="8">
        <n x="7" s="1"/>
        <n x="69" s="1"/>
        <n x="3" s="1"/>
        <n x="70" s="1"/>
        <n x="2" s="1"/>
        <n x="68"/>
        <n x="74"/>
        <n x="13"/>
      </t>
    </mdx>
    <mdx n="0" f="v">
      <t c="8">
        <n x="7" s="1"/>
        <n x="69" s="1"/>
        <n x="3" s="1"/>
        <n x="70" s="1"/>
        <n x="2" s="1"/>
        <n x="68"/>
        <n x="74"/>
        <n x="14"/>
      </t>
    </mdx>
    <mdx n="0" f="v">
      <t c="8">
        <n x="7" s="1"/>
        <n x="69" s="1"/>
        <n x="3" s="1"/>
        <n x="70" s="1"/>
        <n x="2" s="1"/>
        <n x="68"/>
        <n x="74"/>
        <n x="15"/>
      </t>
    </mdx>
    <mdx n="0" f="v">
      <t c="8">
        <n x="7" s="1"/>
        <n x="69" s="1"/>
        <n x="3" s="1"/>
        <n x="70" s="1"/>
        <n x="2" s="1"/>
        <n x="68"/>
        <n x="74"/>
        <n x="16"/>
      </t>
    </mdx>
    <mdx n="0" f="v">
      <t c="8">
        <n x="7" s="1"/>
        <n x="69" s="1"/>
        <n x="3" s="1"/>
        <n x="70" s="1"/>
        <n x="2" s="1"/>
        <n x="68"/>
        <n x="74"/>
        <n x="17"/>
      </t>
    </mdx>
    <mdx n="0" f="v">
      <t c="8">
        <n x="7" s="1"/>
        <n x="69" s="1"/>
        <n x="3" s="1"/>
        <n x="70" s="1"/>
        <n x="2" s="1"/>
        <n x="68"/>
        <n x="74"/>
        <n x="18"/>
      </t>
    </mdx>
    <mdx n="0" f="v">
      <t c="8">
        <n x="7" s="1"/>
        <n x="69" s="1"/>
        <n x="3" s="1"/>
        <n x="70" s="1"/>
        <n x="2" s="1"/>
        <n x="68"/>
        <n x="74"/>
        <n x="19"/>
      </t>
    </mdx>
    <mdx n="0" f="v">
      <t c="8">
        <n x="7" s="1"/>
        <n x="69" s="1"/>
        <n x="3" s="1"/>
        <n x="70" s="1"/>
        <n x="2" s="1"/>
        <n x="68"/>
        <n x="74"/>
        <n x="20"/>
      </t>
    </mdx>
    <mdx n="0" f="v">
      <t c="8">
        <n x="7" s="1"/>
        <n x="69" s="1"/>
        <n x="3" s="1"/>
        <n x="70" s="1"/>
        <n x="2" s="1"/>
        <n x="68"/>
        <n x="74"/>
        <n x="21"/>
      </t>
    </mdx>
    <mdx n="0" f="v">
      <t c="8">
        <n x="7" s="1"/>
        <n x="69" s="1"/>
        <n x="3" s="1"/>
        <n x="70" s="1"/>
        <n x="2" s="1"/>
        <n x="68"/>
        <n x="74"/>
        <n x="22"/>
      </t>
    </mdx>
    <mdx n="0" f="v">
      <t c="8">
        <n x="7" s="1"/>
        <n x="69" s="1"/>
        <n x="3" s="1"/>
        <n x="70" s="1"/>
        <n x="2" s="1"/>
        <n x="68"/>
        <n x="74"/>
        <n x="23"/>
      </t>
    </mdx>
    <mdx n="0" f="v">
      <t c="8">
        <n x="7" s="1"/>
        <n x="69" s="1"/>
        <n x="3" s="1"/>
        <n x="70" s="1"/>
        <n x="2" s="1"/>
        <n x="68"/>
        <n x="74"/>
        <n x="24"/>
      </t>
    </mdx>
    <mdx n="0" f="v">
      <t c="8">
        <n x="7" s="1"/>
        <n x="69" s="1"/>
        <n x="3" s="1"/>
        <n x="70" s="1"/>
        <n x="2" s="1"/>
        <n x="68"/>
        <n x="74"/>
        <n x="25"/>
      </t>
    </mdx>
    <mdx n="0" f="v">
      <t c="8">
        <n x="7" s="1"/>
        <n x="69" s="1"/>
        <n x="3" s="1"/>
        <n x="70" s="1"/>
        <n x="2" s="1"/>
        <n x="68"/>
        <n x="74"/>
        <n x="26"/>
      </t>
    </mdx>
    <mdx n="0" f="v">
      <t c="8">
        <n x="7" s="1"/>
        <n x="69" s="1"/>
        <n x="3" s="1"/>
        <n x="70" s="1"/>
        <n x="2" s="1"/>
        <n x="68"/>
        <n x="74"/>
        <n x="27"/>
      </t>
    </mdx>
    <mdx n="0" f="v">
      <t c="8">
        <n x="7" s="1"/>
        <n x="69" s="1"/>
        <n x="3" s="1"/>
        <n x="70" s="1"/>
        <n x="2" s="1"/>
        <n x="68"/>
        <n x="74"/>
        <n x="28"/>
      </t>
    </mdx>
    <mdx n="0" f="v">
      <t c="8">
        <n x="7" s="1"/>
        <n x="69" s="1"/>
        <n x="3" s="1"/>
        <n x="70" s="1"/>
        <n x="2" s="1"/>
        <n x="68"/>
        <n x="74"/>
        <n x="29"/>
      </t>
    </mdx>
    <mdx n="0" f="v">
      <t c="8">
        <n x="7" s="1"/>
        <n x="69" s="1"/>
        <n x="3" s="1"/>
        <n x="70" s="1"/>
        <n x="2" s="1"/>
        <n x="68"/>
        <n x="74"/>
        <n x="30"/>
      </t>
    </mdx>
    <mdx n="0" f="v">
      <t c="8">
        <n x="7" s="1"/>
        <n x="69" s="1"/>
        <n x="3" s="1"/>
        <n x="70" s="1"/>
        <n x="2" s="1"/>
        <n x="68"/>
        <n x="74"/>
        <n x="31"/>
      </t>
    </mdx>
    <mdx n="0" f="v">
      <t c="8">
        <n x="7" s="1"/>
        <n x="69" s="1"/>
        <n x="3" s="1"/>
        <n x="70" s="1"/>
        <n x="2" s="1"/>
        <n x="68"/>
        <n x="74"/>
        <n x="32"/>
      </t>
    </mdx>
    <mdx n="0" f="v">
      <t c="8">
        <n x="7" s="1"/>
        <n x="69" s="1"/>
        <n x="3" s="1"/>
        <n x="70" s="1"/>
        <n x="2" s="1"/>
        <n x="68"/>
        <n x="74"/>
        <n x="33"/>
      </t>
    </mdx>
    <mdx n="0" f="v">
      <t c="8">
        <n x="7" s="1"/>
        <n x="69" s="1"/>
        <n x="3" s="1"/>
        <n x="70" s="1"/>
        <n x="2" s="1"/>
        <n x="68"/>
        <n x="74"/>
        <n x="34"/>
      </t>
    </mdx>
    <mdx n="0" f="v">
      <t c="8">
        <n x="7" s="1"/>
        <n x="69" s="1"/>
        <n x="3" s="1"/>
        <n x="70" s="1"/>
        <n x="2" s="1"/>
        <n x="68"/>
        <n x="74"/>
        <n x="35"/>
      </t>
    </mdx>
    <mdx n="0" f="v">
      <t c="8">
        <n x="7" s="1"/>
        <n x="69" s="1"/>
        <n x="3" s="1"/>
        <n x="70" s="1"/>
        <n x="2" s="1"/>
        <n x="68"/>
        <n x="74"/>
        <n x="36"/>
      </t>
    </mdx>
    <mdx n="0" f="v">
      <t c="8">
        <n x="7" s="1"/>
        <n x="69" s="1"/>
        <n x="3" s="1"/>
        <n x="70" s="1"/>
        <n x="2" s="1"/>
        <n x="68"/>
        <n x="74"/>
        <n x="37"/>
      </t>
    </mdx>
    <mdx n="0" f="v">
      <t c="8">
        <n x="7" s="1"/>
        <n x="69" s="1"/>
        <n x="3" s="1"/>
        <n x="70" s="1"/>
        <n x="2" s="1"/>
        <n x="68"/>
        <n x="74"/>
        <n x="38"/>
      </t>
    </mdx>
    <mdx n="0" f="v">
      <t c="8">
        <n x="7" s="1"/>
        <n x="69" s="1"/>
        <n x="3" s="1"/>
        <n x="70" s="1"/>
        <n x="2" s="1"/>
        <n x="68"/>
        <n x="74"/>
        <n x="39"/>
      </t>
    </mdx>
    <mdx n="0" f="v">
      <t c="8">
        <n x="7" s="1"/>
        <n x="69" s="1"/>
        <n x="3" s="1"/>
        <n x="70" s="1"/>
        <n x="2" s="1"/>
        <n x="68"/>
        <n x="74"/>
        <n x="40"/>
      </t>
    </mdx>
    <mdx n="0" f="v">
      <t c="8">
        <n x="7" s="1"/>
        <n x="69" s="1"/>
        <n x="3" s="1"/>
        <n x="70" s="1"/>
        <n x="2" s="1"/>
        <n x="68"/>
        <n x="74"/>
        <n x="41"/>
      </t>
    </mdx>
    <mdx n="0" f="v">
      <t c="8">
        <n x="7" s="1"/>
        <n x="69" s="1"/>
        <n x="3" s="1"/>
        <n x="70" s="1"/>
        <n x="2" s="1"/>
        <n x="68"/>
        <n x="74"/>
        <n x="42"/>
      </t>
    </mdx>
    <mdx n="0" f="v">
      <t c="8">
        <n x="7" s="1"/>
        <n x="69" s="1"/>
        <n x="3" s="1"/>
        <n x="70" s="1"/>
        <n x="2" s="1"/>
        <n x="68"/>
        <n x="74"/>
        <n x="43"/>
      </t>
    </mdx>
    <mdx n="0" f="v">
      <t c="8">
        <n x="7" s="1"/>
        <n x="69" s="1"/>
        <n x="3" s="1"/>
        <n x="70" s="1"/>
        <n x="2" s="1"/>
        <n x="68"/>
        <n x="74"/>
        <n x="44"/>
      </t>
    </mdx>
    <mdx n="0" f="v">
      <t c="8">
        <n x="7" s="1"/>
        <n x="69" s="1"/>
        <n x="3" s="1"/>
        <n x="70" s="1"/>
        <n x="2" s="1"/>
        <n x="68"/>
        <n x="74"/>
        <n x="45"/>
      </t>
    </mdx>
    <mdx n="0" f="v">
      <t c="8">
        <n x="7" s="1"/>
        <n x="69" s="1"/>
        <n x="3" s="1"/>
        <n x="70" s="1"/>
        <n x="2" s="1"/>
        <n x="68"/>
        <n x="74"/>
        <n x="46"/>
      </t>
    </mdx>
    <mdx n="0" f="v">
      <t c="8">
        <n x="7" s="1"/>
        <n x="69" s="1"/>
        <n x="3" s="1"/>
        <n x="70" s="1"/>
        <n x="2" s="1"/>
        <n x="68"/>
        <n x="74"/>
        <n x="47"/>
      </t>
    </mdx>
    <mdx n="0" f="v">
      <t c="8">
        <n x="7" s="1"/>
        <n x="69" s="1"/>
        <n x="3" s="1"/>
        <n x="70" s="1"/>
        <n x="2" s="1"/>
        <n x="68"/>
        <n x="74"/>
        <n x="48"/>
      </t>
    </mdx>
    <mdx n="0" f="v">
      <t c="8">
        <n x="7" s="1"/>
        <n x="69" s="1"/>
        <n x="3" s="1"/>
        <n x="70" s="1"/>
        <n x="2" s="1"/>
        <n x="68"/>
        <n x="74"/>
        <n x="49"/>
      </t>
    </mdx>
    <mdx n="0" f="v">
      <t c="8">
        <n x="7" s="1"/>
        <n x="69" s="1"/>
        <n x="3" s="1"/>
        <n x="70" s="1"/>
        <n x="2" s="1"/>
        <n x="68"/>
        <n x="74"/>
        <n x="50"/>
      </t>
    </mdx>
    <mdx n="0" f="v">
      <t c="8">
        <n x="7" s="1"/>
        <n x="69" s="1"/>
        <n x="3" s="1"/>
        <n x="70" s="1"/>
        <n x="2" s="1"/>
        <n x="68"/>
        <n x="74"/>
        <n x="51"/>
      </t>
    </mdx>
    <mdx n="0" f="v">
      <t c="8">
        <n x="7" s="1"/>
        <n x="69" s="1"/>
        <n x="3" s="1"/>
        <n x="70" s="1"/>
        <n x="2" s="1"/>
        <n x="68"/>
        <n x="74"/>
        <n x="52"/>
      </t>
    </mdx>
    <mdx n="0" f="v">
      <t c="8">
        <n x="7" s="1"/>
        <n x="69" s="1"/>
        <n x="3" s="1"/>
        <n x="70" s="1"/>
        <n x="2" s="1"/>
        <n x="68"/>
        <n x="74"/>
        <n x="53"/>
      </t>
    </mdx>
    <mdx n="0" f="v">
      <t c="8">
        <n x="7" s="1"/>
        <n x="69" s="1"/>
        <n x="3" s="1"/>
        <n x="70" s="1"/>
        <n x="2" s="1"/>
        <n x="68"/>
        <n x="74"/>
        <n x="54"/>
      </t>
    </mdx>
    <mdx n="0" f="v">
      <t c="8">
        <n x="7" s="1"/>
        <n x="69" s="1"/>
        <n x="3" s="1"/>
        <n x="70" s="1"/>
        <n x="2" s="1"/>
        <n x="68"/>
        <n x="74"/>
        <n x="55"/>
      </t>
    </mdx>
    <mdx n="0" f="v">
      <t c="8">
        <n x="7" s="1"/>
        <n x="69" s="1"/>
        <n x="3" s="1"/>
        <n x="70" s="1"/>
        <n x="2" s="1"/>
        <n x="68"/>
        <n x="74"/>
        <n x="56"/>
      </t>
    </mdx>
    <mdx n="0" f="v">
      <t c="8">
        <n x="7" s="1"/>
        <n x="69" s="1"/>
        <n x="3" s="1"/>
        <n x="70" s="1"/>
        <n x="2" s="1"/>
        <n x="68"/>
        <n x="74"/>
        <n x="57"/>
      </t>
    </mdx>
    <mdx n="0" f="v">
      <t c="8">
        <n x="7" s="1"/>
        <n x="69" s="1"/>
        <n x="3" s="1"/>
        <n x="70" s="1"/>
        <n x="2" s="1"/>
        <n x="68"/>
        <n x="74"/>
        <n x="58"/>
      </t>
    </mdx>
    <mdx n="0" f="v">
      <t c="8">
        <n x="7" s="1"/>
        <n x="69" s="1"/>
        <n x="3" s="1"/>
        <n x="70" s="1"/>
        <n x="2" s="1"/>
        <n x="68"/>
        <n x="74"/>
        <n x="59"/>
      </t>
    </mdx>
    <mdx n="0" f="v">
      <t c="8">
        <n x="7" s="1"/>
        <n x="69" s="1"/>
        <n x="3" s="1"/>
        <n x="70" s="1"/>
        <n x="2" s="1"/>
        <n x="68"/>
        <n x="74"/>
        <n x="60"/>
      </t>
    </mdx>
    <mdx n="0" f="v">
      <t c="8">
        <n x="7" s="1"/>
        <n x="69" s="1"/>
        <n x="3" s="1"/>
        <n x="70" s="1"/>
        <n x="2" s="1"/>
        <n x="68"/>
        <n x="74"/>
        <n x="61"/>
      </t>
    </mdx>
    <mdx n="0" f="v">
      <t c="8">
        <n x="7" s="1"/>
        <n x="69" s="1"/>
        <n x="3" s="1"/>
        <n x="70" s="1"/>
        <n x="2" s="1"/>
        <n x="68"/>
        <n x="74"/>
        <n x="62"/>
      </t>
    </mdx>
    <mdx n="0" f="v">
      <t c="8">
        <n x="7" s="1"/>
        <n x="69" s="1"/>
        <n x="3" s="1"/>
        <n x="70" s="1"/>
        <n x="2" s="1"/>
        <n x="68"/>
        <n x="74"/>
        <n x="63"/>
      </t>
    </mdx>
    <mdx n="0" f="v">
      <t c="8">
        <n x="7" s="1"/>
        <n x="69" s="1"/>
        <n x="3" s="1"/>
        <n x="70" s="1"/>
        <n x="2" s="1"/>
        <n x="68"/>
        <n x="74"/>
        <n x="64"/>
      </t>
    </mdx>
    <mdx n="0" f="v">
      <t c="8">
        <n x="7" s="1"/>
        <n x="69" s="1"/>
        <n x="3" s="1"/>
        <n x="70" s="1"/>
        <n x="2" s="1"/>
        <n x="68"/>
        <n x="74"/>
        <n x="65"/>
      </t>
    </mdx>
    <mdx n="0" f="v">
      <t c="8">
        <n x="7" s="1"/>
        <n x="69" s="1"/>
        <n x="3" s="1"/>
        <n x="70" s="1"/>
        <n x="2" s="1"/>
        <n x="68"/>
        <n x="74"/>
        <n x="66"/>
      </t>
    </mdx>
    <mdx n="0" f="v">
      <t c="8">
        <n x="7" s="1"/>
        <n x="69" s="1"/>
        <n x="3" s="1"/>
        <n x="70" s="1"/>
        <n x="2" s="1"/>
        <n x="68"/>
        <n x="75"/>
        <n x="8"/>
      </t>
    </mdx>
    <mdx n="0" f="v">
      <t c="8">
        <n x="7" s="1"/>
        <n x="69" s="1"/>
        <n x="3" s="1"/>
        <n x="70" s="1"/>
        <n x="2" s="1"/>
        <n x="68"/>
        <n x="75"/>
        <n x="9"/>
      </t>
    </mdx>
    <mdx n="0" f="v">
      <t c="8">
        <n x="7" s="1"/>
        <n x="69" s="1"/>
        <n x="3" s="1"/>
        <n x="70" s="1"/>
        <n x="2" s="1"/>
        <n x="68"/>
        <n x="75"/>
        <n x="10"/>
      </t>
    </mdx>
    <mdx n="0" f="v">
      <t c="8">
        <n x="7" s="1"/>
        <n x="69" s="1"/>
        <n x="3" s="1"/>
        <n x="70" s="1"/>
        <n x="2" s="1"/>
        <n x="68"/>
        <n x="75"/>
        <n x="11"/>
      </t>
    </mdx>
    <mdx n="0" f="v">
      <t c="8">
        <n x="7" s="1"/>
        <n x="69" s="1"/>
        <n x="3" s="1"/>
        <n x="70" s="1"/>
        <n x="2" s="1"/>
        <n x="68"/>
        <n x="75"/>
        <n x="12"/>
      </t>
    </mdx>
    <mdx n="0" f="v">
      <t c="8">
        <n x="7" s="1"/>
        <n x="69" s="1"/>
        <n x="3" s="1"/>
        <n x="70" s="1"/>
        <n x="2" s="1"/>
        <n x="68"/>
        <n x="75"/>
        <n x="13"/>
      </t>
    </mdx>
    <mdx n="0" f="v">
      <t c="8">
        <n x="7" s="1"/>
        <n x="69" s="1"/>
        <n x="3" s="1"/>
        <n x="70" s="1"/>
        <n x="2" s="1"/>
        <n x="68"/>
        <n x="75"/>
        <n x="14"/>
      </t>
    </mdx>
    <mdx n="0" f="v">
      <t c="8">
        <n x="7" s="1"/>
        <n x="69" s="1"/>
        <n x="3" s="1"/>
        <n x="70" s="1"/>
        <n x="2" s="1"/>
        <n x="68"/>
        <n x="75"/>
        <n x="15"/>
      </t>
    </mdx>
    <mdx n="0" f="v">
      <t c="8">
        <n x="7" s="1"/>
        <n x="69" s="1"/>
        <n x="3" s="1"/>
        <n x="70" s="1"/>
        <n x="2" s="1"/>
        <n x="68"/>
        <n x="75"/>
        <n x="16"/>
      </t>
    </mdx>
    <mdx n="0" f="v">
      <t c="8">
        <n x="7" s="1"/>
        <n x="69" s="1"/>
        <n x="3" s="1"/>
        <n x="70" s="1"/>
        <n x="2" s="1"/>
        <n x="68"/>
        <n x="75"/>
        <n x="17"/>
      </t>
    </mdx>
    <mdx n="0" f="v">
      <t c="8">
        <n x="7" s="1"/>
        <n x="69" s="1"/>
        <n x="3" s="1"/>
        <n x="70" s="1"/>
        <n x="2" s="1"/>
        <n x="68"/>
        <n x="75"/>
        <n x="18"/>
      </t>
    </mdx>
    <mdx n="0" f="v">
      <t c="8">
        <n x="7" s="1"/>
        <n x="69" s="1"/>
        <n x="3" s="1"/>
        <n x="70" s="1"/>
        <n x="2" s="1"/>
        <n x="68"/>
        <n x="75"/>
        <n x="19"/>
      </t>
    </mdx>
    <mdx n="0" f="v">
      <t c="8">
        <n x="7" s="1"/>
        <n x="69" s="1"/>
        <n x="3" s="1"/>
        <n x="70" s="1"/>
        <n x="2" s="1"/>
        <n x="68"/>
        <n x="75"/>
        <n x="20"/>
      </t>
    </mdx>
    <mdx n="0" f="v">
      <t c="8">
        <n x="7" s="1"/>
        <n x="69" s="1"/>
        <n x="3" s="1"/>
        <n x="70" s="1"/>
        <n x="2" s="1"/>
        <n x="68"/>
        <n x="75"/>
        <n x="21"/>
      </t>
    </mdx>
    <mdx n="0" f="v">
      <t c="8">
        <n x="7" s="1"/>
        <n x="69" s="1"/>
        <n x="3" s="1"/>
        <n x="70" s="1"/>
        <n x="2" s="1"/>
        <n x="68"/>
        <n x="75"/>
        <n x="22"/>
      </t>
    </mdx>
    <mdx n="0" f="v">
      <t c="8">
        <n x="7" s="1"/>
        <n x="69" s="1"/>
        <n x="3" s="1"/>
        <n x="70" s="1"/>
        <n x="2" s="1"/>
        <n x="68"/>
        <n x="75"/>
        <n x="23"/>
      </t>
    </mdx>
    <mdx n="0" f="v">
      <t c="8">
        <n x="7" s="1"/>
        <n x="69" s="1"/>
        <n x="3" s="1"/>
        <n x="70" s="1"/>
        <n x="2" s="1"/>
        <n x="68"/>
        <n x="75"/>
        <n x="24"/>
      </t>
    </mdx>
    <mdx n="0" f="v">
      <t c="8">
        <n x="7" s="1"/>
        <n x="69" s="1"/>
        <n x="3" s="1"/>
        <n x="70" s="1"/>
        <n x="2" s="1"/>
        <n x="68"/>
        <n x="75"/>
        <n x="25"/>
      </t>
    </mdx>
    <mdx n="0" f="v">
      <t c="8">
        <n x="7" s="1"/>
        <n x="69" s="1"/>
        <n x="3" s="1"/>
        <n x="70" s="1"/>
        <n x="2" s="1"/>
        <n x="68"/>
        <n x="75"/>
        <n x="26"/>
      </t>
    </mdx>
    <mdx n="0" f="v">
      <t c="8">
        <n x="7" s="1"/>
        <n x="69" s="1"/>
        <n x="3" s="1"/>
        <n x="70" s="1"/>
        <n x="2" s="1"/>
        <n x="68"/>
        <n x="75"/>
        <n x="27"/>
      </t>
    </mdx>
    <mdx n="0" f="v">
      <t c="8">
        <n x="7" s="1"/>
        <n x="69" s="1"/>
        <n x="3" s="1"/>
        <n x="70" s="1"/>
        <n x="2" s="1"/>
        <n x="68"/>
        <n x="75"/>
        <n x="28"/>
      </t>
    </mdx>
    <mdx n="0" f="v">
      <t c="8">
        <n x="7" s="1"/>
        <n x="69" s="1"/>
        <n x="3" s="1"/>
        <n x="70" s="1"/>
        <n x="2" s="1"/>
        <n x="68"/>
        <n x="75"/>
        <n x="29"/>
      </t>
    </mdx>
    <mdx n="0" f="v">
      <t c="8">
        <n x="7" s="1"/>
        <n x="69" s="1"/>
        <n x="3" s="1"/>
        <n x="70" s="1"/>
        <n x="2" s="1"/>
        <n x="68"/>
        <n x="75"/>
        <n x="30"/>
      </t>
    </mdx>
    <mdx n="0" f="v">
      <t c="8">
        <n x="7" s="1"/>
        <n x="69" s="1"/>
        <n x="3" s="1"/>
        <n x="70" s="1"/>
        <n x="2" s="1"/>
        <n x="68"/>
        <n x="75"/>
        <n x="31"/>
      </t>
    </mdx>
    <mdx n="0" f="v">
      <t c="8">
        <n x="7" s="1"/>
        <n x="69" s="1"/>
        <n x="3" s="1"/>
        <n x="70" s="1"/>
        <n x="2" s="1"/>
        <n x="68"/>
        <n x="75"/>
        <n x="32"/>
      </t>
    </mdx>
    <mdx n="0" f="v">
      <t c="8">
        <n x="7" s="1"/>
        <n x="69" s="1"/>
        <n x="3" s="1"/>
        <n x="70" s="1"/>
        <n x="2" s="1"/>
        <n x="68"/>
        <n x="75"/>
        <n x="33"/>
      </t>
    </mdx>
    <mdx n="0" f="v">
      <t c="8">
        <n x="7" s="1"/>
        <n x="69" s="1"/>
        <n x="3" s="1"/>
        <n x="70" s="1"/>
        <n x="2" s="1"/>
        <n x="68"/>
        <n x="75"/>
        <n x="34"/>
      </t>
    </mdx>
    <mdx n="0" f="v">
      <t c="8">
        <n x="7" s="1"/>
        <n x="69" s="1"/>
        <n x="3" s="1"/>
        <n x="70" s="1"/>
        <n x="2" s="1"/>
        <n x="68"/>
        <n x="75"/>
        <n x="35"/>
      </t>
    </mdx>
    <mdx n="0" f="v">
      <t c="8">
        <n x="7" s="1"/>
        <n x="69" s="1"/>
        <n x="3" s="1"/>
        <n x="70" s="1"/>
        <n x="2" s="1"/>
        <n x="68"/>
        <n x="75"/>
        <n x="36"/>
      </t>
    </mdx>
    <mdx n="0" f="v">
      <t c="8">
        <n x="7" s="1"/>
        <n x="69" s="1"/>
        <n x="3" s="1"/>
        <n x="70" s="1"/>
        <n x="2" s="1"/>
        <n x="68"/>
        <n x="75"/>
        <n x="37"/>
      </t>
    </mdx>
    <mdx n="0" f="v">
      <t c="8">
        <n x="7" s="1"/>
        <n x="69" s="1"/>
        <n x="3" s="1"/>
        <n x="70" s="1"/>
        <n x="2" s="1"/>
        <n x="68"/>
        <n x="75"/>
        <n x="38"/>
      </t>
    </mdx>
    <mdx n="0" f="v">
      <t c="8">
        <n x="7" s="1"/>
        <n x="69" s="1"/>
        <n x="3" s="1"/>
        <n x="70" s="1"/>
        <n x="2" s="1"/>
        <n x="68"/>
        <n x="75"/>
        <n x="39"/>
      </t>
    </mdx>
    <mdx n="0" f="v">
      <t c="8">
        <n x="7" s="1"/>
        <n x="69" s="1"/>
        <n x="3" s="1"/>
        <n x="70" s="1"/>
        <n x="2" s="1"/>
        <n x="68"/>
        <n x="75"/>
        <n x="40"/>
      </t>
    </mdx>
    <mdx n="0" f="v">
      <t c="8">
        <n x="7" s="1"/>
        <n x="69" s="1"/>
        <n x="3" s="1"/>
        <n x="70" s="1"/>
        <n x="2" s="1"/>
        <n x="68"/>
        <n x="75"/>
        <n x="41"/>
      </t>
    </mdx>
    <mdx n="0" f="v">
      <t c="8">
        <n x="7" s="1"/>
        <n x="69" s="1"/>
        <n x="3" s="1"/>
        <n x="70" s="1"/>
        <n x="2" s="1"/>
        <n x="68"/>
        <n x="75"/>
        <n x="42"/>
      </t>
    </mdx>
    <mdx n="0" f="v">
      <t c="8">
        <n x="7" s="1"/>
        <n x="69" s="1"/>
        <n x="3" s="1"/>
        <n x="70" s="1"/>
        <n x="2" s="1"/>
        <n x="68"/>
        <n x="75"/>
        <n x="43"/>
      </t>
    </mdx>
    <mdx n="0" f="v">
      <t c="8">
        <n x="7" s="1"/>
        <n x="69" s="1"/>
        <n x="3" s="1"/>
        <n x="70" s="1"/>
        <n x="2" s="1"/>
        <n x="68"/>
        <n x="75"/>
        <n x="44"/>
      </t>
    </mdx>
    <mdx n="0" f="v">
      <t c="8">
        <n x="7" s="1"/>
        <n x="69" s="1"/>
        <n x="3" s="1"/>
        <n x="70" s="1"/>
        <n x="2" s="1"/>
        <n x="68"/>
        <n x="75"/>
        <n x="45"/>
      </t>
    </mdx>
    <mdx n="0" f="v">
      <t c="8">
        <n x="7" s="1"/>
        <n x="69" s="1"/>
        <n x="3" s="1"/>
        <n x="70" s="1"/>
        <n x="2" s="1"/>
        <n x="68"/>
        <n x="75"/>
        <n x="46"/>
      </t>
    </mdx>
    <mdx n="0" f="v">
      <t c="8">
        <n x="7" s="1"/>
        <n x="69" s="1"/>
        <n x="3" s="1"/>
        <n x="70" s="1"/>
        <n x="2" s="1"/>
        <n x="68"/>
        <n x="75"/>
        <n x="47"/>
      </t>
    </mdx>
    <mdx n="0" f="v">
      <t c="8">
        <n x="7" s="1"/>
        <n x="69" s="1"/>
        <n x="3" s="1"/>
        <n x="70" s="1"/>
        <n x="2" s="1"/>
        <n x="68"/>
        <n x="75"/>
        <n x="48"/>
      </t>
    </mdx>
    <mdx n="0" f="v">
      <t c="8">
        <n x="7" s="1"/>
        <n x="69" s="1"/>
        <n x="3" s="1"/>
        <n x="70" s="1"/>
        <n x="2" s="1"/>
        <n x="68"/>
        <n x="75"/>
        <n x="49"/>
      </t>
    </mdx>
    <mdx n="0" f="v">
      <t c="8">
        <n x="7" s="1"/>
        <n x="69" s="1"/>
        <n x="3" s="1"/>
        <n x="70" s="1"/>
        <n x="2" s="1"/>
        <n x="68"/>
        <n x="75"/>
        <n x="50"/>
      </t>
    </mdx>
    <mdx n="0" f="v">
      <t c="8">
        <n x="7" s="1"/>
        <n x="69" s="1"/>
        <n x="3" s="1"/>
        <n x="70" s="1"/>
        <n x="2" s="1"/>
        <n x="68"/>
        <n x="75"/>
        <n x="51"/>
      </t>
    </mdx>
    <mdx n="0" f="v">
      <t c="8">
        <n x="7" s="1"/>
        <n x="69" s="1"/>
        <n x="3" s="1"/>
        <n x="70" s="1"/>
        <n x="2" s="1"/>
        <n x="68"/>
        <n x="75"/>
        <n x="52"/>
      </t>
    </mdx>
    <mdx n="0" f="v">
      <t c="8">
        <n x="7" s="1"/>
        <n x="69" s="1"/>
        <n x="3" s="1"/>
        <n x="70" s="1"/>
        <n x="2" s="1"/>
        <n x="68"/>
        <n x="75"/>
        <n x="53"/>
      </t>
    </mdx>
    <mdx n="0" f="v">
      <t c="8">
        <n x="7" s="1"/>
        <n x="69" s="1"/>
        <n x="3" s="1"/>
        <n x="70" s="1"/>
        <n x="2" s="1"/>
        <n x="68"/>
        <n x="75"/>
        <n x="54"/>
      </t>
    </mdx>
    <mdx n="0" f="v">
      <t c="8">
        <n x="7" s="1"/>
        <n x="69" s="1"/>
        <n x="3" s="1"/>
        <n x="70" s="1"/>
        <n x="2" s="1"/>
        <n x="68"/>
        <n x="75"/>
        <n x="55"/>
      </t>
    </mdx>
    <mdx n="0" f="v">
      <t c="8">
        <n x="7" s="1"/>
        <n x="69" s="1"/>
        <n x="3" s="1"/>
        <n x="70" s="1"/>
        <n x="2" s="1"/>
        <n x="68"/>
        <n x="75"/>
        <n x="56"/>
      </t>
    </mdx>
    <mdx n="0" f="v">
      <t c="8">
        <n x="7" s="1"/>
        <n x="69" s="1"/>
        <n x="3" s="1"/>
        <n x="70" s="1"/>
        <n x="2" s="1"/>
        <n x="68"/>
        <n x="75"/>
        <n x="57"/>
      </t>
    </mdx>
    <mdx n="0" f="v">
      <t c="8">
        <n x="7" s="1"/>
        <n x="69" s="1"/>
        <n x="3" s="1"/>
        <n x="70" s="1"/>
        <n x="2" s="1"/>
        <n x="68"/>
        <n x="75"/>
        <n x="58"/>
      </t>
    </mdx>
    <mdx n="0" f="v">
      <t c="8">
        <n x="7" s="1"/>
        <n x="69" s="1"/>
        <n x="3" s="1"/>
        <n x="70" s="1"/>
        <n x="2" s="1"/>
        <n x="68"/>
        <n x="75"/>
        <n x="59"/>
      </t>
    </mdx>
    <mdx n="0" f="v">
      <t c="8">
        <n x="7" s="1"/>
        <n x="69" s="1"/>
        <n x="3" s="1"/>
        <n x="70" s="1"/>
        <n x="2" s="1"/>
        <n x="68"/>
        <n x="75"/>
        <n x="60"/>
      </t>
    </mdx>
    <mdx n="0" f="v">
      <t c="8">
        <n x="7" s="1"/>
        <n x="69" s="1"/>
        <n x="3" s="1"/>
        <n x="70" s="1"/>
        <n x="2" s="1"/>
        <n x="68"/>
        <n x="75"/>
        <n x="61"/>
      </t>
    </mdx>
    <mdx n="0" f="v">
      <t c="8">
        <n x="7" s="1"/>
        <n x="69" s="1"/>
        <n x="3" s="1"/>
        <n x="70" s="1"/>
        <n x="2" s="1"/>
        <n x="68"/>
        <n x="75"/>
        <n x="62"/>
      </t>
    </mdx>
    <mdx n="0" f="v">
      <t c="8">
        <n x="7" s="1"/>
        <n x="69" s="1"/>
        <n x="3" s="1"/>
        <n x="70" s="1"/>
        <n x="2" s="1"/>
        <n x="68"/>
        <n x="75"/>
        <n x="63"/>
      </t>
    </mdx>
    <mdx n="0" f="v">
      <t c="8">
        <n x="7" s="1"/>
        <n x="69" s="1"/>
        <n x="3" s="1"/>
        <n x="70" s="1"/>
        <n x="2" s="1"/>
        <n x="68"/>
        <n x="75"/>
        <n x="64"/>
      </t>
    </mdx>
    <mdx n="0" f="v">
      <t c="8">
        <n x="7" s="1"/>
        <n x="69" s="1"/>
        <n x="3" s="1"/>
        <n x="70" s="1"/>
        <n x="2" s="1"/>
        <n x="68"/>
        <n x="75"/>
        <n x="65"/>
      </t>
    </mdx>
    <mdx n="0" f="v">
      <t c="8">
        <n x="7" s="1"/>
        <n x="69" s="1"/>
        <n x="3" s="1"/>
        <n x="70" s="1"/>
        <n x="2" s="1"/>
        <n x="68"/>
        <n x="75"/>
        <n x="66"/>
      </t>
    </mdx>
    <mdx n="0" f="v">
      <t c="8">
        <n x="7" s="1"/>
        <n x="69" s="1"/>
        <n x="3" s="1"/>
        <n x="70" s="1"/>
        <n x="2" s="1"/>
        <n x="68"/>
        <n x="76"/>
        <n x="8"/>
      </t>
    </mdx>
    <mdx n="0" f="v">
      <t c="8">
        <n x="7" s="1"/>
        <n x="69" s="1"/>
        <n x="3" s="1"/>
        <n x="70" s="1"/>
        <n x="2" s="1"/>
        <n x="68"/>
        <n x="76"/>
        <n x="9"/>
      </t>
    </mdx>
    <mdx n="0" f="v">
      <t c="8">
        <n x="7" s="1"/>
        <n x="69" s="1"/>
        <n x="3" s="1"/>
        <n x="70" s="1"/>
        <n x="2" s="1"/>
        <n x="68"/>
        <n x="76"/>
        <n x="10"/>
      </t>
    </mdx>
    <mdx n="0" f="v">
      <t c="8">
        <n x="7" s="1"/>
        <n x="69" s="1"/>
        <n x="3" s="1"/>
        <n x="70" s="1"/>
        <n x="2" s="1"/>
        <n x="68"/>
        <n x="76"/>
        <n x="11"/>
      </t>
    </mdx>
    <mdx n="0" f="v">
      <t c="8">
        <n x="7" s="1"/>
        <n x="69" s="1"/>
        <n x="3" s="1"/>
        <n x="70" s="1"/>
        <n x="2" s="1"/>
        <n x="68"/>
        <n x="76"/>
        <n x="12"/>
      </t>
    </mdx>
    <mdx n="0" f="v">
      <t c="8">
        <n x="7" s="1"/>
        <n x="69" s="1"/>
        <n x="3" s="1"/>
        <n x="70" s="1"/>
        <n x="2" s="1"/>
        <n x="68"/>
        <n x="76"/>
        <n x="13"/>
      </t>
    </mdx>
    <mdx n="0" f="v">
      <t c="8">
        <n x="7" s="1"/>
        <n x="69" s="1"/>
        <n x="3" s="1"/>
        <n x="70" s="1"/>
        <n x="2" s="1"/>
        <n x="68"/>
        <n x="76"/>
        <n x="14"/>
      </t>
    </mdx>
    <mdx n="0" f="v">
      <t c="8">
        <n x="7" s="1"/>
        <n x="69" s="1"/>
        <n x="3" s="1"/>
        <n x="70" s="1"/>
        <n x="2" s="1"/>
        <n x="68"/>
        <n x="76"/>
        <n x="15"/>
      </t>
    </mdx>
    <mdx n="0" f="v">
      <t c="8">
        <n x="7" s="1"/>
        <n x="69" s="1"/>
        <n x="3" s="1"/>
        <n x="70" s="1"/>
        <n x="2" s="1"/>
        <n x="68"/>
        <n x="76"/>
        <n x="16"/>
      </t>
    </mdx>
    <mdx n="0" f="v">
      <t c="8">
        <n x="7" s="1"/>
        <n x="69" s="1"/>
        <n x="3" s="1"/>
        <n x="70" s="1"/>
        <n x="2" s="1"/>
        <n x="68"/>
        <n x="76"/>
        <n x="17"/>
      </t>
    </mdx>
    <mdx n="0" f="v">
      <t c="8">
        <n x="7" s="1"/>
        <n x="69" s="1"/>
        <n x="3" s="1"/>
        <n x="70" s="1"/>
        <n x="2" s="1"/>
        <n x="68"/>
        <n x="76"/>
        <n x="18"/>
      </t>
    </mdx>
    <mdx n="0" f="v">
      <t c="8">
        <n x="7" s="1"/>
        <n x="69" s="1"/>
        <n x="3" s="1"/>
        <n x="70" s="1"/>
        <n x="2" s="1"/>
        <n x="68"/>
        <n x="76"/>
        <n x="19"/>
      </t>
    </mdx>
    <mdx n="0" f="v">
      <t c="8">
        <n x="7" s="1"/>
        <n x="69" s="1"/>
        <n x="3" s="1"/>
        <n x="70" s="1"/>
        <n x="2" s="1"/>
        <n x="68"/>
        <n x="76"/>
        <n x="20"/>
      </t>
    </mdx>
    <mdx n="0" f="v">
      <t c="8">
        <n x="7" s="1"/>
        <n x="69" s="1"/>
        <n x="3" s="1"/>
        <n x="70" s="1"/>
        <n x="2" s="1"/>
        <n x="68"/>
        <n x="76"/>
        <n x="21"/>
      </t>
    </mdx>
    <mdx n="0" f="v">
      <t c="8">
        <n x="7" s="1"/>
        <n x="69" s="1"/>
        <n x="3" s="1"/>
        <n x="70" s="1"/>
        <n x="2" s="1"/>
        <n x="68"/>
        <n x="76"/>
        <n x="22"/>
      </t>
    </mdx>
    <mdx n="0" f="v">
      <t c="8">
        <n x="7" s="1"/>
        <n x="69" s="1"/>
        <n x="3" s="1"/>
        <n x="70" s="1"/>
        <n x="2" s="1"/>
        <n x="68"/>
        <n x="76"/>
        <n x="23"/>
      </t>
    </mdx>
    <mdx n="0" f="v">
      <t c="8">
        <n x="7" s="1"/>
        <n x="69" s="1"/>
        <n x="3" s="1"/>
        <n x="70" s="1"/>
        <n x="2" s="1"/>
        <n x="68"/>
        <n x="76"/>
        <n x="24"/>
      </t>
    </mdx>
    <mdx n="0" f="v">
      <t c="8">
        <n x="7" s="1"/>
        <n x="69" s="1"/>
        <n x="3" s="1"/>
        <n x="70" s="1"/>
        <n x="2" s="1"/>
        <n x="68"/>
        <n x="76"/>
        <n x="25"/>
      </t>
    </mdx>
    <mdx n="0" f="v">
      <t c="8">
        <n x="7" s="1"/>
        <n x="69" s="1"/>
        <n x="3" s="1"/>
        <n x="70" s="1"/>
        <n x="2" s="1"/>
        <n x="68"/>
        <n x="76"/>
        <n x="26"/>
      </t>
    </mdx>
    <mdx n="0" f="v">
      <t c="8">
        <n x="7" s="1"/>
        <n x="69" s="1"/>
        <n x="3" s="1"/>
        <n x="70" s="1"/>
        <n x="2" s="1"/>
        <n x="68"/>
        <n x="76"/>
        <n x="27"/>
      </t>
    </mdx>
    <mdx n="0" f="v">
      <t c="8">
        <n x="7" s="1"/>
        <n x="69" s="1"/>
        <n x="3" s="1"/>
        <n x="70" s="1"/>
        <n x="2" s="1"/>
        <n x="68"/>
        <n x="76"/>
        <n x="28"/>
      </t>
    </mdx>
    <mdx n="0" f="v">
      <t c="8">
        <n x="7" s="1"/>
        <n x="69" s="1"/>
        <n x="3" s="1"/>
        <n x="70" s="1"/>
        <n x="2" s="1"/>
        <n x="68"/>
        <n x="76"/>
        <n x="29"/>
      </t>
    </mdx>
    <mdx n="0" f="v">
      <t c="8">
        <n x="7" s="1"/>
        <n x="69" s="1"/>
        <n x="3" s="1"/>
        <n x="70" s="1"/>
        <n x="2" s="1"/>
        <n x="68"/>
        <n x="76"/>
        <n x="30"/>
      </t>
    </mdx>
    <mdx n="0" f="v">
      <t c="8">
        <n x="7" s="1"/>
        <n x="69" s="1"/>
        <n x="3" s="1"/>
        <n x="70" s="1"/>
        <n x="2" s="1"/>
        <n x="68"/>
        <n x="76"/>
        <n x="31"/>
      </t>
    </mdx>
    <mdx n="0" f="v">
      <t c="8">
        <n x="7" s="1"/>
        <n x="69" s="1"/>
        <n x="3" s="1"/>
        <n x="70" s="1"/>
        <n x="2" s="1"/>
        <n x="68"/>
        <n x="76"/>
        <n x="32"/>
      </t>
    </mdx>
    <mdx n="0" f="v">
      <t c="8">
        <n x="7" s="1"/>
        <n x="69" s="1"/>
        <n x="3" s="1"/>
        <n x="70" s="1"/>
        <n x="2" s="1"/>
        <n x="68"/>
        <n x="76"/>
        <n x="33"/>
      </t>
    </mdx>
    <mdx n="0" f="v">
      <t c="8">
        <n x="7" s="1"/>
        <n x="69" s="1"/>
        <n x="3" s="1"/>
        <n x="70" s="1"/>
        <n x="2" s="1"/>
        <n x="68"/>
        <n x="76"/>
        <n x="34"/>
      </t>
    </mdx>
    <mdx n="0" f="v">
      <t c="8">
        <n x="7" s="1"/>
        <n x="69" s="1"/>
        <n x="3" s="1"/>
        <n x="70" s="1"/>
        <n x="2" s="1"/>
        <n x="68"/>
        <n x="76"/>
        <n x="35"/>
      </t>
    </mdx>
    <mdx n="0" f="v">
      <t c="8">
        <n x="7" s="1"/>
        <n x="69" s="1"/>
        <n x="3" s="1"/>
        <n x="70" s="1"/>
        <n x="2" s="1"/>
        <n x="68"/>
        <n x="76"/>
        <n x="36"/>
      </t>
    </mdx>
    <mdx n="0" f="v">
      <t c="8">
        <n x="7" s="1"/>
        <n x="69" s="1"/>
        <n x="3" s="1"/>
        <n x="70" s="1"/>
        <n x="2" s="1"/>
        <n x="68"/>
        <n x="76"/>
        <n x="37"/>
      </t>
    </mdx>
    <mdx n="0" f="v">
      <t c="8">
        <n x="7" s="1"/>
        <n x="69" s="1"/>
        <n x="3" s="1"/>
        <n x="70" s="1"/>
        <n x="2" s="1"/>
        <n x="68"/>
        <n x="76"/>
        <n x="38"/>
      </t>
    </mdx>
    <mdx n="0" f="v">
      <t c="8">
        <n x="7" s="1"/>
        <n x="69" s="1"/>
        <n x="3" s="1"/>
        <n x="70" s="1"/>
        <n x="2" s="1"/>
        <n x="68"/>
        <n x="76"/>
        <n x="39"/>
      </t>
    </mdx>
    <mdx n="0" f="v">
      <t c="8">
        <n x="7" s="1"/>
        <n x="69" s="1"/>
        <n x="3" s="1"/>
        <n x="70" s="1"/>
        <n x="2" s="1"/>
        <n x="68"/>
        <n x="76"/>
        <n x="40"/>
      </t>
    </mdx>
    <mdx n="0" f="v">
      <t c="8">
        <n x="7" s="1"/>
        <n x="69" s="1"/>
        <n x="3" s="1"/>
        <n x="70" s="1"/>
        <n x="2" s="1"/>
        <n x="68"/>
        <n x="76"/>
        <n x="41"/>
      </t>
    </mdx>
    <mdx n="0" f="v">
      <t c="8">
        <n x="7" s="1"/>
        <n x="69" s="1"/>
        <n x="3" s="1"/>
        <n x="70" s="1"/>
        <n x="2" s="1"/>
        <n x="68"/>
        <n x="76"/>
        <n x="42"/>
      </t>
    </mdx>
    <mdx n="0" f="v">
      <t c="8">
        <n x="7" s="1"/>
        <n x="69" s="1"/>
        <n x="3" s="1"/>
        <n x="70" s="1"/>
        <n x="2" s="1"/>
        <n x="68"/>
        <n x="76"/>
        <n x="43"/>
      </t>
    </mdx>
    <mdx n="0" f="v">
      <t c="8">
        <n x="7" s="1"/>
        <n x="69" s="1"/>
        <n x="3" s="1"/>
        <n x="70" s="1"/>
        <n x="2" s="1"/>
        <n x="68"/>
        <n x="76"/>
        <n x="44"/>
      </t>
    </mdx>
    <mdx n="0" f="v">
      <t c="8">
        <n x="7" s="1"/>
        <n x="69" s="1"/>
        <n x="3" s="1"/>
        <n x="70" s="1"/>
        <n x="2" s="1"/>
        <n x="68"/>
        <n x="76"/>
        <n x="45"/>
      </t>
    </mdx>
    <mdx n="0" f="v">
      <t c="8">
        <n x="7" s="1"/>
        <n x="69" s="1"/>
        <n x="3" s="1"/>
        <n x="70" s="1"/>
        <n x="2" s="1"/>
        <n x="68"/>
        <n x="76"/>
        <n x="46"/>
      </t>
    </mdx>
    <mdx n="0" f="v">
      <t c="8">
        <n x="7" s="1"/>
        <n x="69" s="1"/>
        <n x="3" s="1"/>
        <n x="70" s="1"/>
        <n x="2" s="1"/>
        <n x="68"/>
        <n x="76"/>
        <n x="47"/>
      </t>
    </mdx>
    <mdx n="0" f="v">
      <t c="8">
        <n x="7" s="1"/>
        <n x="69" s="1"/>
        <n x="3" s="1"/>
        <n x="70" s="1"/>
        <n x="2" s="1"/>
        <n x="68"/>
        <n x="76"/>
        <n x="48"/>
      </t>
    </mdx>
    <mdx n="0" f="v">
      <t c="8">
        <n x="7" s="1"/>
        <n x="69" s="1"/>
        <n x="3" s="1"/>
        <n x="70" s="1"/>
        <n x="2" s="1"/>
        <n x="68"/>
        <n x="76"/>
        <n x="49"/>
      </t>
    </mdx>
    <mdx n="0" f="v">
      <t c="8">
        <n x="7" s="1"/>
        <n x="69" s="1"/>
        <n x="3" s="1"/>
        <n x="70" s="1"/>
        <n x="2" s="1"/>
        <n x="68"/>
        <n x="76"/>
        <n x="50"/>
      </t>
    </mdx>
    <mdx n="0" f="v">
      <t c="8">
        <n x="7" s="1"/>
        <n x="69" s="1"/>
        <n x="3" s="1"/>
        <n x="70" s="1"/>
        <n x="2" s="1"/>
        <n x="68"/>
        <n x="76"/>
        <n x="51"/>
      </t>
    </mdx>
    <mdx n="0" f="v">
      <t c="8">
        <n x="7" s="1"/>
        <n x="69" s="1"/>
        <n x="3" s="1"/>
        <n x="70" s="1"/>
        <n x="2" s="1"/>
        <n x="68"/>
        <n x="76"/>
        <n x="52"/>
      </t>
    </mdx>
    <mdx n="0" f="v">
      <t c="8">
        <n x="7" s="1"/>
        <n x="69" s="1"/>
        <n x="3" s="1"/>
        <n x="70" s="1"/>
        <n x="2" s="1"/>
        <n x="68"/>
        <n x="76"/>
        <n x="53"/>
      </t>
    </mdx>
    <mdx n="0" f="v">
      <t c="8">
        <n x="7" s="1"/>
        <n x="69" s="1"/>
        <n x="3" s="1"/>
        <n x="70" s="1"/>
        <n x="2" s="1"/>
        <n x="68"/>
        <n x="76"/>
        <n x="54"/>
      </t>
    </mdx>
    <mdx n="0" f="v">
      <t c="8">
        <n x="7" s="1"/>
        <n x="69" s="1"/>
        <n x="3" s="1"/>
        <n x="70" s="1"/>
        <n x="2" s="1"/>
        <n x="68"/>
        <n x="76"/>
        <n x="55"/>
      </t>
    </mdx>
    <mdx n="0" f="v">
      <t c="8">
        <n x="7" s="1"/>
        <n x="69" s="1"/>
        <n x="3" s="1"/>
        <n x="70" s="1"/>
        <n x="2" s="1"/>
        <n x="68"/>
        <n x="76"/>
        <n x="56"/>
      </t>
    </mdx>
    <mdx n="0" f="v">
      <t c="8">
        <n x="7" s="1"/>
        <n x="69" s="1"/>
        <n x="3" s="1"/>
        <n x="70" s="1"/>
        <n x="2" s="1"/>
        <n x="68"/>
        <n x="76"/>
        <n x="57"/>
      </t>
    </mdx>
    <mdx n="0" f="v">
      <t c="8">
        <n x="7" s="1"/>
        <n x="69" s="1"/>
        <n x="3" s="1"/>
        <n x="70" s="1"/>
        <n x="2" s="1"/>
        <n x="68"/>
        <n x="76"/>
        <n x="58"/>
      </t>
    </mdx>
    <mdx n="0" f="v">
      <t c="8">
        <n x="7" s="1"/>
        <n x="69" s="1"/>
        <n x="3" s="1"/>
        <n x="70" s="1"/>
        <n x="2" s="1"/>
        <n x="68"/>
        <n x="76"/>
        <n x="59"/>
      </t>
    </mdx>
    <mdx n="0" f="v">
      <t c="8">
        <n x="7" s="1"/>
        <n x="69" s="1"/>
        <n x="3" s="1"/>
        <n x="70" s="1"/>
        <n x="2" s="1"/>
        <n x="68"/>
        <n x="76"/>
        <n x="60"/>
      </t>
    </mdx>
    <mdx n="0" f="v">
      <t c="8">
        <n x="7" s="1"/>
        <n x="69" s="1"/>
        <n x="3" s="1"/>
        <n x="70" s="1"/>
        <n x="2" s="1"/>
        <n x="68"/>
        <n x="76"/>
        <n x="61"/>
      </t>
    </mdx>
    <mdx n="0" f="v">
      <t c="8">
        <n x="7" s="1"/>
        <n x="69" s="1"/>
        <n x="3" s="1"/>
        <n x="70" s="1"/>
        <n x="2" s="1"/>
        <n x="68"/>
        <n x="76"/>
        <n x="62"/>
      </t>
    </mdx>
    <mdx n="0" f="v">
      <t c="8">
        <n x="7" s="1"/>
        <n x="69" s="1"/>
        <n x="3" s="1"/>
        <n x="70" s="1"/>
        <n x="2" s="1"/>
        <n x="68"/>
        <n x="76"/>
        <n x="63"/>
      </t>
    </mdx>
    <mdx n="0" f="v">
      <t c="8">
        <n x="7" s="1"/>
        <n x="69" s="1"/>
        <n x="3" s="1"/>
        <n x="70" s="1"/>
        <n x="2" s="1"/>
        <n x="68"/>
        <n x="76"/>
        <n x="64"/>
      </t>
    </mdx>
    <mdx n="0" f="v">
      <t c="8">
        <n x="7" s="1"/>
        <n x="69" s="1"/>
        <n x="3" s="1"/>
        <n x="70" s="1"/>
        <n x="2" s="1"/>
        <n x="68"/>
        <n x="76"/>
        <n x="65"/>
      </t>
    </mdx>
    <mdx n="0" f="v">
      <t c="8">
        <n x="7" s="1"/>
        <n x="69" s="1"/>
        <n x="3" s="1"/>
        <n x="70" s="1"/>
        <n x="2" s="1"/>
        <n x="68"/>
        <n x="76"/>
        <n x="66"/>
      </t>
    </mdx>
    <mdx n="0" f="v">
      <t c="8">
        <n x="7" s="1"/>
        <n x="69" s="1"/>
        <n x="3" s="1"/>
        <n x="70" s="1"/>
        <n x="2" s="1"/>
        <n x="68"/>
        <n x="77"/>
        <n x="8"/>
      </t>
    </mdx>
    <mdx n="0" f="v">
      <t c="8">
        <n x="7" s="1"/>
        <n x="69" s="1"/>
        <n x="3" s="1"/>
        <n x="70" s="1"/>
        <n x="2" s="1"/>
        <n x="68"/>
        <n x="77"/>
        <n x="9"/>
      </t>
    </mdx>
    <mdx n="0" f="v">
      <t c="8">
        <n x="7" s="1"/>
        <n x="69" s="1"/>
        <n x="3" s="1"/>
        <n x="70" s="1"/>
        <n x="2" s="1"/>
        <n x="68"/>
        <n x="77"/>
        <n x="10"/>
      </t>
    </mdx>
    <mdx n="0" f="v">
      <t c="8">
        <n x="7" s="1"/>
        <n x="69" s="1"/>
        <n x="3" s="1"/>
        <n x="70" s="1"/>
        <n x="2" s="1"/>
        <n x="68"/>
        <n x="77"/>
        <n x="11"/>
      </t>
    </mdx>
    <mdx n="0" f="v">
      <t c="8">
        <n x="7" s="1"/>
        <n x="69" s="1"/>
        <n x="3" s="1"/>
        <n x="70" s="1"/>
        <n x="2" s="1"/>
        <n x="68"/>
        <n x="77"/>
        <n x="12"/>
      </t>
    </mdx>
    <mdx n="0" f="v">
      <t c="8">
        <n x="7" s="1"/>
        <n x="69" s="1"/>
        <n x="3" s="1"/>
        <n x="70" s="1"/>
        <n x="2" s="1"/>
        <n x="68"/>
        <n x="77"/>
        <n x="13"/>
      </t>
    </mdx>
    <mdx n="0" f="v">
      <t c="8">
        <n x="7" s="1"/>
        <n x="69" s="1"/>
        <n x="3" s="1"/>
        <n x="70" s="1"/>
        <n x="2" s="1"/>
        <n x="68"/>
        <n x="77"/>
        <n x="14"/>
      </t>
    </mdx>
    <mdx n="0" f="v">
      <t c="8">
        <n x="7" s="1"/>
        <n x="69" s="1"/>
        <n x="3" s="1"/>
        <n x="70" s="1"/>
        <n x="2" s="1"/>
        <n x="68"/>
        <n x="77"/>
        <n x="15"/>
      </t>
    </mdx>
    <mdx n="0" f="v">
      <t c="8">
        <n x="7" s="1"/>
        <n x="69" s="1"/>
        <n x="3" s="1"/>
        <n x="70" s="1"/>
        <n x="2" s="1"/>
        <n x="68"/>
        <n x="77"/>
        <n x="16"/>
      </t>
    </mdx>
    <mdx n="0" f="v">
      <t c="8">
        <n x="7" s="1"/>
        <n x="69" s="1"/>
        <n x="3" s="1"/>
        <n x="70" s="1"/>
        <n x="2" s="1"/>
        <n x="68"/>
        <n x="77"/>
        <n x="17"/>
      </t>
    </mdx>
    <mdx n="0" f="v">
      <t c="8">
        <n x="7" s="1"/>
        <n x="69" s="1"/>
        <n x="3" s="1"/>
        <n x="70" s="1"/>
        <n x="2" s="1"/>
        <n x="68"/>
        <n x="77"/>
        <n x="18"/>
      </t>
    </mdx>
    <mdx n="0" f="v">
      <t c="8">
        <n x="7" s="1"/>
        <n x="69" s="1"/>
        <n x="3" s="1"/>
        <n x="70" s="1"/>
        <n x="2" s="1"/>
        <n x="68"/>
        <n x="77"/>
        <n x="19"/>
      </t>
    </mdx>
    <mdx n="0" f="v">
      <t c="8">
        <n x="7" s="1"/>
        <n x="69" s="1"/>
        <n x="3" s="1"/>
        <n x="70" s="1"/>
        <n x="2" s="1"/>
        <n x="68"/>
        <n x="77"/>
        <n x="20"/>
      </t>
    </mdx>
    <mdx n="0" f="v">
      <t c="8">
        <n x="7" s="1"/>
        <n x="69" s="1"/>
        <n x="3" s="1"/>
        <n x="70" s="1"/>
        <n x="2" s="1"/>
        <n x="68"/>
        <n x="77"/>
        <n x="21"/>
      </t>
    </mdx>
    <mdx n="0" f="v">
      <t c="8">
        <n x="7" s="1"/>
        <n x="69" s="1"/>
        <n x="3" s="1"/>
        <n x="70" s="1"/>
        <n x="2" s="1"/>
        <n x="68"/>
        <n x="77"/>
        <n x="22"/>
      </t>
    </mdx>
    <mdx n="0" f="v">
      <t c="8">
        <n x="7" s="1"/>
        <n x="69" s="1"/>
        <n x="3" s="1"/>
        <n x="70" s="1"/>
        <n x="2" s="1"/>
        <n x="68"/>
        <n x="77"/>
        <n x="23"/>
      </t>
    </mdx>
    <mdx n="0" f="v">
      <t c="8">
        <n x="7" s="1"/>
        <n x="69" s="1"/>
        <n x="3" s="1"/>
        <n x="70" s="1"/>
        <n x="2" s="1"/>
        <n x="68"/>
        <n x="77"/>
        <n x="24"/>
      </t>
    </mdx>
    <mdx n="0" f="v">
      <t c="8">
        <n x="7" s="1"/>
        <n x="69" s="1"/>
        <n x="3" s="1"/>
        <n x="70" s="1"/>
        <n x="2" s="1"/>
        <n x="68"/>
        <n x="77"/>
        <n x="25"/>
      </t>
    </mdx>
    <mdx n="0" f="v">
      <t c="8">
        <n x="7" s="1"/>
        <n x="69" s="1"/>
        <n x="3" s="1"/>
        <n x="70" s="1"/>
        <n x="2" s="1"/>
        <n x="68"/>
        <n x="77"/>
        <n x="26"/>
      </t>
    </mdx>
    <mdx n="0" f="v">
      <t c="8">
        <n x="7" s="1"/>
        <n x="69" s="1"/>
        <n x="3" s="1"/>
        <n x="70" s="1"/>
        <n x="2" s="1"/>
        <n x="68"/>
        <n x="77"/>
        <n x="27"/>
      </t>
    </mdx>
    <mdx n="0" f="v">
      <t c="8">
        <n x="7" s="1"/>
        <n x="69" s="1"/>
        <n x="3" s="1"/>
        <n x="70" s="1"/>
        <n x="2" s="1"/>
        <n x="68"/>
        <n x="77"/>
        <n x="28"/>
      </t>
    </mdx>
    <mdx n="0" f="v">
      <t c="8">
        <n x="7" s="1"/>
        <n x="69" s="1"/>
        <n x="3" s="1"/>
        <n x="70" s="1"/>
        <n x="2" s="1"/>
        <n x="68"/>
        <n x="77"/>
        <n x="29"/>
      </t>
    </mdx>
    <mdx n="0" f="v">
      <t c="8">
        <n x="7" s="1"/>
        <n x="69" s="1"/>
        <n x="3" s="1"/>
        <n x="70" s="1"/>
        <n x="2" s="1"/>
        <n x="68"/>
        <n x="77"/>
        <n x="30"/>
      </t>
    </mdx>
    <mdx n="0" f="v">
      <t c="8">
        <n x="7" s="1"/>
        <n x="69" s="1"/>
        <n x="3" s="1"/>
        <n x="70" s="1"/>
        <n x="2" s="1"/>
        <n x="68"/>
        <n x="77"/>
        <n x="31"/>
      </t>
    </mdx>
    <mdx n="0" f="v">
      <t c="8">
        <n x="7" s="1"/>
        <n x="69" s="1"/>
        <n x="3" s="1"/>
        <n x="70" s="1"/>
        <n x="2" s="1"/>
        <n x="68"/>
        <n x="77"/>
        <n x="32"/>
      </t>
    </mdx>
    <mdx n="0" f="v">
      <t c="8">
        <n x="7" s="1"/>
        <n x="69" s="1"/>
        <n x="3" s="1"/>
        <n x="70" s="1"/>
        <n x="2" s="1"/>
        <n x="68"/>
        <n x="77"/>
        <n x="33"/>
      </t>
    </mdx>
    <mdx n="0" f="v">
      <t c="8">
        <n x="7" s="1"/>
        <n x="69" s="1"/>
        <n x="3" s="1"/>
        <n x="70" s="1"/>
        <n x="2" s="1"/>
        <n x="68"/>
        <n x="77"/>
        <n x="34"/>
      </t>
    </mdx>
    <mdx n="0" f="v">
      <t c="8">
        <n x="7" s="1"/>
        <n x="69" s="1"/>
        <n x="3" s="1"/>
        <n x="70" s="1"/>
        <n x="2" s="1"/>
        <n x="68"/>
        <n x="77"/>
        <n x="35"/>
      </t>
    </mdx>
    <mdx n="0" f="v">
      <t c="8">
        <n x="7" s="1"/>
        <n x="69" s="1"/>
        <n x="3" s="1"/>
        <n x="70" s="1"/>
        <n x="2" s="1"/>
        <n x="68"/>
        <n x="77"/>
        <n x="36"/>
      </t>
    </mdx>
    <mdx n="0" f="v">
      <t c="8">
        <n x="7" s="1"/>
        <n x="69" s="1"/>
        <n x="3" s="1"/>
        <n x="70" s="1"/>
        <n x="2" s="1"/>
        <n x="68"/>
        <n x="77"/>
        <n x="37"/>
      </t>
    </mdx>
    <mdx n="0" f="v">
      <t c="8">
        <n x="7" s="1"/>
        <n x="69" s="1"/>
        <n x="3" s="1"/>
        <n x="70" s="1"/>
        <n x="2" s="1"/>
        <n x="68"/>
        <n x="77"/>
        <n x="38"/>
      </t>
    </mdx>
    <mdx n="0" f="v">
      <t c="8">
        <n x="7" s="1"/>
        <n x="69" s="1"/>
        <n x="3" s="1"/>
        <n x="70" s="1"/>
        <n x="2" s="1"/>
        <n x="68"/>
        <n x="77"/>
        <n x="39"/>
      </t>
    </mdx>
    <mdx n="0" f="v">
      <t c="8">
        <n x="7" s="1"/>
        <n x="69" s="1"/>
        <n x="3" s="1"/>
        <n x="70" s="1"/>
        <n x="2" s="1"/>
        <n x="68"/>
        <n x="77"/>
        <n x="40"/>
      </t>
    </mdx>
    <mdx n="0" f="v">
      <t c="8">
        <n x="7" s="1"/>
        <n x="69" s="1"/>
        <n x="3" s="1"/>
        <n x="70" s="1"/>
        <n x="2" s="1"/>
        <n x="68"/>
        <n x="77"/>
        <n x="41"/>
      </t>
    </mdx>
    <mdx n="0" f="v">
      <t c="8">
        <n x="7" s="1"/>
        <n x="69" s="1"/>
        <n x="3" s="1"/>
        <n x="70" s="1"/>
        <n x="2" s="1"/>
        <n x="68"/>
        <n x="77"/>
        <n x="42"/>
      </t>
    </mdx>
    <mdx n="0" f="v">
      <t c="8">
        <n x="7" s="1"/>
        <n x="69" s="1"/>
        <n x="3" s="1"/>
        <n x="70" s="1"/>
        <n x="2" s="1"/>
        <n x="68"/>
        <n x="77"/>
        <n x="43"/>
      </t>
    </mdx>
    <mdx n="0" f="v">
      <t c="8">
        <n x="7" s="1"/>
        <n x="69" s="1"/>
        <n x="3" s="1"/>
        <n x="70" s="1"/>
        <n x="2" s="1"/>
        <n x="68"/>
        <n x="77"/>
        <n x="44"/>
      </t>
    </mdx>
    <mdx n="0" f="v">
      <t c="8">
        <n x="7" s="1"/>
        <n x="69" s="1"/>
        <n x="3" s="1"/>
        <n x="70" s="1"/>
        <n x="2" s="1"/>
        <n x="68"/>
        <n x="77"/>
        <n x="45"/>
      </t>
    </mdx>
    <mdx n="0" f="v">
      <t c="8">
        <n x="7" s="1"/>
        <n x="69" s="1"/>
        <n x="3" s="1"/>
        <n x="70" s="1"/>
        <n x="2" s="1"/>
        <n x="68"/>
        <n x="77"/>
        <n x="46"/>
      </t>
    </mdx>
    <mdx n="0" f="v">
      <t c="8">
        <n x="7" s="1"/>
        <n x="69" s="1"/>
        <n x="3" s="1"/>
        <n x="70" s="1"/>
        <n x="2" s="1"/>
        <n x="68"/>
        <n x="77"/>
        <n x="47"/>
      </t>
    </mdx>
    <mdx n="0" f="v">
      <t c="8">
        <n x="7" s="1"/>
        <n x="69" s="1"/>
        <n x="3" s="1"/>
        <n x="70" s="1"/>
        <n x="2" s="1"/>
        <n x="68"/>
        <n x="77"/>
        <n x="48"/>
      </t>
    </mdx>
    <mdx n="0" f="v">
      <t c="8">
        <n x="7" s="1"/>
        <n x="69" s="1"/>
        <n x="3" s="1"/>
        <n x="70" s="1"/>
        <n x="2" s="1"/>
        <n x="68"/>
        <n x="77"/>
        <n x="49"/>
      </t>
    </mdx>
    <mdx n="0" f="v">
      <t c="8">
        <n x="7" s="1"/>
        <n x="69" s="1"/>
        <n x="3" s="1"/>
        <n x="70" s="1"/>
        <n x="2" s="1"/>
        <n x="68"/>
        <n x="77"/>
        <n x="50"/>
      </t>
    </mdx>
    <mdx n="0" f="v">
      <t c="8">
        <n x="7" s="1"/>
        <n x="69" s="1"/>
        <n x="3" s="1"/>
        <n x="70" s="1"/>
        <n x="2" s="1"/>
        <n x="68"/>
        <n x="77"/>
        <n x="51"/>
      </t>
    </mdx>
    <mdx n="0" f="v">
      <t c="8">
        <n x="7" s="1"/>
        <n x="69" s="1"/>
        <n x="3" s="1"/>
        <n x="70" s="1"/>
        <n x="2" s="1"/>
        <n x="68"/>
        <n x="77"/>
        <n x="52"/>
      </t>
    </mdx>
    <mdx n="0" f="v">
      <t c="8">
        <n x="7" s="1"/>
        <n x="69" s="1"/>
        <n x="3" s="1"/>
        <n x="70" s="1"/>
        <n x="2" s="1"/>
        <n x="68"/>
        <n x="77"/>
        <n x="53"/>
      </t>
    </mdx>
    <mdx n="0" f="v">
      <t c="8">
        <n x="7" s="1"/>
        <n x="69" s="1"/>
        <n x="3" s="1"/>
        <n x="70" s="1"/>
        <n x="2" s="1"/>
        <n x="68"/>
        <n x="77"/>
        <n x="54"/>
      </t>
    </mdx>
    <mdx n="0" f="v">
      <t c="8">
        <n x="7" s="1"/>
        <n x="69" s="1"/>
        <n x="3" s="1"/>
        <n x="70" s="1"/>
        <n x="2" s="1"/>
        <n x="68"/>
        <n x="77"/>
        <n x="55"/>
      </t>
    </mdx>
    <mdx n="0" f="v">
      <t c="8">
        <n x="7" s="1"/>
        <n x="69" s="1"/>
        <n x="3" s="1"/>
        <n x="70" s="1"/>
        <n x="2" s="1"/>
        <n x="68"/>
        <n x="77"/>
        <n x="56"/>
      </t>
    </mdx>
    <mdx n="0" f="v">
      <t c="8">
        <n x="7" s="1"/>
        <n x="69" s="1"/>
        <n x="3" s="1"/>
        <n x="70" s="1"/>
        <n x="2" s="1"/>
        <n x="68"/>
        <n x="77"/>
        <n x="57"/>
      </t>
    </mdx>
    <mdx n="0" f="v">
      <t c="8">
        <n x="7" s="1"/>
        <n x="69" s="1"/>
        <n x="3" s="1"/>
        <n x="70" s="1"/>
        <n x="2" s="1"/>
        <n x="68"/>
        <n x="77"/>
        <n x="58"/>
      </t>
    </mdx>
    <mdx n="0" f="v">
      <t c="8">
        <n x="7" s="1"/>
        <n x="69" s="1"/>
        <n x="3" s="1"/>
        <n x="70" s="1"/>
        <n x="2" s="1"/>
        <n x="68"/>
        <n x="77"/>
        <n x="59"/>
      </t>
    </mdx>
    <mdx n="0" f="v">
      <t c="8">
        <n x="7" s="1"/>
        <n x="69" s="1"/>
        <n x="3" s="1"/>
        <n x="70" s="1"/>
        <n x="2" s="1"/>
        <n x="68"/>
        <n x="77"/>
        <n x="60"/>
      </t>
    </mdx>
    <mdx n="0" f="v">
      <t c="8">
        <n x="7" s="1"/>
        <n x="69" s="1"/>
        <n x="3" s="1"/>
        <n x="70" s="1"/>
        <n x="2" s="1"/>
        <n x="68"/>
        <n x="77"/>
        <n x="61"/>
      </t>
    </mdx>
    <mdx n="0" f="v">
      <t c="8">
        <n x="7" s="1"/>
        <n x="69" s="1"/>
        <n x="3" s="1"/>
        <n x="70" s="1"/>
        <n x="2" s="1"/>
        <n x="68"/>
        <n x="77"/>
        <n x="62"/>
      </t>
    </mdx>
    <mdx n="0" f="v">
      <t c="8">
        <n x="7" s="1"/>
        <n x="69" s="1"/>
        <n x="3" s="1"/>
        <n x="70" s="1"/>
        <n x="2" s="1"/>
        <n x="68"/>
        <n x="77"/>
        <n x="63"/>
      </t>
    </mdx>
    <mdx n="0" f="v">
      <t c="8">
        <n x="7" s="1"/>
        <n x="69" s="1"/>
        <n x="3" s="1"/>
        <n x="70" s="1"/>
        <n x="2" s="1"/>
        <n x="68"/>
        <n x="77"/>
        <n x="64"/>
      </t>
    </mdx>
    <mdx n="0" f="v">
      <t c="8">
        <n x="7" s="1"/>
        <n x="69" s="1"/>
        <n x="3" s="1"/>
        <n x="70" s="1"/>
        <n x="2" s="1"/>
        <n x="68"/>
        <n x="77"/>
        <n x="65"/>
      </t>
    </mdx>
    <mdx n="0" f="v">
      <t c="8">
        <n x="7" s="1"/>
        <n x="69" s="1"/>
        <n x="3" s="1"/>
        <n x="70" s="1"/>
        <n x="2" s="1"/>
        <n x="68"/>
        <n x="77"/>
        <n x="66"/>
      </t>
    </mdx>
    <mdx n="0" f="v">
      <t c="8">
        <n x="7" s="1"/>
        <n x="69" s="1"/>
        <n x="3" s="1"/>
        <n x="70" s="1"/>
        <n x="2" s="1"/>
        <n x="68"/>
        <n x="78"/>
        <n x="8"/>
      </t>
    </mdx>
    <mdx n="0" f="v">
      <t c="8">
        <n x="7" s="1"/>
        <n x="69" s="1"/>
        <n x="3" s="1"/>
        <n x="70" s="1"/>
        <n x="2" s="1"/>
        <n x="68"/>
        <n x="78"/>
        <n x="9"/>
      </t>
    </mdx>
    <mdx n="0" f="v">
      <t c="8">
        <n x="7" s="1"/>
        <n x="69" s="1"/>
        <n x="3" s="1"/>
        <n x="70" s="1"/>
        <n x="2" s="1"/>
        <n x="68"/>
        <n x="78"/>
        <n x="10"/>
      </t>
    </mdx>
    <mdx n="0" f="v">
      <t c="8">
        <n x="7" s="1"/>
        <n x="69" s="1"/>
        <n x="3" s="1"/>
        <n x="70" s="1"/>
        <n x="2" s="1"/>
        <n x="68"/>
        <n x="78"/>
        <n x="11"/>
      </t>
    </mdx>
    <mdx n="0" f="v">
      <t c="8">
        <n x="7" s="1"/>
        <n x="69" s="1"/>
        <n x="3" s="1"/>
        <n x="70" s="1"/>
        <n x="2" s="1"/>
        <n x="68"/>
        <n x="78"/>
        <n x="12"/>
      </t>
    </mdx>
    <mdx n="0" f="v">
      <t c="8">
        <n x="7" s="1"/>
        <n x="69" s="1"/>
        <n x="3" s="1"/>
        <n x="70" s="1"/>
        <n x="2" s="1"/>
        <n x="68"/>
        <n x="78"/>
        <n x="13"/>
      </t>
    </mdx>
    <mdx n="0" f="v">
      <t c="8">
        <n x="7" s="1"/>
        <n x="69" s="1"/>
        <n x="3" s="1"/>
        <n x="70" s="1"/>
        <n x="2" s="1"/>
        <n x="68"/>
        <n x="78"/>
        <n x="14"/>
      </t>
    </mdx>
    <mdx n="0" f="v">
      <t c="8">
        <n x="7" s="1"/>
        <n x="69" s="1"/>
        <n x="3" s="1"/>
        <n x="70" s="1"/>
        <n x="2" s="1"/>
        <n x="68"/>
        <n x="78"/>
        <n x="15"/>
      </t>
    </mdx>
    <mdx n="0" f="v">
      <t c="8">
        <n x="7" s="1"/>
        <n x="69" s="1"/>
        <n x="3" s="1"/>
        <n x="70" s="1"/>
        <n x="2" s="1"/>
        <n x="68"/>
        <n x="78"/>
        <n x="16"/>
      </t>
    </mdx>
    <mdx n="0" f="v">
      <t c="8">
        <n x="7" s="1"/>
        <n x="69" s="1"/>
        <n x="3" s="1"/>
        <n x="70" s="1"/>
        <n x="2" s="1"/>
        <n x="68"/>
        <n x="78"/>
        <n x="17"/>
      </t>
    </mdx>
    <mdx n="0" f="v">
      <t c="8">
        <n x="7" s="1"/>
        <n x="69" s="1"/>
        <n x="3" s="1"/>
        <n x="70" s="1"/>
        <n x="2" s="1"/>
        <n x="68"/>
        <n x="78"/>
        <n x="18"/>
      </t>
    </mdx>
    <mdx n="0" f="v">
      <t c="8">
        <n x="7" s="1"/>
        <n x="69" s="1"/>
        <n x="3" s="1"/>
        <n x="70" s="1"/>
        <n x="2" s="1"/>
        <n x="68"/>
        <n x="78"/>
        <n x="19"/>
      </t>
    </mdx>
    <mdx n="0" f="v">
      <t c="8">
        <n x="7" s="1"/>
        <n x="69" s="1"/>
        <n x="3" s="1"/>
        <n x="70" s="1"/>
        <n x="2" s="1"/>
        <n x="68"/>
        <n x="78"/>
        <n x="20"/>
      </t>
    </mdx>
    <mdx n="0" f="v">
      <t c="8">
        <n x="7" s="1"/>
        <n x="69" s="1"/>
        <n x="3" s="1"/>
        <n x="70" s="1"/>
        <n x="2" s="1"/>
        <n x="68"/>
        <n x="78"/>
        <n x="21"/>
      </t>
    </mdx>
    <mdx n="0" f="v">
      <t c="8">
        <n x="7" s="1"/>
        <n x="69" s="1"/>
        <n x="3" s="1"/>
        <n x="70" s="1"/>
        <n x="2" s="1"/>
        <n x="68"/>
        <n x="78"/>
        <n x="22"/>
      </t>
    </mdx>
    <mdx n="0" f="v">
      <t c="8">
        <n x="7" s="1"/>
        <n x="69" s="1"/>
        <n x="3" s="1"/>
        <n x="70" s="1"/>
        <n x="2" s="1"/>
        <n x="68"/>
        <n x="78"/>
        <n x="23"/>
      </t>
    </mdx>
    <mdx n="0" f="v">
      <t c="8">
        <n x="7" s="1"/>
        <n x="69" s="1"/>
        <n x="3" s="1"/>
        <n x="70" s="1"/>
        <n x="2" s="1"/>
        <n x="68"/>
        <n x="78"/>
        <n x="24"/>
      </t>
    </mdx>
    <mdx n="0" f="v">
      <t c="8">
        <n x="7" s="1"/>
        <n x="69" s="1"/>
        <n x="3" s="1"/>
        <n x="70" s="1"/>
        <n x="2" s="1"/>
        <n x="68"/>
        <n x="78"/>
        <n x="25"/>
      </t>
    </mdx>
    <mdx n="0" f="v">
      <t c="8">
        <n x="7" s="1"/>
        <n x="69" s="1"/>
        <n x="3" s="1"/>
        <n x="70" s="1"/>
        <n x="2" s="1"/>
        <n x="68"/>
        <n x="78"/>
        <n x="26"/>
      </t>
    </mdx>
    <mdx n="0" f="v">
      <t c="8">
        <n x="7" s="1"/>
        <n x="69" s="1"/>
        <n x="3" s="1"/>
        <n x="70" s="1"/>
        <n x="2" s="1"/>
        <n x="68"/>
        <n x="78"/>
        <n x="27"/>
      </t>
    </mdx>
    <mdx n="0" f="v">
      <t c="8">
        <n x="7" s="1"/>
        <n x="69" s="1"/>
        <n x="3" s="1"/>
        <n x="70" s="1"/>
        <n x="2" s="1"/>
        <n x="68"/>
        <n x="78"/>
        <n x="28"/>
      </t>
    </mdx>
    <mdx n="0" f="v">
      <t c="8">
        <n x="7" s="1"/>
        <n x="69" s="1"/>
        <n x="3" s="1"/>
        <n x="70" s="1"/>
        <n x="2" s="1"/>
        <n x="68"/>
        <n x="78"/>
        <n x="29"/>
      </t>
    </mdx>
    <mdx n="0" f="v">
      <t c="8">
        <n x="7" s="1"/>
        <n x="69" s="1"/>
        <n x="3" s="1"/>
        <n x="70" s="1"/>
        <n x="2" s="1"/>
        <n x="68"/>
        <n x="78"/>
        <n x="30"/>
      </t>
    </mdx>
    <mdx n="0" f="v">
      <t c="8">
        <n x="7" s="1"/>
        <n x="69" s="1"/>
        <n x="3" s="1"/>
        <n x="70" s="1"/>
        <n x="2" s="1"/>
        <n x="68"/>
        <n x="78"/>
        <n x="31"/>
      </t>
    </mdx>
    <mdx n="0" f="v">
      <t c="8">
        <n x="7" s="1"/>
        <n x="69" s="1"/>
        <n x="3" s="1"/>
        <n x="70" s="1"/>
        <n x="2" s="1"/>
        <n x="68"/>
        <n x="78"/>
        <n x="32"/>
      </t>
    </mdx>
    <mdx n="0" f="v">
      <t c="8">
        <n x="7" s="1"/>
        <n x="69" s="1"/>
        <n x="3" s="1"/>
        <n x="70" s="1"/>
        <n x="2" s="1"/>
        <n x="68"/>
        <n x="78"/>
        <n x="33"/>
      </t>
    </mdx>
    <mdx n="0" f="v">
      <t c="8">
        <n x="7" s="1"/>
        <n x="69" s="1"/>
        <n x="3" s="1"/>
        <n x="70" s="1"/>
        <n x="2" s="1"/>
        <n x="68"/>
        <n x="78"/>
        <n x="34"/>
      </t>
    </mdx>
    <mdx n="0" f="v">
      <t c="8">
        <n x="7" s="1"/>
        <n x="69" s="1"/>
        <n x="3" s="1"/>
        <n x="70" s="1"/>
        <n x="2" s="1"/>
        <n x="68"/>
        <n x="78"/>
        <n x="35"/>
      </t>
    </mdx>
    <mdx n="0" f="v">
      <t c="8">
        <n x="7" s="1"/>
        <n x="69" s="1"/>
        <n x="3" s="1"/>
        <n x="70" s="1"/>
        <n x="2" s="1"/>
        <n x="68"/>
        <n x="78"/>
        <n x="36"/>
      </t>
    </mdx>
    <mdx n="0" f="v">
      <t c="8">
        <n x="7" s="1"/>
        <n x="69" s="1"/>
        <n x="3" s="1"/>
        <n x="70" s="1"/>
        <n x="2" s="1"/>
        <n x="68"/>
        <n x="78"/>
        <n x="37"/>
      </t>
    </mdx>
    <mdx n="0" f="v">
      <t c="8">
        <n x="7" s="1"/>
        <n x="69" s="1"/>
        <n x="3" s="1"/>
        <n x="70" s="1"/>
        <n x="2" s="1"/>
        <n x="68"/>
        <n x="78"/>
        <n x="38"/>
      </t>
    </mdx>
    <mdx n="0" f="v">
      <t c="8">
        <n x="7" s="1"/>
        <n x="69" s="1"/>
        <n x="3" s="1"/>
        <n x="70" s="1"/>
        <n x="2" s="1"/>
        <n x="68"/>
        <n x="78"/>
        <n x="39"/>
      </t>
    </mdx>
    <mdx n="0" f="v">
      <t c="8">
        <n x="7" s="1"/>
        <n x="69" s="1"/>
        <n x="3" s="1"/>
        <n x="70" s="1"/>
        <n x="2" s="1"/>
        <n x="68"/>
        <n x="78"/>
        <n x="40"/>
      </t>
    </mdx>
    <mdx n="0" f="v">
      <t c="8">
        <n x="7" s="1"/>
        <n x="69" s="1"/>
        <n x="3" s="1"/>
        <n x="70" s="1"/>
        <n x="2" s="1"/>
        <n x="68"/>
        <n x="78"/>
        <n x="41"/>
      </t>
    </mdx>
    <mdx n="0" f="v">
      <t c="8">
        <n x="7" s="1"/>
        <n x="69" s="1"/>
        <n x="3" s="1"/>
        <n x="70" s="1"/>
        <n x="2" s="1"/>
        <n x="68"/>
        <n x="78"/>
        <n x="42"/>
      </t>
    </mdx>
    <mdx n="0" f="v">
      <t c="8">
        <n x="7" s="1"/>
        <n x="69" s="1"/>
        <n x="3" s="1"/>
        <n x="70" s="1"/>
        <n x="2" s="1"/>
        <n x="68"/>
        <n x="78"/>
        <n x="43"/>
      </t>
    </mdx>
    <mdx n="0" f="v">
      <t c="8">
        <n x="7" s="1"/>
        <n x="69" s="1"/>
        <n x="3" s="1"/>
        <n x="70" s="1"/>
        <n x="2" s="1"/>
        <n x="68"/>
        <n x="78"/>
        <n x="44"/>
      </t>
    </mdx>
    <mdx n="0" f="v">
      <t c="8">
        <n x="7" s="1"/>
        <n x="69" s="1"/>
        <n x="3" s="1"/>
        <n x="70" s="1"/>
        <n x="2" s="1"/>
        <n x="68"/>
        <n x="78"/>
        <n x="45"/>
      </t>
    </mdx>
    <mdx n="0" f="v">
      <t c="8">
        <n x="7" s="1"/>
        <n x="69" s="1"/>
        <n x="3" s="1"/>
        <n x="70" s="1"/>
        <n x="2" s="1"/>
        <n x="68"/>
        <n x="78"/>
        <n x="46"/>
      </t>
    </mdx>
    <mdx n="0" f="v">
      <t c="8">
        <n x="7" s="1"/>
        <n x="69" s="1"/>
        <n x="3" s="1"/>
        <n x="70" s="1"/>
        <n x="2" s="1"/>
        <n x="68"/>
        <n x="78"/>
        <n x="47"/>
      </t>
    </mdx>
    <mdx n="0" f="v">
      <t c="8">
        <n x="7" s="1"/>
        <n x="69" s="1"/>
        <n x="3" s="1"/>
        <n x="70" s="1"/>
        <n x="2" s="1"/>
        <n x="68"/>
        <n x="78"/>
        <n x="48"/>
      </t>
    </mdx>
    <mdx n="0" f="v">
      <t c="8">
        <n x="7" s="1"/>
        <n x="69" s="1"/>
        <n x="3" s="1"/>
        <n x="70" s="1"/>
        <n x="2" s="1"/>
        <n x="68"/>
        <n x="78"/>
        <n x="49"/>
      </t>
    </mdx>
    <mdx n="0" f="v">
      <t c="8">
        <n x="7" s="1"/>
        <n x="69" s="1"/>
        <n x="3" s="1"/>
        <n x="70" s="1"/>
        <n x="2" s="1"/>
        <n x="68"/>
        <n x="78"/>
        <n x="50"/>
      </t>
    </mdx>
    <mdx n="0" f="v">
      <t c="8">
        <n x="7" s="1"/>
        <n x="69" s="1"/>
        <n x="3" s="1"/>
        <n x="70" s="1"/>
        <n x="2" s="1"/>
        <n x="68"/>
        <n x="78"/>
        <n x="51"/>
      </t>
    </mdx>
    <mdx n="0" f="v">
      <t c="8">
        <n x="7" s="1"/>
        <n x="69" s="1"/>
        <n x="3" s="1"/>
        <n x="70" s="1"/>
        <n x="2" s="1"/>
        <n x="68"/>
        <n x="78"/>
        <n x="52"/>
      </t>
    </mdx>
    <mdx n="0" f="v">
      <t c="8">
        <n x="7" s="1"/>
        <n x="69" s="1"/>
        <n x="3" s="1"/>
        <n x="70" s="1"/>
        <n x="2" s="1"/>
        <n x="68"/>
        <n x="78"/>
        <n x="53"/>
      </t>
    </mdx>
    <mdx n="0" f="v">
      <t c="8">
        <n x="7" s="1"/>
        <n x="69" s="1"/>
        <n x="3" s="1"/>
        <n x="70" s="1"/>
        <n x="2" s="1"/>
        <n x="68"/>
        <n x="78"/>
        <n x="54"/>
      </t>
    </mdx>
    <mdx n="0" f="v">
      <t c="8">
        <n x="7" s="1"/>
        <n x="69" s="1"/>
        <n x="3" s="1"/>
        <n x="70" s="1"/>
        <n x="2" s="1"/>
        <n x="68"/>
        <n x="78"/>
        <n x="55"/>
      </t>
    </mdx>
    <mdx n="0" f="v">
      <t c="8">
        <n x="7" s="1"/>
        <n x="69" s="1"/>
        <n x="3" s="1"/>
        <n x="70" s="1"/>
        <n x="2" s="1"/>
        <n x="68"/>
        <n x="78"/>
        <n x="56"/>
      </t>
    </mdx>
    <mdx n="0" f="v">
      <t c="8">
        <n x="7" s="1"/>
        <n x="69" s="1"/>
        <n x="3" s="1"/>
        <n x="70" s="1"/>
        <n x="2" s="1"/>
        <n x="68"/>
        <n x="78"/>
        <n x="57"/>
      </t>
    </mdx>
    <mdx n="0" f="v">
      <t c="8">
        <n x="7" s="1"/>
        <n x="69" s="1"/>
        <n x="3" s="1"/>
        <n x="70" s="1"/>
        <n x="2" s="1"/>
        <n x="68"/>
        <n x="78"/>
        <n x="58"/>
      </t>
    </mdx>
    <mdx n="0" f="v">
      <t c="8">
        <n x="7" s="1"/>
        <n x="69" s="1"/>
        <n x="3" s="1"/>
        <n x="70" s="1"/>
        <n x="2" s="1"/>
        <n x="68"/>
        <n x="78"/>
        <n x="59"/>
      </t>
    </mdx>
    <mdx n="0" f="v">
      <t c="8">
        <n x="7" s="1"/>
        <n x="69" s="1"/>
        <n x="3" s="1"/>
        <n x="70" s="1"/>
        <n x="2" s="1"/>
        <n x="68"/>
        <n x="78"/>
        <n x="60"/>
      </t>
    </mdx>
    <mdx n="0" f="v">
      <t c="8">
        <n x="7" s="1"/>
        <n x="69" s="1"/>
        <n x="3" s="1"/>
        <n x="70" s="1"/>
        <n x="2" s="1"/>
        <n x="68"/>
        <n x="78"/>
        <n x="61"/>
      </t>
    </mdx>
    <mdx n="0" f="v">
      <t c="8">
        <n x="7" s="1"/>
        <n x="69" s="1"/>
        <n x="3" s="1"/>
        <n x="70" s="1"/>
        <n x="2" s="1"/>
        <n x="68"/>
        <n x="78"/>
        <n x="62"/>
      </t>
    </mdx>
    <mdx n="0" f="v">
      <t c="8">
        <n x="7" s="1"/>
        <n x="69" s="1"/>
        <n x="3" s="1"/>
        <n x="70" s="1"/>
        <n x="2" s="1"/>
        <n x="68"/>
        <n x="78"/>
        <n x="63"/>
      </t>
    </mdx>
    <mdx n="0" f="v">
      <t c="8">
        <n x="7" s="1"/>
        <n x="69" s="1"/>
        <n x="3" s="1"/>
        <n x="70" s="1"/>
        <n x="2" s="1"/>
        <n x="68"/>
        <n x="78"/>
        <n x="64"/>
      </t>
    </mdx>
    <mdx n="0" f="v">
      <t c="8">
        <n x="7" s="1"/>
        <n x="69" s="1"/>
        <n x="3" s="1"/>
        <n x="70" s="1"/>
        <n x="2" s="1"/>
        <n x="68"/>
        <n x="78"/>
        <n x="65"/>
      </t>
    </mdx>
    <mdx n="0" f="v">
      <t c="8">
        <n x="7" s="1"/>
        <n x="69" s="1"/>
        <n x="3" s="1"/>
        <n x="70" s="1"/>
        <n x="2" s="1"/>
        <n x="68"/>
        <n x="78"/>
        <n x="66"/>
      </t>
    </mdx>
    <mdx n="0" f="v">
      <t c="8">
        <n x="7" s="1"/>
        <n x="69" s="1"/>
        <n x="3" s="1"/>
        <n x="70" s="1"/>
        <n x="2" s="1"/>
        <n x="68"/>
        <n x="79"/>
        <n x="8"/>
      </t>
    </mdx>
    <mdx n="0" f="v">
      <t c="8">
        <n x="7" s="1"/>
        <n x="69" s="1"/>
        <n x="3" s="1"/>
        <n x="70" s="1"/>
        <n x="2" s="1"/>
        <n x="68"/>
        <n x="79"/>
        <n x="9"/>
      </t>
    </mdx>
    <mdx n="0" f="v">
      <t c="8">
        <n x="7" s="1"/>
        <n x="69" s="1"/>
        <n x="3" s="1"/>
        <n x="70" s="1"/>
        <n x="2" s="1"/>
        <n x="68"/>
        <n x="79"/>
        <n x="10"/>
      </t>
    </mdx>
    <mdx n="0" f="v">
      <t c="8">
        <n x="7" s="1"/>
        <n x="69" s="1"/>
        <n x="3" s="1"/>
        <n x="70" s="1"/>
        <n x="2" s="1"/>
        <n x="68"/>
        <n x="79"/>
        <n x="11"/>
      </t>
    </mdx>
    <mdx n="0" f="v">
      <t c="8">
        <n x="7" s="1"/>
        <n x="69" s="1"/>
        <n x="3" s="1"/>
        <n x="70" s="1"/>
        <n x="2" s="1"/>
        <n x="68"/>
        <n x="79"/>
        <n x="12"/>
      </t>
    </mdx>
    <mdx n="0" f="v">
      <t c="8">
        <n x="7" s="1"/>
        <n x="69" s="1"/>
        <n x="3" s="1"/>
        <n x="70" s="1"/>
        <n x="2" s="1"/>
        <n x="68"/>
        <n x="79"/>
        <n x="13"/>
      </t>
    </mdx>
    <mdx n="0" f="v">
      <t c="8">
        <n x="7" s="1"/>
        <n x="69" s="1"/>
        <n x="3" s="1"/>
        <n x="70" s="1"/>
        <n x="2" s="1"/>
        <n x="68"/>
        <n x="79"/>
        <n x="14"/>
      </t>
    </mdx>
    <mdx n="0" f="v">
      <t c="8">
        <n x="7" s="1"/>
        <n x="69" s="1"/>
        <n x="3" s="1"/>
        <n x="70" s="1"/>
        <n x="2" s="1"/>
        <n x="68"/>
        <n x="79"/>
        <n x="15"/>
      </t>
    </mdx>
    <mdx n="0" f="v">
      <t c="8">
        <n x="7" s="1"/>
        <n x="69" s="1"/>
        <n x="3" s="1"/>
        <n x="70" s="1"/>
        <n x="2" s="1"/>
        <n x="68"/>
        <n x="79"/>
        <n x="16"/>
      </t>
    </mdx>
    <mdx n="0" f="v">
      <t c="8">
        <n x="7" s="1"/>
        <n x="69" s="1"/>
        <n x="3" s="1"/>
        <n x="70" s="1"/>
        <n x="2" s="1"/>
        <n x="68"/>
        <n x="79"/>
        <n x="17"/>
      </t>
    </mdx>
    <mdx n="0" f="v">
      <t c="8">
        <n x="7" s="1"/>
        <n x="69" s="1"/>
        <n x="3" s="1"/>
        <n x="70" s="1"/>
        <n x="2" s="1"/>
        <n x="68"/>
        <n x="79"/>
        <n x="18"/>
      </t>
    </mdx>
    <mdx n="0" f="v">
      <t c="8">
        <n x="7" s="1"/>
        <n x="69" s="1"/>
        <n x="3" s="1"/>
        <n x="70" s="1"/>
        <n x="2" s="1"/>
        <n x="68"/>
        <n x="79"/>
        <n x="19"/>
      </t>
    </mdx>
    <mdx n="0" f="v">
      <t c="8">
        <n x="7" s="1"/>
        <n x="69" s="1"/>
        <n x="3" s="1"/>
        <n x="70" s="1"/>
        <n x="2" s="1"/>
        <n x="68"/>
        <n x="79"/>
        <n x="20"/>
      </t>
    </mdx>
    <mdx n="0" f="v">
      <t c="8">
        <n x="7" s="1"/>
        <n x="69" s="1"/>
        <n x="3" s="1"/>
        <n x="70" s="1"/>
        <n x="2" s="1"/>
        <n x="68"/>
        <n x="79"/>
        <n x="21"/>
      </t>
    </mdx>
    <mdx n="0" f="v">
      <t c="8">
        <n x="7" s="1"/>
        <n x="69" s="1"/>
        <n x="3" s="1"/>
        <n x="70" s="1"/>
        <n x="2" s="1"/>
        <n x="68"/>
        <n x="79"/>
        <n x="22"/>
      </t>
    </mdx>
    <mdx n="0" f="v">
      <t c="8">
        <n x="7" s="1"/>
        <n x="69" s="1"/>
        <n x="3" s="1"/>
        <n x="70" s="1"/>
        <n x="2" s="1"/>
        <n x="68"/>
        <n x="79"/>
        <n x="23"/>
      </t>
    </mdx>
    <mdx n="0" f="v">
      <t c="8">
        <n x="7" s="1"/>
        <n x="69" s="1"/>
        <n x="3" s="1"/>
        <n x="70" s="1"/>
        <n x="2" s="1"/>
        <n x="68"/>
        <n x="79"/>
        <n x="24"/>
      </t>
    </mdx>
    <mdx n="0" f="v">
      <t c="8">
        <n x="7" s="1"/>
        <n x="69" s="1"/>
        <n x="3" s="1"/>
        <n x="70" s="1"/>
        <n x="2" s="1"/>
        <n x="68"/>
        <n x="79"/>
        <n x="25"/>
      </t>
    </mdx>
    <mdx n="0" f="v">
      <t c="8">
        <n x="7" s="1"/>
        <n x="69" s="1"/>
        <n x="3" s="1"/>
        <n x="70" s="1"/>
        <n x="2" s="1"/>
        <n x="68"/>
        <n x="79"/>
        <n x="26"/>
      </t>
    </mdx>
    <mdx n="0" f="v">
      <t c="8">
        <n x="7" s="1"/>
        <n x="69" s="1"/>
        <n x="3" s="1"/>
        <n x="70" s="1"/>
        <n x="2" s="1"/>
        <n x="68"/>
        <n x="79"/>
        <n x="27"/>
      </t>
    </mdx>
    <mdx n="0" f="v">
      <t c="8">
        <n x="7" s="1"/>
        <n x="69" s="1"/>
        <n x="3" s="1"/>
        <n x="70" s="1"/>
        <n x="2" s="1"/>
        <n x="68"/>
        <n x="79"/>
        <n x="28"/>
      </t>
    </mdx>
    <mdx n="0" f="v">
      <t c="8">
        <n x="7" s="1"/>
        <n x="69" s="1"/>
        <n x="3" s="1"/>
        <n x="70" s="1"/>
        <n x="2" s="1"/>
        <n x="68"/>
        <n x="79"/>
        <n x="29"/>
      </t>
    </mdx>
    <mdx n="0" f="v">
      <t c="8">
        <n x="7" s="1"/>
        <n x="69" s="1"/>
        <n x="3" s="1"/>
        <n x="70" s="1"/>
        <n x="2" s="1"/>
        <n x="68"/>
        <n x="79"/>
        <n x="30"/>
      </t>
    </mdx>
    <mdx n="0" f="v">
      <t c="8">
        <n x="7" s="1"/>
        <n x="69" s="1"/>
        <n x="3" s="1"/>
        <n x="70" s="1"/>
        <n x="2" s="1"/>
        <n x="68"/>
        <n x="79"/>
        <n x="31"/>
      </t>
    </mdx>
    <mdx n="0" f="v">
      <t c="8">
        <n x="7" s="1"/>
        <n x="69" s="1"/>
        <n x="3" s="1"/>
        <n x="70" s="1"/>
        <n x="2" s="1"/>
        <n x="68"/>
        <n x="79"/>
        <n x="32"/>
      </t>
    </mdx>
    <mdx n="0" f="v">
      <t c="8">
        <n x="7" s="1"/>
        <n x="69" s="1"/>
        <n x="3" s="1"/>
        <n x="70" s="1"/>
        <n x="2" s="1"/>
        <n x="68"/>
        <n x="79"/>
        <n x="33"/>
      </t>
    </mdx>
    <mdx n="0" f="v">
      <t c="8">
        <n x="7" s="1"/>
        <n x="69" s="1"/>
        <n x="3" s="1"/>
        <n x="70" s="1"/>
        <n x="2" s="1"/>
        <n x="68"/>
        <n x="79"/>
        <n x="34"/>
      </t>
    </mdx>
    <mdx n="0" f="v">
      <t c="8">
        <n x="7" s="1"/>
        <n x="69" s="1"/>
        <n x="3" s="1"/>
        <n x="70" s="1"/>
        <n x="2" s="1"/>
        <n x="68"/>
        <n x="79"/>
        <n x="35"/>
      </t>
    </mdx>
    <mdx n="0" f="v">
      <t c="8">
        <n x="7" s="1"/>
        <n x="69" s="1"/>
        <n x="3" s="1"/>
        <n x="70" s="1"/>
        <n x="2" s="1"/>
        <n x="68"/>
        <n x="79"/>
        <n x="36"/>
      </t>
    </mdx>
    <mdx n="0" f="v">
      <t c="8">
        <n x="7" s="1"/>
        <n x="69" s="1"/>
        <n x="3" s="1"/>
        <n x="70" s="1"/>
        <n x="2" s="1"/>
        <n x="68"/>
        <n x="79"/>
        <n x="37"/>
      </t>
    </mdx>
    <mdx n="0" f="v">
      <t c="8">
        <n x="7" s="1"/>
        <n x="69" s="1"/>
        <n x="3" s="1"/>
        <n x="70" s="1"/>
        <n x="2" s="1"/>
        <n x="68"/>
        <n x="79"/>
        <n x="38"/>
      </t>
    </mdx>
    <mdx n="0" f="v">
      <t c="8">
        <n x="7" s="1"/>
        <n x="69" s="1"/>
        <n x="3" s="1"/>
        <n x="70" s="1"/>
        <n x="2" s="1"/>
        <n x="68"/>
        <n x="79"/>
        <n x="39"/>
      </t>
    </mdx>
    <mdx n="0" f="v">
      <t c="8">
        <n x="7" s="1"/>
        <n x="69" s="1"/>
        <n x="3" s="1"/>
        <n x="70" s="1"/>
        <n x="2" s="1"/>
        <n x="68"/>
        <n x="79"/>
        <n x="40"/>
      </t>
    </mdx>
    <mdx n="0" f="v">
      <t c="8">
        <n x="7" s="1"/>
        <n x="69" s="1"/>
        <n x="3" s="1"/>
        <n x="70" s="1"/>
        <n x="2" s="1"/>
        <n x="68"/>
        <n x="79"/>
        <n x="41"/>
      </t>
    </mdx>
    <mdx n="0" f="v">
      <t c="8">
        <n x="7" s="1"/>
        <n x="69" s="1"/>
        <n x="3" s="1"/>
        <n x="70" s="1"/>
        <n x="2" s="1"/>
        <n x="68"/>
        <n x="79"/>
        <n x="42"/>
      </t>
    </mdx>
    <mdx n="0" f="v">
      <t c="8">
        <n x="7" s="1"/>
        <n x="69" s="1"/>
        <n x="3" s="1"/>
        <n x="70" s="1"/>
        <n x="2" s="1"/>
        <n x="68"/>
        <n x="79"/>
        <n x="43"/>
      </t>
    </mdx>
    <mdx n="0" f="v">
      <t c="8">
        <n x="7" s="1"/>
        <n x="69" s="1"/>
        <n x="3" s="1"/>
        <n x="70" s="1"/>
        <n x="2" s="1"/>
        <n x="68"/>
        <n x="79"/>
        <n x="44"/>
      </t>
    </mdx>
    <mdx n="0" f="v">
      <t c="8">
        <n x="7" s="1"/>
        <n x="69" s="1"/>
        <n x="3" s="1"/>
        <n x="70" s="1"/>
        <n x="2" s="1"/>
        <n x="68"/>
        <n x="79"/>
        <n x="45"/>
      </t>
    </mdx>
    <mdx n="0" f="v">
      <t c="8">
        <n x="7" s="1"/>
        <n x="69" s="1"/>
        <n x="3" s="1"/>
        <n x="70" s="1"/>
        <n x="2" s="1"/>
        <n x="68"/>
        <n x="79"/>
        <n x="46"/>
      </t>
    </mdx>
    <mdx n="0" f="v">
      <t c="8">
        <n x="7" s="1"/>
        <n x="69" s="1"/>
        <n x="3" s="1"/>
        <n x="70" s="1"/>
        <n x="2" s="1"/>
        <n x="68"/>
        <n x="79"/>
        <n x="47"/>
      </t>
    </mdx>
    <mdx n="0" f="v">
      <t c="8">
        <n x="7" s="1"/>
        <n x="69" s="1"/>
        <n x="3" s="1"/>
        <n x="70" s="1"/>
        <n x="2" s="1"/>
        <n x="68"/>
        <n x="79"/>
        <n x="48"/>
      </t>
    </mdx>
    <mdx n="0" f="v">
      <t c="8">
        <n x="7" s="1"/>
        <n x="69" s="1"/>
        <n x="3" s="1"/>
        <n x="70" s="1"/>
        <n x="2" s="1"/>
        <n x="68"/>
        <n x="79"/>
        <n x="49"/>
      </t>
    </mdx>
    <mdx n="0" f="v">
      <t c="8">
        <n x="7" s="1"/>
        <n x="69" s="1"/>
        <n x="3" s="1"/>
        <n x="70" s="1"/>
        <n x="2" s="1"/>
        <n x="68"/>
        <n x="79"/>
        <n x="50"/>
      </t>
    </mdx>
    <mdx n="0" f="v">
      <t c="8">
        <n x="7" s="1"/>
        <n x="69" s="1"/>
        <n x="3" s="1"/>
        <n x="70" s="1"/>
        <n x="2" s="1"/>
        <n x="68"/>
        <n x="79"/>
        <n x="51"/>
      </t>
    </mdx>
    <mdx n="0" f="v">
      <t c="8">
        <n x="7" s="1"/>
        <n x="69" s="1"/>
        <n x="3" s="1"/>
        <n x="70" s="1"/>
        <n x="2" s="1"/>
        <n x="68"/>
        <n x="79"/>
        <n x="52"/>
      </t>
    </mdx>
    <mdx n="0" f="v">
      <t c="8">
        <n x="7" s="1"/>
        <n x="69" s="1"/>
        <n x="3" s="1"/>
        <n x="70" s="1"/>
        <n x="2" s="1"/>
        <n x="68"/>
        <n x="79"/>
        <n x="53"/>
      </t>
    </mdx>
    <mdx n="0" f="v">
      <t c="8">
        <n x="7" s="1"/>
        <n x="69" s="1"/>
        <n x="3" s="1"/>
        <n x="70" s="1"/>
        <n x="2" s="1"/>
        <n x="68"/>
        <n x="79"/>
        <n x="54"/>
      </t>
    </mdx>
    <mdx n="0" f="v">
      <t c="8">
        <n x="7" s="1"/>
        <n x="69" s="1"/>
        <n x="3" s="1"/>
        <n x="70" s="1"/>
        <n x="2" s="1"/>
        <n x="68"/>
        <n x="79"/>
        <n x="55"/>
      </t>
    </mdx>
    <mdx n="0" f="v">
      <t c="8">
        <n x="7" s="1"/>
        <n x="69" s="1"/>
        <n x="3" s="1"/>
        <n x="70" s="1"/>
        <n x="2" s="1"/>
        <n x="68"/>
        <n x="79"/>
        <n x="56"/>
      </t>
    </mdx>
    <mdx n="0" f="v">
      <t c="8">
        <n x="7" s="1"/>
        <n x="69" s="1"/>
        <n x="3" s="1"/>
        <n x="70" s="1"/>
        <n x="2" s="1"/>
        <n x="68"/>
        <n x="79"/>
        <n x="57"/>
      </t>
    </mdx>
    <mdx n="0" f="v">
      <t c="8">
        <n x="7" s="1"/>
        <n x="69" s="1"/>
        <n x="3" s="1"/>
        <n x="70" s="1"/>
        <n x="2" s="1"/>
        <n x="68"/>
        <n x="79"/>
        <n x="58"/>
      </t>
    </mdx>
    <mdx n="0" f="v">
      <t c="8">
        <n x="7" s="1"/>
        <n x="69" s="1"/>
        <n x="3" s="1"/>
        <n x="70" s="1"/>
        <n x="2" s="1"/>
        <n x="68"/>
        <n x="79"/>
        <n x="59"/>
      </t>
    </mdx>
    <mdx n="0" f="v">
      <t c="8">
        <n x="7" s="1"/>
        <n x="69" s="1"/>
        <n x="3" s="1"/>
        <n x="70" s="1"/>
        <n x="2" s="1"/>
        <n x="68"/>
        <n x="79"/>
        <n x="60"/>
      </t>
    </mdx>
    <mdx n="0" f="v">
      <t c="8">
        <n x="7" s="1"/>
        <n x="69" s="1"/>
        <n x="3" s="1"/>
        <n x="70" s="1"/>
        <n x="2" s="1"/>
        <n x="68"/>
        <n x="79"/>
        <n x="61"/>
      </t>
    </mdx>
    <mdx n="0" f="v">
      <t c="8">
        <n x="7" s="1"/>
        <n x="69" s="1"/>
        <n x="3" s="1"/>
        <n x="70" s="1"/>
        <n x="2" s="1"/>
        <n x="68"/>
        <n x="79"/>
        <n x="62"/>
      </t>
    </mdx>
    <mdx n="0" f="v">
      <t c="8">
        <n x="7" s="1"/>
        <n x="69" s="1"/>
        <n x="3" s="1"/>
        <n x="70" s="1"/>
        <n x="2" s="1"/>
        <n x="68"/>
        <n x="79"/>
        <n x="63"/>
      </t>
    </mdx>
    <mdx n="0" f="v">
      <t c="8">
        <n x="7" s="1"/>
        <n x="69" s="1"/>
        <n x="3" s="1"/>
        <n x="70" s="1"/>
        <n x="2" s="1"/>
        <n x="68"/>
        <n x="79"/>
        <n x="64"/>
      </t>
    </mdx>
    <mdx n="0" f="v">
      <t c="8">
        <n x="7" s="1"/>
        <n x="69" s="1"/>
        <n x="3" s="1"/>
        <n x="70" s="1"/>
        <n x="2" s="1"/>
        <n x="68"/>
        <n x="79"/>
        <n x="65"/>
      </t>
    </mdx>
    <mdx n="0" f="v">
      <t c="8">
        <n x="7" s="1"/>
        <n x="69" s="1"/>
        <n x="3" s="1"/>
        <n x="70" s="1"/>
        <n x="2" s="1"/>
        <n x="68"/>
        <n x="79"/>
        <n x="66"/>
      </t>
    </mdx>
    <mdx n="0" f="v">
      <t c="8">
        <n x="7" s="1"/>
        <n x="69" s="1"/>
        <n x="3" s="1"/>
        <n x="70" s="1"/>
        <n x="2" s="1"/>
        <n x="68"/>
        <n x="80"/>
        <n x="8"/>
      </t>
    </mdx>
    <mdx n="0" f="v">
      <t c="8">
        <n x="7" s="1"/>
        <n x="69" s="1"/>
        <n x="3" s="1"/>
        <n x="70" s="1"/>
        <n x="2" s="1"/>
        <n x="68"/>
        <n x="80"/>
        <n x="9"/>
      </t>
    </mdx>
    <mdx n="0" f="v">
      <t c="8">
        <n x="7" s="1"/>
        <n x="69" s="1"/>
        <n x="3" s="1"/>
        <n x="70" s="1"/>
        <n x="2" s="1"/>
        <n x="68"/>
        <n x="80"/>
        <n x="10"/>
      </t>
    </mdx>
    <mdx n="0" f="v">
      <t c="8">
        <n x="7" s="1"/>
        <n x="69" s="1"/>
        <n x="3" s="1"/>
        <n x="70" s="1"/>
        <n x="2" s="1"/>
        <n x="68"/>
        <n x="80"/>
        <n x="11"/>
      </t>
    </mdx>
    <mdx n="0" f="v">
      <t c="8">
        <n x="7" s="1"/>
        <n x="69" s="1"/>
        <n x="3" s="1"/>
        <n x="70" s="1"/>
        <n x="2" s="1"/>
        <n x="68"/>
        <n x="80"/>
        <n x="12"/>
      </t>
    </mdx>
    <mdx n="0" f="v">
      <t c="8">
        <n x="7" s="1"/>
        <n x="69" s="1"/>
        <n x="3" s="1"/>
        <n x="70" s="1"/>
        <n x="2" s="1"/>
        <n x="68"/>
        <n x="80"/>
        <n x="13"/>
      </t>
    </mdx>
    <mdx n="0" f="v">
      <t c="8">
        <n x="7" s="1"/>
        <n x="69" s="1"/>
        <n x="3" s="1"/>
        <n x="70" s="1"/>
        <n x="2" s="1"/>
        <n x="68"/>
        <n x="80"/>
        <n x="14"/>
      </t>
    </mdx>
    <mdx n="0" f="v">
      <t c="8">
        <n x="7" s="1"/>
        <n x="69" s="1"/>
        <n x="3" s="1"/>
        <n x="70" s="1"/>
        <n x="2" s="1"/>
        <n x="68"/>
        <n x="80"/>
        <n x="15"/>
      </t>
    </mdx>
    <mdx n="0" f="v">
      <t c="8">
        <n x="7" s="1"/>
        <n x="69" s="1"/>
        <n x="3" s="1"/>
        <n x="70" s="1"/>
        <n x="2" s="1"/>
        <n x="68"/>
        <n x="80"/>
        <n x="16"/>
      </t>
    </mdx>
    <mdx n="0" f="v">
      <t c="8">
        <n x="7" s="1"/>
        <n x="69" s="1"/>
        <n x="3" s="1"/>
        <n x="70" s="1"/>
        <n x="2" s="1"/>
        <n x="68"/>
        <n x="80"/>
        <n x="17"/>
      </t>
    </mdx>
    <mdx n="0" f="v">
      <t c="8">
        <n x="7" s="1"/>
        <n x="69" s="1"/>
        <n x="3" s="1"/>
        <n x="70" s="1"/>
        <n x="2" s="1"/>
        <n x="68"/>
        <n x="80"/>
        <n x="18"/>
      </t>
    </mdx>
    <mdx n="0" f="v">
      <t c="8">
        <n x="7" s="1"/>
        <n x="69" s="1"/>
        <n x="3" s="1"/>
        <n x="70" s="1"/>
        <n x="2" s="1"/>
        <n x="68"/>
        <n x="80"/>
        <n x="19"/>
      </t>
    </mdx>
    <mdx n="0" f="v">
      <t c="8">
        <n x="7" s="1"/>
        <n x="69" s="1"/>
        <n x="3" s="1"/>
        <n x="70" s="1"/>
        <n x="2" s="1"/>
        <n x="68"/>
        <n x="80"/>
        <n x="20"/>
      </t>
    </mdx>
    <mdx n="0" f="v">
      <t c="8">
        <n x="7" s="1"/>
        <n x="69" s="1"/>
        <n x="3" s="1"/>
        <n x="70" s="1"/>
        <n x="2" s="1"/>
        <n x="68"/>
        <n x="80"/>
        <n x="21"/>
      </t>
    </mdx>
    <mdx n="0" f="v">
      <t c="8">
        <n x="7" s="1"/>
        <n x="69" s="1"/>
        <n x="3" s="1"/>
        <n x="70" s="1"/>
        <n x="2" s="1"/>
        <n x="68"/>
        <n x="80"/>
        <n x="22"/>
      </t>
    </mdx>
    <mdx n="0" f="v">
      <t c="8">
        <n x="7" s="1"/>
        <n x="69" s="1"/>
        <n x="3" s="1"/>
        <n x="70" s="1"/>
        <n x="2" s="1"/>
        <n x="68"/>
        <n x="80"/>
        <n x="23"/>
      </t>
    </mdx>
    <mdx n="0" f="v">
      <t c="8">
        <n x="7" s="1"/>
        <n x="69" s="1"/>
        <n x="3" s="1"/>
        <n x="70" s="1"/>
        <n x="2" s="1"/>
        <n x="68"/>
        <n x="80"/>
        <n x="24"/>
      </t>
    </mdx>
    <mdx n="0" f="v">
      <t c="8">
        <n x="7" s="1"/>
        <n x="69" s="1"/>
        <n x="3" s="1"/>
        <n x="70" s="1"/>
        <n x="2" s="1"/>
        <n x="68"/>
        <n x="80"/>
        <n x="25"/>
      </t>
    </mdx>
    <mdx n="0" f="v">
      <t c="8">
        <n x="7" s="1"/>
        <n x="69" s="1"/>
        <n x="3" s="1"/>
        <n x="70" s="1"/>
        <n x="2" s="1"/>
        <n x="68"/>
        <n x="80"/>
        <n x="26"/>
      </t>
    </mdx>
    <mdx n="0" f="v">
      <t c="8">
        <n x="7" s="1"/>
        <n x="69" s="1"/>
        <n x="3" s="1"/>
        <n x="70" s="1"/>
        <n x="2" s="1"/>
        <n x="68"/>
        <n x="80"/>
        <n x="27"/>
      </t>
    </mdx>
    <mdx n="0" f="v">
      <t c="8">
        <n x="7" s="1"/>
        <n x="69" s="1"/>
        <n x="3" s="1"/>
        <n x="70" s="1"/>
        <n x="2" s="1"/>
        <n x="68"/>
        <n x="80"/>
        <n x="28"/>
      </t>
    </mdx>
    <mdx n="0" f="v">
      <t c="8">
        <n x="7" s="1"/>
        <n x="69" s="1"/>
        <n x="3" s="1"/>
        <n x="70" s="1"/>
        <n x="2" s="1"/>
        <n x="68"/>
        <n x="80"/>
        <n x="29"/>
      </t>
    </mdx>
    <mdx n="0" f="v">
      <t c="8">
        <n x="7" s="1"/>
        <n x="69" s="1"/>
        <n x="3" s="1"/>
        <n x="70" s="1"/>
        <n x="2" s="1"/>
        <n x="68"/>
        <n x="80"/>
        <n x="30"/>
      </t>
    </mdx>
    <mdx n="0" f="v">
      <t c="8">
        <n x="7" s="1"/>
        <n x="69" s="1"/>
        <n x="3" s="1"/>
        <n x="70" s="1"/>
        <n x="2" s="1"/>
        <n x="68"/>
        <n x="80"/>
        <n x="31"/>
      </t>
    </mdx>
    <mdx n="0" f="v">
      <t c="8">
        <n x="7" s="1"/>
        <n x="69" s="1"/>
        <n x="3" s="1"/>
        <n x="70" s="1"/>
        <n x="2" s="1"/>
        <n x="68"/>
        <n x="80"/>
        <n x="32"/>
      </t>
    </mdx>
    <mdx n="0" f="v">
      <t c="8">
        <n x="7" s="1"/>
        <n x="69" s="1"/>
        <n x="3" s="1"/>
        <n x="70" s="1"/>
        <n x="2" s="1"/>
        <n x="68"/>
        <n x="80"/>
        <n x="33"/>
      </t>
    </mdx>
    <mdx n="0" f="v">
      <t c="8">
        <n x="7" s="1"/>
        <n x="69" s="1"/>
        <n x="3" s="1"/>
        <n x="70" s="1"/>
        <n x="2" s="1"/>
        <n x="68"/>
        <n x="80"/>
        <n x="34"/>
      </t>
    </mdx>
    <mdx n="0" f="v">
      <t c="8">
        <n x="7" s="1"/>
        <n x="69" s="1"/>
        <n x="3" s="1"/>
        <n x="70" s="1"/>
        <n x="2" s="1"/>
        <n x="68"/>
        <n x="80"/>
        <n x="35"/>
      </t>
    </mdx>
    <mdx n="0" f="v">
      <t c="8">
        <n x="7" s="1"/>
        <n x="69" s="1"/>
        <n x="3" s="1"/>
        <n x="70" s="1"/>
        <n x="2" s="1"/>
        <n x="68"/>
        <n x="80"/>
        <n x="36"/>
      </t>
    </mdx>
    <mdx n="0" f="v">
      <t c="8">
        <n x="7" s="1"/>
        <n x="69" s="1"/>
        <n x="3" s="1"/>
        <n x="70" s="1"/>
        <n x="2" s="1"/>
        <n x="68"/>
        <n x="80"/>
        <n x="37"/>
      </t>
    </mdx>
    <mdx n="0" f="v">
      <t c="8">
        <n x="7" s="1"/>
        <n x="69" s="1"/>
        <n x="3" s="1"/>
        <n x="70" s="1"/>
        <n x="2" s="1"/>
        <n x="68"/>
        <n x="80"/>
        <n x="38"/>
      </t>
    </mdx>
    <mdx n="0" f="v">
      <t c="8">
        <n x="7" s="1"/>
        <n x="69" s="1"/>
        <n x="3" s="1"/>
        <n x="70" s="1"/>
        <n x="2" s="1"/>
        <n x="68"/>
        <n x="80"/>
        <n x="39"/>
      </t>
    </mdx>
    <mdx n="0" f="v">
      <t c="8">
        <n x="7" s="1"/>
        <n x="69" s="1"/>
        <n x="3" s="1"/>
        <n x="70" s="1"/>
        <n x="2" s="1"/>
        <n x="68"/>
        <n x="80"/>
        <n x="40"/>
      </t>
    </mdx>
    <mdx n="0" f="v">
      <t c="8">
        <n x="7" s="1"/>
        <n x="69" s="1"/>
        <n x="3" s="1"/>
        <n x="70" s="1"/>
        <n x="2" s="1"/>
        <n x="68"/>
        <n x="80"/>
        <n x="41"/>
      </t>
    </mdx>
    <mdx n="0" f="v">
      <t c="8">
        <n x="7" s="1"/>
        <n x="69" s="1"/>
        <n x="3" s="1"/>
        <n x="70" s="1"/>
        <n x="2" s="1"/>
        <n x="68"/>
        <n x="80"/>
        <n x="42"/>
      </t>
    </mdx>
    <mdx n="0" f="v">
      <t c="8">
        <n x="7" s="1"/>
        <n x="69" s="1"/>
        <n x="3" s="1"/>
        <n x="70" s="1"/>
        <n x="2" s="1"/>
        <n x="68"/>
        <n x="80"/>
        <n x="43"/>
      </t>
    </mdx>
    <mdx n="0" f="v">
      <t c="8">
        <n x="7" s="1"/>
        <n x="69" s="1"/>
        <n x="3" s="1"/>
        <n x="70" s="1"/>
        <n x="2" s="1"/>
        <n x="68"/>
        <n x="80"/>
        <n x="44"/>
      </t>
    </mdx>
    <mdx n="0" f="v">
      <t c="8">
        <n x="7" s="1"/>
        <n x="69" s="1"/>
        <n x="3" s="1"/>
        <n x="70" s="1"/>
        <n x="2" s="1"/>
        <n x="68"/>
        <n x="80"/>
        <n x="45"/>
      </t>
    </mdx>
    <mdx n="0" f="v">
      <t c="8">
        <n x="7" s="1"/>
        <n x="69" s="1"/>
        <n x="3" s="1"/>
        <n x="70" s="1"/>
        <n x="2" s="1"/>
        <n x="68"/>
        <n x="80"/>
        <n x="46"/>
      </t>
    </mdx>
    <mdx n="0" f="v">
      <t c="8">
        <n x="7" s="1"/>
        <n x="69" s="1"/>
        <n x="3" s="1"/>
        <n x="70" s="1"/>
        <n x="2" s="1"/>
        <n x="68"/>
        <n x="80"/>
        <n x="47"/>
      </t>
    </mdx>
    <mdx n="0" f="v">
      <t c="8">
        <n x="7" s="1"/>
        <n x="69" s="1"/>
        <n x="3" s="1"/>
        <n x="70" s="1"/>
        <n x="2" s="1"/>
        <n x="68"/>
        <n x="80"/>
        <n x="48"/>
      </t>
    </mdx>
    <mdx n="0" f="v">
      <t c="8">
        <n x="7" s="1"/>
        <n x="69" s="1"/>
        <n x="3" s="1"/>
        <n x="70" s="1"/>
        <n x="2" s="1"/>
        <n x="68"/>
        <n x="80"/>
        <n x="49"/>
      </t>
    </mdx>
    <mdx n="0" f="v">
      <t c="8">
        <n x="7" s="1"/>
        <n x="69" s="1"/>
        <n x="3" s="1"/>
        <n x="70" s="1"/>
        <n x="2" s="1"/>
        <n x="68"/>
        <n x="80"/>
        <n x="50"/>
      </t>
    </mdx>
    <mdx n="0" f="v">
      <t c="8">
        <n x="7" s="1"/>
        <n x="69" s="1"/>
        <n x="3" s="1"/>
        <n x="70" s="1"/>
        <n x="2" s="1"/>
        <n x="68"/>
        <n x="80"/>
        <n x="51"/>
      </t>
    </mdx>
    <mdx n="0" f="v">
      <t c="8">
        <n x="7" s="1"/>
        <n x="69" s="1"/>
        <n x="3" s="1"/>
        <n x="70" s="1"/>
        <n x="2" s="1"/>
        <n x="68"/>
        <n x="80"/>
        <n x="52"/>
      </t>
    </mdx>
    <mdx n="0" f="v">
      <t c="8">
        <n x="7" s="1"/>
        <n x="69" s="1"/>
        <n x="3" s="1"/>
        <n x="70" s="1"/>
        <n x="2" s="1"/>
        <n x="68"/>
        <n x="80"/>
        <n x="53"/>
      </t>
    </mdx>
    <mdx n="0" f="v">
      <t c="8">
        <n x="7" s="1"/>
        <n x="69" s="1"/>
        <n x="3" s="1"/>
        <n x="70" s="1"/>
        <n x="2" s="1"/>
        <n x="68"/>
        <n x="80"/>
        <n x="54"/>
      </t>
    </mdx>
    <mdx n="0" f="v">
      <t c="8">
        <n x="7" s="1"/>
        <n x="69" s="1"/>
        <n x="3" s="1"/>
        <n x="70" s="1"/>
        <n x="2" s="1"/>
        <n x="68"/>
        <n x="80"/>
        <n x="55"/>
      </t>
    </mdx>
    <mdx n="0" f="v">
      <t c="8">
        <n x="7" s="1"/>
        <n x="69" s="1"/>
        <n x="3" s="1"/>
        <n x="70" s="1"/>
        <n x="2" s="1"/>
        <n x="68"/>
        <n x="80"/>
        <n x="56"/>
      </t>
    </mdx>
    <mdx n="0" f="v">
      <t c="8">
        <n x="7" s="1"/>
        <n x="69" s="1"/>
        <n x="3" s="1"/>
        <n x="70" s="1"/>
        <n x="2" s="1"/>
        <n x="68"/>
        <n x="80"/>
        <n x="57"/>
      </t>
    </mdx>
    <mdx n="0" f="v">
      <t c="8">
        <n x="7" s="1"/>
        <n x="69" s="1"/>
        <n x="3" s="1"/>
        <n x="70" s="1"/>
        <n x="2" s="1"/>
        <n x="68"/>
        <n x="80"/>
        <n x="58"/>
      </t>
    </mdx>
    <mdx n="0" f="v">
      <t c="8">
        <n x="7" s="1"/>
        <n x="69" s="1"/>
        <n x="3" s="1"/>
        <n x="70" s="1"/>
        <n x="2" s="1"/>
        <n x="68"/>
        <n x="80"/>
        <n x="59"/>
      </t>
    </mdx>
    <mdx n="0" f="v">
      <t c="8">
        <n x="7" s="1"/>
        <n x="69" s="1"/>
        <n x="3" s="1"/>
        <n x="70" s="1"/>
        <n x="2" s="1"/>
        <n x="68"/>
        <n x="80"/>
        <n x="60"/>
      </t>
    </mdx>
    <mdx n="0" f="v">
      <t c="8">
        <n x="7" s="1"/>
        <n x="69" s="1"/>
        <n x="3" s="1"/>
        <n x="70" s="1"/>
        <n x="2" s="1"/>
        <n x="68"/>
        <n x="80"/>
        <n x="61"/>
      </t>
    </mdx>
    <mdx n="0" f="v">
      <t c="8">
        <n x="7" s="1"/>
        <n x="69" s="1"/>
        <n x="3" s="1"/>
        <n x="70" s="1"/>
        <n x="2" s="1"/>
        <n x="68"/>
        <n x="80"/>
        <n x="62"/>
      </t>
    </mdx>
    <mdx n="0" f="v">
      <t c="8">
        <n x="7" s="1"/>
        <n x="69" s="1"/>
        <n x="3" s="1"/>
        <n x="70" s="1"/>
        <n x="2" s="1"/>
        <n x="68"/>
        <n x="80"/>
        <n x="63"/>
      </t>
    </mdx>
    <mdx n="0" f="v">
      <t c="8">
        <n x="7" s="1"/>
        <n x="69" s="1"/>
        <n x="3" s="1"/>
        <n x="70" s="1"/>
        <n x="2" s="1"/>
        <n x="68"/>
        <n x="80"/>
        <n x="64"/>
      </t>
    </mdx>
    <mdx n="0" f="v">
      <t c="8">
        <n x="7" s="1"/>
        <n x="69" s="1"/>
        <n x="3" s="1"/>
        <n x="70" s="1"/>
        <n x="2" s="1"/>
        <n x="68"/>
        <n x="80"/>
        <n x="65"/>
      </t>
    </mdx>
    <mdx n="0" f="v">
      <t c="8">
        <n x="7" s="1"/>
        <n x="69" s="1"/>
        <n x="3" s="1"/>
        <n x="70" s="1"/>
        <n x="2" s="1"/>
        <n x="68"/>
        <n x="80"/>
        <n x="66"/>
      </t>
    </mdx>
    <mdx n="0" f="v">
      <t c="8">
        <n x="7" s="1"/>
        <n x="69" s="1"/>
        <n x="3" s="1"/>
        <n x="70" s="1"/>
        <n x="2" s="1"/>
        <n x="68"/>
        <n x="81"/>
        <n x="8"/>
      </t>
    </mdx>
    <mdx n="0" f="v">
      <t c="8">
        <n x="7" s="1"/>
        <n x="69" s="1"/>
        <n x="3" s="1"/>
        <n x="70" s="1"/>
        <n x="2" s="1"/>
        <n x="68"/>
        <n x="81"/>
        <n x="9"/>
      </t>
    </mdx>
    <mdx n="0" f="v">
      <t c="8">
        <n x="7" s="1"/>
        <n x="69" s="1"/>
        <n x="3" s="1"/>
        <n x="70" s="1"/>
        <n x="2" s="1"/>
        <n x="68"/>
        <n x="81"/>
        <n x="10"/>
      </t>
    </mdx>
    <mdx n="0" f="v">
      <t c="8">
        <n x="7" s="1"/>
        <n x="69" s="1"/>
        <n x="3" s="1"/>
        <n x="70" s="1"/>
        <n x="2" s="1"/>
        <n x="68"/>
        <n x="81"/>
        <n x="11"/>
      </t>
    </mdx>
    <mdx n="0" f="v">
      <t c="8">
        <n x="7" s="1"/>
        <n x="69" s="1"/>
        <n x="3" s="1"/>
        <n x="70" s="1"/>
        <n x="2" s="1"/>
        <n x="68"/>
        <n x="81"/>
        <n x="12"/>
      </t>
    </mdx>
    <mdx n="0" f="v">
      <t c="8">
        <n x="7" s="1"/>
        <n x="69" s="1"/>
        <n x="3" s="1"/>
        <n x="70" s="1"/>
        <n x="2" s="1"/>
        <n x="68"/>
        <n x="81"/>
        <n x="13"/>
      </t>
    </mdx>
    <mdx n="0" f="v">
      <t c="8">
        <n x="7" s="1"/>
        <n x="69" s="1"/>
        <n x="3" s="1"/>
        <n x="70" s="1"/>
        <n x="2" s="1"/>
        <n x="68"/>
        <n x="81"/>
        <n x="14"/>
      </t>
    </mdx>
    <mdx n="0" f="v">
      <t c="8">
        <n x="7" s="1"/>
        <n x="69" s="1"/>
        <n x="3" s="1"/>
        <n x="70" s="1"/>
        <n x="2" s="1"/>
        <n x="68"/>
        <n x="81"/>
        <n x="15"/>
      </t>
    </mdx>
    <mdx n="0" f="v">
      <t c="8">
        <n x="7" s="1"/>
        <n x="69" s="1"/>
        <n x="3" s="1"/>
        <n x="70" s="1"/>
        <n x="2" s="1"/>
        <n x="68"/>
        <n x="81"/>
        <n x="16"/>
      </t>
    </mdx>
    <mdx n="0" f="v">
      <t c="8">
        <n x="7" s="1"/>
        <n x="69" s="1"/>
        <n x="3" s="1"/>
        <n x="70" s="1"/>
        <n x="2" s="1"/>
        <n x="68"/>
        <n x="81"/>
        <n x="17"/>
      </t>
    </mdx>
    <mdx n="0" f="v">
      <t c="8">
        <n x="7" s="1"/>
        <n x="69" s="1"/>
        <n x="3" s="1"/>
        <n x="70" s="1"/>
        <n x="2" s="1"/>
        <n x="68"/>
        <n x="81"/>
        <n x="18"/>
      </t>
    </mdx>
    <mdx n="0" f="v">
      <t c="8">
        <n x="7" s="1"/>
        <n x="69" s="1"/>
        <n x="3" s="1"/>
        <n x="70" s="1"/>
        <n x="2" s="1"/>
        <n x="68"/>
        <n x="81"/>
        <n x="19"/>
      </t>
    </mdx>
    <mdx n="0" f="v">
      <t c="8">
        <n x="7" s="1"/>
        <n x="69" s="1"/>
        <n x="3" s="1"/>
        <n x="70" s="1"/>
        <n x="2" s="1"/>
        <n x="68"/>
        <n x="81"/>
        <n x="20"/>
      </t>
    </mdx>
    <mdx n="0" f="v">
      <t c="8">
        <n x="7" s="1"/>
        <n x="69" s="1"/>
        <n x="3" s="1"/>
        <n x="70" s="1"/>
        <n x="2" s="1"/>
        <n x="68"/>
        <n x="81"/>
        <n x="21"/>
      </t>
    </mdx>
    <mdx n="0" f="v">
      <t c="8">
        <n x="7" s="1"/>
        <n x="69" s="1"/>
        <n x="3" s="1"/>
        <n x="70" s="1"/>
        <n x="2" s="1"/>
        <n x="68"/>
        <n x="81"/>
        <n x="22"/>
      </t>
    </mdx>
    <mdx n="0" f="v">
      <t c="8">
        <n x="7" s="1"/>
        <n x="69" s="1"/>
        <n x="3" s="1"/>
        <n x="70" s="1"/>
        <n x="2" s="1"/>
        <n x="68"/>
        <n x="81"/>
        <n x="23"/>
      </t>
    </mdx>
    <mdx n="0" f="v">
      <t c="8">
        <n x="7" s="1"/>
        <n x="69" s="1"/>
        <n x="3" s="1"/>
        <n x="70" s="1"/>
        <n x="2" s="1"/>
        <n x="68"/>
        <n x="81"/>
        <n x="24"/>
      </t>
    </mdx>
    <mdx n="0" f="v">
      <t c="8">
        <n x="7" s="1"/>
        <n x="69" s="1"/>
        <n x="3" s="1"/>
        <n x="70" s="1"/>
        <n x="2" s="1"/>
        <n x="68"/>
        <n x="81"/>
        <n x="25"/>
      </t>
    </mdx>
    <mdx n="0" f="v">
      <t c="8">
        <n x="7" s="1"/>
        <n x="69" s="1"/>
        <n x="3" s="1"/>
        <n x="70" s="1"/>
        <n x="2" s="1"/>
        <n x="68"/>
        <n x="81"/>
        <n x="26"/>
      </t>
    </mdx>
    <mdx n="0" f="v">
      <t c="8">
        <n x="7" s="1"/>
        <n x="69" s="1"/>
        <n x="3" s="1"/>
        <n x="70" s="1"/>
        <n x="2" s="1"/>
        <n x="68"/>
        <n x="81"/>
        <n x="27"/>
      </t>
    </mdx>
    <mdx n="0" f="v">
      <t c="8">
        <n x="7" s="1"/>
        <n x="69" s="1"/>
        <n x="3" s="1"/>
        <n x="70" s="1"/>
        <n x="2" s="1"/>
        <n x="68"/>
        <n x="81"/>
        <n x="28"/>
      </t>
    </mdx>
    <mdx n="0" f="v">
      <t c="8">
        <n x="7" s="1"/>
        <n x="69" s="1"/>
        <n x="3" s="1"/>
        <n x="70" s="1"/>
        <n x="2" s="1"/>
        <n x="68"/>
        <n x="81"/>
        <n x="29"/>
      </t>
    </mdx>
    <mdx n="0" f="v">
      <t c="8">
        <n x="7" s="1"/>
        <n x="69" s="1"/>
        <n x="3" s="1"/>
        <n x="70" s="1"/>
        <n x="2" s="1"/>
        <n x="68"/>
        <n x="81"/>
        <n x="30"/>
      </t>
    </mdx>
    <mdx n="0" f="v">
      <t c="8">
        <n x="7" s="1"/>
        <n x="69" s="1"/>
        <n x="3" s="1"/>
        <n x="70" s="1"/>
        <n x="2" s="1"/>
        <n x="68"/>
        <n x="81"/>
        <n x="31"/>
      </t>
    </mdx>
    <mdx n="0" f="v">
      <t c="8">
        <n x="7" s="1"/>
        <n x="69" s="1"/>
        <n x="3" s="1"/>
        <n x="70" s="1"/>
        <n x="2" s="1"/>
        <n x="68"/>
        <n x="81"/>
        <n x="32"/>
      </t>
    </mdx>
    <mdx n="0" f="v">
      <t c="8">
        <n x="7" s="1"/>
        <n x="69" s="1"/>
        <n x="3" s="1"/>
        <n x="70" s="1"/>
        <n x="2" s="1"/>
        <n x="68"/>
        <n x="81"/>
        <n x="33"/>
      </t>
    </mdx>
    <mdx n="0" f="v">
      <t c="8">
        <n x="7" s="1"/>
        <n x="69" s="1"/>
        <n x="3" s="1"/>
        <n x="70" s="1"/>
        <n x="2" s="1"/>
        <n x="68"/>
        <n x="81"/>
        <n x="34"/>
      </t>
    </mdx>
    <mdx n="0" f="v">
      <t c="8">
        <n x="7" s="1"/>
        <n x="69" s="1"/>
        <n x="3" s="1"/>
        <n x="70" s="1"/>
        <n x="2" s="1"/>
        <n x="68"/>
        <n x="81"/>
        <n x="35"/>
      </t>
    </mdx>
    <mdx n="0" f="v">
      <t c="8">
        <n x="7" s="1"/>
        <n x="69" s="1"/>
        <n x="3" s="1"/>
        <n x="70" s="1"/>
        <n x="2" s="1"/>
        <n x="68"/>
        <n x="81"/>
        <n x="36"/>
      </t>
    </mdx>
    <mdx n="0" f="v">
      <t c="8">
        <n x="7" s="1"/>
        <n x="69" s="1"/>
        <n x="3" s="1"/>
        <n x="70" s="1"/>
        <n x="2" s="1"/>
        <n x="68"/>
        <n x="81"/>
        <n x="37"/>
      </t>
    </mdx>
    <mdx n="0" f="v">
      <t c="8">
        <n x="7" s="1"/>
        <n x="69" s="1"/>
        <n x="3" s="1"/>
        <n x="70" s="1"/>
        <n x="2" s="1"/>
        <n x="68"/>
        <n x="81"/>
        <n x="38"/>
      </t>
    </mdx>
    <mdx n="0" f="v">
      <t c="8">
        <n x="7" s="1"/>
        <n x="69" s="1"/>
        <n x="3" s="1"/>
        <n x="70" s="1"/>
        <n x="2" s="1"/>
        <n x="68"/>
        <n x="81"/>
        <n x="39"/>
      </t>
    </mdx>
    <mdx n="0" f="v">
      <t c="8">
        <n x="7" s="1"/>
        <n x="69" s="1"/>
        <n x="3" s="1"/>
        <n x="70" s="1"/>
        <n x="2" s="1"/>
        <n x="68"/>
        <n x="81"/>
        <n x="40"/>
      </t>
    </mdx>
    <mdx n="0" f="v">
      <t c="8">
        <n x="7" s="1"/>
        <n x="69" s="1"/>
        <n x="3" s="1"/>
        <n x="70" s="1"/>
        <n x="2" s="1"/>
        <n x="68"/>
        <n x="81"/>
        <n x="41"/>
      </t>
    </mdx>
    <mdx n="0" f="v">
      <t c="8">
        <n x="7" s="1"/>
        <n x="69" s="1"/>
        <n x="3" s="1"/>
        <n x="70" s="1"/>
        <n x="2" s="1"/>
        <n x="68"/>
        <n x="81"/>
        <n x="42"/>
      </t>
    </mdx>
    <mdx n="0" f="v">
      <t c="8">
        <n x="7" s="1"/>
        <n x="69" s="1"/>
        <n x="3" s="1"/>
        <n x="70" s="1"/>
        <n x="2" s="1"/>
        <n x="68"/>
        <n x="81"/>
        <n x="43"/>
      </t>
    </mdx>
    <mdx n="0" f="v">
      <t c="8">
        <n x="7" s="1"/>
        <n x="69" s="1"/>
        <n x="3" s="1"/>
        <n x="70" s="1"/>
        <n x="2" s="1"/>
        <n x="68"/>
        <n x="81"/>
        <n x="44"/>
      </t>
    </mdx>
    <mdx n="0" f="v">
      <t c="8">
        <n x="7" s="1"/>
        <n x="69" s="1"/>
        <n x="3" s="1"/>
        <n x="70" s="1"/>
        <n x="2" s="1"/>
        <n x="68"/>
        <n x="81"/>
        <n x="45"/>
      </t>
    </mdx>
    <mdx n="0" f="v">
      <t c="8">
        <n x="7" s="1"/>
        <n x="69" s="1"/>
        <n x="3" s="1"/>
        <n x="70" s="1"/>
        <n x="2" s="1"/>
        <n x="68"/>
        <n x="81"/>
        <n x="46"/>
      </t>
    </mdx>
    <mdx n="0" f="v">
      <t c="8">
        <n x="7" s="1"/>
        <n x="69" s="1"/>
        <n x="3" s="1"/>
        <n x="70" s="1"/>
        <n x="2" s="1"/>
        <n x="68"/>
        <n x="81"/>
        <n x="47"/>
      </t>
    </mdx>
    <mdx n="0" f="v">
      <t c="8">
        <n x="7" s="1"/>
        <n x="69" s="1"/>
        <n x="3" s="1"/>
        <n x="70" s="1"/>
        <n x="2" s="1"/>
        <n x="68"/>
        <n x="81"/>
        <n x="48"/>
      </t>
    </mdx>
    <mdx n="0" f="v">
      <t c="8">
        <n x="7" s="1"/>
        <n x="69" s="1"/>
        <n x="3" s="1"/>
        <n x="70" s="1"/>
        <n x="2" s="1"/>
        <n x="68"/>
        <n x="81"/>
        <n x="49"/>
      </t>
    </mdx>
    <mdx n="0" f="v">
      <t c="8">
        <n x="7" s="1"/>
        <n x="69" s="1"/>
        <n x="3" s="1"/>
        <n x="70" s="1"/>
        <n x="2" s="1"/>
        <n x="68"/>
        <n x="81"/>
        <n x="50"/>
      </t>
    </mdx>
    <mdx n="0" f="v">
      <t c="8">
        <n x="7" s="1"/>
        <n x="69" s="1"/>
        <n x="3" s="1"/>
        <n x="70" s="1"/>
        <n x="2" s="1"/>
        <n x="68"/>
        <n x="81"/>
        <n x="51"/>
      </t>
    </mdx>
    <mdx n="0" f="v">
      <t c="8">
        <n x="7" s="1"/>
        <n x="69" s="1"/>
        <n x="3" s="1"/>
        <n x="70" s="1"/>
        <n x="2" s="1"/>
        <n x="68"/>
        <n x="81"/>
        <n x="52"/>
      </t>
    </mdx>
    <mdx n="0" f="v">
      <t c="8">
        <n x="7" s="1"/>
        <n x="69" s="1"/>
        <n x="3" s="1"/>
        <n x="70" s="1"/>
        <n x="2" s="1"/>
        <n x="68"/>
        <n x="81"/>
        <n x="53"/>
      </t>
    </mdx>
    <mdx n="0" f="v">
      <t c="8">
        <n x="7" s="1"/>
        <n x="69" s="1"/>
        <n x="3" s="1"/>
        <n x="70" s="1"/>
        <n x="2" s="1"/>
        <n x="68"/>
        <n x="81"/>
        <n x="54"/>
      </t>
    </mdx>
    <mdx n="0" f="v">
      <t c="8">
        <n x="7" s="1"/>
        <n x="69" s="1"/>
        <n x="3" s="1"/>
        <n x="70" s="1"/>
        <n x="2" s="1"/>
        <n x="68"/>
        <n x="81"/>
        <n x="55"/>
      </t>
    </mdx>
    <mdx n="0" f="v">
      <t c="8">
        <n x="7" s="1"/>
        <n x="69" s="1"/>
        <n x="3" s="1"/>
        <n x="70" s="1"/>
        <n x="2" s="1"/>
        <n x="68"/>
        <n x="81"/>
        <n x="56"/>
      </t>
    </mdx>
    <mdx n="0" f="v">
      <t c="8">
        <n x="7" s="1"/>
        <n x="69" s="1"/>
        <n x="3" s="1"/>
        <n x="70" s="1"/>
        <n x="2" s="1"/>
        <n x="68"/>
        <n x="81"/>
        <n x="57"/>
      </t>
    </mdx>
    <mdx n="0" f="v">
      <t c="8">
        <n x="7" s="1"/>
        <n x="69" s="1"/>
        <n x="3" s="1"/>
        <n x="70" s="1"/>
        <n x="2" s="1"/>
        <n x="68"/>
        <n x="81"/>
        <n x="58"/>
      </t>
    </mdx>
    <mdx n="0" f="v">
      <t c="8">
        <n x="7" s="1"/>
        <n x="69" s="1"/>
        <n x="3" s="1"/>
        <n x="70" s="1"/>
        <n x="2" s="1"/>
        <n x="68"/>
        <n x="81"/>
        <n x="59"/>
      </t>
    </mdx>
    <mdx n="0" f="v">
      <t c="8">
        <n x="7" s="1"/>
        <n x="69" s="1"/>
        <n x="3" s="1"/>
        <n x="70" s="1"/>
        <n x="2" s="1"/>
        <n x="68"/>
        <n x="81"/>
        <n x="60"/>
      </t>
    </mdx>
    <mdx n="0" f="v">
      <t c="8">
        <n x="7" s="1"/>
        <n x="69" s="1"/>
        <n x="3" s="1"/>
        <n x="70" s="1"/>
        <n x="2" s="1"/>
        <n x="68"/>
        <n x="81"/>
        <n x="61"/>
      </t>
    </mdx>
    <mdx n="0" f="v">
      <t c="8">
        <n x="7" s="1"/>
        <n x="69" s="1"/>
        <n x="3" s="1"/>
        <n x="70" s="1"/>
        <n x="2" s="1"/>
        <n x="68"/>
        <n x="81"/>
        <n x="62"/>
      </t>
    </mdx>
    <mdx n="0" f="v">
      <t c="8">
        <n x="7" s="1"/>
        <n x="69" s="1"/>
        <n x="3" s="1"/>
        <n x="70" s="1"/>
        <n x="2" s="1"/>
        <n x="68"/>
        <n x="81"/>
        <n x="63"/>
      </t>
    </mdx>
    <mdx n="0" f="v">
      <t c="8">
        <n x="7" s="1"/>
        <n x="69" s="1"/>
        <n x="3" s="1"/>
        <n x="70" s="1"/>
        <n x="2" s="1"/>
        <n x="68"/>
        <n x="81"/>
        <n x="64"/>
      </t>
    </mdx>
    <mdx n="0" f="v">
      <t c="8">
        <n x="7" s="1"/>
        <n x="69" s="1"/>
        <n x="3" s="1"/>
        <n x="70" s="1"/>
        <n x="2" s="1"/>
        <n x="68"/>
        <n x="81"/>
        <n x="65"/>
      </t>
    </mdx>
    <mdx n="0" f="v">
      <t c="8">
        <n x="7" s="1"/>
        <n x="69" s="1"/>
        <n x="3" s="1"/>
        <n x="70" s="1"/>
        <n x="2" s="1"/>
        <n x="68"/>
        <n x="81"/>
        <n x="66"/>
      </t>
    </mdx>
    <mdx n="0" f="v">
      <t c="8">
        <n x="7" s="1"/>
        <n x="69" s="1"/>
        <n x="3" s="1"/>
        <n x="70" s="1"/>
        <n x="2" s="1"/>
        <n x="68"/>
        <n x="82"/>
        <n x="8"/>
      </t>
    </mdx>
    <mdx n="0" f="v">
      <t c="8">
        <n x="7" s="1"/>
        <n x="69" s="1"/>
        <n x="3" s="1"/>
        <n x="70" s="1"/>
        <n x="2" s="1"/>
        <n x="68"/>
        <n x="82"/>
        <n x="9"/>
      </t>
    </mdx>
    <mdx n="0" f="v">
      <t c="8">
        <n x="7" s="1"/>
        <n x="69" s="1"/>
        <n x="3" s="1"/>
        <n x="70" s="1"/>
        <n x="2" s="1"/>
        <n x="68"/>
        <n x="82"/>
        <n x="10"/>
      </t>
    </mdx>
    <mdx n="0" f="v">
      <t c="8">
        <n x="7" s="1"/>
        <n x="69" s="1"/>
        <n x="3" s="1"/>
        <n x="70" s="1"/>
        <n x="2" s="1"/>
        <n x="68"/>
        <n x="82"/>
        <n x="11"/>
      </t>
    </mdx>
    <mdx n="0" f="v">
      <t c="8">
        <n x="7" s="1"/>
        <n x="69" s="1"/>
        <n x="3" s="1"/>
        <n x="70" s="1"/>
        <n x="2" s="1"/>
        <n x="68"/>
        <n x="82"/>
        <n x="12"/>
      </t>
    </mdx>
    <mdx n="0" f="v">
      <t c="8">
        <n x="7" s="1"/>
        <n x="69" s="1"/>
        <n x="3" s="1"/>
        <n x="70" s="1"/>
        <n x="2" s="1"/>
        <n x="68"/>
        <n x="82"/>
        <n x="13"/>
      </t>
    </mdx>
    <mdx n="0" f="v">
      <t c="8">
        <n x="7" s="1"/>
        <n x="69" s="1"/>
        <n x="3" s="1"/>
        <n x="70" s="1"/>
        <n x="2" s="1"/>
        <n x="68"/>
        <n x="82"/>
        <n x="14"/>
      </t>
    </mdx>
    <mdx n="0" f="v">
      <t c="8">
        <n x="7" s="1"/>
        <n x="69" s="1"/>
        <n x="3" s="1"/>
        <n x="70" s="1"/>
        <n x="2" s="1"/>
        <n x="68"/>
        <n x="82"/>
        <n x="15"/>
      </t>
    </mdx>
    <mdx n="0" f="v">
      <t c="8">
        <n x="7" s="1"/>
        <n x="69" s="1"/>
        <n x="3" s="1"/>
        <n x="70" s="1"/>
        <n x="2" s="1"/>
        <n x="68"/>
        <n x="82"/>
        <n x="16"/>
      </t>
    </mdx>
    <mdx n="0" f="v">
      <t c="8">
        <n x="7" s="1"/>
        <n x="69" s="1"/>
        <n x="3" s="1"/>
        <n x="70" s="1"/>
        <n x="2" s="1"/>
        <n x="68"/>
        <n x="82"/>
        <n x="17"/>
      </t>
    </mdx>
    <mdx n="0" f="v">
      <t c="8">
        <n x="7" s="1"/>
        <n x="69" s="1"/>
        <n x="3" s="1"/>
        <n x="70" s="1"/>
        <n x="2" s="1"/>
        <n x="68"/>
        <n x="82"/>
        <n x="18"/>
      </t>
    </mdx>
    <mdx n="0" f="v">
      <t c="8">
        <n x="7" s="1"/>
        <n x="69" s="1"/>
        <n x="3" s="1"/>
        <n x="70" s="1"/>
        <n x="2" s="1"/>
        <n x="68"/>
        <n x="82"/>
        <n x="19"/>
      </t>
    </mdx>
    <mdx n="0" f="v">
      <t c="8">
        <n x="7" s="1"/>
        <n x="69" s="1"/>
        <n x="3" s="1"/>
        <n x="70" s="1"/>
        <n x="2" s="1"/>
        <n x="68"/>
        <n x="82"/>
        <n x="20"/>
      </t>
    </mdx>
    <mdx n="0" f="v">
      <t c="8">
        <n x="7" s="1"/>
        <n x="69" s="1"/>
        <n x="3" s="1"/>
        <n x="70" s="1"/>
        <n x="2" s="1"/>
        <n x="68"/>
        <n x="82"/>
        <n x="21"/>
      </t>
    </mdx>
    <mdx n="0" f="v">
      <t c="8">
        <n x="7" s="1"/>
        <n x="69" s="1"/>
        <n x="3" s="1"/>
        <n x="70" s="1"/>
        <n x="2" s="1"/>
        <n x="68"/>
        <n x="82"/>
        <n x="22"/>
      </t>
    </mdx>
    <mdx n="0" f="v">
      <t c="8">
        <n x="7" s="1"/>
        <n x="69" s="1"/>
        <n x="3" s="1"/>
        <n x="70" s="1"/>
        <n x="2" s="1"/>
        <n x="68"/>
        <n x="82"/>
        <n x="23"/>
      </t>
    </mdx>
    <mdx n="0" f="v">
      <t c="8">
        <n x="7" s="1"/>
        <n x="69" s="1"/>
        <n x="3" s="1"/>
        <n x="70" s="1"/>
        <n x="2" s="1"/>
        <n x="68"/>
        <n x="82"/>
        <n x="24"/>
      </t>
    </mdx>
    <mdx n="0" f="v">
      <t c="8">
        <n x="7" s="1"/>
        <n x="69" s="1"/>
        <n x="3" s="1"/>
        <n x="70" s="1"/>
        <n x="2" s="1"/>
        <n x="68"/>
        <n x="82"/>
        <n x="25"/>
      </t>
    </mdx>
    <mdx n="0" f="v">
      <t c="8">
        <n x="7" s="1"/>
        <n x="69" s="1"/>
        <n x="3" s="1"/>
        <n x="70" s="1"/>
        <n x="2" s="1"/>
        <n x="68"/>
        <n x="82"/>
        <n x="26"/>
      </t>
    </mdx>
    <mdx n="0" f="v">
      <t c="8">
        <n x="7" s="1"/>
        <n x="69" s="1"/>
        <n x="3" s="1"/>
        <n x="70" s="1"/>
        <n x="2" s="1"/>
        <n x="68"/>
        <n x="82"/>
        <n x="27"/>
      </t>
    </mdx>
    <mdx n="0" f="v">
      <t c="8">
        <n x="7" s="1"/>
        <n x="69" s="1"/>
        <n x="3" s="1"/>
        <n x="70" s="1"/>
        <n x="2" s="1"/>
        <n x="68"/>
        <n x="82"/>
        <n x="28"/>
      </t>
    </mdx>
    <mdx n="0" f="v">
      <t c="8">
        <n x="7" s="1"/>
        <n x="69" s="1"/>
        <n x="3" s="1"/>
        <n x="70" s="1"/>
        <n x="2" s="1"/>
        <n x="68"/>
        <n x="82"/>
        <n x="29"/>
      </t>
    </mdx>
    <mdx n="0" f="v">
      <t c="8">
        <n x="7" s="1"/>
        <n x="69" s="1"/>
        <n x="3" s="1"/>
        <n x="70" s="1"/>
        <n x="2" s="1"/>
        <n x="68"/>
        <n x="82"/>
        <n x="30"/>
      </t>
    </mdx>
    <mdx n="0" f="v">
      <t c="8">
        <n x="7" s="1"/>
        <n x="69" s="1"/>
        <n x="3" s="1"/>
        <n x="70" s="1"/>
        <n x="2" s="1"/>
        <n x="68"/>
        <n x="82"/>
        <n x="31"/>
      </t>
    </mdx>
    <mdx n="0" f="v">
      <t c="8">
        <n x="7" s="1"/>
        <n x="69" s="1"/>
        <n x="3" s="1"/>
        <n x="70" s="1"/>
        <n x="2" s="1"/>
        <n x="68"/>
        <n x="82"/>
        <n x="32"/>
      </t>
    </mdx>
    <mdx n="0" f="v">
      <t c="8">
        <n x="7" s="1"/>
        <n x="69" s="1"/>
        <n x="3" s="1"/>
        <n x="70" s="1"/>
        <n x="2" s="1"/>
        <n x="68"/>
        <n x="82"/>
        <n x="33"/>
      </t>
    </mdx>
    <mdx n="0" f="v">
      <t c="8">
        <n x="7" s="1"/>
        <n x="69" s="1"/>
        <n x="3" s="1"/>
        <n x="70" s="1"/>
        <n x="2" s="1"/>
        <n x="68"/>
        <n x="82"/>
        <n x="34"/>
      </t>
    </mdx>
    <mdx n="0" f="v">
      <t c="8">
        <n x="7" s="1"/>
        <n x="69" s="1"/>
        <n x="3" s="1"/>
        <n x="70" s="1"/>
        <n x="2" s="1"/>
        <n x="68"/>
        <n x="82"/>
        <n x="35"/>
      </t>
    </mdx>
    <mdx n="0" f="v">
      <t c="8">
        <n x="7" s="1"/>
        <n x="69" s="1"/>
        <n x="3" s="1"/>
        <n x="70" s="1"/>
        <n x="2" s="1"/>
        <n x="68"/>
        <n x="82"/>
        <n x="36"/>
      </t>
    </mdx>
    <mdx n="0" f="v">
      <t c="8">
        <n x="7" s="1"/>
        <n x="69" s="1"/>
        <n x="3" s="1"/>
        <n x="70" s="1"/>
        <n x="2" s="1"/>
        <n x="68"/>
        <n x="82"/>
        <n x="37"/>
      </t>
    </mdx>
    <mdx n="0" f="v">
      <t c="8">
        <n x="7" s="1"/>
        <n x="69" s="1"/>
        <n x="3" s="1"/>
        <n x="70" s="1"/>
        <n x="2" s="1"/>
        <n x="68"/>
        <n x="82"/>
        <n x="38"/>
      </t>
    </mdx>
    <mdx n="0" f="v">
      <t c="8">
        <n x="7" s="1"/>
        <n x="69" s="1"/>
        <n x="3" s="1"/>
        <n x="70" s="1"/>
        <n x="2" s="1"/>
        <n x="68"/>
        <n x="82"/>
        <n x="39"/>
      </t>
    </mdx>
    <mdx n="0" f="v">
      <t c="8">
        <n x="7" s="1"/>
        <n x="69" s="1"/>
        <n x="3" s="1"/>
        <n x="70" s="1"/>
        <n x="2" s="1"/>
        <n x="68"/>
        <n x="82"/>
        <n x="40"/>
      </t>
    </mdx>
    <mdx n="0" f="v">
      <t c="8">
        <n x="7" s="1"/>
        <n x="69" s="1"/>
        <n x="3" s="1"/>
        <n x="70" s="1"/>
        <n x="2" s="1"/>
        <n x="68"/>
        <n x="82"/>
        <n x="41"/>
      </t>
    </mdx>
    <mdx n="0" f="v">
      <t c="8">
        <n x="7" s="1"/>
        <n x="69" s="1"/>
        <n x="3" s="1"/>
        <n x="70" s="1"/>
        <n x="2" s="1"/>
        <n x="68"/>
        <n x="82"/>
        <n x="42"/>
      </t>
    </mdx>
    <mdx n="0" f="v">
      <t c="8">
        <n x="7" s="1"/>
        <n x="69" s="1"/>
        <n x="3" s="1"/>
        <n x="70" s="1"/>
        <n x="2" s="1"/>
        <n x="68"/>
        <n x="82"/>
        <n x="43"/>
      </t>
    </mdx>
    <mdx n="0" f="v">
      <t c="8">
        <n x="7" s="1"/>
        <n x="69" s="1"/>
        <n x="3" s="1"/>
        <n x="70" s="1"/>
        <n x="2" s="1"/>
        <n x="68"/>
        <n x="82"/>
        <n x="44"/>
      </t>
    </mdx>
    <mdx n="0" f="v">
      <t c="8">
        <n x="7" s="1"/>
        <n x="69" s="1"/>
        <n x="3" s="1"/>
        <n x="70" s="1"/>
        <n x="2" s="1"/>
        <n x="68"/>
        <n x="82"/>
        <n x="45"/>
      </t>
    </mdx>
    <mdx n="0" f="v">
      <t c="8">
        <n x="7" s="1"/>
        <n x="69" s="1"/>
        <n x="3" s="1"/>
        <n x="70" s="1"/>
        <n x="2" s="1"/>
        <n x="68"/>
        <n x="82"/>
        <n x="46"/>
      </t>
    </mdx>
    <mdx n="0" f="v">
      <t c="8">
        <n x="7" s="1"/>
        <n x="69" s="1"/>
        <n x="3" s="1"/>
        <n x="70" s="1"/>
        <n x="2" s="1"/>
        <n x="68"/>
        <n x="82"/>
        <n x="47"/>
      </t>
    </mdx>
    <mdx n="0" f="v">
      <t c="8">
        <n x="7" s="1"/>
        <n x="69" s="1"/>
        <n x="3" s="1"/>
        <n x="70" s="1"/>
        <n x="2" s="1"/>
        <n x="68"/>
        <n x="82"/>
        <n x="48"/>
      </t>
    </mdx>
    <mdx n="0" f="v">
      <t c="8">
        <n x="7" s="1"/>
        <n x="69" s="1"/>
        <n x="3" s="1"/>
        <n x="70" s="1"/>
        <n x="2" s="1"/>
        <n x="68"/>
        <n x="82"/>
        <n x="49"/>
      </t>
    </mdx>
    <mdx n="0" f="v">
      <t c="8">
        <n x="7" s="1"/>
        <n x="69" s="1"/>
        <n x="3" s="1"/>
        <n x="70" s="1"/>
        <n x="2" s="1"/>
        <n x="68"/>
        <n x="82"/>
        <n x="50"/>
      </t>
    </mdx>
    <mdx n="0" f="v">
      <t c="8">
        <n x="7" s="1"/>
        <n x="69" s="1"/>
        <n x="3" s="1"/>
        <n x="70" s="1"/>
        <n x="2" s="1"/>
        <n x="68"/>
        <n x="82"/>
        <n x="51"/>
      </t>
    </mdx>
    <mdx n="0" f="v">
      <t c="8">
        <n x="7" s="1"/>
        <n x="69" s="1"/>
        <n x="3" s="1"/>
        <n x="70" s="1"/>
        <n x="2" s="1"/>
        <n x="68"/>
        <n x="82"/>
        <n x="52"/>
      </t>
    </mdx>
    <mdx n="0" f="v">
      <t c="8">
        <n x="7" s="1"/>
        <n x="69" s="1"/>
        <n x="3" s="1"/>
        <n x="70" s="1"/>
        <n x="2" s="1"/>
        <n x="68"/>
        <n x="82"/>
        <n x="53"/>
      </t>
    </mdx>
    <mdx n="0" f="v">
      <t c="8">
        <n x="7" s="1"/>
        <n x="69" s="1"/>
        <n x="3" s="1"/>
        <n x="70" s="1"/>
        <n x="2" s="1"/>
        <n x="68"/>
        <n x="82"/>
        <n x="54"/>
      </t>
    </mdx>
    <mdx n="0" f="v">
      <t c="8">
        <n x="7" s="1"/>
        <n x="69" s="1"/>
        <n x="3" s="1"/>
        <n x="70" s="1"/>
        <n x="2" s="1"/>
        <n x="68"/>
        <n x="82"/>
        <n x="55"/>
      </t>
    </mdx>
    <mdx n="0" f="v">
      <t c="8">
        <n x="7" s="1"/>
        <n x="69" s="1"/>
        <n x="3" s="1"/>
        <n x="70" s="1"/>
        <n x="2" s="1"/>
        <n x="68"/>
        <n x="82"/>
        <n x="56"/>
      </t>
    </mdx>
    <mdx n="0" f="v">
      <t c="8">
        <n x="7" s="1"/>
        <n x="69" s="1"/>
        <n x="3" s="1"/>
        <n x="70" s="1"/>
        <n x="2" s="1"/>
        <n x="68"/>
        <n x="82"/>
        <n x="57"/>
      </t>
    </mdx>
    <mdx n="0" f="v">
      <t c="8">
        <n x="7" s="1"/>
        <n x="69" s="1"/>
        <n x="3" s="1"/>
        <n x="70" s="1"/>
        <n x="2" s="1"/>
        <n x="68"/>
        <n x="82"/>
        <n x="58"/>
      </t>
    </mdx>
    <mdx n="0" f="v">
      <t c="8">
        <n x="7" s="1"/>
        <n x="69" s="1"/>
        <n x="3" s="1"/>
        <n x="70" s="1"/>
        <n x="2" s="1"/>
        <n x="68"/>
        <n x="82"/>
        <n x="59"/>
      </t>
    </mdx>
    <mdx n="0" f="v">
      <t c="8">
        <n x="7" s="1"/>
        <n x="69" s="1"/>
        <n x="3" s="1"/>
        <n x="70" s="1"/>
        <n x="2" s="1"/>
        <n x="68"/>
        <n x="82"/>
        <n x="60"/>
      </t>
    </mdx>
    <mdx n="0" f="v">
      <t c="8">
        <n x="7" s="1"/>
        <n x="69" s="1"/>
        <n x="3" s="1"/>
        <n x="70" s="1"/>
        <n x="2" s="1"/>
        <n x="68"/>
        <n x="82"/>
        <n x="61"/>
      </t>
    </mdx>
    <mdx n="0" f="v">
      <t c="8">
        <n x="7" s="1"/>
        <n x="69" s="1"/>
        <n x="3" s="1"/>
        <n x="70" s="1"/>
        <n x="2" s="1"/>
        <n x="68"/>
        <n x="82"/>
        <n x="62"/>
      </t>
    </mdx>
    <mdx n="0" f="v">
      <t c="8">
        <n x="7" s="1"/>
        <n x="69" s="1"/>
        <n x="3" s="1"/>
        <n x="70" s="1"/>
        <n x="2" s="1"/>
        <n x="68"/>
        <n x="82"/>
        <n x="63"/>
      </t>
    </mdx>
    <mdx n="0" f="v">
      <t c="8">
        <n x="7" s="1"/>
        <n x="69" s="1"/>
        <n x="3" s="1"/>
        <n x="70" s="1"/>
        <n x="2" s="1"/>
        <n x="68"/>
        <n x="82"/>
        <n x="64"/>
      </t>
    </mdx>
    <mdx n="0" f="v">
      <t c="8">
        <n x="7" s="1"/>
        <n x="69" s="1"/>
        <n x="3" s="1"/>
        <n x="70" s="1"/>
        <n x="2" s="1"/>
        <n x="68"/>
        <n x="82"/>
        <n x="65"/>
      </t>
    </mdx>
    <mdx n="0" f="v">
      <t c="8">
        <n x="7" s="1"/>
        <n x="69" s="1"/>
        <n x="3" s="1"/>
        <n x="70" s="1"/>
        <n x="2" s="1"/>
        <n x="68"/>
        <n x="82"/>
        <n x="66"/>
      </t>
    </mdx>
    <mdx n="0" f="v">
      <t c="8">
        <n x="7" s="1"/>
        <n x="69" s="1"/>
        <n x="3" s="1"/>
        <n x="70" s="1"/>
        <n x="2" s="1"/>
        <n x="68"/>
        <n x="83"/>
        <n x="8"/>
      </t>
    </mdx>
    <mdx n="0" f="v">
      <t c="8">
        <n x="7" s="1"/>
        <n x="69" s="1"/>
        <n x="3" s="1"/>
        <n x="70" s="1"/>
        <n x="2" s="1"/>
        <n x="68"/>
        <n x="83"/>
        <n x="9"/>
      </t>
    </mdx>
    <mdx n="0" f="v">
      <t c="8">
        <n x="7" s="1"/>
        <n x="69" s="1"/>
        <n x="3" s="1"/>
        <n x="70" s="1"/>
        <n x="2" s="1"/>
        <n x="68"/>
        <n x="83"/>
        <n x="10"/>
      </t>
    </mdx>
    <mdx n="0" f="v">
      <t c="8">
        <n x="7" s="1"/>
        <n x="69" s="1"/>
        <n x="3" s="1"/>
        <n x="70" s="1"/>
        <n x="2" s="1"/>
        <n x="68"/>
        <n x="83"/>
        <n x="11"/>
      </t>
    </mdx>
    <mdx n="0" f="v">
      <t c="8">
        <n x="7" s="1"/>
        <n x="69" s="1"/>
        <n x="3" s="1"/>
        <n x="70" s="1"/>
        <n x="2" s="1"/>
        <n x="68"/>
        <n x="83"/>
        <n x="12"/>
      </t>
    </mdx>
    <mdx n="0" f="v">
      <t c="8">
        <n x="7" s="1"/>
        <n x="69" s="1"/>
        <n x="3" s="1"/>
        <n x="70" s="1"/>
        <n x="2" s="1"/>
        <n x="68"/>
        <n x="83"/>
        <n x="13"/>
      </t>
    </mdx>
    <mdx n="0" f="v">
      <t c="8">
        <n x="7" s="1"/>
        <n x="69" s="1"/>
        <n x="3" s="1"/>
        <n x="70" s="1"/>
        <n x="2" s="1"/>
        <n x="68"/>
        <n x="83"/>
        <n x="14"/>
      </t>
    </mdx>
    <mdx n="0" f="v">
      <t c="8">
        <n x="7" s="1"/>
        <n x="69" s="1"/>
        <n x="3" s="1"/>
        <n x="70" s="1"/>
        <n x="2" s="1"/>
        <n x="68"/>
        <n x="83"/>
        <n x="15"/>
      </t>
    </mdx>
    <mdx n="0" f="v">
      <t c="8">
        <n x="7" s="1"/>
        <n x="69" s="1"/>
        <n x="3" s="1"/>
        <n x="70" s="1"/>
        <n x="2" s="1"/>
        <n x="68"/>
        <n x="83"/>
        <n x="16"/>
      </t>
    </mdx>
    <mdx n="0" f="v">
      <t c="8">
        <n x="7" s="1"/>
        <n x="69" s="1"/>
        <n x="3" s="1"/>
        <n x="70" s="1"/>
        <n x="2" s="1"/>
        <n x="68"/>
        <n x="83"/>
        <n x="17"/>
      </t>
    </mdx>
    <mdx n="0" f="v">
      <t c="8">
        <n x="7" s="1"/>
        <n x="69" s="1"/>
        <n x="3" s="1"/>
        <n x="70" s="1"/>
        <n x="2" s="1"/>
        <n x="68"/>
        <n x="83"/>
        <n x="18"/>
      </t>
    </mdx>
    <mdx n="0" f="v">
      <t c="8">
        <n x="7" s="1"/>
        <n x="69" s="1"/>
        <n x="3" s="1"/>
        <n x="70" s="1"/>
        <n x="2" s="1"/>
        <n x="68"/>
        <n x="83"/>
        <n x="19"/>
      </t>
    </mdx>
    <mdx n="0" f="v">
      <t c="8">
        <n x="7" s="1"/>
        <n x="69" s="1"/>
        <n x="3" s="1"/>
        <n x="70" s="1"/>
        <n x="2" s="1"/>
        <n x="68"/>
        <n x="83"/>
        <n x="20"/>
      </t>
    </mdx>
    <mdx n="0" f="v">
      <t c="8">
        <n x="7" s="1"/>
        <n x="69" s="1"/>
        <n x="3" s="1"/>
        <n x="70" s="1"/>
        <n x="2" s="1"/>
        <n x="68"/>
        <n x="83"/>
        <n x="21"/>
      </t>
    </mdx>
    <mdx n="0" f="v">
      <t c="8">
        <n x="7" s="1"/>
        <n x="69" s="1"/>
        <n x="3" s="1"/>
        <n x="70" s="1"/>
        <n x="2" s="1"/>
        <n x="68"/>
        <n x="83"/>
        <n x="22"/>
      </t>
    </mdx>
    <mdx n="0" f="v">
      <t c="8">
        <n x="7" s="1"/>
        <n x="69" s="1"/>
        <n x="3" s="1"/>
        <n x="70" s="1"/>
        <n x="2" s="1"/>
        <n x="68"/>
        <n x="83"/>
        <n x="23"/>
      </t>
    </mdx>
    <mdx n="0" f="v">
      <t c="8">
        <n x="7" s="1"/>
        <n x="69" s="1"/>
        <n x="3" s="1"/>
        <n x="70" s="1"/>
        <n x="2" s="1"/>
        <n x="68"/>
        <n x="83"/>
        <n x="24"/>
      </t>
    </mdx>
    <mdx n="0" f="v">
      <t c="8">
        <n x="7" s="1"/>
        <n x="69" s="1"/>
        <n x="3" s="1"/>
        <n x="70" s="1"/>
        <n x="2" s="1"/>
        <n x="68"/>
        <n x="83"/>
        <n x="25"/>
      </t>
    </mdx>
    <mdx n="0" f="v">
      <t c="8">
        <n x="7" s="1"/>
        <n x="69" s="1"/>
        <n x="3" s="1"/>
        <n x="70" s="1"/>
        <n x="2" s="1"/>
        <n x="68"/>
        <n x="83"/>
        <n x="26"/>
      </t>
    </mdx>
    <mdx n="0" f="v">
      <t c="8">
        <n x="7" s="1"/>
        <n x="69" s="1"/>
        <n x="3" s="1"/>
        <n x="70" s="1"/>
        <n x="2" s="1"/>
        <n x="68"/>
        <n x="83"/>
        <n x="27"/>
      </t>
    </mdx>
    <mdx n="0" f="v">
      <t c="8">
        <n x="7" s="1"/>
        <n x="69" s="1"/>
        <n x="3" s="1"/>
        <n x="70" s="1"/>
        <n x="2" s="1"/>
        <n x="68"/>
        <n x="83"/>
        <n x="28"/>
      </t>
    </mdx>
    <mdx n="0" f="v">
      <t c="8">
        <n x="7" s="1"/>
        <n x="69" s="1"/>
        <n x="3" s="1"/>
        <n x="70" s="1"/>
        <n x="2" s="1"/>
        <n x="68"/>
        <n x="83"/>
        <n x="29"/>
      </t>
    </mdx>
    <mdx n="0" f="v">
      <t c="8">
        <n x="7" s="1"/>
        <n x="69" s="1"/>
        <n x="3" s="1"/>
        <n x="70" s="1"/>
        <n x="2" s="1"/>
        <n x="68"/>
        <n x="83"/>
        <n x="30"/>
      </t>
    </mdx>
    <mdx n="0" f="v">
      <t c="8">
        <n x="7" s="1"/>
        <n x="69" s="1"/>
        <n x="3" s="1"/>
        <n x="70" s="1"/>
        <n x="2" s="1"/>
        <n x="68"/>
        <n x="83"/>
        <n x="31"/>
      </t>
    </mdx>
    <mdx n="0" f="v">
      <t c="8">
        <n x="7" s="1"/>
        <n x="69" s="1"/>
        <n x="3" s="1"/>
        <n x="70" s="1"/>
        <n x="2" s="1"/>
        <n x="68"/>
        <n x="83"/>
        <n x="32"/>
      </t>
    </mdx>
    <mdx n="0" f="v">
      <t c="8">
        <n x="7" s="1"/>
        <n x="69" s="1"/>
        <n x="3" s="1"/>
        <n x="70" s="1"/>
        <n x="2" s="1"/>
        <n x="68"/>
        <n x="83"/>
        <n x="33"/>
      </t>
    </mdx>
    <mdx n="0" f="v">
      <t c="8">
        <n x="7" s="1"/>
        <n x="69" s="1"/>
        <n x="3" s="1"/>
        <n x="70" s="1"/>
        <n x="2" s="1"/>
        <n x="68"/>
        <n x="83"/>
        <n x="34"/>
      </t>
    </mdx>
    <mdx n="0" f="v">
      <t c="8">
        <n x="7" s="1"/>
        <n x="69" s="1"/>
        <n x="3" s="1"/>
        <n x="70" s="1"/>
        <n x="2" s="1"/>
        <n x="68"/>
        <n x="83"/>
        <n x="35"/>
      </t>
    </mdx>
    <mdx n="0" f="v">
      <t c="8">
        <n x="7" s="1"/>
        <n x="69" s="1"/>
        <n x="3" s="1"/>
        <n x="70" s="1"/>
        <n x="2" s="1"/>
        <n x="68"/>
        <n x="83"/>
        <n x="36"/>
      </t>
    </mdx>
    <mdx n="0" f="v">
      <t c="8">
        <n x="7" s="1"/>
        <n x="69" s="1"/>
        <n x="3" s="1"/>
        <n x="70" s="1"/>
        <n x="2" s="1"/>
        <n x="68"/>
        <n x="83"/>
        <n x="37"/>
      </t>
    </mdx>
    <mdx n="0" f="v">
      <t c="8">
        <n x="7" s="1"/>
        <n x="69" s="1"/>
        <n x="3" s="1"/>
        <n x="70" s="1"/>
        <n x="2" s="1"/>
        <n x="68"/>
        <n x="83"/>
        <n x="38"/>
      </t>
    </mdx>
    <mdx n="0" f="v">
      <t c="8">
        <n x="7" s="1"/>
        <n x="69" s="1"/>
        <n x="3" s="1"/>
        <n x="70" s="1"/>
        <n x="2" s="1"/>
        <n x="68"/>
        <n x="83"/>
        <n x="39"/>
      </t>
    </mdx>
    <mdx n="0" f="v">
      <t c="8">
        <n x="7" s="1"/>
        <n x="69" s="1"/>
        <n x="3" s="1"/>
        <n x="70" s="1"/>
        <n x="2" s="1"/>
        <n x="68"/>
        <n x="83"/>
        <n x="40"/>
      </t>
    </mdx>
    <mdx n="0" f="v">
      <t c="8">
        <n x="7" s="1"/>
        <n x="69" s="1"/>
        <n x="3" s="1"/>
        <n x="70" s="1"/>
        <n x="2" s="1"/>
        <n x="68"/>
        <n x="83"/>
        <n x="41"/>
      </t>
    </mdx>
    <mdx n="0" f="v">
      <t c="8">
        <n x="7" s="1"/>
        <n x="69" s="1"/>
        <n x="3" s="1"/>
        <n x="70" s="1"/>
        <n x="2" s="1"/>
        <n x="68"/>
        <n x="83"/>
        <n x="42"/>
      </t>
    </mdx>
    <mdx n="0" f="v">
      <t c="8">
        <n x="7" s="1"/>
        <n x="69" s="1"/>
        <n x="3" s="1"/>
        <n x="70" s="1"/>
        <n x="2" s="1"/>
        <n x="68"/>
        <n x="83"/>
        <n x="43"/>
      </t>
    </mdx>
    <mdx n="0" f="v">
      <t c="8">
        <n x="7" s="1"/>
        <n x="69" s="1"/>
        <n x="3" s="1"/>
        <n x="70" s="1"/>
        <n x="2" s="1"/>
        <n x="68"/>
        <n x="83"/>
        <n x="44"/>
      </t>
    </mdx>
    <mdx n="0" f="v">
      <t c="8">
        <n x="7" s="1"/>
        <n x="69" s="1"/>
        <n x="3" s="1"/>
        <n x="70" s="1"/>
        <n x="2" s="1"/>
        <n x="68"/>
        <n x="83"/>
        <n x="45"/>
      </t>
    </mdx>
    <mdx n="0" f="v">
      <t c="8">
        <n x="7" s="1"/>
        <n x="69" s="1"/>
        <n x="3" s="1"/>
        <n x="70" s="1"/>
        <n x="2" s="1"/>
        <n x="68"/>
        <n x="83"/>
        <n x="46"/>
      </t>
    </mdx>
    <mdx n="0" f="v">
      <t c="8">
        <n x="7" s="1"/>
        <n x="69" s="1"/>
        <n x="3" s="1"/>
        <n x="70" s="1"/>
        <n x="2" s="1"/>
        <n x="68"/>
        <n x="83"/>
        <n x="47"/>
      </t>
    </mdx>
    <mdx n="0" f="v">
      <t c="8">
        <n x="7" s="1"/>
        <n x="69" s="1"/>
        <n x="3" s="1"/>
        <n x="70" s="1"/>
        <n x="2" s="1"/>
        <n x="68"/>
        <n x="83"/>
        <n x="48"/>
      </t>
    </mdx>
    <mdx n="0" f="v">
      <t c="8">
        <n x="7" s="1"/>
        <n x="69" s="1"/>
        <n x="3" s="1"/>
        <n x="70" s="1"/>
        <n x="2" s="1"/>
        <n x="68"/>
        <n x="83"/>
        <n x="49"/>
      </t>
    </mdx>
    <mdx n="0" f="v">
      <t c="8">
        <n x="7" s="1"/>
        <n x="69" s="1"/>
        <n x="3" s="1"/>
        <n x="70" s="1"/>
        <n x="2" s="1"/>
        <n x="68"/>
        <n x="83"/>
        <n x="50"/>
      </t>
    </mdx>
    <mdx n="0" f="v">
      <t c="8">
        <n x="7" s="1"/>
        <n x="69" s="1"/>
        <n x="3" s="1"/>
        <n x="70" s="1"/>
        <n x="2" s="1"/>
        <n x="68"/>
        <n x="83"/>
        <n x="51"/>
      </t>
    </mdx>
    <mdx n="0" f="v">
      <t c="8">
        <n x="7" s="1"/>
        <n x="69" s="1"/>
        <n x="3" s="1"/>
        <n x="70" s="1"/>
        <n x="2" s="1"/>
        <n x="68"/>
        <n x="83"/>
        <n x="52"/>
      </t>
    </mdx>
    <mdx n="0" f="v">
      <t c="8">
        <n x="7" s="1"/>
        <n x="69" s="1"/>
        <n x="3" s="1"/>
        <n x="70" s="1"/>
        <n x="2" s="1"/>
        <n x="68"/>
        <n x="83"/>
        <n x="53"/>
      </t>
    </mdx>
    <mdx n="0" f="v">
      <t c="8">
        <n x="7" s="1"/>
        <n x="69" s="1"/>
        <n x="3" s="1"/>
        <n x="70" s="1"/>
        <n x="2" s="1"/>
        <n x="68"/>
        <n x="83"/>
        <n x="54"/>
      </t>
    </mdx>
    <mdx n="0" f="v">
      <t c="8">
        <n x="7" s="1"/>
        <n x="69" s="1"/>
        <n x="3" s="1"/>
        <n x="70" s="1"/>
        <n x="2" s="1"/>
        <n x="68"/>
        <n x="83"/>
        <n x="55"/>
      </t>
    </mdx>
    <mdx n="0" f="v">
      <t c="8">
        <n x="7" s="1"/>
        <n x="69" s="1"/>
        <n x="3" s="1"/>
        <n x="70" s="1"/>
        <n x="2" s="1"/>
        <n x="68"/>
        <n x="83"/>
        <n x="56"/>
      </t>
    </mdx>
    <mdx n="0" f="v">
      <t c="8">
        <n x="7" s="1"/>
        <n x="69" s="1"/>
        <n x="3" s="1"/>
        <n x="70" s="1"/>
        <n x="2" s="1"/>
        <n x="68"/>
        <n x="83"/>
        <n x="57"/>
      </t>
    </mdx>
    <mdx n="0" f="v">
      <t c="8">
        <n x="7" s="1"/>
        <n x="69" s="1"/>
        <n x="3" s="1"/>
        <n x="70" s="1"/>
        <n x="2" s="1"/>
        <n x="68"/>
        <n x="83"/>
        <n x="58"/>
      </t>
    </mdx>
    <mdx n="0" f="v">
      <t c="8">
        <n x="7" s="1"/>
        <n x="69" s="1"/>
        <n x="3" s="1"/>
        <n x="70" s="1"/>
        <n x="2" s="1"/>
        <n x="68"/>
        <n x="83"/>
        <n x="59"/>
      </t>
    </mdx>
    <mdx n="0" f="v">
      <t c="8">
        <n x="7" s="1"/>
        <n x="69" s="1"/>
        <n x="3" s="1"/>
        <n x="70" s="1"/>
        <n x="2" s="1"/>
        <n x="68"/>
        <n x="83"/>
        <n x="60"/>
      </t>
    </mdx>
    <mdx n="0" f="v">
      <t c="8">
        <n x="7" s="1"/>
        <n x="69" s="1"/>
        <n x="3" s="1"/>
        <n x="70" s="1"/>
        <n x="2" s="1"/>
        <n x="68"/>
        <n x="83"/>
        <n x="61"/>
      </t>
    </mdx>
    <mdx n="0" f="v">
      <t c="8">
        <n x="7" s="1"/>
        <n x="69" s="1"/>
        <n x="3" s="1"/>
        <n x="70" s="1"/>
        <n x="2" s="1"/>
        <n x="68"/>
        <n x="83"/>
        <n x="62"/>
      </t>
    </mdx>
    <mdx n="0" f="v">
      <t c="8">
        <n x="7" s="1"/>
        <n x="69" s="1"/>
        <n x="3" s="1"/>
        <n x="70" s="1"/>
        <n x="2" s="1"/>
        <n x="68"/>
        <n x="83"/>
        <n x="63"/>
      </t>
    </mdx>
    <mdx n="0" f="v">
      <t c="8">
        <n x="7" s="1"/>
        <n x="69" s="1"/>
        <n x="3" s="1"/>
        <n x="70" s="1"/>
        <n x="2" s="1"/>
        <n x="68"/>
        <n x="83"/>
        <n x="64"/>
      </t>
    </mdx>
    <mdx n="0" f="v">
      <t c="8">
        <n x="7" s="1"/>
        <n x="69" s="1"/>
        <n x="3" s="1"/>
        <n x="70" s="1"/>
        <n x="2" s="1"/>
        <n x="68"/>
        <n x="83"/>
        <n x="65"/>
      </t>
    </mdx>
    <mdx n="0" f="v">
      <t c="8">
        <n x="7" s="1"/>
        <n x="69" s="1"/>
        <n x="3" s="1"/>
        <n x="70" s="1"/>
        <n x="2" s="1"/>
        <n x="68"/>
        <n x="83"/>
        <n x="66"/>
      </t>
    </mdx>
    <mdx n="0" f="v">
      <t c="8">
        <n x="7" s="1"/>
        <n x="69" s="1"/>
        <n x="3" s="1"/>
        <n x="70" s="1"/>
        <n x="2" s="1"/>
        <n x="68"/>
        <n x="84"/>
        <n x="8"/>
      </t>
    </mdx>
    <mdx n="0" f="v">
      <t c="8">
        <n x="7" s="1"/>
        <n x="69" s="1"/>
        <n x="3" s="1"/>
        <n x="70" s="1"/>
        <n x="2" s="1"/>
        <n x="68"/>
        <n x="84"/>
        <n x="9"/>
      </t>
    </mdx>
    <mdx n="0" f="v">
      <t c="8">
        <n x="7" s="1"/>
        <n x="69" s="1"/>
        <n x="3" s="1"/>
        <n x="70" s="1"/>
        <n x="2" s="1"/>
        <n x="68"/>
        <n x="84"/>
        <n x="10"/>
      </t>
    </mdx>
    <mdx n="0" f="v">
      <t c="8">
        <n x="7" s="1"/>
        <n x="69" s="1"/>
        <n x="3" s="1"/>
        <n x="70" s="1"/>
        <n x="2" s="1"/>
        <n x="68"/>
        <n x="84"/>
        <n x="11"/>
      </t>
    </mdx>
    <mdx n="0" f="v">
      <t c="8">
        <n x="7" s="1"/>
        <n x="69" s="1"/>
        <n x="3" s="1"/>
        <n x="70" s="1"/>
        <n x="2" s="1"/>
        <n x="68"/>
        <n x="84"/>
        <n x="12"/>
      </t>
    </mdx>
    <mdx n="0" f="v">
      <t c="8">
        <n x="7" s="1"/>
        <n x="69" s="1"/>
        <n x="3" s="1"/>
        <n x="70" s="1"/>
        <n x="2" s="1"/>
        <n x="68"/>
        <n x="84"/>
        <n x="13"/>
      </t>
    </mdx>
    <mdx n="0" f="v">
      <t c="8">
        <n x="7" s="1"/>
        <n x="69" s="1"/>
        <n x="3" s="1"/>
        <n x="70" s="1"/>
        <n x="2" s="1"/>
        <n x="68"/>
        <n x="84"/>
        <n x="14"/>
      </t>
    </mdx>
    <mdx n="0" f="v">
      <t c="8">
        <n x="7" s="1"/>
        <n x="69" s="1"/>
        <n x="3" s="1"/>
        <n x="70" s="1"/>
        <n x="2" s="1"/>
        <n x="68"/>
        <n x="84"/>
        <n x="15"/>
      </t>
    </mdx>
    <mdx n="0" f="v">
      <t c="8">
        <n x="7" s="1"/>
        <n x="69" s="1"/>
        <n x="3" s="1"/>
        <n x="70" s="1"/>
        <n x="2" s="1"/>
        <n x="68"/>
        <n x="84"/>
        <n x="16"/>
      </t>
    </mdx>
    <mdx n="0" f="v">
      <t c="8">
        <n x="7" s="1"/>
        <n x="69" s="1"/>
        <n x="3" s="1"/>
        <n x="70" s="1"/>
        <n x="2" s="1"/>
        <n x="68"/>
        <n x="84"/>
        <n x="17"/>
      </t>
    </mdx>
    <mdx n="0" f="v">
      <t c="8">
        <n x="7" s="1"/>
        <n x="69" s="1"/>
        <n x="3" s="1"/>
        <n x="70" s="1"/>
        <n x="2" s="1"/>
        <n x="68"/>
        <n x="84"/>
        <n x="18"/>
      </t>
    </mdx>
    <mdx n="0" f="v">
      <t c="8">
        <n x="7" s="1"/>
        <n x="69" s="1"/>
        <n x="3" s="1"/>
        <n x="70" s="1"/>
        <n x="2" s="1"/>
        <n x="68"/>
        <n x="84"/>
        <n x="19"/>
      </t>
    </mdx>
    <mdx n="0" f="v">
      <t c="8">
        <n x="7" s="1"/>
        <n x="69" s="1"/>
        <n x="3" s="1"/>
        <n x="70" s="1"/>
        <n x="2" s="1"/>
        <n x="68"/>
        <n x="84"/>
        <n x="20"/>
      </t>
    </mdx>
    <mdx n="0" f="v">
      <t c="8">
        <n x="7" s="1"/>
        <n x="69" s="1"/>
        <n x="3" s="1"/>
        <n x="70" s="1"/>
        <n x="2" s="1"/>
        <n x="68"/>
        <n x="84"/>
        <n x="21"/>
      </t>
    </mdx>
    <mdx n="0" f="v">
      <t c="8">
        <n x="7" s="1"/>
        <n x="69" s="1"/>
        <n x="3" s="1"/>
        <n x="70" s="1"/>
        <n x="2" s="1"/>
        <n x="68"/>
        <n x="84"/>
        <n x="22"/>
      </t>
    </mdx>
    <mdx n="0" f="v">
      <t c="8">
        <n x="7" s="1"/>
        <n x="69" s="1"/>
        <n x="3" s="1"/>
        <n x="70" s="1"/>
        <n x="2" s="1"/>
        <n x="68"/>
        <n x="84"/>
        <n x="23"/>
      </t>
    </mdx>
    <mdx n="0" f="v">
      <t c="8">
        <n x="7" s="1"/>
        <n x="69" s="1"/>
        <n x="3" s="1"/>
        <n x="70" s="1"/>
        <n x="2" s="1"/>
        <n x="68"/>
        <n x="84"/>
        <n x="24"/>
      </t>
    </mdx>
    <mdx n="0" f="v">
      <t c="8">
        <n x="7" s="1"/>
        <n x="69" s="1"/>
        <n x="3" s="1"/>
        <n x="70" s="1"/>
        <n x="2" s="1"/>
        <n x="68"/>
        <n x="84"/>
        <n x="25"/>
      </t>
    </mdx>
    <mdx n="0" f="v">
      <t c="8">
        <n x="7" s="1"/>
        <n x="69" s="1"/>
        <n x="3" s="1"/>
        <n x="70" s="1"/>
        <n x="2" s="1"/>
        <n x="68"/>
        <n x="84"/>
        <n x="26"/>
      </t>
    </mdx>
    <mdx n="0" f="v">
      <t c="8">
        <n x="7" s="1"/>
        <n x="69" s="1"/>
        <n x="3" s="1"/>
        <n x="70" s="1"/>
        <n x="2" s="1"/>
        <n x="68"/>
        <n x="84"/>
        <n x="27"/>
      </t>
    </mdx>
    <mdx n="0" f="v">
      <t c="8">
        <n x="7" s="1"/>
        <n x="69" s="1"/>
        <n x="3" s="1"/>
        <n x="70" s="1"/>
        <n x="2" s="1"/>
        <n x="68"/>
        <n x="84"/>
        <n x="28"/>
      </t>
    </mdx>
    <mdx n="0" f="v">
      <t c="8">
        <n x="7" s="1"/>
        <n x="69" s="1"/>
        <n x="3" s="1"/>
        <n x="70" s="1"/>
        <n x="2" s="1"/>
        <n x="68"/>
        <n x="84"/>
        <n x="29"/>
      </t>
    </mdx>
    <mdx n="0" f="v">
      <t c="8">
        <n x="7" s="1"/>
        <n x="69" s="1"/>
        <n x="3" s="1"/>
        <n x="70" s="1"/>
        <n x="2" s="1"/>
        <n x="68"/>
        <n x="84"/>
        <n x="30"/>
      </t>
    </mdx>
    <mdx n="0" f="v">
      <t c="8">
        <n x="7" s="1"/>
        <n x="69" s="1"/>
        <n x="3" s="1"/>
        <n x="70" s="1"/>
        <n x="2" s="1"/>
        <n x="68"/>
        <n x="84"/>
        <n x="31"/>
      </t>
    </mdx>
    <mdx n="0" f="v">
      <t c="8">
        <n x="7" s="1"/>
        <n x="69" s="1"/>
        <n x="3" s="1"/>
        <n x="70" s="1"/>
        <n x="2" s="1"/>
        <n x="68"/>
        <n x="84"/>
        <n x="32"/>
      </t>
    </mdx>
    <mdx n="0" f="v">
      <t c="8">
        <n x="7" s="1"/>
        <n x="69" s="1"/>
        <n x="3" s="1"/>
        <n x="70" s="1"/>
        <n x="2" s="1"/>
        <n x="68"/>
        <n x="84"/>
        <n x="33"/>
      </t>
    </mdx>
    <mdx n="0" f="v">
      <t c="8">
        <n x="7" s="1"/>
        <n x="69" s="1"/>
        <n x="3" s="1"/>
        <n x="70" s="1"/>
        <n x="2" s="1"/>
        <n x="68"/>
        <n x="84"/>
        <n x="34"/>
      </t>
    </mdx>
    <mdx n="0" f="v">
      <t c="8">
        <n x="7" s="1"/>
        <n x="69" s="1"/>
        <n x="3" s="1"/>
        <n x="70" s="1"/>
        <n x="2" s="1"/>
        <n x="68"/>
        <n x="84"/>
        <n x="35"/>
      </t>
    </mdx>
    <mdx n="0" f="v">
      <t c="8">
        <n x="7" s="1"/>
        <n x="69" s="1"/>
        <n x="3" s="1"/>
        <n x="70" s="1"/>
        <n x="2" s="1"/>
        <n x="68"/>
        <n x="84"/>
        <n x="36"/>
      </t>
    </mdx>
    <mdx n="0" f="v">
      <t c="8">
        <n x="7" s="1"/>
        <n x="69" s="1"/>
        <n x="3" s="1"/>
        <n x="70" s="1"/>
        <n x="2" s="1"/>
        <n x="68"/>
        <n x="84"/>
        <n x="37"/>
      </t>
    </mdx>
    <mdx n="0" f="v">
      <t c="8">
        <n x="7" s="1"/>
        <n x="69" s="1"/>
        <n x="3" s="1"/>
        <n x="70" s="1"/>
        <n x="2" s="1"/>
        <n x="68"/>
        <n x="84"/>
        <n x="38"/>
      </t>
    </mdx>
    <mdx n="0" f="v">
      <t c="8">
        <n x="7" s="1"/>
        <n x="69" s="1"/>
        <n x="3" s="1"/>
        <n x="70" s="1"/>
        <n x="2" s="1"/>
        <n x="68"/>
        <n x="84"/>
        <n x="39"/>
      </t>
    </mdx>
    <mdx n="0" f="v">
      <t c="8">
        <n x="7" s="1"/>
        <n x="69" s="1"/>
        <n x="3" s="1"/>
        <n x="70" s="1"/>
        <n x="2" s="1"/>
        <n x="68"/>
        <n x="84"/>
        <n x="40"/>
      </t>
    </mdx>
    <mdx n="0" f="v">
      <t c="8">
        <n x="7" s="1"/>
        <n x="69" s="1"/>
        <n x="3" s="1"/>
        <n x="70" s="1"/>
        <n x="2" s="1"/>
        <n x="68"/>
        <n x="84"/>
        <n x="41"/>
      </t>
    </mdx>
    <mdx n="0" f="v">
      <t c="8">
        <n x="7" s="1"/>
        <n x="69" s="1"/>
        <n x="3" s="1"/>
        <n x="70" s="1"/>
        <n x="2" s="1"/>
        <n x="68"/>
        <n x="84"/>
        <n x="42"/>
      </t>
    </mdx>
    <mdx n="0" f="v">
      <t c="8">
        <n x="7" s="1"/>
        <n x="69" s="1"/>
        <n x="3" s="1"/>
        <n x="70" s="1"/>
        <n x="2" s="1"/>
        <n x="68"/>
        <n x="84"/>
        <n x="43"/>
      </t>
    </mdx>
    <mdx n="0" f="v">
      <t c="8">
        <n x="7" s="1"/>
        <n x="69" s="1"/>
        <n x="3" s="1"/>
        <n x="70" s="1"/>
        <n x="2" s="1"/>
        <n x="68"/>
        <n x="84"/>
        <n x="44"/>
      </t>
    </mdx>
    <mdx n="0" f="v">
      <t c="8">
        <n x="7" s="1"/>
        <n x="69" s="1"/>
        <n x="3" s="1"/>
        <n x="70" s="1"/>
        <n x="2" s="1"/>
        <n x="68"/>
        <n x="84"/>
        <n x="45"/>
      </t>
    </mdx>
    <mdx n="0" f="v">
      <t c="8">
        <n x="7" s="1"/>
        <n x="69" s="1"/>
        <n x="3" s="1"/>
        <n x="70" s="1"/>
        <n x="2" s="1"/>
        <n x="68"/>
        <n x="84"/>
        <n x="46"/>
      </t>
    </mdx>
    <mdx n="0" f="v">
      <t c="8">
        <n x="7" s="1"/>
        <n x="69" s="1"/>
        <n x="3" s="1"/>
        <n x="70" s="1"/>
        <n x="2" s="1"/>
        <n x="68"/>
        <n x="84"/>
        <n x="47"/>
      </t>
    </mdx>
    <mdx n="0" f="v">
      <t c="8">
        <n x="7" s="1"/>
        <n x="69" s="1"/>
        <n x="3" s="1"/>
        <n x="70" s="1"/>
        <n x="2" s="1"/>
        <n x="68"/>
        <n x="84"/>
        <n x="48"/>
      </t>
    </mdx>
    <mdx n="0" f="v">
      <t c="8">
        <n x="7" s="1"/>
        <n x="69" s="1"/>
        <n x="3" s="1"/>
        <n x="70" s="1"/>
        <n x="2" s="1"/>
        <n x="68"/>
        <n x="84"/>
        <n x="49"/>
      </t>
    </mdx>
    <mdx n="0" f="v">
      <t c="8">
        <n x="7" s="1"/>
        <n x="69" s="1"/>
        <n x="3" s="1"/>
        <n x="70" s="1"/>
        <n x="2" s="1"/>
        <n x="68"/>
        <n x="84"/>
        <n x="50"/>
      </t>
    </mdx>
    <mdx n="0" f="v">
      <t c="8">
        <n x="7" s="1"/>
        <n x="69" s="1"/>
        <n x="3" s="1"/>
        <n x="70" s="1"/>
        <n x="2" s="1"/>
        <n x="68"/>
        <n x="84"/>
        <n x="51"/>
      </t>
    </mdx>
    <mdx n="0" f="v">
      <t c="8">
        <n x="7" s="1"/>
        <n x="69" s="1"/>
        <n x="3" s="1"/>
        <n x="70" s="1"/>
        <n x="2" s="1"/>
        <n x="68"/>
        <n x="84"/>
        <n x="52"/>
      </t>
    </mdx>
    <mdx n="0" f="v">
      <t c="8">
        <n x="7" s="1"/>
        <n x="69" s="1"/>
        <n x="3" s="1"/>
        <n x="70" s="1"/>
        <n x="2" s="1"/>
        <n x="68"/>
        <n x="84"/>
        <n x="53"/>
      </t>
    </mdx>
    <mdx n="0" f="v">
      <t c="8">
        <n x="7" s="1"/>
        <n x="69" s="1"/>
        <n x="3" s="1"/>
        <n x="70" s="1"/>
        <n x="2" s="1"/>
        <n x="68"/>
        <n x="84"/>
        <n x="54"/>
      </t>
    </mdx>
    <mdx n="0" f="v">
      <t c="8">
        <n x="7" s="1"/>
        <n x="69" s="1"/>
        <n x="3" s="1"/>
        <n x="70" s="1"/>
        <n x="2" s="1"/>
        <n x="68"/>
        <n x="84"/>
        <n x="55"/>
      </t>
    </mdx>
    <mdx n="0" f="v">
      <t c="8">
        <n x="7" s="1"/>
        <n x="69" s="1"/>
        <n x="3" s="1"/>
        <n x="70" s="1"/>
        <n x="2" s="1"/>
        <n x="68"/>
        <n x="84"/>
        <n x="56"/>
      </t>
    </mdx>
    <mdx n="0" f="v">
      <t c="8">
        <n x="7" s="1"/>
        <n x="69" s="1"/>
        <n x="3" s="1"/>
        <n x="70" s="1"/>
        <n x="2" s="1"/>
        <n x="68"/>
        <n x="84"/>
        <n x="57"/>
      </t>
    </mdx>
    <mdx n="0" f="v">
      <t c="8">
        <n x="7" s="1"/>
        <n x="69" s="1"/>
        <n x="3" s="1"/>
        <n x="70" s="1"/>
        <n x="2" s="1"/>
        <n x="68"/>
        <n x="84"/>
        <n x="58"/>
      </t>
    </mdx>
    <mdx n="0" f="v">
      <t c="8">
        <n x="7" s="1"/>
        <n x="69" s="1"/>
        <n x="3" s="1"/>
        <n x="70" s="1"/>
        <n x="2" s="1"/>
        <n x="68"/>
        <n x="84"/>
        <n x="59"/>
      </t>
    </mdx>
    <mdx n="0" f="v">
      <t c="8">
        <n x="7" s="1"/>
        <n x="69" s="1"/>
        <n x="3" s="1"/>
        <n x="70" s="1"/>
        <n x="2" s="1"/>
        <n x="68"/>
        <n x="84"/>
        <n x="60"/>
      </t>
    </mdx>
    <mdx n="0" f="v">
      <t c="8">
        <n x="7" s="1"/>
        <n x="69" s="1"/>
        <n x="3" s="1"/>
        <n x="70" s="1"/>
        <n x="2" s="1"/>
        <n x="68"/>
        <n x="84"/>
        <n x="61"/>
      </t>
    </mdx>
    <mdx n="0" f="v">
      <t c="8">
        <n x="7" s="1"/>
        <n x="69" s="1"/>
        <n x="3" s="1"/>
        <n x="70" s="1"/>
        <n x="2" s="1"/>
        <n x="68"/>
        <n x="84"/>
        <n x="62"/>
      </t>
    </mdx>
    <mdx n="0" f="v">
      <t c="8">
        <n x="7" s="1"/>
        <n x="69" s="1"/>
        <n x="3" s="1"/>
        <n x="70" s="1"/>
        <n x="2" s="1"/>
        <n x="68"/>
        <n x="84"/>
        <n x="63"/>
      </t>
    </mdx>
    <mdx n="0" f="v">
      <t c="8">
        <n x="7" s="1"/>
        <n x="69" s="1"/>
        <n x="3" s="1"/>
        <n x="70" s="1"/>
        <n x="2" s="1"/>
        <n x="68"/>
        <n x="84"/>
        <n x="64"/>
      </t>
    </mdx>
    <mdx n="0" f="v">
      <t c="8">
        <n x="7" s="1"/>
        <n x="69" s="1"/>
        <n x="3" s="1"/>
        <n x="70" s="1"/>
        <n x="2" s="1"/>
        <n x="68"/>
        <n x="84"/>
        <n x="65"/>
      </t>
    </mdx>
    <mdx n="0" f="v">
      <t c="8">
        <n x="7" s="1"/>
        <n x="69" s="1"/>
        <n x="3" s="1"/>
        <n x="70" s="1"/>
        <n x="2" s="1"/>
        <n x="68"/>
        <n x="84"/>
        <n x="66"/>
      </t>
    </mdx>
    <mdx n="0" f="v">
      <t c="8">
        <n x="7" s="1"/>
        <n x="69" s="1"/>
        <n x="3" s="1"/>
        <n x="70" s="1"/>
        <n x="2" s="1"/>
        <n x="68"/>
        <n x="85"/>
        <n x="8"/>
      </t>
    </mdx>
    <mdx n="0" f="v">
      <t c="8">
        <n x="7" s="1"/>
        <n x="69" s="1"/>
        <n x="3" s="1"/>
        <n x="70" s="1"/>
        <n x="2" s="1"/>
        <n x="68"/>
        <n x="85"/>
        <n x="9"/>
      </t>
    </mdx>
    <mdx n="0" f="v">
      <t c="8">
        <n x="7" s="1"/>
        <n x="69" s="1"/>
        <n x="3" s="1"/>
        <n x="70" s="1"/>
        <n x="2" s="1"/>
        <n x="68"/>
        <n x="85"/>
        <n x="10"/>
      </t>
    </mdx>
    <mdx n="0" f="v">
      <t c="8">
        <n x="7" s="1"/>
        <n x="69" s="1"/>
        <n x="3" s="1"/>
        <n x="70" s="1"/>
        <n x="2" s="1"/>
        <n x="68"/>
        <n x="85"/>
        <n x="11"/>
      </t>
    </mdx>
    <mdx n="0" f="v">
      <t c="8">
        <n x="7" s="1"/>
        <n x="69" s="1"/>
        <n x="3" s="1"/>
        <n x="70" s="1"/>
        <n x="2" s="1"/>
        <n x="68"/>
        <n x="85"/>
        <n x="12"/>
      </t>
    </mdx>
    <mdx n="0" f="v">
      <t c="8">
        <n x="7" s="1"/>
        <n x="69" s="1"/>
        <n x="3" s="1"/>
        <n x="70" s="1"/>
        <n x="2" s="1"/>
        <n x="68"/>
        <n x="85"/>
        <n x="13"/>
      </t>
    </mdx>
    <mdx n="0" f="v">
      <t c="8">
        <n x="7" s="1"/>
        <n x="69" s="1"/>
        <n x="3" s="1"/>
        <n x="70" s="1"/>
        <n x="2" s="1"/>
        <n x="68"/>
        <n x="85"/>
        <n x="14"/>
      </t>
    </mdx>
    <mdx n="0" f="v">
      <t c="8">
        <n x="7" s="1"/>
        <n x="69" s="1"/>
        <n x="3" s="1"/>
        <n x="70" s="1"/>
        <n x="2" s="1"/>
        <n x="68"/>
        <n x="85"/>
        <n x="15"/>
      </t>
    </mdx>
    <mdx n="0" f="v">
      <t c="8">
        <n x="7" s="1"/>
        <n x="69" s="1"/>
        <n x="3" s="1"/>
        <n x="70" s="1"/>
        <n x="2" s="1"/>
        <n x="68"/>
        <n x="85"/>
        <n x="16"/>
      </t>
    </mdx>
    <mdx n="0" f="v">
      <t c="8">
        <n x="7" s="1"/>
        <n x="69" s="1"/>
        <n x="3" s="1"/>
        <n x="70" s="1"/>
        <n x="2" s="1"/>
        <n x="68"/>
        <n x="85"/>
        <n x="17"/>
      </t>
    </mdx>
    <mdx n="0" f="v">
      <t c="8">
        <n x="7" s="1"/>
        <n x="69" s="1"/>
        <n x="3" s="1"/>
        <n x="70" s="1"/>
        <n x="2" s="1"/>
        <n x="68"/>
        <n x="85"/>
        <n x="18"/>
      </t>
    </mdx>
    <mdx n="0" f="v">
      <t c="8">
        <n x="7" s="1"/>
        <n x="69" s="1"/>
        <n x="3" s="1"/>
        <n x="70" s="1"/>
        <n x="2" s="1"/>
        <n x="68"/>
        <n x="85"/>
        <n x="19"/>
      </t>
    </mdx>
    <mdx n="0" f="v">
      <t c="8">
        <n x="7" s="1"/>
        <n x="69" s="1"/>
        <n x="3" s="1"/>
        <n x="70" s="1"/>
        <n x="2" s="1"/>
        <n x="68"/>
        <n x="85"/>
        <n x="20"/>
      </t>
    </mdx>
    <mdx n="0" f="v">
      <t c="8">
        <n x="7" s="1"/>
        <n x="69" s="1"/>
        <n x="3" s="1"/>
        <n x="70" s="1"/>
        <n x="2" s="1"/>
        <n x="68"/>
        <n x="85"/>
        <n x="21"/>
      </t>
    </mdx>
    <mdx n="0" f="v">
      <t c="8">
        <n x="7" s="1"/>
        <n x="69" s="1"/>
        <n x="3" s="1"/>
        <n x="70" s="1"/>
        <n x="2" s="1"/>
        <n x="68"/>
        <n x="85"/>
        <n x="22"/>
      </t>
    </mdx>
    <mdx n="0" f="v">
      <t c="8">
        <n x="7" s="1"/>
        <n x="69" s="1"/>
        <n x="3" s="1"/>
        <n x="70" s="1"/>
        <n x="2" s="1"/>
        <n x="68"/>
        <n x="85"/>
        <n x="23"/>
      </t>
    </mdx>
    <mdx n="0" f="v">
      <t c="8">
        <n x="7" s="1"/>
        <n x="69" s="1"/>
        <n x="3" s="1"/>
        <n x="70" s="1"/>
        <n x="2" s="1"/>
        <n x="68"/>
        <n x="85"/>
        <n x="24"/>
      </t>
    </mdx>
    <mdx n="0" f="v">
      <t c="8">
        <n x="7" s="1"/>
        <n x="69" s="1"/>
        <n x="3" s="1"/>
        <n x="70" s="1"/>
        <n x="2" s="1"/>
        <n x="68"/>
        <n x="85"/>
        <n x="25"/>
      </t>
    </mdx>
    <mdx n="0" f="v">
      <t c="8">
        <n x="7" s="1"/>
        <n x="69" s="1"/>
        <n x="3" s="1"/>
        <n x="70" s="1"/>
        <n x="2" s="1"/>
        <n x="68"/>
        <n x="85"/>
        <n x="26"/>
      </t>
    </mdx>
    <mdx n="0" f="v">
      <t c="8">
        <n x="7" s="1"/>
        <n x="69" s="1"/>
        <n x="3" s="1"/>
        <n x="70" s="1"/>
        <n x="2" s="1"/>
        <n x="68"/>
        <n x="85"/>
        <n x="27"/>
      </t>
    </mdx>
    <mdx n="0" f="v">
      <t c="8">
        <n x="7" s="1"/>
        <n x="69" s="1"/>
        <n x="3" s="1"/>
        <n x="70" s="1"/>
        <n x="2" s="1"/>
        <n x="68"/>
        <n x="85"/>
        <n x="28"/>
      </t>
    </mdx>
    <mdx n="0" f="v">
      <t c="8">
        <n x="7" s="1"/>
        <n x="69" s="1"/>
        <n x="3" s="1"/>
        <n x="70" s="1"/>
        <n x="2" s="1"/>
        <n x="68"/>
        <n x="85"/>
        <n x="29"/>
      </t>
    </mdx>
    <mdx n="0" f="v">
      <t c="8">
        <n x="7" s="1"/>
        <n x="69" s="1"/>
        <n x="3" s="1"/>
        <n x="70" s="1"/>
        <n x="2" s="1"/>
        <n x="68"/>
        <n x="85"/>
        <n x="30"/>
      </t>
    </mdx>
    <mdx n="0" f="v">
      <t c="8">
        <n x="7" s="1"/>
        <n x="69" s="1"/>
        <n x="3" s="1"/>
        <n x="70" s="1"/>
        <n x="2" s="1"/>
        <n x="68"/>
        <n x="85"/>
        <n x="31"/>
      </t>
    </mdx>
    <mdx n="0" f="v">
      <t c="8">
        <n x="7" s="1"/>
        <n x="69" s="1"/>
        <n x="3" s="1"/>
        <n x="70" s="1"/>
        <n x="2" s="1"/>
        <n x="68"/>
        <n x="85"/>
        <n x="32"/>
      </t>
    </mdx>
    <mdx n="0" f="v">
      <t c="8">
        <n x="7" s="1"/>
        <n x="69" s="1"/>
        <n x="3" s="1"/>
        <n x="70" s="1"/>
        <n x="2" s="1"/>
        <n x="68"/>
        <n x="85"/>
        <n x="33"/>
      </t>
    </mdx>
    <mdx n="0" f="v">
      <t c="8">
        <n x="7" s="1"/>
        <n x="69" s="1"/>
        <n x="3" s="1"/>
        <n x="70" s="1"/>
        <n x="2" s="1"/>
        <n x="68"/>
        <n x="85"/>
        <n x="34"/>
      </t>
    </mdx>
    <mdx n="0" f="v">
      <t c="8">
        <n x="7" s="1"/>
        <n x="69" s="1"/>
        <n x="3" s="1"/>
        <n x="70" s="1"/>
        <n x="2" s="1"/>
        <n x="68"/>
        <n x="85"/>
        <n x="35"/>
      </t>
    </mdx>
    <mdx n="0" f="v">
      <t c="8">
        <n x="7" s="1"/>
        <n x="69" s="1"/>
        <n x="3" s="1"/>
        <n x="70" s="1"/>
        <n x="2" s="1"/>
        <n x="68"/>
        <n x="85"/>
        <n x="36"/>
      </t>
    </mdx>
    <mdx n="0" f="v">
      <t c="8">
        <n x="7" s="1"/>
        <n x="69" s="1"/>
        <n x="3" s="1"/>
        <n x="70" s="1"/>
        <n x="2" s="1"/>
        <n x="68"/>
        <n x="85"/>
        <n x="37"/>
      </t>
    </mdx>
    <mdx n="0" f="v">
      <t c="8">
        <n x="7" s="1"/>
        <n x="69" s="1"/>
        <n x="3" s="1"/>
        <n x="70" s="1"/>
        <n x="2" s="1"/>
        <n x="68"/>
        <n x="85"/>
        <n x="38"/>
      </t>
    </mdx>
    <mdx n="0" f="v">
      <t c="8">
        <n x="7" s="1"/>
        <n x="69" s="1"/>
        <n x="3" s="1"/>
        <n x="70" s="1"/>
        <n x="2" s="1"/>
        <n x="68"/>
        <n x="85"/>
        <n x="39"/>
      </t>
    </mdx>
    <mdx n="0" f="v">
      <t c="8">
        <n x="7" s="1"/>
        <n x="69" s="1"/>
        <n x="3" s="1"/>
        <n x="70" s="1"/>
        <n x="2" s="1"/>
        <n x="68"/>
        <n x="85"/>
        <n x="40"/>
      </t>
    </mdx>
    <mdx n="0" f="v">
      <t c="8">
        <n x="7" s="1"/>
        <n x="69" s="1"/>
        <n x="3" s="1"/>
        <n x="70" s="1"/>
        <n x="2" s="1"/>
        <n x="68"/>
        <n x="85"/>
        <n x="41"/>
      </t>
    </mdx>
    <mdx n="0" f="v">
      <t c="8">
        <n x="7" s="1"/>
        <n x="69" s="1"/>
        <n x="3" s="1"/>
        <n x="70" s="1"/>
        <n x="2" s="1"/>
        <n x="68"/>
        <n x="85"/>
        <n x="42"/>
      </t>
    </mdx>
    <mdx n="0" f="v">
      <t c="8">
        <n x="7" s="1"/>
        <n x="69" s="1"/>
        <n x="3" s="1"/>
        <n x="70" s="1"/>
        <n x="2" s="1"/>
        <n x="68"/>
        <n x="85"/>
        <n x="43"/>
      </t>
    </mdx>
    <mdx n="0" f="v">
      <t c="8">
        <n x="7" s="1"/>
        <n x="69" s="1"/>
        <n x="3" s="1"/>
        <n x="70" s="1"/>
        <n x="2" s="1"/>
        <n x="68"/>
        <n x="85"/>
        <n x="44"/>
      </t>
    </mdx>
    <mdx n="0" f="v">
      <t c="8">
        <n x="7" s="1"/>
        <n x="69" s="1"/>
        <n x="3" s="1"/>
        <n x="70" s="1"/>
        <n x="2" s="1"/>
        <n x="68"/>
        <n x="85"/>
        <n x="45"/>
      </t>
    </mdx>
    <mdx n="0" f="v">
      <t c="8">
        <n x="7" s="1"/>
        <n x="69" s="1"/>
        <n x="3" s="1"/>
        <n x="70" s="1"/>
        <n x="2" s="1"/>
        <n x="68"/>
        <n x="85"/>
        <n x="46"/>
      </t>
    </mdx>
    <mdx n="0" f="v">
      <t c="8">
        <n x="7" s="1"/>
        <n x="69" s="1"/>
        <n x="3" s="1"/>
        <n x="70" s="1"/>
        <n x="2" s="1"/>
        <n x="68"/>
        <n x="85"/>
        <n x="47"/>
      </t>
    </mdx>
    <mdx n="0" f="v">
      <t c="8">
        <n x="7" s="1"/>
        <n x="69" s="1"/>
        <n x="3" s="1"/>
        <n x="70" s="1"/>
        <n x="2" s="1"/>
        <n x="68"/>
        <n x="85"/>
        <n x="48"/>
      </t>
    </mdx>
    <mdx n="0" f="v">
      <t c="8">
        <n x="7" s="1"/>
        <n x="69" s="1"/>
        <n x="3" s="1"/>
        <n x="70" s="1"/>
        <n x="2" s="1"/>
        <n x="68"/>
        <n x="85"/>
        <n x="49"/>
      </t>
    </mdx>
    <mdx n="0" f="v">
      <t c="8">
        <n x="7" s="1"/>
        <n x="69" s="1"/>
        <n x="3" s="1"/>
        <n x="70" s="1"/>
        <n x="2" s="1"/>
        <n x="68"/>
        <n x="85"/>
        <n x="50"/>
      </t>
    </mdx>
    <mdx n="0" f="v">
      <t c="8">
        <n x="7" s="1"/>
        <n x="69" s="1"/>
        <n x="3" s="1"/>
        <n x="70" s="1"/>
        <n x="2" s="1"/>
        <n x="68"/>
        <n x="85"/>
        <n x="51"/>
      </t>
    </mdx>
    <mdx n="0" f="v">
      <t c="8">
        <n x="7" s="1"/>
        <n x="69" s="1"/>
        <n x="3" s="1"/>
        <n x="70" s="1"/>
        <n x="2" s="1"/>
        <n x="68"/>
        <n x="85"/>
        <n x="52"/>
      </t>
    </mdx>
    <mdx n="0" f="v">
      <t c="8">
        <n x="7" s="1"/>
        <n x="69" s="1"/>
        <n x="3" s="1"/>
        <n x="70" s="1"/>
        <n x="2" s="1"/>
        <n x="68"/>
        <n x="85"/>
        <n x="53"/>
      </t>
    </mdx>
    <mdx n="0" f="v">
      <t c="8">
        <n x="7" s="1"/>
        <n x="69" s="1"/>
        <n x="3" s="1"/>
        <n x="70" s="1"/>
        <n x="2" s="1"/>
        <n x="68"/>
        <n x="85"/>
        <n x="54"/>
      </t>
    </mdx>
    <mdx n="0" f="v">
      <t c="8">
        <n x="7" s="1"/>
        <n x="69" s="1"/>
        <n x="3" s="1"/>
        <n x="70" s="1"/>
        <n x="2" s="1"/>
        <n x="68"/>
        <n x="85"/>
        <n x="55"/>
      </t>
    </mdx>
    <mdx n="0" f="v">
      <t c="8">
        <n x="7" s="1"/>
        <n x="69" s="1"/>
        <n x="3" s="1"/>
        <n x="70" s="1"/>
        <n x="2" s="1"/>
        <n x="68"/>
        <n x="85"/>
        <n x="56"/>
      </t>
    </mdx>
    <mdx n="0" f="v">
      <t c="8">
        <n x="7" s="1"/>
        <n x="69" s="1"/>
        <n x="3" s="1"/>
        <n x="70" s="1"/>
        <n x="2" s="1"/>
        <n x="68"/>
        <n x="85"/>
        <n x="57"/>
      </t>
    </mdx>
    <mdx n="0" f="v">
      <t c="8">
        <n x="7" s="1"/>
        <n x="69" s="1"/>
        <n x="3" s="1"/>
        <n x="70" s="1"/>
        <n x="2" s="1"/>
        <n x="68"/>
        <n x="85"/>
        <n x="58"/>
      </t>
    </mdx>
    <mdx n="0" f="v">
      <t c="8">
        <n x="7" s="1"/>
        <n x="69" s="1"/>
        <n x="3" s="1"/>
        <n x="70" s="1"/>
        <n x="2" s="1"/>
        <n x="68"/>
        <n x="85"/>
        <n x="59"/>
      </t>
    </mdx>
    <mdx n="0" f="v">
      <t c="8">
        <n x="7" s="1"/>
        <n x="69" s="1"/>
        <n x="3" s="1"/>
        <n x="70" s="1"/>
        <n x="2" s="1"/>
        <n x="68"/>
        <n x="85"/>
        <n x="60"/>
      </t>
    </mdx>
    <mdx n="0" f="v">
      <t c="8">
        <n x="7" s="1"/>
        <n x="69" s="1"/>
        <n x="3" s="1"/>
        <n x="70" s="1"/>
        <n x="2" s="1"/>
        <n x="68"/>
        <n x="85"/>
        <n x="61"/>
      </t>
    </mdx>
    <mdx n="0" f="v">
      <t c="8">
        <n x="7" s="1"/>
        <n x="69" s="1"/>
        <n x="3" s="1"/>
        <n x="70" s="1"/>
        <n x="2" s="1"/>
        <n x="68"/>
        <n x="85"/>
        <n x="62"/>
      </t>
    </mdx>
    <mdx n="0" f="v">
      <t c="8">
        <n x="7" s="1"/>
        <n x="69" s="1"/>
        <n x="3" s="1"/>
        <n x="70" s="1"/>
        <n x="2" s="1"/>
        <n x="68"/>
        <n x="85"/>
        <n x="63"/>
      </t>
    </mdx>
    <mdx n="0" f="v">
      <t c="8">
        <n x="7" s="1"/>
        <n x="69" s="1"/>
        <n x="3" s="1"/>
        <n x="70" s="1"/>
        <n x="2" s="1"/>
        <n x="68"/>
        <n x="85"/>
        <n x="64"/>
      </t>
    </mdx>
    <mdx n="0" f="v">
      <t c="8">
        <n x="7" s="1"/>
        <n x="69" s="1"/>
        <n x="3" s="1"/>
        <n x="70" s="1"/>
        <n x="2" s="1"/>
        <n x="68"/>
        <n x="85"/>
        <n x="65"/>
      </t>
    </mdx>
    <mdx n="0" f="v">
      <t c="8">
        <n x="7" s="1"/>
        <n x="69" s="1"/>
        <n x="3" s="1"/>
        <n x="70" s="1"/>
        <n x="2" s="1"/>
        <n x="68"/>
        <n x="85"/>
        <n x="66"/>
      </t>
    </mdx>
    <mdx n="0" f="v">
      <t c="8">
        <n x="7" s="1"/>
        <n x="69" s="1"/>
        <n x="3" s="1"/>
        <n x="70" s="1"/>
        <n x="2" s="1"/>
        <n x="68"/>
        <n x="86"/>
        <n x="8"/>
      </t>
    </mdx>
    <mdx n="0" f="v">
      <t c="8">
        <n x="7" s="1"/>
        <n x="69" s="1"/>
        <n x="3" s="1"/>
        <n x="70" s="1"/>
        <n x="2" s="1"/>
        <n x="68"/>
        <n x="86"/>
        <n x="9"/>
      </t>
    </mdx>
    <mdx n="0" f="v">
      <t c="8">
        <n x="7" s="1"/>
        <n x="69" s="1"/>
        <n x="3" s="1"/>
        <n x="70" s="1"/>
        <n x="2" s="1"/>
        <n x="68"/>
        <n x="86"/>
        <n x="10"/>
      </t>
    </mdx>
    <mdx n="0" f="v">
      <t c="8">
        <n x="7" s="1"/>
        <n x="69" s="1"/>
        <n x="3" s="1"/>
        <n x="70" s="1"/>
        <n x="2" s="1"/>
        <n x="68"/>
        <n x="86"/>
        <n x="11"/>
      </t>
    </mdx>
    <mdx n="0" f="v">
      <t c="8">
        <n x="7" s="1"/>
        <n x="69" s="1"/>
        <n x="3" s="1"/>
        <n x="70" s="1"/>
        <n x="2" s="1"/>
        <n x="68"/>
        <n x="86"/>
        <n x="12"/>
      </t>
    </mdx>
    <mdx n="0" f="v">
      <t c="8">
        <n x="7" s="1"/>
        <n x="69" s="1"/>
        <n x="3" s="1"/>
        <n x="70" s="1"/>
        <n x="2" s="1"/>
        <n x="68"/>
        <n x="86"/>
        <n x="13"/>
      </t>
    </mdx>
    <mdx n="0" f="v">
      <t c="8">
        <n x="7" s="1"/>
        <n x="69" s="1"/>
        <n x="3" s="1"/>
        <n x="70" s="1"/>
        <n x="2" s="1"/>
        <n x="68"/>
        <n x="86"/>
        <n x="14"/>
      </t>
    </mdx>
    <mdx n="0" f="v">
      <t c="8">
        <n x="7" s="1"/>
        <n x="69" s="1"/>
        <n x="3" s="1"/>
        <n x="70" s="1"/>
        <n x="2" s="1"/>
        <n x="68"/>
        <n x="86"/>
        <n x="15"/>
      </t>
    </mdx>
    <mdx n="0" f="v">
      <t c="8">
        <n x="7" s="1"/>
        <n x="69" s="1"/>
        <n x="3" s="1"/>
        <n x="70" s="1"/>
        <n x="2" s="1"/>
        <n x="68"/>
        <n x="86"/>
        <n x="16"/>
      </t>
    </mdx>
    <mdx n="0" f="v">
      <t c="8">
        <n x="7" s="1"/>
        <n x="69" s="1"/>
        <n x="3" s="1"/>
        <n x="70" s="1"/>
        <n x="2" s="1"/>
        <n x="68"/>
        <n x="86"/>
        <n x="17"/>
      </t>
    </mdx>
    <mdx n="0" f="v">
      <t c="8">
        <n x="7" s="1"/>
        <n x="69" s="1"/>
        <n x="3" s="1"/>
        <n x="70" s="1"/>
        <n x="2" s="1"/>
        <n x="68"/>
        <n x="86"/>
        <n x="18"/>
      </t>
    </mdx>
    <mdx n="0" f="v">
      <t c="8">
        <n x="7" s="1"/>
        <n x="69" s="1"/>
        <n x="3" s="1"/>
        <n x="70" s="1"/>
        <n x="2" s="1"/>
        <n x="68"/>
        <n x="86"/>
        <n x="19"/>
      </t>
    </mdx>
    <mdx n="0" f="v">
      <t c="8">
        <n x="7" s="1"/>
        <n x="69" s="1"/>
        <n x="3" s="1"/>
        <n x="70" s="1"/>
        <n x="2" s="1"/>
        <n x="68"/>
        <n x="86"/>
        <n x="20"/>
      </t>
    </mdx>
    <mdx n="0" f="v">
      <t c="8">
        <n x="7" s="1"/>
        <n x="69" s="1"/>
        <n x="3" s="1"/>
        <n x="70" s="1"/>
        <n x="2" s="1"/>
        <n x="68"/>
        <n x="86"/>
        <n x="21"/>
      </t>
    </mdx>
    <mdx n="0" f="v">
      <t c="8">
        <n x="7" s="1"/>
        <n x="69" s="1"/>
        <n x="3" s="1"/>
        <n x="70" s="1"/>
        <n x="2" s="1"/>
        <n x="68"/>
        <n x="86"/>
        <n x="22"/>
      </t>
    </mdx>
    <mdx n="0" f="v">
      <t c="8">
        <n x="7" s="1"/>
        <n x="69" s="1"/>
        <n x="3" s="1"/>
        <n x="70" s="1"/>
        <n x="2" s="1"/>
        <n x="68"/>
        <n x="86"/>
        <n x="23"/>
      </t>
    </mdx>
    <mdx n="0" f="v">
      <t c="8">
        <n x="7" s="1"/>
        <n x="69" s="1"/>
        <n x="3" s="1"/>
        <n x="70" s="1"/>
        <n x="2" s="1"/>
        <n x="68"/>
        <n x="86"/>
        <n x="24"/>
      </t>
    </mdx>
    <mdx n="0" f="v">
      <t c="8">
        <n x="7" s="1"/>
        <n x="69" s="1"/>
        <n x="3" s="1"/>
        <n x="70" s="1"/>
        <n x="2" s="1"/>
        <n x="68"/>
        <n x="86"/>
        <n x="25"/>
      </t>
    </mdx>
    <mdx n="0" f="v">
      <t c="8">
        <n x="7" s="1"/>
        <n x="69" s="1"/>
        <n x="3" s="1"/>
        <n x="70" s="1"/>
        <n x="2" s="1"/>
        <n x="68"/>
        <n x="86"/>
        <n x="26"/>
      </t>
    </mdx>
    <mdx n="0" f="v">
      <t c="8">
        <n x="7" s="1"/>
        <n x="69" s="1"/>
        <n x="3" s="1"/>
        <n x="70" s="1"/>
        <n x="2" s="1"/>
        <n x="68"/>
        <n x="86"/>
        <n x="27"/>
      </t>
    </mdx>
    <mdx n="0" f="v">
      <t c="8">
        <n x="7" s="1"/>
        <n x="69" s="1"/>
        <n x="3" s="1"/>
        <n x="70" s="1"/>
        <n x="2" s="1"/>
        <n x="68"/>
        <n x="86"/>
        <n x="28"/>
      </t>
    </mdx>
    <mdx n="0" f="v">
      <t c="8">
        <n x="7" s="1"/>
        <n x="69" s="1"/>
        <n x="3" s="1"/>
        <n x="70" s="1"/>
        <n x="2" s="1"/>
        <n x="68"/>
        <n x="86"/>
        <n x="29"/>
      </t>
    </mdx>
    <mdx n="0" f="v">
      <t c="8">
        <n x="7" s="1"/>
        <n x="69" s="1"/>
        <n x="3" s="1"/>
        <n x="70" s="1"/>
        <n x="2" s="1"/>
        <n x="68"/>
        <n x="86"/>
        <n x="30"/>
      </t>
    </mdx>
    <mdx n="0" f="v">
      <t c="8">
        <n x="7" s="1"/>
        <n x="69" s="1"/>
        <n x="3" s="1"/>
        <n x="70" s="1"/>
        <n x="2" s="1"/>
        <n x="68"/>
        <n x="86"/>
        <n x="31"/>
      </t>
    </mdx>
    <mdx n="0" f="v">
      <t c="8">
        <n x="7" s="1"/>
        <n x="69" s="1"/>
        <n x="3" s="1"/>
        <n x="70" s="1"/>
        <n x="2" s="1"/>
        <n x="68"/>
        <n x="86"/>
        <n x="32"/>
      </t>
    </mdx>
    <mdx n="0" f="v">
      <t c="8">
        <n x="7" s="1"/>
        <n x="69" s="1"/>
        <n x="3" s="1"/>
        <n x="70" s="1"/>
        <n x="2" s="1"/>
        <n x="68"/>
        <n x="86"/>
        <n x="33"/>
      </t>
    </mdx>
    <mdx n="0" f="v">
      <t c="8">
        <n x="7" s="1"/>
        <n x="69" s="1"/>
        <n x="3" s="1"/>
        <n x="70" s="1"/>
        <n x="2" s="1"/>
        <n x="68"/>
        <n x="86"/>
        <n x="34"/>
      </t>
    </mdx>
    <mdx n="0" f="v">
      <t c="8">
        <n x="7" s="1"/>
        <n x="69" s="1"/>
        <n x="3" s="1"/>
        <n x="70" s="1"/>
        <n x="2" s="1"/>
        <n x="68"/>
        <n x="86"/>
        <n x="35"/>
      </t>
    </mdx>
    <mdx n="0" f="v">
      <t c="8">
        <n x="7" s="1"/>
        <n x="69" s="1"/>
        <n x="3" s="1"/>
        <n x="70" s="1"/>
        <n x="2" s="1"/>
        <n x="68"/>
        <n x="86"/>
        <n x="36"/>
      </t>
    </mdx>
    <mdx n="0" f="v">
      <t c="8">
        <n x="7" s="1"/>
        <n x="69" s="1"/>
        <n x="3" s="1"/>
        <n x="70" s="1"/>
        <n x="2" s="1"/>
        <n x="68"/>
        <n x="86"/>
        <n x="37"/>
      </t>
    </mdx>
    <mdx n="0" f="v">
      <t c="8">
        <n x="7" s="1"/>
        <n x="69" s="1"/>
        <n x="3" s="1"/>
        <n x="70" s="1"/>
        <n x="2" s="1"/>
        <n x="68"/>
        <n x="86"/>
        <n x="38"/>
      </t>
    </mdx>
    <mdx n="0" f="v">
      <t c="8">
        <n x="7" s="1"/>
        <n x="69" s="1"/>
        <n x="3" s="1"/>
        <n x="70" s="1"/>
        <n x="2" s="1"/>
        <n x="68"/>
        <n x="86"/>
        <n x="39"/>
      </t>
    </mdx>
    <mdx n="0" f="v">
      <t c="8">
        <n x="7" s="1"/>
        <n x="69" s="1"/>
        <n x="3" s="1"/>
        <n x="70" s="1"/>
        <n x="2" s="1"/>
        <n x="68"/>
        <n x="86"/>
        <n x="40"/>
      </t>
    </mdx>
    <mdx n="0" f="v">
      <t c="8">
        <n x="7" s="1"/>
        <n x="69" s="1"/>
        <n x="3" s="1"/>
        <n x="70" s="1"/>
        <n x="2" s="1"/>
        <n x="68"/>
        <n x="86"/>
        <n x="41"/>
      </t>
    </mdx>
    <mdx n="0" f="v">
      <t c="8">
        <n x="7" s="1"/>
        <n x="69" s="1"/>
        <n x="3" s="1"/>
        <n x="70" s="1"/>
        <n x="2" s="1"/>
        <n x="68"/>
        <n x="86"/>
        <n x="42"/>
      </t>
    </mdx>
    <mdx n="0" f="v">
      <t c="8">
        <n x="7" s="1"/>
        <n x="69" s="1"/>
        <n x="3" s="1"/>
        <n x="70" s="1"/>
        <n x="2" s="1"/>
        <n x="68"/>
        <n x="86"/>
        <n x="43"/>
      </t>
    </mdx>
    <mdx n="0" f="v">
      <t c="8">
        <n x="7" s="1"/>
        <n x="69" s="1"/>
        <n x="3" s="1"/>
        <n x="70" s="1"/>
        <n x="2" s="1"/>
        <n x="68"/>
        <n x="86"/>
        <n x="44"/>
      </t>
    </mdx>
    <mdx n="0" f="v">
      <t c="8">
        <n x="7" s="1"/>
        <n x="69" s="1"/>
        <n x="3" s="1"/>
        <n x="70" s="1"/>
        <n x="2" s="1"/>
        <n x="68"/>
        <n x="86"/>
        <n x="45"/>
      </t>
    </mdx>
    <mdx n="0" f="v">
      <t c="8">
        <n x="7" s="1"/>
        <n x="69" s="1"/>
        <n x="3" s="1"/>
        <n x="70" s="1"/>
        <n x="2" s="1"/>
        <n x="68"/>
        <n x="86"/>
        <n x="46"/>
      </t>
    </mdx>
    <mdx n="0" f="v">
      <t c="8">
        <n x="7" s="1"/>
        <n x="69" s="1"/>
        <n x="3" s="1"/>
        <n x="70" s="1"/>
        <n x="2" s="1"/>
        <n x="68"/>
        <n x="86"/>
        <n x="47"/>
      </t>
    </mdx>
    <mdx n="0" f="v">
      <t c="8">
        <n x="7" s="1"/>
        <n x="69" s="1"/>
        <n x="3" s="1"/>
        <n x="70" s="1"/>
        <n x="2" s="1"/>
        <n x="68"/>
        <n x="86"/>
        <n x="48"/>
      </t>
    </mdx>
    <mdx n="0" f="v">
      <t c="8">
        <n x="7" s="1"/>
        <n x="69" s="1"/>
        <n x="3" s="1"/>
        <n x="70" s="1"/>
        <n x="2" s="1"/>
        <n x="68"/>
        <n x="86"/>
        <n x="49"/>
      </t>
    </mdx>
    <mdx n="0" f="v">
      <t c="8">
        <n x="7" s="1"/>
        <n x="69" s="1"/>
        <n x="3" s="1"/>
        <n x="70" s="1"/>
        <n x="2" s="1"/>
        <n x="68"/>
        <n x="86"/>
        <n x="50"/>
      </t>
    </mdx>
    <mdx n="0" f="v">
      <t c="8">
        <n x="7" s="1"/>
        <n x="69" s="1"/>
        <n x="3" s="1"/>
        <n x="70" s="1"/>
        <n x="2" s="1"/>
        <n x="68"/>
        <n x="86"/>
        <n x="51"/>
      </t>
    </mdx>
    <mdx n="0" f="v">
      <t c="8">
        <n x="7" s="1"/>
        <n x="69" s="1"/>
        <n x="3" s="1"/>
        <n x="70" s="1"/>
        <n x="2" s="1"/>
        <n x="68"/>
        <n x="86"/>
        <n x="52"/>
      </t>
    </mdx>
    <mdx n="0" f="v">
      <t c="8">
        <n x="7" s="1"/>
        <n x="69" s="1"/>
        <n x="3" s="1"/>
        <n x="70" s="1"/>
        <n x="2" s="1"/>
        <n x="68"/>
        <n x="86"/>
        <n x="53"/>
      </t>
    </mdx>
    <mdx n="0" f="v">
      <t c="8">
        <n x="7" s="1"/>
        <n x="69" s="1"/>
        <n x="3" s="1"/>
        <n x="70" s="1"/>
        <n x="2" s="1"/>
        <n x="68"/>
        <n x="86"/>
        <n x="54"/>
      </t>
    </mdx>
    <mdx n="0" f="v">
      <t c="8">
        <n x="7" s="1"/>
        <n x="69" s="1"/>
        <n x="3" s="1"/>
        <n x="70" s="1"/>
        <n x="2" s="1"/>
        <n x="68"/>
        <n x="86"/>
        <n x="55"/>
      </t>
    </mdx>
    <mdx n="0" f="v">
      <t c="8">
        <n x="7" s="1"/>
        <n x="69" s="1"/>
        <n x="3" s="1"/>
        <n x="70" s="1"/>
        <n x="2" s="1"/>
        <n x="68"/>
        <n x="86"/>
        <n x="56"/>
      </t>
    </mdx>
    <mdx n="0" f="v">
      <t c="8">
        <n x="7" s="1"/>
        <n x="69" s="1"/>
        <n x="3" s="1"/>
        <n x="70" s="1"/>
        <n x="2" s="1"/>
        <n x="68"/>
        <n x="86"/>
        <n x="57"/>
      </t>
    </mdx>
    <mdx n="0" f="v">
      <t c="8">
        <n x="7" s="1"/>
        <n x="69" s="1"/>
        <n x="3" s="1"/>
        <n x="70" s="1"/>
        <n x="2" s="1"/>
        <n x="68"/>
        <n x="86"/>
        <n x="58"/>
      </t>
    </mdx>
    <mdx n="0" f="v">
      <t c="8">
        <n x="7" s="1"/>
        <n x="69" s="1"/>
        <n x="3" s="1"/>
        <n x="70" s="1"/>
        <n x="2" s="1"/>
        <n x="68"/>
        <n x="86"/>
        <n x="59"/>
      </t>
    </mdx>
    <mdx n="0" f="v">
      <t c="8">
        <n x="7" s="1"/>
        <n x="69" s="1"/>
        <n x="3" s="1"/>
        <n x="70" s="1"/>
        <n x="2" s="1"/>
        <n x="68"/>
        <n x="86"/>
        <n x="60"/>
      </t>
    </mdx>
    <mdx n="0" f="v">
      <t c="8">
        <n x="7" s="1"/>
        <n x="69" s="1"/>
        <n x="3" s="1"/>
        <n x="70" s="1"/>
        <n x="2" s="1"/>
        <n x="68"/>
        <n x="86"/>
        <n x="61"/>
      </t>
    </mdx>
    <mdx n="0" f="v">
      <t c="8">
        <n x="7" s="1"/>
        <n x="69" s="1"/>
        <n x="3" s="1"/>
        <n x="70" s="1"/>
        <n x="2" s="1"/>
        <n x="68"/>
        <n x="86"/>
        <n x="62"/>
      </t>
    </mdx>
    <mdx n="0" f="v">
      <t c="8">
        <n x="7" s="1"/>
        <n x="69" s="1"/>
        <n x="3" s="1"/>
        <n x="70" s="1"/>
        <n x="2" s="1"/>
        <n x="68"/>
        <n x="86"/>
        <n x="63"/>
      </t>
    </mdx>
    <mdx n="0" f="v">
      <t c="8">
        <n x="7" s="1"/>
        <n x="69" s="1"/>
        <n x="3" s="1"/>
        <n x="70" s="1"/>
        <n x="2" s="1"/>
        <n x="68"/>
        <n x="86"/>
        <n x="64"/>
      </t>
    </mdx>
    <mdx n="0" f="v">
      <t c="8">
        <n x="7" s="1"/>
        <n x="69" s="1"/>
        <n x="3" s="1"/>
        <n x="70" s="1"/>
        <n x="2" s="1"/>
        <n x="68"/>
        <n x="86"/>
        <n x="65"/>
      </t>
    </mdx>
    <mdx n="0" f="v">
      <t c="8">
        <n x="7" s="1"/>
        <n x="69" s="1"/>
        <n x="3" s="1"/>
        <n x="70" s="1"/>
        <n x="2" s="1"/>
        <n x="68"/>
        <n x="86"/>
        <n x="66"/>
      </t>
    </mdx>
    <mdx n="0" f="v">
      <t c="8">
        <n x="7" s="1"/>
        <n x="69" s="1"/>
        <n x="3" s="1"/>
        <n x="70" s="1"/>
        <n x="2" s="1"/>
        <n x="68"/>
        <n x="87"/>
        <n x="8"/>
      </t>
    </mdx>
    <mdx n="0" f="v">
      <t c="8">
        <n x="7" s="1"/>
        <n x="69" s="1"/>
        <n x="3" s="1"/>
        <n x="70" s="1"/>
        <n x="2" s="1"/>
        <n x="68"/>
        <n x="87"/>
        <n x="9"/>
      </t>
    </mdx>
    <mdx n="0" f="v">
      <t c="8">
        <n x="7" s="1"/>
        <n x="69" s="1"/>
        <n x="3" s="1"/>
        <n x="70" s="1"/>
        <n x="2" s="1"/>
        <n x="68"/>
        <n x="87"/>
        <n x="10"/>
      </t>
    </mdx>
    <mdx n="0" f="v">
      <t c="8">
        <n x="7" s="1"/>
        <n x="69" s="1"/>
        <n x="3" s="1"/>
        <n x="70" s="1"/>
        <n x="2" s="1"/>
        <n x="68"/>
        <n x="87"/>
        <n x="11"/>
      </t>
    </mdx>
    <mdx n="0" f="v">
      <t c="8">
        <n x="7" s="1"/>
        <n x="69" s="1"/>
        <n x="3" s="1"/>
        <n x="70" s="1"/>
        <n x="2" s="1"/>
        <n x="68"/>
        <n x="87"/>
        <n x="12"/>
      </t>
    </mdx>
    <mdx n="0" f="v">
      <t c="8">
        <n x="7" s="1"/>
        <n x="69" s="1"/>
        <n x="3" s="1"/>
        <n x="70" s="1"/>
        <n x="2" s="1"/>
        <n x="68"/>
        <n x="87"/>
        <n x="13"/>
      </t>
    </mdx>
    <mdx n="0" f="v">
      <t c="8">
        <n x="7" s="1"/>
        <n x="69" s="1"/>
        <n x="3" s="1"/>
        <n x="70" s="1"/>
        <n x="2" s="1"/>
        <n x="68"/>
        <n x="87"/>
        <n x="14"/>
      </t>
    </mdx>
    <mdx n="0" f="v">
      <t c="8">
        <n x="7" s="1"/>
        <n x="69" s="1"/>
        <n x="3" s="1"/>
        <n x="70" s="1"/>
        <n x="2" s="1"/>
        <n x="68"/>
        <n x="87"/>
        <n x="15"/>
      </t>
    </mdx>
    <mdx n="0" f="v">
      <t c="8">
        <n x="7" s="1"/>
        <n x="69" s="1"/>
        <n x="3" s="1"/>
        <n x="70" s="1"/>
        <n x="2" s="1"/>
        <n x="68"/>
        <n x="87"/>
        <n x="16"/>
      </t>
    </mdx>
    <mdx n="0" f="v">
      <t c="8">
        <n x="7" s="1"/>
        <n x="69" s="1"/>
        <n x="3" s="1"/>
        <n x="70" s="1"/>
        <n x="2" s="1"/>
        <n x="68"/>
        <n x="87"/>
        <n x="17"/>
      </t>
    </mdx>
    <mdx n="0" f="v">
      <t c="8">
        <n x="7" s="1"/>
        <n x="69" s="1"/>
        <n x="3" s="1"/>
        <n x="70" s="1"/>
        <n x="2" s="1"/>
        <n x="68"/>
        <n x="87"/>
        <n x="18"/>
      </t>
    </mdx>
    <mdx n="0" f="v">
      <t c="8">
        <n x="7" s="1"/>
        <n x="69" s="1"/>
        <n x="3" s="1"/>
        <n x="70" s="1"/>
        <n x="2" s="1"/>
        <n x="68"/>
        <n x="87"/>
        <n x="19"/>
      </t>
    </mdx>
    <mdx n="0" f="v">
      <t c="8">
        <n x="7" s="1"/>
        <n x="69" s="1"/>
        <n x="3" s="1"/>
        <n x="70" s="1"/>
        <n x="2" s="1"/>
        <n x="68"/>
        <n x="87"/>
        <n x="20"/>
      </t>
    </mdx>
    <mdx n="0" f="v">
      <t c="8">
        <n x="7" s="1"/>
        <n x="69" s="1"/>
        <n x="3" s="1"/>
        <n x="70" s="1"/>
        <n x="2" s="1"/>
        <n x="68"/>
        <n x="87"/>
        <n x="21"/>
      </t>
    </mdx>
    <mdx n="0" f="v">
      <t c="8">
        <n x="7" s="1"/>
        <n x="69" s="1"/>
        <n x="3" s="1"/>
        <n x="70" s="1"/>
        <n x="2" s="1"/>
        <n x="68"/>
        <n x="87"/>
        <n x="22"/>
      </t>
    </mdx>
    <mdx n="0" f="v">
      <t c="8">
        <n x="7" s="1"/>
        <n x="69" s="1"/>
        <n x="3" s="1"/>
        <n x="70" s="1"/>
        <n x="2" s="1"/>
        <n x="68"/>
        <n x="87"/>
        <n x="23"/>
      </t>
    </mdx>
    <mdx n="0" f="v">
      <t c="8">
        <n x="7" s="1"/>
        <n x="69" s="1"/>
        <n x="3" s="1"/>
        <n x="70" s="1"/>
        <n x="2" s="1"/>
        <n x="68"/>
        <n x="87"/>
        <n x="24"/>
      </t>
    </mdx>
    <mdx n="0" f="v">
      <t c="8">
        <n x="7" s="1"/>
        <n x="69" s="1"/>
        <n x="3" s="1"/>
        <n x="70" s="1"/>
        <n x="2" s="1"/>
        <n x="68"/>
        <n x="87"/>
        <n x="25"/>
      </t>
    </mdx>
    <mdx n="0" f="v">
      <t c="8">
        <n x="7" s="1"/>
        <n x="69" s="1"/>
        <n x="3" s="1"/>
        <n x="70" s="1"/>
        <n x="2" s="1"/>
        <n x="68"/>
        <n x="87"/>
        <n x="26"/>
      </t>
    </mdx>
    <mdx n="0" f="v">
      <t c="8">
        <n x="7" s="1"/>
        <n x="69" s="1"/>
        <n x="3" s="1"/>
        <n x="70" s="1"/>
        <n x="2" s="1"/>
        <n x="68"/>
        <n x="87"/>
        <n x="27"/>
      </t>
    </mdx>
    <mdx n="0" f="v">
      <t c="8">
        <n x="7" s="1"/>
        <n x="69" s="1"/>
        <n x="3" s="1"/>
        <n x="70" s="1"/>
        <n x="2" s="1"/>
        <n x="68"/>
        <n x="87"/>
        <n x="28"/>
      </t>
    </mdx>
    <mdx n="0" f="v">
      <t c="8">
        <n x="7" s="1"/>
        <n x="69" s="1"/>
        <n x="3" s="1"/>
        <n x="70" s="1"/>
        <n x="2" s="1"/>
        <n x="68"/>
        <n x="87"/>
        <n x="29"/>
      </t>
    </mdx>
    <mdx n="0" f="v">
      <t c="8">
        <n x="7" s="1"/>
        <n x="69" s="1"/>
        <n x="3" s="1"/>
        <n x="70" s="1"/>
        <n x="2" s="1"/>
        <n x="68"/>
        <n x="87"/>
        <n x="30"/>
      </t>
    </mdx>
    <mdx n="0" f="v">
      <t c="8">
        <n x="7" s="1"/>
        <n x="69" s="1"/>
        <n x="3" s="1"/>
        <n x="70" s="1"/>
        <n x="2" s="1"/>
        <n x="68"/>
        <n x="87"/>
        <n x="31"/>
      </t>
    </mdx>
    <mdx n="0" f="v">
      <t c="8">
        <n x="7" s="1"/>
        <n x="69" s="1"/>
        <n x="3" s="1"/>
        <n x="70" s="1"/>
        <n x="2" s="1"/>
        <n x="68"/>
        <n x="87"/>
        <n x="32"/>
      </t>
    </mdx>
    <mdx n="0" f="v">
      <t c="8">
        <n x="7" s="1"/>
        <n x="69" s="1"/>
        <n x="3" s="1"/>
        <n x="70" s="1"/>
        <n x="2" s="1"/>
        <n x="68"/>
        <n x="87"/>
        <n x="33"/>
      </t>
    </mdx>
    <mdx n="0" f="v">
      <t c="8">
        <n x="7" s="1"/>
        <n x="69" s="1"/>
        <n x="3" s="1"/>
        <n x="70" s="1"/>
        <n x="2" s="1"/>
        <n x="68"/>
        <n x="87"/>
        <n x="34"/>
      </t>
    </mdx>
    <mdx n="0" f="v">
      <t c="8">
        <n x="7" s="1"/>
        <n x="69" s="1"/>
        <n x="3" s="1"/>
        <n x="70" s="1"/>
        <n x="2" s="1"/>
        <n x="68"/>
        <n x="87"/>
        <n x="35"/>
      </t>
    </mdx>
    <mdx n="0" f="v">
      <t c="8">
        <n x="7" s="1"/>
        <n x="69" s="1"/>
        <n x="3" s="1"/>
        <n x="70" s="1"/>
        <n x="2" s="1"/>
        <n x="68"/>
        <n x="87"/>
        <n x="36"/>
      </t>
    </mdx>
    <mdx n="0" f="v">
      <t c="8">
        <n x="7" s="1"/>
        <n x="69" s="1"/>
        <n x="3" s="1"/>
        <n x="70" s="1"/>
        <n x="2" s="1"/>
        <n x="68"/>
        <n x="87"/>
        <n x="37"/>
      </t>
    </mdx>
    <mdx n="0" f="v">
      <t c="8">
        <n x="7" s="1"/>
        <n x="69" s="1"/>
        <n x="3" s="1"/>
        <n x="70" s="1"/>
        <n x="2" s="1"/>
        <n x="68"/>
        <n x="87"/>
        <n x="38"/>
      </t>
    </mdx>
    <mdx n="0" f="v">
      <t c="8">
        <n x="7" s="1"/>
        <n x="69" s="1"/>
        <n x="3" s="1"/>
        <n x="70" s="1"/>
        <n x="2" s="1"/>
        <n x="68"/>
        <n x="87"/>
        <n x="39"/>
      </t>
    </mdx>
    <mdx n="0" f="v">
      <t c="8">
        <n x="7" s="1"/>
        <n x="69" s="1"/>
        <n x="3" s="1"/>
        <n x="70" s="1"/>
        <n x="2" s="1"/>
        <n x="68"/>
        <n x="87"/>
        <n x="40"/>
      </t>
    </mdx>
    <mdx n="0" f="v">
      <t c="8">
        <n x="7" s="1"/>
        <n x="69" s="1"/>
        <n x="3" s="1"/>
        <n x="70" s="1"/>
        <n x="2" s="1"/>
        <n x="68"/>
        <n x="87"/>
        <n x="41"/>
      </t>
    </mdx>
    <mdx n="0" f="v">
      <t c="8">
        <n x="7" s="1"/>
        <n x="69" s="1"/>
        <n x="3" s="1"/>
        <n x="70" s="1"/>
        <n x="2" s="1"/>
        <n x="68"/>
        <n x="87"/>
        <n x="42"/>
      </t>
    </mdx>
    <mdx n="0" f="v">
      <t c="8">
        <n x="7" s="1"/>
        <n x="69" s="1"/>
        <n x="3" s="1"/>
        <n x="70" s="1"/>
        <n x="2" s="1"/>
        <n x="68"/>
        <n x="87"/>
        <n x="43"/>
      </t>
    </mdx>
    <mdx n="0" f="v">
      <t c="8">
        <n x="7" s="1"/>
        <n x="69" s="1"/>
        <n x="3" s="1"/>
        <n x="70" s="1"/>
        <n x="2" s="1"/>
        <n x="68"/>
        <n x="87"/>
        <n x="44"/>
      </t>
    </mdx>
    <mdx n="0" f="v">
      <t c="8">
        <n x="7" s="1"/>
        <n x="69" s="1"/>
        <n x="3" s="1"/>
        <n x="70" s="1"/>
        <n x="2" s="1"/>
        <n x="68"/>
        <n x="87"/>
        <n x="45"/>
      </t>
    </mdx>
    <mdx n="0" f="v">
      <t c="8">
        <n x="7" s="1"/>
        <n x="69" s="1"/>
        <n x="3" s="1"/>
        <n x="70" s="1"/>
        <n x="2" s="1"/>
        <n x="68"/>
        <n x="87"/>
        <n x="46"/>
      </t>
    </mdx>
    <mdx n="0" f="v">
      <t c="8">
        <n x="7" s="1"/>
        <n x="69" s="1"/>
        <n x="3" s="1"/>
        <n x="70" s="1"/>
        <n x="2" s="1"/>
        <n x="68"/>
        <n x="87"/>
        <n x="47"/>
      </t>
    </mdx>
    <mdx n="0" f="v">
      <t c="8">
        <n x="7" s="1"/>
        <n x="69" s="1"/>
        <n x="3" s="1"/>
        <n x="70" s="1"/>
        <n x="2" s="1"/>
        <n x="68"/>
        <n x="87"/>
        <n x="48"/>
      </t>
    </mdx>
    <mdx n="0" f="v">
      <t c="8">
        <n x="7" s="1"/>
        <n x="69" s="1"/>
        <n x="3" s="1"/>
        <n x="70" s="1"/>
        <n x="2" s="1"/>
        <n x="68"/>
        <n x="87"/>
        <n x="49"/>
      </t>
    </mdx>
    <mdx n="0" f="v">
      <t c="8">
        <n x="7" s="1"/>
        <n x="69" s="1"/>
        <n x="3" s="1"/>
        <n x="70" s="1"/>
        <n x="2" s="1"/>
        <n x="68"/>
        <n x="87"/>
        <n x="50"/>
      </t>
    </mdx>
    <mdx n="0" f="v">
      <t c="8">
        <n x="7" s="1"/>
        <n x="69" s="1"/>
        <n x="3" s="1"/>
        <n x="70" s="1"/>
        <n x="2" s="1"/>
        <n x="68"/>
        <n x="87"/>
        <n x="51"/>
      </t>
    </mdx>
    <mdx n="0" f="v">
      <t c="8">
        <n x="7" s="1"/>
        <n x="69" s="1"/>
        <n x="3" s="1"/>
        <n x="70" s="1"/>
        <n x="2" s="1"/>
        <n x="68"/>
        <n x="87"/>
        <n x="52"/>
      </t>
    </mdx>
    <mdx n="0" f="v">
      <t c="8">
        <n x="7" s="1"/>
        <n x="69" s="1"/>
        <n x="3" s="1"/>
        <n x="70" s="1"/>
        <n x="2" s="1"/>
        <n x="68"/>
        <n x="87"/>
        <n x="53"/>
      </t>
    </mdx>
    <mdx n="0" f="v">
      <t c="8">
        <n x="7" s="1"/>
        <n x="69" s="1"/>
        <n x="3" s="1"/>
        <n x="70" s="1"/>
        <n x="2" s="1"/>
        <n x="68"/>
        <n x="87"/>
        <n x="54"/>
      </t>
    </mdx>
    <mdx n="0" f="v">
      <t c="8">
        <n x="7" s="1"/>
        <n x="69" s="1"/>
        <n x="3" s="1"/>
        <n x="70" s="1"/>
        <n x="2" s="1"/>
        <n x="68"/>
        <n x="87"/>
        <n x="55"/>
      </t>
    </mdx>
    <mdx n="0" f="v">
      <t c="8">
        <n x="7" s="1"/>
        <n x="69" s="1"/>
        <n x="3" s="1"/>
        <n x="70" s="1"/>
        <n x="2" s="1"/>
        <n x="68"/>
        <n x="87"/>
        <n x="56"/>
      </t>
    </mdx>
    <mdx n="0" f="v">
      <t c="8">
        <n x="7" s="1"/>
        <n x="69" s="1"/>
        <n x="3" s="1"/>
        <n x="70" s="1"/>
        <n x="2" s="1"/>
        <n x="68"/>
        <n x="87"/>
        <n x="57"/>
      </t>
    </mdx>
    <mdx n="0" f="v">
      <t c="8">
        <n x="7" s="1"/>
        <n x="69" s="1"/>
        <n x="3" s="1"/>
        <n x="70" s="1"/>
        <n x="2" s="1"/>
        <n x="68"/>
        <n x="87"/>
        <n x="58"/>
      </t>
    </mdx>
    <mdx n="0" f="v">
      <t c="8">
        <n x="7" s="1"/>
        <n x="69" s="1"/>
        <n x="3" s="1"/>
        <n x="70" s="1"/>
        <n x="2" s="1"/>
        <n x="68"/>
        <n x="87"/>
        <n x="59"/>
      </t>
    </mdx>
    <mdx n="0" f="v">
      <t c="8">
        <n x="7" s="1"/>
        <n x="69" s="1"/>
        <n x="3" s="1"/>
        <n x="70" s="1"/>
        <n x="2" s="1"/>
        <n x="68"/>
        <n x="87"/>
        <n x="60"/>
      </t>
    </mdx>
    <mdx n="0" f="v">
      <t c="8">
        <n x="7" s="1"/>
        <n x="69" s="1"/>
        <n x="3" s="1"/>
        <n x="70" s="1"/>
        <n x="2" s="1"/>
        <n x="68"/>
        <n x="87"/>
        <n x="61"/>
      </t>
    </mdx>
    <mdx n="0" f="v">
      <t c="8">
        <n x="7" s="1"/>
        <n x="69" s="1"/>
        <n x="3" s="1"/>
        <n x="70" s="1"/>
        <n x="2" s="1"/>
        <n x="68"/>
        <n x="87"/>
        <n x="62"/>
      </t>
    </mdx>
    <mdx n="0" f="v">
      <t c="8">
        <n x="7" s="1"/>
        <n x="69" s="1"/>
        <n x="3" s="1"/>
        <n x="70" s="1"/>
        <n x="2" s="1"/>
        <n x="68"/>
        <n x="87"/>
        <n x="63"/>
      </t>
    </mdx>
    <mdx n="0" f="v">
      <t c="8">
        <n x="7" s="1"/>
        <n x="69" s="1"/>
        <n x="3" s="1"/>
        <n x="70" s="1"/>
        <n x="2" s="1"/>
        <n x="68"/>
        <n x="87"/>
        <n x="64"/>
      </t>
    </mdx>
    <mdx n="0" f="v">
      <t c="8">
        <n x="7" s="1"/>
        <n x="69" s="1"/>
        <n x="3" s="1"/>
        <n x="70" s="1"/>
        <n x="2" s="1"/>
        <n x="68"/>
        <n x="87"/>
        <n x="65"/>
      </t>
    </mdx>
    <mdx n="0" f="v">
      <t c="8">
        <n x="7" s="1"/>
        <n x="69" s="1"/>
        <n x="3" s="1"/>
        <n x="70" s="1"/>
        <n x="2" s="1"/>
        <n x="68"/>
        <n x="87"/>
        <n x="66"/>
      </t>
    </mdx>
    <mdx n="0" f="v">
      <t c="8">
        <n x="7" s="1"/>
        <n x="69" s="1"/>
        <n x="3" s="1"/>
        <n x="70" s="1"/>
        <n x="2" s="1"/>
        <n x="68"/>
        <n x="88"/>
        <n x="8"/>
      </t>
    </mdx>
    <mdx n="0" f="v">
      <t c="8">
        <n x="7" s="1"/>
        <n x="69" s="1"/>
        <n x="3" s="1"/>
        <n x="70" s="1"/>
        <n x="2" s="1"/>
        <n x="68"/>
        <n x="88"/>
        <n x="9"/>
      </t>
    </mdx>
    <mdx n="0" f="v">
      <t c="8">
        <n x="7" s="1"/>
        <n x="69" s="1"/>
        <n x="3" s="1"/>
        <n x="70" s="1"/>
        <n x="2" s="1"/>
        <n x="68"/>
        <n x="88"/>
        <n x="10"/>
      </t>
    </mdx>
    <mdx n="0" f="v">
      <t c="8">
        <n x="7" s="1"/>
        <n x="69" s="1"/>
        <n x="3" s="1"/>
        <n x="70" s="1"/>
        <n x="2" s="1"/>
        <n x="68"/>
        <n x="88"/>
        <n x="11"/>
      </t>
    </mdx>
    <mdx n="0" f="v">
      <t c="8">
        <n x="7" s="1"/>
        <n x="69" s="1"/>
        <n x="3" s="1"/>
        <n x="70" s="1"/>
        <n x="2" s="1"/>
        <n x="68"/>
        <n x="88"/>
        <n x="12"/>
      </t>
    </mdx>
    <mdx n="0" f="v">
      <t c="8">
        <n x="7" s="1"/>
        <n x="69" s="1"/>
        <n x="3" s="1"/>
        <n x="70" s="1"/>
        <n x="2" s="1"/>
        <n x="68"/>
        <n x="88"/>
        <n x="13"/>
      </t>
    </mdx>
    <mdx n="0" f="v">
      <t c="8">
        <n x="7" s="1"/>
        <n x="69" s="1"/>
        <n x="3" s="1"/>
        <n x="70" s="1"/>
        <n x="2" s="1"/>
        <n x="68"/>
        <n x="88"/>
        <n x="14"/>
      </t>
    </mdx>
    <mdx n="0" f="v">
      <t c="8">
        <n x="7" s="1"/>
        <n x="69" s="1"/>
        <n x="3" s="1"/>
        <n x="70" s="1"/>
        <n x="2" s="1"/>
        <n x="68"/>
        <n x="88"/>
        <n x="15"/>
      </t>
    </mdx>
    <mdx n="0" f="v">
      <t c="8">
        <n x="7" s="1"/>
        <n x="69" s="1"/>
        <n x="3" s="1"/>
        <n x="70" s="1"/>
        <n x="2" s="1"/>
        <n x="68"/>
        <n x="88"/>
        <n x="16"/>
      </t>
    </mdx>
    <mdx n="0" f="v">
      <t c="8">
        <n x="7" s="1"/>
        <n x="69" s="1"/>
        <n x="3" s="1"/>
        <n x="70" s="1"/>
        <n x="2" s="1"/>
        <n x="68"/>
        <n x="88"/>
        <n x="17"/>
      </t>
    </mdx>
    <mdx n="0" f="v">
      <t c="8">
        <n x="7" s="1"/>
        <n x="69" s="1"/>
        <n x="3" s="1"/>
        <n x="70" s="1"/>
        <n x="2" s="1"/>
        <n x="68"/>
        <n x="88"/>
        <n x="18"/>
      </t>
    </mdx>
    <mdx n="0" f="v">
      <t c="8">
        <n x="7" s="1"/>
        <n x="69" s="1"/>
        <n x="3" s="1"/>
        <n x="70" s="1"/>
        <n x="2" s="1"/>
        <n x="68"/>
        <n x="88"/>
        <n x="19"/>
      </t>
    </mdx>
    <mdx n="0" f="v">
      <t c="8">
        <n x="7" s="1"/>
        <n x="69" s="1"/>
        <n x="3" s="1"/>
        <n x="70" s="1"/>
        <n x="2" s="1"/>
        <n x="68"/>
        <n x="88"/>
        <n x="20"/>
      </t>
    </mdx>
    <mdx n="0" f="v">
      <t c="8">
        <n x="7" s="1"/>
        <n x="69" s="1"/>
        <n x="3" s="1"/>
        <n x="70" s="1"/>
        <n x="2" s="1"/>
        <n x="68"/>
        <n x="88"/>
        <n x="21"/>
      </t>
    </mdx>
    <mdx n="0" f="v">
      <t c="8">
        <n x="7" s="1"/>
        <n x="69" s="1"/>
        <n x="3" s="1"/>
        <n x="70" s="1"/>
        <n x="2" s="1"/>
        <n x="68"/>
        <n x="88"/>
        <n x="22"/>
      </t>
    </mdx>
    <mdx n="0" f="v">
      <t c="8">
        <n x="7" s="1"/>
        <n x="69" s="1"/>
        <n x="3" s="1"/>
        <n x="70" s="1"/>
        <n x="2" s="1"/>
        <n x="68"/>
        <n x="88"/>
        <n x="23"/>
      </t>
    </mdx>
    <mdx n="0" f="v">
      <t c="8">
        <n x="7" s="1"/>
        <n x="69" s="1"/>
        <n x="3" s="1"/>
        <n x="70" s="1"/>
        <n x="2" s="1"/>
        <n x="68"/>
        <n x="88"/>
        <n x="24"/>
      </t>
    </mdx>
    <mdx n="0" f="v">
      <t c="8">
        <n x="7" s="1"/>
        <n x="69" s="1"/>
        <n x="3" s="1"/>
        <n x="70" s="1"/>
        <n x="2" s="1"/>
        <n x="68"/>
        <n x="88"/>
        <n x="25"/>
      </t>
    </mdx>
    <mdx n="0" f="v">
      <t c="8">
        <n x="7" s="1"/>
        <n x="69" s="1"/>
        <n x="3" s="1"/>
        <n x="70" s="1"/>
        <n x="2" s="1"/>
        <n x="68"/>
        <n x="88"/>
        <n x="26"/>
      </t>
    </mdx>
    <mdx n="0" f="v">
      <t c="8">
        <n x="7" s="1"/>
        <n x="69" s="1"/>
        <n x="3" s="1"/>
        <n x="70" s="1"/>
        <n x="2" s="1"/>
        <n x="68"/>
        <n x="88"/>
        <n x="27"/>
      </t>
    </mdx>
    <mdx n="0" f="v">
      <t c="8">
        <n x="7" s="1"/>
        <n x="69" s="1"/>
        <n x="3" s="1"/>
        <n x="70" s="1"/>
        <n x="2" s="1"/>
        <n x="68"/>
        <n x="88"/>
        <n x="28"/>
      </t>
    </mdx>
    <mdx n="0" f="v">
      <t c="8">
        <n x="7" s="1"/>
        <n x="69" s="1"/>
        <n x="3" s="1"/>
        <n x="70" s="1"/>
        <n x="2" s="1"/>
        <n x="68"/>
        <n x="88"/>
        <n x="29"/>
      </t>
    </mdx>
    <mdx n="0" f="v">
      <t c="8">
        <n x="7" s="1"/>
        <n x="69" s="1"/>
        <n x="3" s="1"/>
        <n x="70" s="1"/>
        <n x="2" s="1"/>
        <n x="68"/>
        <n x="88"/>
        <n x="30"/>
      </t>
    </mdx>
    <mdx n="0" f="v">
      <t c="8">
        <n x="7" s="1"/>
        <n x="69" s="1"/>
        <n x="3" s="1"/>
        <n x="70" s="1"/>
        <n x="2" s="1"/>
        <n x="68"/>
        <n x="88"/>
        <n x="31"/>
      </t>
    </mdx>
    <mdx n="0" f="v">
      <t c="8">
        <n x="7" s="1"/>
        <n x="69" s="1"/>
        <n x="3" s="1"/>
        <n x="70" s="1"/>
        <n x="2" s="1"/>
        <n x="68"/>
        <n x="88"/>
        <n x="32"/>
      </t>
    </mdx>
    <mdx n="0" f="v">
      <t c="8">
        <n x="7" s="1"/>
        <n x="69" s="1"/>
        <n x="3" s="1"/>
        <n x="70" s="1"/>
        <n x="2" s="1"/>
        <n x="68"/>
        <n x="88"/>
        <n x="33"/>
      </t>
    </mdx>
    <mdx n="0" f="v">
      <t c="8">
        <n x="7" s="1"/>
        <n x="69" s="1"/>
        <n x="3" s="1"/>
        <n x="70" s="1"/>
        <n x="2" s="1"/>
        <n x="68"/>
        <n x="88"/>
        <n x="34"/>
      </t>
    </mdx>
    <mdx n="0" f="v">
      <t c="8">
        <n x="7" s="1"/>
        <n x="69" s="1"/>
        <n x="3" s="1"/>
        <n x="70" s="1"/>
        <n x="2" s="1"/>
        <n x="68"/>
        <n x="88"/>
        <n x="35"/>
      </t>
    </mdx>
    <mdx n="0" f="v">
      <t c="8">
        <n x="7" s="1"/>
        <n x="69" s="1"/>
        <n x="3" s="1"/>
        <n x="70" s="1"/>
        <n x="2" s="1"/>
        <n x="68"/>
        <n x="88"/>
        <n x="36"/>
      </t>
    </mdx>
    <mdx n="0" f="v">
      <t c="8">
        <n x="7" s="1"/>
        <n x="69" s="1"/>
        <n x="3" s="1"/>
        <n x="70" s="1"/>
        <n x="2" s="1"/>
        <n x="68"/>
        <n x="88"/>
        <n x="37"/>
      </t>
    </mdx>
    <mdx n="0" f="v">
      <t c="8">
        <n x="7" s="1"/>
        <n x="69" s="1"/>
        <n x="3" s="1"/>
        <n x="70" s="1"/>
        <n x="2" s="1"/>
        <n x="68"/>
        <n x="88"/>
        <n x="38"/>
      </t>
    </mdx>
    <mdx n="0" f="v">
      <t c="8">
        <n x="7" s="1"/>
        <n x="69" s="1"/>
        <n x="3" s="1"/>
        <n x="70" s="1"/>
        <n x="2" s="1"/>
        <n x="68"/>
        <n x="88"/>
        <n x="39"/>
      </t>
    </mdx>
    <mdx n="0" f="v">
      <t c="8">
        <n x="7" s="1"/>
        <n x="69" s="1"/>
        <n x="3" s="1"/>
        <n x="70" s="1"/>
        <n x="2" s="1"/>
        <n x="68"/>
        <n x="88"/>
        <n x="40"/>
      </t>
    </mdx>
    <mdx n="0" f="v">
      <t c="8">
        <n x="7" s="1"/>
        <n x="69" s="1"/>
        <n x="3" s="1"/>
        <n x="70" s="1"/>
        <n x="2" s="1"/>
        <n x="68"/>
        <n x="88"/>
        <n x="41"/>
      </t>
    </mdx>
    <mdx n="0" f="v">
      <t c="8">
        <n x="7" s="1"/>
        <n x="69" s="1"/>
        <n x="3" s="1"/>
        <n x="70" s="1"/>
        <n x="2" s="1"/>
        <n x="68"/>
        <n x="88"/>
        <n x="42"/>
      </t>
    </mdx>
    <mdx n="0" f="v">
      <t c="8">
        <n x="7" s="1"/>
        <n x="69" s="1"/>
        <n x="3" s="1"/>
        <n x="70" s="1"/>
        <n x="2" s="1"/>
        <n x="68"/>
        <n x="88"/>
        <n x="43"/>
      </t>
    </mdx>
    <mdx n="0" f="v">
      <t c="8">
        <n x="7" s="1"/>
        <n x="69" s="1"/>
        <n x="3" s="1"/>
        <n x="70" s="1"/>
        <n x="2" s="1"/>
        <n x="68"/>
        <n x="88"/>
        <n x="44"/>
      </t>
    </mdx>
    <mdx n="0" f="v">
      <t c="8">
        <n x="7" s="1"/>
        <n x="69" s="1"/>
        <n x="3" s="1"/>
        <n x="70" s="1"/>
        <n x="2" s="1"/>
        <n x="68"/>
        <n x="88"/>
        <n x="45"/>
      </t>
    </mdx>
    <mdx n="0" f="v">
      <t c="8">
        <n x="7" s="1"/>
        <n x="69" s="1"/>
        <n x="3" s="1"/>
        <n x="70" s="1"/>
        <n x="2" s="1"/>
        <n x="68"/>
        <n x="88"/>
        <n x="46"/>
      </t>
    </mdx>
    <mdx n="0" f="v">
      <t c="8">
        <n x="7" s="1"/>
        <n x="69" s="1"/>
        <n x="3" s="1"/>
        <n x="70" s="1"/>
        <n x="2" s="1"/>
        <n x="68"/>
        <n x="88"/>
        <n x="47"/>
      </t>
    </mdx>
    <mdx n="0" f="v">
      <t c="8">
        <n x="7" s="1"/>
        <n x="69" s="1"/>
        <n x="3" s="1"/>
        <n x="70" s="1"/>
        <n x="2" s="1"/>
        <n x="68"/>
        <n x="88"/>
        <n x="48"/>
      </t>
    </mdx>
    <mdx n="0" f="v">
      <t c="8">
        <n x="7" s="1"/>
        <n x="69" s="1"/>
        <n x="3" s="1"/>
        <n x="70" s="1"/>
        <n x="2" s="1"/>
        <n x="68"/>
        <n x="88"/>
        <n x="49"/>
      </t>
    </mdx>
    <mdx n="0" f="v">
      <t c="8">
        <n x="7" s="1"/>
        <n x="69" s="1"/>
        <n x="3" s="1"/>
        <n x="70" s="1"/>
        <n x="2" s="1"/>
        <n x="68"/>
        <n x="88"/>
        <n x="50"/>
      </t>
    </mdx>
    <mdx n="0" f="v">
      <t c="8">
        <n x="7" s="1"/>
        <n x="69" s="1"/>
        <n x="3" s="1"/>
        <n x="70" s="1"/>
        <n x="2" s="1"/>
        <n x="68"/>
        <n x="88"/>
        <n x="51"/>
      </t>
    </mdx>
    <mdx n="0" f="v">
      <t c="8">
        <n x="7" s="1"/>
        <n x="69" s="1"/>
        <n x="3" s="1"/>
        <n x="70" s="1"/>
        <n x="2" s="1"/>
        <n x="68"/>
        <n x="88"/>
        <n x="52"/>
      </t>
    </mdx>
    <mdx n="0" f="v">
      <t c="8">
        <n x="7" s="1"/>
        <n x="69" s="1"/>
        <n x="3" s="1"/>
        <n x="70" s="1"/>
        <n x="2" s="1"/>
        <n x="68"/>
        <n x="88"/>
        <n x="53"/>
      </t>
    </mdx>
    <mdx n="0" f="v">
      <t c="8">
        <n x="7" s="1"/>
        <n x="69" s="1"/>
        <n x="3" s="1"/>
        <n x="70" s="1"/>
        <n x="2" s="1"/>
        <n x="68"/>
        <n x="88"/>
        <n x="54"/>
      </t>
    </mdx>
    <mdx n="0" f="v">
      <t c="8">
        <n x="7" s="1"/>
        <n x="69" s="1"/>
        <n x="3" s="1"/>
        <n x="70" s="1"/>
        <n x="2" s="1"/>
        <n x="68"/>
        <n x="88"/>
        <n x="55"/>
      </t>
    </mdx>
    <mdx n="0" f="v">
      <t c="8">
        <n x="7" s="1"/>
        <n x="69" s="1"/>
        <n x="3" s="1"/>
        <n x="70" s="1"/>
        <n x="2" s="1"/>
        <n x="68"/>
        <n x="88"/>
        <n x="56"/>
      </t>
    </mdx>
    <mdx n="0" f="v">
      <t c="8">
        <n x="7" s="1"/>
        <n x="69" s="1"/>
        <n x="3" s="1"/>
        <n x="70" s="1"/>
        <n x="2" s="1"/>
        <n x="68"/>
        <n x="88"/>
        <n x="57"/>
      </t>
    </mdx>
    <mdx n="0" f="v">
      <t c="8">
        <n x="7" s="1"/>
        <n x="69" s="1"/>
        <n x="3" s="1"/>
        <n x="70" s="1"/>
        <n x="2" s="1"/>
        <n x="68"/>
        <n x="88"/>
        <n x="58"/>
      </t>
    </mdx>
    <mdx n="0" f="v">
      <t c="8">
        <n x="7" s="1"/>
        <n x="69" s="1"/>
        <n x="3" s="1"/>
        <n x="70" s="1"/>
        <n x="2" s="1"/>
        <n x="68"/>
        <n x="88"/>
        <n x="59"/>
      </t>
    </mdx>
    <mdx n="0" f="v">
      <t c="8">
        <n x="7" s="1"/>
        <n x="69" s="1"/>
        <n x="3" s="1"/>
        <n x="70" s="1"/>
        <n x="2" s="1"/>
        <n x="68"/>
        <n x="88"/>
        <n x="60"/>
      </t>
    </mdx>
    <mdx n="0" f="v">
      <t c="8">
        <n x="7" s="1"/>
        <n x="69" s="1"/>
        <n x="3" s="1"/>
        <n x="70" s="1"/>
        <n x="2" s="1"/>
        <n x="68"/>
        <n x="88"/>
        <n x="61"/>
      </t>
    </mdx>
    <mdx n="0" f="v">
      <t c="8">
        <n x="7" s="1"/>
        <n x="69" s="1"/>
        <n x="3" s="1"/>
        <n x="70" s="1"/>
        <n x="2" s="1"/>
        <n x="68"/>
        <n x="88"/>
        <n x="62"/>
      </t>
    </mdx>
    <mdx n="0" f="v">
      <t c="8">
        <n x="7" s="1"/>
        <n x="69" s="1"/>
        <n x="3" s="1"/>
        <n x="70" s="1"/>
        <n x="2" s="1"/>
        <n x="68"/>
        <n x="88"/>
        <n x="63"/>
      </t>
    </mdx>
    <mdx n="0" f="v">
      <t c="8">
        <n x="7" s="1"/>
        <n x="69" s="1"/>
        <n x="3" s="1"/>
        <n x="70" s="1"/>
        <n x="2" s="1"/>
        <n x="68"/>
        <n x="88"/>
        <n x="64"/>
      </t>
    </mdx>
    <mdx n="0" f="v">
      <t c="8">
        <n x="7" s="1"/>
        <n x="69" s="1"/>
        <n x="3" s="1"/>
        <n x="70" s="1"/>
        <n x="2" s="1"/>
        <n x="68"/>
        <n x="88"/>
        <n x="65"/>
      </t>
    </mdx>
    <mdx n="0" f="v">
      <t c="8">
        <n x="7" s="1"/>
        <n x="69" s="1"/>
        <n x="3" s="1"/>
        <n x="70" s="1"/>
        <n x="2" s="1"/>
        <n x="68"/>
        <n x="88"/>
        <n x="66"/>
      </t>
    </mdx>
    <mdx n="0" f="v">
      <t c="8">
        <n x="7" s="1"/>
        <n x="69" s="1"/>
        <n x="3" s="1"/>
        <n x="70" s="1"/>
        <n x="2" s="1"/>
        <n x="68"/>
        <n x="89"/>
        <n x="8"/>
      </t>
    </mdx>
    <mdx n="0" f="v">
      <t c="8">
        <n x="7" s="1"/>
        <n x="69" s="1"/>
        <n x="3" s="1"/>
        <n x="70" s="1"/>
        <n x="2" s="1"/>
        <n x="68"/>
        <n x="89"/>
        <n x="9"/>
      </t>
    </mdx>
    <mdx n="0" f="v">
      <t c="8">
        <n x="7" s="1"/>
        <n x="69" s="1"/>
        <n x="3" s="1"/>
        <n x="70" s="1"/>
        <n x="2" s="1"/>
        <n x="68"/>
        <n x="89"/>
        <n x="10"/>
      </t>
    </mdx>
    <mdx n="0" f="v">
      <t c="8">
        <n x="7" s="1"/>
        <n x="69" s="1"/>
        <n x="3" s="1"/>
        <n x="70" s="1"/>
        <n x="2" s="1"/>
        <n x="68"/>
        <n x="89"/>
        <n x="11"/>
      </t>
    </mdx>
    <mdx n="0" f="v">
      <t c="8">
        <n x="7" s="1"/>
        <n x="69" s="1"/>
        <n x="3" s="1"/>
        <n x="70" s="1"/>
        <n x="2" s="1"/>
        <n x="68"/>
        <n x="89"/>
        <n x="12"/>
      </t>
    </mdx>
    <mdx n="0" f="v">
      <t c="8">
        <n x="7" s="1"/>
        <n x="69" s="1"/>
        <n x="3" s="1"/>
        <n x="70" s="1"/>
        <n x="2" s="1"/>
        <n x="68"/>
        <n x="89"/>
        <n x="13"/>
      </t>
    </mdx>
    <mdx n="0" f="v">
      <t c="8">
        <n x="7" s="1"/>
        <n x="69" s="1"/>
        <n x="3" s="1"/>
        <n x="70" s="1"/>
        <n x="2" s="1"/>
        <n x="68"/>
        <n x="89"/>
        <n x="14"/>
      </t>
    </mdx>
    <mdx n="0" f="v">
      <t c="8">
        <n x="7" s="1"/>
        <n x="69" s="1"/>
        <n x="3" s="1"/>
        <n x="70" s="1"/>
        <n x="2" s="1"/>
        <n x="68"/>
        <n x="89"/>
        <n x="15"/>
      </t>
    </mdx>
    <mdx n="0" f="v">
      <t c="8">
        <n x="7" s="1"/>
        <n x="69" s="1"/>
        <n x="3" s="1"/>
        <n x="70" s="1"/>
        <n x="2" s="1"/>
        <n x="68"/>
        <n x="89"/>
        <n x="16"/>
      </t>
    </mdx>
    <mdx n="0" f="v">
      <t c="8">
        <n x="7" s="1"/>
        <n x="69" s="1"/>
        <n x="3" s="1"/>
        <n x="70" s="1"/>
        <n x="2" s="1"/>
        <n x="68"/>
        <n x="89"/>
        <n x="17"/>
      </t>
    </mdx>
    <mdx n="0" f="v">
      <t c="8">
        <n x="7" s="1"/>
        <n x="69" s="1"/>
        <n x="3" s="1"/>
        <n x="70" s="1"/>
        <n x="2" s="1"/>
        <n x="68"/>
        <n x="89"/>
        <n x="18"/>
      </t>
    </mdx>
    <mdx n="0" f="v">
      <t c="8">
        <n x="7" s="1"/>
        <n x="69" s="1"/>
        <n x="3" s="1"/>
        <n x="70" s="1"/>
        <n x="2" s="1"/>
        <n x="68"/>
        <n x="89"/>
        <n x="19"/>
      </t>
    </mdx>
    <mdx n="0" f="v">
      <t c="8">
        <n x="7" s="1"/>
        <n x="69" s="1"/>
        <n x="3" s="1"/>
        <n x="70" s="1"/>
        <n x="2" s="1"/>
        <n x="68"/>
        <n x="89"/>
        <n x="20"/>
      </t>
    </mdx>
    <mdx n="0" f="v">
      <t c="8">
        <n x="7" s="1"/>
        <n x="69" s="1"/>
        <n x="3" s="1"/>
        <n x="70" s="1"/>
        <n x="2" s="1"/>
        <n x="68"/>
        <n x="89"/>
        <n x="21"/>
      </t>
    </mdx>
    <mdx n="0" f="v">
      <t c="8">
        <n x="7" s="1"/>
        <n x="69" s="1"/>
        <n x="3" s="1"/>
        <n x="70" s="1"/>
        <n x="2" s="1"/>
        <n x="68"/>
        <n x="89"/>
        <n x="22"/>
      </t>
    </mdx>
    <mdx n="0" f="v">
      <t c="8">
        <n x="7" s="1"/>
        <n x="69" s="1"/>
        <n x="3" s="1"/>
        <n x="70" s="1"/>
        <n x="2" s="1"/>
        <n x="68"/>
        <n x="89"/>
        <n x="23"/>
      </t>
    </mdx>
    <mdx n="0" f="v">
      <t c="8">
        <n x="7" s="1"/>
        <n x="69" s="1"/>
        <n x="3" s="1"/>
        <n x="70" s="1"/>
        <n x="2" s="1"/>
        <n x="68"/>
        <n x="89"/>
        <n x="24"/>
      </t>
    </mdx>
    <mdx n="0" f="v">
      <t c="8">
        <n x="7" s="1"/>
        <n x="69" s="1"/>
        <n x="3" s="1"/>
        <n x="70" s="1"/>
        <n x="2" s="1"/>
        <n x="68"/>
        <n x="89"/>
        <n x="25"/>
      </t>
    </mdx>
    <mdx n="0" f="v">
      <t c="8">
        <n x="7" s="1"/>
        <n x="69" s="1"/>
        <n x="3" s="1"/>
        <n x="70" s="1"/>
        <n x="2" s="1"/>
        <n x="68"/>
        <n x="89"/>
        <n x="26"/>
      </t>
    </mdx>
    <mdx n="0" f="v">
      <t c="8">
        <n x="7" s="1"/>
        <n x="69" s="1"/>
        <n x="3" s="1"/>
        <n x="70" s="1"/>
        <n x="2" s="1"/>
        <n x="68"/>
        <n x="89"/>
        <n x="27"/>
      </t>
    </mdx>
    <mdx n="0" f="v">
      <t c="8">
        <n x="7" s="1"/>
        <n x="69" s="1"/>
        <n x="3" s="1"/>
        <n x="70" s="1"/>
        <n x="2" s="1"/>
        <n x="68"/>
        <n x="89"/>
        <n x="28"/>
      </t>
    </mdx>
    <mdx n="0" f="v">
      <t c="8">
        <n x="7" s="1"/>
        <n x="69" s="1"/>
        <n x="3" s="1"/>
        <n x="70" s="1"/>
        <n x="2" s="1"/>
        <n x="68"/>
        <n x="89"/>
        <n x="29"/>
      </t>
    </mdx>
    <mdx n="0" f="v">
      <t c="8">
        <n x="7" s="1"/>
        <n x="69" s="1"/>
        <n x="3" s="1"/>
        <n x="70" s="1"/>
        <n x="2" s="1"/>
        <n x="68"/>
        <n x="89"/>
        <n x="30"/>
      </t>
    </mdx>
    <mdx n="0" f="v">
      <t c="8">
        <n x="7" s="1"/>
        <n x="69" s="1"/>
        <n x="3" s="1"/>
        <n x="70" s="1"/>
        <n x="2" s="1"/>
        <n x="68"/>
        <n x="89"/>
        <n x="31"/>
      </t>
    </mdx>
    <mdx n="0" f="v">
      <t c="8">
        <n x="7" s="1"/>
        <n x="69" s="1"/>
        <n x="3" s="1"/>
        <n x="70" s="1"/>
        <n x="2" s="1"/>
        <n x="68"/>
        <n x="89"/>
        <n x="32"/>
      </t>
    </mdx>
    <mdx n="0" f="v">
      <t c="8">
        <n x="7" s="1"/>
        <n x="69" s="1"/>
        <n x="3" s="1"/>
        <n x="70" s="1"/>
        <n x="2" s="1"/>
        <n x="68"/>
        <n x="89"/>
        <n x="33"/>
      </t>
    </mdx>
    <mdx n="0" f="v">
      <t c="8">
        <n x="7" s="1"/>
        <n x="69" s="1"/>
        <n x="3" s="1"/>
        <n x="70" s="1"/>
        <n x="2" s="1"/>
        <n x="68"/>
        <n x="89"/>
        <n x="34"/>
      </t>
    </mdx>
    <mdx n="0" f="v">
      <t c="8">
        <n x="7" s="1"/>
        <n x="69" s="1"/>
        <n x="3" s="1"/>
        <n x="70" s="1"/>
        <n x="2" s="1"/>
        <n x="68"/>
        <n x="89"/>
        <n x="35"/>
      </t>
    </mdx>
    <mdx n="0" f="v">
      <t c="8">
        <n x="7" s="1"/>
        <n x="69" s="1"/>
        <n x="3" s="1"/>
        <n x="70" s="1"/>
        <n x="2" s="1"/>
        <n x="68"/>
        <n x="89"/>
        <n x="36"/>
      </t>
    </mdx>
    <mdx n="0" f="v">
      <t c="8">
        <n x="7" s="1"/>
        <n x="69" s="1"/>
        <n x="3" s="1"/>
        <n x="70" s="1"/>
        <n x="2" s="1"/>
        <n x="68"/>
        <n x="89"/>
        <n x="37"/>
      </t>
    </mdx>
    <mdx n="0" f="v">
      <t c="8">
        <n x="7" s="1"/>
        <n x="69" s="1"/>
        <n x="3" s="1"/>
        <n x="70" s="1"/>
        <n x="2" s="1"/>
        <n x="68"/>
        <n x="89"/>
        <n x="38"/>
      </t>
    </mdx>
    <mdx n="0" f="v">
      <t c="8">
        <n x="7" s="1"/>
        <n x="69" s="1"/>
        <n x="3" s="1"/>
        <n x="70" s="1"/>
        <n x="2" s="1"/>
        <n x="68"/>
        <n x="89"/>
        <n x="39"/>
      </t>
    </mdx>
    <mdx n="0" f="v">
      <t c="8">
        <n x="7" s="1"/>
        <n x="69" s="1"/>
        <n x="3" s="1"/>
        <n x="70" s="1"/>
        <n x="2" s="1"/>
        <n x="68"/>
        <n x="89"/>
        <n x="40"/>
      </t>
    </mdx>
    <mdx n="0" f="v">
      <t c="8">
        <n x="7" s="1"/>
        <n x="69" s="1"/>
        <n x="3" s="1"/>
        <n x="70" s="1"/>
        <n x="2" s="1"/>
        <n x="68"/>
        <n x="89"/>
        <n x="41"/>
      </t>
    </mdx>
    <mdx n="0" f="v">
      <t c="8">
        <n x="7" s="1"/>
        <n x="69" s="1"/>
        <n x="3" s="1"/>
        <n x="70" s="1"/>
        <n x="2" s="1"/>
        <n x="68"/>
        <n x="89"/>
        <n x="42"/>
      </t>
    </mdx>
    <mdx n="0" f="v">
      <t c="8">
        <n x="7" s="1"/>
        <n x="69" s="1"/>
        <n x="3" s="1"/>
        <n x="70" s="1"/>
        <n x="2" s="1"/>
        <n x="68"/>
        <n x="89"/>
        <n x="43"/>
      </t>
    </mdx>
    <mdx n="0" f="v">
      <t c="8">
        <n x="7" s="1"/>
        <n x="69" s="1"/>
        <n x="3" s="1"/>
        <n x="70" s="1"/>
        <n x="2" s="1"/>
        <n x="68"/>
        <n x="89"/>
        <n x="44"/>
      </t>
    </mdx>
    <mdx n="0" f="v">
      <t c="8">
        <n x="7" s="1"/>
        <n x="69" s="1"/>
        <n x="3" s="1"/>
        <n x="70" s="1"/>
        <n x="2" s="1"/>
        <n x="68"/>
        <n x="89"/>
        <n x="45"/>
      </t>
    </mdx>
    <mdx n="0" f="v">
      <t c="8">
        <n x="7" s="1"/>
        <n x="69" s="1"/>
        <n x="3" s="1"/>
        <n x="70" s="1"/>
        <n x="2" s="1"/>
        <n x="68"/>
        <n x="89"/>
        <n x="46"/>
      </t>
    </mdx>
    <mdx n="0" f="v">
      <t c="8">
        <n x="7" s="1"/>
        <n x="69" s="1"/>
        <n x="3" s="1"/>
        <n x="70" s="1"/>
        <n x="2" s="1"/>
        <n x="68"/>
        <n x="89"/>
        <n x="47"/>
      </t>
    </mdx>
    <mdx n="0" f="v">
      <t c="8">
        <n x="7" s="1"/>
        <n x="69" s="1"/>
        <n x="3" s="1"/>
        <n x="70" s="1"/>
        <n x="2" s="1"/>
        <n x="68"/>
        <n x="89"/>
        <n x="48"/>
      </t>
    </mdx>
    <mdx n="0" f="v">
      <t c="8">
        <n x="7" s="1"/>
        <n x="69" s="1"/>
        <n x="3" s="1"/>
        <n x="70" s="1"/>
        <n x="2" s="1"/>
        <n x="68"/>
        <n x="89"/>
        <n x="49"/>
      </t>
    </mdx>
    <mdx n="0" f="v">
      <t c="8">
        <n x="7" s="1"/>
        <n x="69" s="1"/>
        <n x="3" s="1"/>
        <n x="70" s="1"/>
        <n x="2" s="1"/>
        <n x="68"/>
        <n x="89"/>
        <n x="50"/>
      </t>
    </mdx>
    <mdx n="0" f="v">
      <t c="8">
        <n x="7" s="1"/>
        <n x="69" s="1"/>
        <n x="3" s="1"/>
        <n x="70" s="1"/>
        <n x="2" s="1"/>
        <n x="68"/>
        <n x="89"/>
        <n x="51"/>
      </t>
    </mdx>
    <mdx n="0" f="v">
      <t c="8">
        <n x="7" s="1"/>
        <n x="69" s="1"/>
        <n x="3" s="1"/>
        <n x="70" s="1"/>
        <n x="2" s="1"/>
        <n x="68"/>
        <n x="89"/>
        <n x="52"/>
      </t>
    </mdx>
    <mdx n="0" f="v">
      <t c="8">
        <n x="7" s="1"/>
        <n x="69" s="1"/>
        <n x="3" s="1"/>
        <n x="70" s="1"/>
        <n x="2" s="1"/>
        <n x="68"/>
        <n x="89"/>
        <n x="53"/>
      </t>
    </mdx>
    <mdx n="0" f="v">
      <t c="8">
        <n x="7" s="1"/>
        <n x="69" s="1"/>
        <n x="3" s="1"/>
        <n x="70" s="1"/>
        <n x="2" s="1"/>
        <n x="68"/>
        <n x="89"/>
        <n x="54"/>
      </t>
    </mdx>
    <mdx n="0" f="v">
      <t c="8">
        <n x="7" s="1"/>
        <n x="69" s="1"/>
        <n x="3" s="1"/>
        <n x="70" s="1"/>
        <n x="2" s="1"/>
        <n x="68"/>
        <n x="89"/>
        <n x="55"/>
      </t>
    </mdx>
    <mdx n="0" f="v">
      <t c="8">
        <n x="7" s="1"/>
        <n x="69" s="1"/>
        <n x="3" s="1"/>
        <n x="70" s="1"/>
        <n x="2" s="1"/>
        <n x="68"/>
        <n x="89"/>
        <n x="56"/>
      </t>
    </mdx>
    <mdx n="0" f="v">
      <t c="8">
        <n x="7" s="1"/>
        <n x="69" s="1"/>
        <n x="3" s="1"/>
        <n x="70" s="1"/>
        <n x="2" s="1"/>
        <n x="68"/>
        <n x="89"/>
        <n x="57"/>
      </t>
    </mdx>
    <mdx n="0" f="v">
      <t c="8">
        <n x="7" s="1"/>
        <n x="69" s="1"/>
        <n x="3" s="1"/>
        <n x="70" s="1"/>
        <n x="2" s="1"/>
        <n x="68"/>
        <n x="89"/>
        <n x="58"/>
      </t>
    </mdx>
    <mdx n="0" f="v">
      <t c="8">
        <n x="7" s="1"/>
        <n x="69" s="1"/>
        <n x="3" s="1"/>
        <n x="70" s="1"/>
        <n x="2" s="1"/>
        <n x="68"/>
        <n x="89"/>
        <n x="59"/>
      </t>
    </mdx>
    <mdx n="0" f="v">
      <t c="8">
        <n x="7" s="1"/>
        <n x="69" s="1"/>
        <n x="3" s="1"/>
        <n x="70" s="1"/>
        <n x="2" s="1"/>
        <n x="68"/>
        <n x="89"/>
        <n x="60"/>
      </t>
    </mdx>
    <mdx n="0" f="v">
      <t c="8">
        <n x="7" s="1"/>
        <n x="69" s="1"/>
        <n x="3" s="1"/>
        <n x="70" s="1"/>
        <n x="2" s="1"/>
        <n x="68"/>
        <n x="89"/>
        <n x="61"/>
      </t>
    </mdx>
    <mdx n="0" f="v">
      <t c="8">
        <n x="7" s="1"/>
        <n x="69" s="1"/>
        <n x="3" s="1"/>
        <n x="70" s="1"/>
        <n x="2" s="1"/>
        <n x="68"/>
        <n x="89"/>
        <n x="62"/>
      </t>
    </mdx>
    <mdx n="0" f="v">
      <t c="8">
        <n x="7" s="1"/>
        <n x="69" s="1"/>
        <n x="3" s="1"/>
        <n x="70" s="1"/>
        <n x="2" s="1"/>
        <n x="68"/>
        <n x="89"/>
        <n x="63"/>
      </t>
    </mdx>
    <mdx n="0" f="v">
      <t c="8">
        <n x="7" s="1"/>
        <n x="69" s="1"/>
        <n x="3" s="1"/>
        <n x="70" s="1"/>
        <n x="2" s="1"/>
        <n x="68"/>
        <n x="89"/>
        <n x="64"/>
      </t>
    </mdx>
    <mdx n="0" f="v">
      <t c="8">
        <n x="7" s="1"/>
        <n x="69" s="1"/>
        <n x="3" s="1"/>
        <n x="70" s="1"/>
        <n x="2" s="1"/>
        <n x="68"/>
        <n x="89"/>
        <n x="65"/>
      </t>
    </mdx>
    <mdx n="0" f="v">
      <t c="8">
        <n x="7" s="1"/>
        <n x="69" s="1"/>
        <n x="3" s="1"/>
        <n x="70" s="1"/>
        <n x="2" s="1"/>
        <n x="68"/>
        <n x="89"/>
        <n x="66"/>
      </t>
    </mdx>
    <mdx n="0" f="s">
      <ms ns="90" c="0"/>
    </mdx>
    <mdx n="0" f="s">
      <ms ns="91" c="0"/>
    </mdx>
  </mdxMetadata>
  <futureMetadata name="XLDAPR" count="1">
    <bk>
      <extLst>
        <ext uri="{bdbb8cdc-fa1e-496e-a857-3c3f30c029c3}">
          <xda:dynamicArrayProperties fDynamic="1" fCollapsed="0"/>
        </ext>
      </extLst>
    </bk>
  </futureMetadata>
  <cellMetadata count="1">
    <bk>
      <rc t="2" v="0"/>
    </bk>
  </cellMetadata>
  <valueMetadata count="2269">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valueMetadata>
</metadata>
</file>

<file path=xl/sharedStrings.xml><?xml version="1.0" encoding="utf-8"?>
<sst xmlns="http://schemas.openxmlformats.org/spreadsheetml/2006/main" count="432" uniqueCount="235">
  <si>
    <t>Geopolitical Economy Research Group Data Project pluralist dataset</t>
  </si>
  <si>
    <t>http:/www.geopoliticaleconomy.org</t>
  </si>
  <si>
    <t>https://github.com/axfreeman/Economic-History</t>
  </si>
  <si>
    <t xml:space="preserve"> Use subject to Creative Commons Attribution-NonCommercial-ShareAlike 4.0 International (CC-BY-NC-SA 4.0) </t>
  </si>
  <si>
    <t xml:space="preserve"> For full license see: https://creativecommons.org/licenses/by-nc-sa/4.0/legalcode </t>
  </si>
  <si>
    <t xml:space="preserve"> Below is a human-readable summary from: https://creativecommons.org/licenses/by-nc-sa/4.0/ </t>
  </si>
  <si>
    <t xml:space="preserve"> Attribution-NonCommercial-ShareAlike 4.0 International (CC-BY-NC-SA 4.0) </t>
  </si>
  <si>
    <t xml:space="preserve"> This is a human-readable summary of (and not a substitute for) the license</t>
  </si>
  <si>
    <t>This license does not override or replace any of the rights of the original providers of the data hosted on this site</t>
  </si>
  <si>
    <t xml:space="preserve"> </t>
  </si>
  <si>
    <t xml:space="preserve">You are free to: </t>
  </si>
  <si>
    <t xml:space="preserve"> Share -- copy and redistribute the material in any medium or format </t>
  </si>
  <si>
    <t xml:space="preserve"> Adapt -- remix, transform, and build upon the material </t>
  </si>
  <si>
    <t xml:space="preserve"> The licensor cannot revoke these freedoms as long as you follow the license terms</t>
  </si>
  <si>
    <t>Under the following terms</t>
  </si>
  <si>
    <t xml:space="preserve"> Attribution --  You must give appropriate credit, provide a link to the   license, and indicate if changes were made. You may do so   in any reasonable manner, but not in any way that   suggests the licensor endorses you or your use. </t>
  </si>
  <si>
    <t xml:space="preserve"> NonCommercial --  You may not use the material for commercial purposes. </t>
  </si>
  <si>
    <t xml:space="preserve"> ShareAlike --  If you remix, transform, or build upon the  material, you must distribute your contributions under the same license as the original.</t>
  </si>
  <si>
    <t xml:space="preserve"> No additional restrictions --  You may not apply legal terms or technological measures that  legally restrict others from doing anything the license permits. </t>
  </si>
  <si>
    <t>Notices</t>
  </si>
  <si>
    <t xml:space="preserve"> You do not have to comply with the license for elements of the   material in the public domain or where your use is permitted by an   applicable exception or limitation. No warranties are given. The   license may not give you all of the permissions necessary for   your intended use. For example, other rights such as publicity,   privacy, or moral rights may limit how you use the material. </t>
  </si>
  <si>
    <t>To comply with the attribution requirement in the license, whenever it is used the dataset must be cited as follows: Freeman, A. 2019. Dataset to accompany 'Geopolitical Economy of Inequality'. Winnnipeg, MP: Geopolitical Economy Research Group. (https://github.com/axfreeman/Economic-History)</t>
  </si>
  <si>
    <t>Individual working papers drawing on this data, and individual datasets derived from a selection of data in the full set, should additionally be cited as specified in the relevant document or accompanying documentation</t>
  </si>
  <si>
    <t>Test Workbook for add-ins</t>
  </si>
  <si>
    <t>Purpose of this test is to provide external functions to calculate Theil and other useful coefficients</t>
  </si>
  <si>
    <t>Demographics</t>
  </si>
  <si>
    <t>All</t>
  </si>
  <si>
    <t>China Mainland</t>
  </si>
  <si>
    <t>North</t>
  </si>
  <si>
    <t>South</t>
  </si>
  <si>
    <t>Units</t>
  </si>
  <si>
    <t>Industrial Sector (Agriculture/Manufacturing/etc)</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</si>
  <si>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</si>
  <si>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</si>
  <si>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</si>
  <si>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</si>
  <si>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</si>
  <si>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</si>
  <si>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</si>
  <si>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</si>
  <si>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</si>
  <si>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</si>
  <si>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</si>
  <si>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</si>
  <si>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</si>
  <si>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</si>
  <si>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</si>
  <si>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</si>
  <si>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</si>
  <si>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</si>
  <si>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</si>
  <si>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</si>
  <si>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</si>
  <si>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</si>
  <si>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</si>
  <si>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</si>
  <si>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</si>
  <si>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</si>
  <si>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</si>
  <si>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</si>
  <si>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</si>
  <si>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</si>
  <si>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</si>
  <si>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</si>
  <si>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</si>
  <si>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</si>
  <si>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</si>
  <si>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</si>
  <si>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</si>
  <si>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</si>
  <si>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</si>
  <si>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</si>
  <si>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</si>
  <si>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</si>
  <si>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</si>
  <si>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</si>
  <si>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</si>
  <si>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</si>
  <si>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</si>
  <si>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</si>
  <si>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</si>
  <si>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</si>
  <si>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Item</t>
  </si>
  <si>
    <t>Expenditure Approach</t>
  </si>
  <si>
    <t>Total</t>
  </si>
  <si>
    <t>WDI2020</t>
  </si>
  <si>
    <t>Original Source Data</t>
  </si>
  <si>
    <t>Australia</t>
  </si>
  <si>
    <t>Austria</t>
  </si>
  <si>
    <t>Belgium</t>
  </si>
  <si>
    <t>Finland</t>
  </si>
  <si>
    <t>France</t>
  </si>
  <si>
    <t>Greece</t>
  </si>
  <si>
    <t>Israel</t>
  </si>
  <si>
    <t>Italy</t>
  </si>
  <si>
    <t>Japan</t>
  </si>
  <si>
    <t>Luxemburg</t>
  </si>
  <si>
    <t>Netherlands</t>
  </si>
  <si>
    <t>Norway</t>
  </si>
  <si>
    <t>Portugal</t>
  </si>
  <si>
    <t>Singapore</t>
  </si>
  <si>
    <t>South Korea</t>
  </si>
  <si>
    <t>Spain</t>
  </si>
  <si>
    <t>Sweden</t>
  </si>
  <si>
    <t>United Kingdom</t>
  </si>
  <si>
    <t>United States</t>
  </si>
  <si>
    <t>Bahamas</t>
  </si>
  <si>
    <t>Bangladesh</t>
  </si>
  <si>
    <t>Belize</t>
  </si>
  <si>
    <t>Benin</t>
  </si>
  <si>
    <t>Bolivia</t>
  </si>
  <si>
    <t>Botswana</t>
  </si>
  <si>
    <t>Brazil</t>
  </si>
  <si>
    <t>Burkina Faso</t>
  </si>
  <si>
    <t>Burundi</t>
  </si>
  <si>
    <t>Cameroon</t>
  </si>
  <si>
    <t>Central African Republic</t>
  </si>
  <si>
    <t>Chad</t>
  </si>
  <si>
    <t>Chile</t>
  </si>
  <si>
    <t>Colombia</t>
  </si>
  <si>
    <t>Congo DR</t>
  </si>
  <si>
    <t>Congo R</t>
  </si>
  <si>
    <t>Costa Rica</t>
  </si>
  <si>
    <t>Cote d'Ivoire</t>
  </si>
  <si>
    <t>Dominican Republic</t>
  </si>
  <si>
    <t>Ecuador</t>
  </si>
  <si>
    <t>Fiji</t>
  </si>
  <si>
    <t>Gabon</t>
  </si>
  <si>
    <t>Ghana</t>
  </si>
  <si>
    <t>Guatemala</t>
  </si>
  <si>
    <t>Guyana</t>
  </si>
  <si>
    <t>Haiti</t>
  </si>
  <si>
    <t>Honduras</t>
  </si>
  <si>
    <t>India</t>
  </si>
  <si>
    <t>Kenya</t>
  </si>
  <si>
    <t>Lesotho</t>
  </si>
  <si>
    <t>Madagascar</t>
  </si>
  <si>
    <t>Malawi</t>
  </si>
  <si>
    <t>Malaysia</t>
  </si>
  <si>
    <t>Mauritania</t>
  </si>
  <si>
    <t>Mexico</t>
  </si>
  <si>
    <t>Nepal</t>
  </si>
  <si>
    <t>Nicaragua</t>
  </si>
  <si>
    <t>Niger</t>
  </si>
  <si>
    <t>Nigeria</t>
  </si>
  <si>
    <t>Pakistan</t>
  </si>
  <si>
    <t>Panama</t>
  </si>
  <si>
    <t>Papua New Guinea</t>
  </si>
  <si>
    <t>Peru</t>
  </si>
  <si>
    <t>Philippines</t>
  </si>
  <si>
    <t>Puerto Rico</t>
  </si>
  <si>
    <t>Rwanda</t>
  </si>
  <si>
    <t>Senegal</t>
  </si>
  <si>
    <t>Seychelles</t>
  </si>
  <si>
    <t>Sierra Leone</t>
  </si>
  <si>
    <t>South Africa</t>
  </si>
  <si>
    <t>Sri Lanka</t>
  </si>
  <si>
    <t>Sudan (Former)</t>
  </si>
  <si>
    <t>Suriname</t>
  </si>
  <si>
    <t>Thailand</t>
  </si>
  <si>
    <t>Togo</t>
  </si>
  <si>
    <t>Trinidad and Tobago</t>
  </si>
  <si>
    <t>Turkey</t>
  </si>
  <si>
    <t>Uruguay</t>
  </si>
  <si>
    <t>Zambia</t>
  </si>
  <si>
    <t>Zimbabwe</t>
  </si>
  <si>
    <t>GDP and other output measures</t>
  </si>
  <si>
    <t>USD</t>
  </si>
  <si>
    <t>Whole economy</t>
  </si>
  <si>
    <t>WDI Availability</t>
  </si>
  <si>
    <t>(Multiple Items)</t>
  </si>
  <si>
    <t>Year</t>
  </si>
  <si>
    <t>Major_Blocs</t>
  </si>
  <si>
    <t>Country</t>
  </si>
  <si>
    <t>North Total</t>
  </si>
  <si>
    <t>South Total</t>
  </si>
  <si>
    <t>Interbloc</t>
  </si>
  <si>
    <t>Global</t>
  </si>
  <si>
    <t>This sheet decomposes the global Theil T into components due to blocs and components due to interbloc differences</t>
  </si>
  <si>
    <t>World Population</t>
  </si>
  <si>
    <t>South intrabloc Theil</t>
  </si>
  <si>
    <t>Count</t>
  </si>
  <si>
    <t>China</t>
  </si>
  <si>
    <t>Relative Count</t>
  </si>
  <si>
    <t>GDP/Cap</t>
  </si>
  <si>
    <t>Relative GDP/Cap weights</t>
  </si>
  <si>
    <t>Theil Weights</t>
  </si>
  <si>
    <t>Theil Contributions</t>
  </si>
  <si>
    <t>(Total)</t>
  </si>
  <si>
    <t>The total and the check should be close to each other</t>
  </si>
  <si>
    <t>(Check)</t>
  </si>
  <si>
    <t>Discrepancy</t>
  </si>
  <si>
    <t>Global T comparison</t>
  </si>
  <si>
    <t>Sum of components</t>
  </si>
  <si>
    <t>Direct Calculation</t>
  </si>
  <si>
    <t>The validation is done elsewhere; here, all we want to do is test that the formula works</t>
  </si>
  <si>
    <t xml:space="preserve">North </t>
  </si>
  <si>
    <t>GDP</t>
  </si>
  <si>
    <t>Population</t>
  </si>
  <si>
    <t>World</t>
  </si>
  <si>
    <t>Theil Elements</t>
  </si>
  <si>
    <t>North intrabloc Theil</t>
  </si>
  <si>
    <t>(China)</t>
  </si>
  <si>
    <t>Andorra</t>
  </si>
  <si>
    <t>Canada</t>
  </si>
  <si>
    <t>Denmark</t>
  </si>
  <si>
    <t>Germany</t>
  </si>
  <si>
    <t>Iceland</t>
  </si>
  <si>
    <t>Ireland</t>
  </si>
  <si>
    <t>Malta</t>
  </si>
  <si>
    <t>New Zealand</t>
  </si>
  <si>
    <t>Switzerland</t>
  </si>
  <si>
    <t>Algeria</t>
  </si>
  <si>
    <t>Argentina</t>
  </si>
  <si>
    <t>El Salvador</t>
  </si>
  <si>
    <t>Gambia</t>
  </si>
  <si>
    <t>Guinea-Bissau</t>
  </si>
  <si>
    <t>Iraq</t>
  </si>
  <si>
    <t>Jamaica</t>
  </si>
  <si>
    <t>Kiribati</t>
  </si>
  <si>
    <t>Mali</t>
  </si>
  <si>
    <t>Morocco</t>
  </si>
  <si>
    <t>Oman</t>
  </si>
  <si>
    <t>Paraguay</t>
  </si>
  <si>
    <t>Saudi Arabia</t>
  </si>
  <si>
    <t>Swaziland</t>
  </si>
  <si>
    <t>Tunisia</t>
  </si>
  <si>
    <t>UN2018</t>
  </si>
  <si>
    <t>Pop South</t>
  </si>
  <si>
    <t>Pop North</t>
  </si>
  <si>
    <t>Pop China</t>
  </si>
  <si>
    <t>GDP South</t>
  </si>
  <si>
    <t>GDP North</t>
  </si>
  <si>
    <t>GDP China</t>
  </si>
  <si>
    <t>Global Theil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</si>
</sst>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 #,##0.00_-;_-* &quot;-&quot;??_-;_-@_-"/>
    <numFmt numFmtId="164" formatCode="_-* #,##0_-;\-* #,##0_-;_-* &quot;-&quot;??_-;_-@_-"/>
    <numFmt numFmtId="166" formatCode="_-* #,##0.0000_-;\-* #,##0.0000_-;_-* &quot;-&quot;??_-;_-@_-"/>
  </numFmts>
  <fonts count="4" x14ac:knownFonts="1">
    <font>
      <sz val="11"/>
      <color theme="1"/>
      <name val="Calibri"/>
      <family val="2"/>
      <scheme val="minor"/>
    </font>
    <font>
      <b/>
      <sz val="11"/>
      <color theme="1"/>
      <name val="Calibri"/>
      <family val="2"/>
      <scheme val="minor"/>
    </font>
    <font>
      <b/>
      <sz val="14"/>
      <color theme="1"/>
      <name val="Calibri"/>
      <family val="2"/>
      <scheme val="minor"/>
    </font>
    <font>
      <sz val="11"/>
      <color theme="1"/>
      <name val="Calibri"/>
      <family val="2"/>
      <scheme val="minor"/>
    </font>
  </fonts>
  <fills count="5">
    <fill>
      <patternFill patternType="none"/>
    </fill>
    <fill>
      <patternFill patternType="gray125"/>
    </fill>
    <fill>
      <patternFill patternType="solid">
        <fgColor theme="4"/>
        <bgColor indexed="64"/>
      </patternFill>
    </fill>
    <fill>
      <patternFill patternType="solid">
        <fgColor theme="9" tint="0.39997558519241921"/>
        <bgColor indexed="64"/>
      </patternFill>
    </fill>
    <fill>
      <patternFill patternType="solid">
        <fgColor theme="4" tint="0.59999389629810485"/>
        <bgColor indexed="64"/>
      </patternFill>
    </fill>
  </fills>
  <borders count="1">
    <border>
      <left/>
      <right/>
      <top/>
      <bottom/>
      <diagonal/>
    </border>
  </borders>
  <cellStyleXfs count="2">
    <xf numFmtId="0" fontId="0" fillId="0" borderId="0"/>
    <xf numFmtId="43" fontId="3" fillId="0" borderId="0" applyFont="0" applyFill="0" applyBorder="0" applyAlignment="0" applyProtection="0"/>
  </cellStyleXfs>
  <cellXfs count="16">
    <xf numFmtId="0" fontId="0" fillId="0" borderId="0" xfId="0"/>
    <xf numFmtId="0" fontId="2" fillId="2" borderId="0" xfId="0" applyFont="1" applyFill="1" applyAlignment="1">
      <alignment horizontal="center"/>
    </xf>
    <xf numFmtId="0" fontId="2" fillId="3" borderId="0" xfId="0" applyFont="1" applyFill="1" applyAlignment="1">
      <alignment horizontal="center"/>
    </xf>
    <xf numFmtId="0" fontId="2" fillId="3" borderId="0" xfId="0" applyFont="1" applyFill="1" applyAlignment="1">
      <alignment horizontal="center" wrapText="1"/>
    </xf>
    <xf numFmtId="0" fontId="0" fillId="4" borderId="0" xfId="0" applyFill="1" applyAlignment="1">
      <alignment horizontal="center"/>
    </xf>
    <xf numFmtId="0" fontId="1" fillId="4" borderId="0" xfId="0" applyFont="1" applyFill="1" applyAlignment="1">
      <alignment horizontal="center"/>
    </xf>
    <xf numFmtId="0" fontId="0" fillId="4" borderId="0" xfId="0" applyFill="1"/>
    <xf numFmtId="0" fontId="0" fillId="4" borderId="0" xfId="0" applyFill="1" applyAlignment="1">
      <alignment horizontal="center" wrapText="1"/>
    </xf>
    <xf numFmtId="0" fontId="1" fillId="4" borderId="0" xfId="0" applyFont="1" applyFill="1" applyAlignment="1">
      <alignment horizontal="center" wrapText="1"/>
    </xf>
    <xf numFmtId="0" fontId="0" fillId="0" borderId="0" xfId="0" pivotButton="1"/>
    <xf numFmtId="0" fontId="0" fillId="0" borderId="0" xfId="0" applyNumberFormat="1"/>
    <xf numFmtId="164" fontId="0" fillId="0" borderId="0" xfId="1" applyNumberFormat="1" applyFont="1"/>
    <xf numFmtId="0" fontId="1" fillId="0" borderId="0" xfId="0" applyFont="1"/>
    <xf numFmtId="166" fontId="0" fillId="0" borderId="0" xfId="1" applyNumberFormat="1" applyFont="1"/>
    <xf numFmtId="166" fontId="0" fillId="0" borderId="0" xfId="0" applyNumberFormat="1"/>
    <xf numFmtId="164" fontId="0" fillId="0" borderId="0" xfId="0" applyNumberFormat="1"/>
  </cellXfs>
  <cellStyles count="2">
    <cellStyle name="Comma" xfId="1" builtinId="3"/>
    <cellStyle name="Normal" xfId="0" builtinId="0"/>
  </cellStyles>
  <dxfs count="0"/>
  <tableStyles count="1" defaultTableStyle="TableStyleMedium2" defaultPivotStyle="PivotStyleLight16">
    <tableStyle name="Invisible" pivot="0" table="0" count="0" xr9:uid="{01A2265D-D03D-4CF1-BFA3-93BC85F5817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pivotCacheDefinition" Target="pivotCache/pivotCacheDefinition2.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externalLink" Target="externalLinks/externalLink5.xml"/><Relationship Id="rId5" Type="http://schemas.openxmlformats.org/officeDocument/2006/relationships/chartsheet" Target="chartsheets/sheet1.xml"/><Relationship Id="rId15" Type="http://schemas.openxmlformats.org/officeDocument/2006/relationships/connections" Target="connections.xml"/><Relationship Id="rId10" Type="http://schemas.openxmlformats.org/officeDocument/2006/relationships/externalLink" Target="externalLinks/externalLink4.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Theil Decomposition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Decomposition!$B$47</c:f>
              <c:strCache>
                <c:ptCount val="1"/>
                <c:pt idx="0">
                  <c:v>South</c:v>
                </c:pt>
              </c:strCache>
            </c:strRef>
          </c:tx>
          <c:spPr>
            <a:solidFill>
              <a:schemeClr val="accent1"/>
            </a:solidFill>
            <a:ln>
              <a:noFill/>
            </a:ln>
            <a:effectLst/>
          </c:spPr>
          <c:cat>
            <c:strRef>
              <c:f>Decomposition!$C$46:$AX$46</c:f>
              <c:strCache>
                <c:ptCount val="48"/>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strCache>
            </c:strRef>
          </c:cat>
          <c:val>
            <c:numRef>
              <c:f>Decomposition!$C$47:$AX$47</c:f>
              <c:numCache>
                <c:formatCode>_-* #,##0.0000_-;\-* #,##0.0000_-;_-* "-"??_-;_-@_-</c:formatCode>
                <c:ptCount val="48"/>
                <c:pt idx="0">
                  <c:v>7.9557724044706415E-2</c:v>
                </c:pt>
                <c:pt idx="1">
                  <c:v>8.361246921982933E-2</c:v>
                </c:pt>
                <c:pt idx="2">
                  <c:v>8.0416333959546296E-2</c:v>
                </c:pt>
                <c:pt idx="3">
                  <c:v>8.4817308012071824E-2</c:v>
                </c:pt>
                <c:pt idx="4">
                  <c:v>0.11680954278709076</c:v>
                </c:pt>
                <c:pt idx="5">
                  <c:v>0.119047168650146</c:v>
                </c:pt>
                <c:pt idx="6">
                  <c:v>0.13044946347701475</c:v>
                </c:pt>
                <c:pt idx="7">
                  <c:v>0.12617509952318209</c:v>
                </c:pt>
                <c:pt idx="8">
                  <c:v>0.11535512563039559</c:v>
                </c:pt>
                <c:pt idx="9">
                  <c:v>0.1314129189617691</c:v>
                </c:pt>
                <c:pt idx="10">
                  <c:v>0.14934993814280453</c:v>
                </c:pt>
                <c:pt idx="11">
                  <c:v>0.16418545270496149</c:v>
                </c:pt>
                <c:pt idx="12">
                  <c:v>0.13639289527295487</c:v>
                </c:pt>
                <c:pt idx="13">
                  <c:v>0.11401128794851954</c:v>
                </c:pt>
                <c:pt idx="14">
                  <c:v>0.11107659676481516</c:v>
                </c:pt>
                <c:pt idx="15">
                  <c:v>0.10035677931867368</c:v>
                </c:pt>
                <c:pt idx="16">
                  <c:v>7.1319685671624389E-2</c:v>
                </c:pt>
                <c:pt idx="17">
                  <c:v>6.6499577671351673E-2</c:v>
                </c:pt>
                <c:pt idx="18">
                  <c:v>6.363947147513746E-2</c:v>
                </c:pt>
                <c:pt idx="19">
                  <c:v>6.8820467639405108E-2</c:v>
                </c:pt>
                <c:pt idx="20">
                  <c:v>7.9363174450607088E-2</c:v>
                </c:pt>
                <c:pt idx="21">
                  <c:v>8.924233058516598E-2</c:v>
                </c:pt>
                <c:pt idx="22">
                  <c:v>9.4454073039646577E-2</c:v>
                </c:pt>
                <c:pt idx="23">
                  <c:v>0.10606191792514429</c:v>
                </c:pt>
                <c:pt idx="24">
                  <c:v>0.10836127391011595</c:v>
                </c:pt>
                <c:pt idx="25">
                  <c:v>0.10076175205714707</c:v>
                </c:pt>
                <c:pt idx="26">
                  <c:v>0.10826933401619207</c:v>
                </c:pt>
                <c:pt idx="27">
                  <c:v>0.11642901136339323</c:v>
                </c:pt>
                <c:pt idx="28">
                  <c:v>0.1133340381713194</c:v>
                </c:pt>
                <c:pt idx="29">
                  <c:v>9.8287225989167018E-2</c:v>
                </c:pt>
                <c:pt idx="30">
                  <c:v>0.10786100484735536</c:v>
                </c:pt>
                <c:pt idx="31">
                  <c:v>0.10348525623351069</c:v>
                </c:pt>
                <c:pt idx="32">
                  <c:v>8.9631971279442044E-2</c:v>
                </c:pt>
                <c:pt idx="33">
                  <c:v>8.2219207992711221E-2</c:v>
                </c:pt>
                <c:pt idx="34">
                  <c:v>8.4374446798585037E-2</c:v>
                </c:pt>
                <c:pt idx="35">
                  <c:v>9.4931524617511892E-2</c:v>
                </c:pt>
                <c:pt idx="36">
                  <c:v>0.10025218928551675</c:v>
                </c:pt>
                <c:pt idx="37">
                  <c:v>0.10143254834265887</c:v>
                </c:pt>
                <c:pt idx="38">
                  <c:v>0.11075371995940012</c:v>
                </c:pt>
                <c:pt idx="39">
                  <c:v>9.7830279098378325E-2</c:v>
                </c:pt>
                <c:pt idx="40">
                  <c:v>0.11276888398110702</c:v>
                </c:pt>
                <c:pt idx="41">
                  <c:v>0.12083106683205268</c:v>
                </c:pt>
                <c:pt idx="42">
                  <c:v>0.12097086522351239</c:v>
                </c:pt>
                <c:pt idx="43">
                  <c:v>0.11938947651072745</c:v>
                </c:pt>
                <c:pt idx="44">
                  <c:v>0.11090332945937834</c:v>
                </c:pt>
                <c:pt idx="45">
                  <c:v>9.2486029772840622E-2</c:v>
                </c:pt>
                <c:pt idx="46">
                  <c:v>8.4653010575320986E-2</c:v>
                </c:pt>
                <c:pt idx="47">
                  <c:v>8.6468012394996699E-2</c:v>
                </c:pt>
              </c:numCache>
            </c:numRef>
          </c:val>
          <c:extLst>
            <c:ext xmlns:c16="http://schemas.microsoft.com/office/drawing/2014/chart" uri="{C3380CC4-5D6E-409C-BE32-E72D297353CC}">
              <c16:uniqueId val="{00000000-124A-4982-AED5-F926DB0D301A}"/>
            </c:ext>
          </c:extLst>
        </c:ser>
        <c:ser>
          <c:idx val="1"/>
          <c:order val="1"/>
          <c:tx>
            <c:strRef>
              <c:f>Decomposition!$B$48</c:f>
              <c:strCache>
                <c:ptCount val="1"/>
                <c:pt idx="0">
                  <c:v>North</c:v>
                </c:pt>
              </c:strCache>
            </c:strRef>
          </c:tx>
          <c:spPr>
            <a:solidFill>
              <a:schemeClr val="accent2"/>
            </a:solidFill>
            <a:ln>
              <a:noFill/>
            </a:ln>
            <a:effectLst/>
          </c:spPr>
          <c:cat>
            <c:strRef>
              <c:f>Decomposition!$C$46:$AX$46</c:f>
              <c:strCache>
                <c:ptCount val="48"/>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strCache>
            </c:strRef>
          </c:cat>
          <c:val>
            <c:numRef>
              <c:f>Decomposition!$C$48:$AX$48</c:f>
              <c:numCache>
                <c:formatCode>_-* #,##0.0000_-;\-* #,##0.0000_-;_-* "-"??_-;_-@_-</c:formatCode>
                <c:ptCount val="48"/>
                <c:pt idx="0">
                  <c:v>0.10892768094626347</c:v>
                </c:pt>
                <c:pt idx="1">
                  <c:v>0.10381417909850754</c:v>
                </c:pt>
                <c:pt idx="2">
                  <c:v>9.0111296455620993E-2</c:v>
                </c:pt>
                <c:pt idx="3">
                  <c:v>7.5424464210242986E-2</c:v>
                </c:pt>
                <c:pt idx="4">
                  <c:v>6.968395372303024E-2</c:v>
                </c:pt>
                <c:pt idx="5">
                  <c:v>6.7912745141624223E-2</c:v>
                </c:pt>
                <c:pt idx="6">
                  <c:v>7.3394596251679337E-2</c:v>
                </c:pt>
                <c:pt idx="7">
                  <c:v>6.7394471092856553E-2</c:v>
                </c:pt>
                <c:pt idx="8">
                  <c:v>5.9912206449678346E-2</c:v>
                </c:pt>
                <c:pt idx="9">
                  <c:v>5.1651509862197222E-2</c:v>
                </c:pt>
                <c:pt idx="10">
                  <c:v>5.0136670039448515E-2</c:v>
                </c:pt>
                <c:pt idx="11">
                  <c:v>5.6930675479330888E-2</c:v>
                </c:pt>
                <c:pt idx="12">
                  <c:v>6.2881737673379193E-2</c:v>
                </c:pt>
                <c:pt idx="13">
                  <c:v>7.3889800826266297E-2</c:v>
                </c:pt>
                <c:pt idx="14">
                  <c:v>9.0303334142374181E-2</c:v>
                </c:pt>
                <c:pt idx="15">
                  <c:v>9.7053479195193193E-2</c:v>
                </c:pt>
                <c:pt idx="16">
                  <c:v>7.2101704279142614E-2</c:v>
                </c:pt>
                <c:pt idx="17">
                  <c:v>6.1348673181968336E-2</c:v>
                </c:pt>
                <c:pt idx="18">
                  <c:v>5.6907833509148915E-2</c:v>
                </c:pt>
                <c:pt idx="19">
                  <c:v>5.1869739052233306E-2</c:v>
                </c:pt>
                <c:pt idx="20">
                  <c:v>4.0715130270384689E-2</c:v>
                </c:pt>
                <c:pt idx="21">
                  <c:v>4.0442325820463289E-2</c:v>
                </c:pt>
                <c:pt idx="22">
                  <c:v>4.1407014912985263E-2</c:v>
                </c:pt>
                <c:pt idx="23">
                  <c:v>5.7165540440515202E-2</c:v>
                </c:pt>
                <c:pt idx="24">
                  <c:v>5.9944232894088047E-2</c:v>
                </c:pt>
                <c:pt idx="25">
                  <c:v>5.7205351030353478E-2</c:v>
                </c:pt>
                <c:pt idx="26">
                  <c:v>3.9983817528109145E-2</c:v>
                </c:pt>
                <c:pt idx="27">
                  <c:v>3.9178099863136341E-2</c:v>
                </c:pt>
                <c:pt idx="28">
                  <c:v>4.7550234428223967E-2</c:v>
                </c:pt>
                <c:pt idx="29">
                  <c:v>4.8883989676940021E-2</c:v>
                </c:pt>
                <c:pt idx="30">
                  <c:v>6.082057259777264E-2</c:v>
                </c:pt>
                <c:pt idx="31">
                  <c:v>5.8523822237302736E-2</c:v>
                </c:pt>
                <c:pt idx="32">
                  <c:v>4.9257554382377902E-2</c:v>
                </c:pt>
                <c:pt idx="33">
                  <c:v>3.5587456552294797E-2</c:v>
                </c:pt>
                <c:pt idx="34">
                  <c:v>2.9941721460048538E-2</c:v>
                </c:pt>
                <c:pt idx="35">
                  <c:v>2.7924000459287567E-2</c:v>
                </c:pt>
                <c:pt idx="36">
                  <c:v>2.7519362182193891E-2</c:v>
                </c:pt>
                <c:pt idx="37">
                  <c:v>2.5568857991234373E-2</c:v>
                </c:pt>
                <c:pt idx="38">
                  <c:v>2.5102126571365131E-2</c:v>
                </c:pt>
                <c:pt idx="39">
                  <c:v>2.5116784053290115E-2</c:v>
                </c:pt>
                <c:pt idx="40">
                  <c:v>2.5054883119054728E-2</c:v>
                </c:pt>
                <c:pt idx="41">
                  <c:v>2.6690344240015856E-2</c:v>
                </c:pt>
                <c:pt idx="42">
                  <c:v>3.1052831198682278E-2</c:v>
                </c:pt>
                <c:pt idx="43">
                  <c:v>3.048306299239539E-2</c:v>
                </c:pt>
                <c:pt idx="44">
                  <c:v>3.0250871407051242E-2</c:v>
                </c:pt>
                <c:pt idx="45">
                  <c:v>4.0084320609963829E-2</c:v>
                </c:pt>
                <c:pt idx="46">
                  <c:v>3.832921027905354E-2</c:v>
                </c:pt>
                <c:pt idx="47">
                  <c:v>3.8233768951814268E-2</c:v>
                </c:pt>
              </c:numCache>
            </c:numRef>
          </c:val>
          <c:extLst>
            <c:ext xmlns:c16="http://schemas.microsoft.com/office/drawing/2014/chart" uri="{C3380CC4-5D6E-409C-BE32-E72D297353CC}">
              <c16:uniqueId val="{00000001-124A-4982-AED5-F926DB0D301A}"/>
            </c:ext>
          </c:extLst>
        </c:ser>
        <c:ser>
          <c:idx val="2"/>
          <c:order val="2"/>
          <c:tx>
            <c:strRef>
              <c:f>Decomposition!$B$49</c:f>
              <c:strCache>
                <c:ptCount val="1"/>
                <c:pt idx="0">
                  <c:v>China</c:v>
                </c:pt>
              </c:strCache>
            </c:strRef>
          </c:tx>
          <c:spPr>
            <a:solidFill>
              <a:schemeClr val="accent3"/>
            </a:solidFill>
            <a:ln>
              <a:noFill/>
            </a:ln>
            <a:effectLst/>
          </c:spPr>
          <c:cat>
            <c:strRef>
              <c:f>Decomposition!$C$46:$AX$46</c:f>
              <c:strCache>
                <c:ptCount val="48"/>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strCache>
            </c:strRef>
          </c:cat>
          <c:val>
            <c:numRef>
              <c:f>Decomposition!$C$49:$AX$49</c:f>
              <c:numCache>
                <c:formatCode>_-* #,##0.0000_-;\-* #,##0.0000_-;_-* "-"??_-;_-@_-</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extLst>
            <c:ext xmlns:c16="http://schemas.microsoft.com/office/drawing/2014/chart" uri="{C3380CC4-5D6E-409C-BE32-E72D297353CC}">
              <c16:uniqueId val="{00000002-124A-4982-AED5-F926DB0D301A}"/>
            </c:ext>
          </c:extLst>
        </c:ser>
        <c:ser>
          <c:idx val="3"/>
          <c:order val="3"/>
          <c:tx>
            <c:strRef>
              <c:f>Decomposition!$B$50</c:f>
              <c:strCache>
                <c:ptCount val="1"/>
                <c:pt idx="0">
                  <c:v> Interbloc </c:v>
                </c:pt>
              </c:strCache>
            </c:strRef>
          </c:tx>
          <c:spPr>
            <a:solidFill>
              <a:schemeClr val="accent4"/>
            </a:solidFill>
            <a:ln>
              <a:noFill/>
            </a:ln>
            <a:effectLst/>
          </c:spPr>
          <c:cat>
            <c:strRef>
              <c:f>Decomposition!$C$46:$AX$46</c:f>
              <c:strCache>
                <c:ptCount val="48"/>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strCache>
            </c:strRef>
          </c:cat>
          <c:val>
            <c:numRef>
              <c:f>Decomposition!$C$50:$AX$50</c:f>
              <c:numCache>
                <c:formatCode>_-* #,##0.0000_-;\-* #,##0.0000_-;_-* "-"??_-;_-@_-</c:formatCode>
                <c:ptCount val="48"/>
                <c:pt idx="0">
                  <c:v>0.74303580288330218</c:v>
                </c:pt>
                <c:pt idx="1">
                  <c:v>0.75729861918384456</c:v>
                </c:pt>
                <c:pt idx="2">
                  <c:v>0.77878545317761183</c:v>
                </c:pt>
                <c:pt idx="3">
                  <c:v>0.78184391844939649</c:v>
                </c:pt>
                <c:pt idx="4">
                  <c:v>0.75063613584906486</c:v>
                </c:pt>
                <c:pt idx="5">
                  <c:v>0.75469447632757025</c:v>
                </c:pt>
                <c:pt idx="6">
                  <c:v>0.7666724028816494</c:v>
                </c:pt>
                <c:pt idx="7">
                  <c:v>0.77411591582056138</c:v>
                </c:pt>
                <c:pt idx="8">
                  <c:v>0.79409175545707811</c:v>
                </c:pt>
                <c:pt idx="9">
                  <c:v>0.78227127420361764</c:v>
                </c:pt>
                <c:pt idx="10">
                  <c:v>0.76104092569301252</c:v>
                </c:pt>
                <c:pt idx="11">
                  <c:v>0.75076915025915825</c:v>
                </c:pt>
                <c:pt idx="12">
                  <c:v>0.77896238306570087</c:v>
                </c:pt>
                <c:pt idx="13">
                  <c:v>0.81594132875086645</c:v>
                </c:pt>
                <c:pt idx="14">
                  <c:v>0.83417154701325413</c:v>
                </c:pt>
                <c:pt idx="15">
                  <c:v>0.86537667486390646</c:v>
                </c:pt>
                <c:pt idx="16">
                  <c:v>0.96075157334242189</c:v>
                </c:pt>
                <c:pt idx="17">
                  <c:v>0.99791528295784659</c:v>
                </c:pt>
                <c:pt idx="18">
                  <c:v>1.0062978355811745</c:v>
                </c:pt>
                <c:pt idx="19">
                  <c:v>0.9989880842394927</c:v>
                </c:pt>
                <c:pt idx="20">
                  <c:v>1.0179883777225172</c:v>
                </c:pt>
                <c:pt idx="21">
                  <c:v>1.0316775162273413</c:v>
                </c:pt>
                <c:pt idx="22">
                  <c:v>1.031603733265877</c:v>
                </c:pt>
                <c:pt idx="23">
                  <c:v>1.0015206774990482</c:v>
                </c:pt>
                <c:pt idx="24">
                  <c:v>1.0170971098321162</c:v>
                </c:pt>
                <c:pt idx="25">
                  <c:v>1.0151474076389035</c:v>
                </c:pt>
                <c:pt idx="26">
                  <c:v>0.98656348013301476</c:v>
                </c:pt>
                <c:pt idx="27">
                  <c:v>0.95677173382893499</c:v>
                </c:pt>
                <c:pt idx="28">
                  <c:v>0.96485088988441636</c:v>
                </c:pt>
                <c:pt idx="29">
                  <c:v>1.0005488190872445</c:v>
                </c:pt>
                <c:pt idx="30">
                  <c:v>0.98108391266275374</c:v>
                </c:pt>
                <c:pt idx="31">
                  <c:v>0.98113830268544144</c:v>
                </c:pt>
                <c:pt idx="32">
                  <c:v>0.99774888485133417</c:v>
                </c:pt>
                <c:pt idx="33">
                  <c:v>1.0078409860571431</c:v>
                </c:pt>
                <c:pt idx="34">
                  <c:v>0.985920941010754</c:v>
                </c:pt>
                <c:pt idx="35">
                  <c:v>0.93718231492033477</c:v>
                </c:pt>
                <c:pt idx="36">
                  <c:v>0.89274490531683015</c:v>
                </c:pt>
                <c:pt idx="37">
                  <c:v>0.84666189232709366</c:v>
                </c:pt>
                <c:pt idx="38">
                  <c:v>0.79050651973339559</c:v>
                </c:pt>
                <c:pt idx="39">
                  <c:v>0.77155532335144272</c:v>
                </c:pt>
                <c:pt idx="40">
                  <c:v>0.69998606747438796</c:v>
                </c:pt>
                <c:pt idx="41">
                  <c:v>0.6569272740108979</c:v>
                </c:pt>
                <c:pt idx="42">
                  <c:v>0.63191321218226104</c:v>
                </c:pt>
                <c:pt idx="43">
                  <c:v>0.60848753152049784</c:v>
                </c:pt>
                <c:pt idx="44">
                  <c:v>0.6027419125352631</c:v>
                </c:pt>
                <c:pt idx="45">
                  <c:v>0.60066092427839091</c:v>
                </c:pt>
                <c:pt idx="46">
                  <c:v>0.61896569354369413</c:v>
                </c:pt>
                <c:pt idx="47">
                  <c:v>0.59936027110055257</c:v>
                </c:pt>
              </c:numCache>
            </c:numRef>
          </c:val>
          <c:extLst>
            <c:ext xmlns:c16="http://schemas.microsoft.com/office/drawing/2014/chart" uri="{C3380CC4-5D6E-409C-BE32-E72D297353CC}">
              <c16:uniqueId val="{00000003-124A-4982-AED5-F926DB0D301A}"/>
            </c:ext>
          </c:extLst>
        </c:ser>
        <c:dLbls>
          <c:showLegendKey val="0"/>
          <c:showVal val="0"/>
          <c:showCatName val="0"/>
          <c:showSerName val="0"/>
          <c:showPercent val="0"/>
          <c:showBubbleSize val="0"/>
        </c:dLbls>
        <c:axId val="1106749744"/>
        <c:axId val="1106741008"/>
      </c:areaChart>
      <c:catAx>
        <c:axId val="11067497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41008"/>
        <c:crosses val="autoZero"/>
        <c:auto val="1"/>
        <c:lblAlgn val="ctr"/>
        <c:lblOffset val="100"/>
        <c:noMultiLvlLbl val="0"/>
      </c:catAx>
      <c:valAx>
        <c:axId val="1106741008"/>
        <c:scaling>
          <c:orientation val="minMax"/>
        </c:scaling>
        <c:delete val="0"/>
        <c:axPos val="l"/>
        <c:majorGridlines>
          <c:spPr>
            <a:ln w="9525" cap="flat" cmpd="sng" algn="ctr">
              <a:solidFill>
                <a:schemeClr val="tx1">
                  <a:lumMod val="15000"/>
                  <a:lumOff val="85000"/>
                </a:schemeClr>
              </a:solidFill>
              <a:round/>
            </a:ln>
            <a:effectLst/>
          </c:spPr>
        </c:majorGridlines>
        <c:numFmt formatCode="_-* #,##0.0000_-;\-* #,##0.00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497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F478FBF-AA8D-4765-9E05-9977799FEE45}">
  <sheetPr/>
  <sheetViews>
    <sheetView zoomScale="120"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63781" cy="6286500"/>
    <xdr:graphicFrame macro="">
      <xdr:nvGraphicFramePr>
        <xdr:cNvPr id="2" name="Chart 1">
          <a:extLst>
            <a:ext uri="{FF2B5EF4-FFF2-40B4-BE49-F238E27FC236}">
              <a16:creationId xmlns:a16="http://schemas.microsoft.com/office/drawing/2014/main" id="{9CC4A104-4975-4491-B992-540F5D12249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free/source/repos/MACROHISTORY/REPORTS/International%20Inequality%20Dispersion%2015.03.201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free/source/repos/MACROHISTORY/REPORTS/Working%20Paper%202%20(inequality)%20Complete%20with%20Offline%20Dataset,%20Charts,%20Tables,%20Indexed%20and%20Annotated%2017.04.201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free/AppData/Roaming/Microsoft/AddIns/Test%20Add-In.xla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free/Documents/Github/MacroEconomic%20History/DATA/VALIDATIONS/Theil/Theil%20Comparison%206%20December%202020.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afree/Documents/Github/MacroEconomic%20History/DATA/TESTS/Archive%20to%204%20December%202020/Paper%203%20offline%20charts%20and%20data%20for%20publicati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Geography"/>
      <sheetName val="Src UN Pop"/>
      <sheetName val="Src UN GDP"/>
      <sheetName val="Src MADDISON PPP"/>
      <sheetName val="Src PENN GDP"/>
      <sheetName val="SRC Quintiles"/>
      <sheetName val="Calc USD"/>
      <sheetName val="Dispersion PENN GDP-Cap"/>
      <sheetName val="Dispersion UN GD-Cap"/>
      <sheetName val="Table x top quartile"/>
      <sheetName val="Dispersion UN Ratios"/>
      <sheetName val="Dispersion Charts Calc"/>
      <sheetName val="Dispersion Weighted"/>
      <sheetName val="Table 1"/>
      <sheetName val="Dispersion PPP UN Geography"/>
      <sheetName val="Price Levels"/>
      <sheetName val="NORTH ADVANTAGE"/>
      <sheetName val="Price Levels Regressions"/>
      <sheetName val="CH REGRESS"/>
      <sheetName val="CH 1970"/>
      <sheetName val="CH1980"/>
      <sheetName val="CH 1990"/>
      <sheetName val="CH2000"/>
      <sheetName val="CH2010"/>
      <sheetName val="CH2016"/>
      <sheetName val="CHART SOUTH UNWEIGHTED IQ RANGE"/>
      <sheetName val="CHART PPP MAXMIN"/>
      <sheetName val="CHART SOUTH INTERQUARTILE"/>
      <sheetName val="CHART SOUTH MAXMIN QUARTILES"/>
      <sheetName val="CHART SOUTH QUART + MIN"/>
      <sheetName val="CHART NORTH QUART+MAXMIN"/>
      <sheetName val="CHART NORTH MAX-MIN"/>
      <sheetName val="CHART ALL MAX-MIN"/>
      <sheetName val="CHART NORTH INTERQUARTILE"/>
      <sheetName val="CHART MAXMIN SOUTH"/>
      <sheetName val="CH Q1-Q4 UN"/>
      <sheetName val="CH dispersion measures"/>
    </sheetNames>
    <sheetDataSet>
      <sheetData sheetId="0"/>
      <sheetData sheetId="1"/>
      <sheetData sheetId="2"/>
      <sheetData sheetId="3"/>
      <sheetData sheetId="4"/>
      <sheetData sheetId="5"/>
      <sheetData sheetId="6"/>
      <sheetData sheetId="7"/>
      <sheetData sheetId="8"/>
      <sheetData sheetId="9"/>
      <sheetData sheetId="10"/>
      <sheetData sheetId="11">
        <row r="5">
          <cell r="AZ5" t="str">
            <v>China Mainland</v>
          </cell>
          <cell r="BA5">
            <v>11.931175348929909</v>
          </cell>
          <cell r="BB5">
            <v>2.1063052556712782</v>
          </cell>
          <cell r="BC5">
            <v>3.1714588888523361</v>
          </cell>
          <cell r="BD5">
            <v>1.7860879108751808</v>
          </cell>
        </row>
        <row r="6">
          <cell r="AZ6" t="str">
            <v>Australia</v>
          </cell>
          <cell r="BA6">
            <v>1.4071041526480221</v>
          </cell>
          <cell r="BB6">
            <v>0.84910818011412748</v>
          </cell>
          <cell r="BC6">
            <v>1.8262946337456429</v>
          </cell>
          <cell r="BD6">
            <v>0.90738663231617955</v>
          </cell>
        </row>
        <row r="7">
          <cell r="AZ7" t="str">
            <v>Austria</v>
          </cell>
          <cell r="BA7">
            <v>1.0341907152930558</v>
          </cell>
          <cell r="BB7">
            <v>0.85486484835687704</v>
          </cell>
          <cell r="BC7">
            <v>1.2727478552487208</v>
          </cell>
          <cell r="BD7">
            <v>0.95051899716112331</v>
          </cell>
        </row>
        <row r="8">
          <cell r="AZ8" t="str">
            <v>Belgium</v>
          </cell>
          <cell r="BA8">
            <v>0.97615699653916144</v>
          </cell>
          <cell r="BB8">
            <v>0.84615387313684032</v>
          </cell>
          <cell r="BC8">
            <v>1.2742700119579475</v>
          </cell>
          <cell r="BD8">
            <v>0.90533406515467862</v>
          </cell>
        </row>
        <row r="9">
          <cell r="AZ9" t="str">
            <v>Canada</v>
          </cell>
          <cell r="BA9">
            <v>0.97514739682138962</v>
          </cell>
          <cell r="BB9">
            <v>0.84697933767597644</v>
          </cell>
          <cell r="BC9">
            <v>1.3011260516331467</v>
          </cell>
          <cell r="BD9">
            <v>0.88486715999393672</v>
          </cell>
        </row>
        <row r="10">
          <cell r="AZ10" t="str">
            <v>Cyprus</v>
          </cell>
          <cell r="BA10">
            <v>1.0736421642137974</v>
          </cell>
          <cell r="BB10">
            <v>1.0036262973878332</v>
          </cell>
          <cell r="BC10">
            <v>1.4218840920265954</v>
          </cell>
          <cell r="BD10">
            <v>0.7523559000723461</v>
          </cell>
        </row>
        <row r="11">
          <cell r="AZ11" t="str">
            <v>Denmark</v>
          </cell>
          <cell r="BA11">
            <v>0.99687595789198979</v>
          </cell>
          <cell r="BB11">
            <v>0.86083164123641254</v>
          </cell>
          <cell r="BC11">
            <v>1.2585191668876685</v>
          </cell>
          <cell r="BD11">
            <v>0.92015939801917324</v>
          </cell>
        </row>
        <row r="12">
          <cell r="AZ12" t="str">
            <v>Finland</v>
          </cell>
          <cell r="BA12">
            <v>0.74597039661547693</v>
          </cell>
          <cell r="BB12">
            <v>0.64307600555905042</v>
          </cell>
          <cell r="BC12">
            <v>1.2686024710964217</v>
          </cell>
          <cell r="BD12">
            <v>0.91439477251324486</v>
          </cell>
        </row>
        <row r="13">
          <cell r="AZ13" t="str">
            <v>France</v>
          </cell>
          <cell r="BA13">
            <v>0.82714580769224755</v>
          </cell>
          <cell r="BB13">
            <v>0.77008741949753223</v>
          </cell>
          <cell r="BC13">
            <v>1.2238480683663349</v>
          </cell>
          <cell r="BD13">
            <v>0.87763621862548469</v>
          </cell>
        </row>
        <row r="14">
          <cell r="AZ14" t="str">
            <v>Germany</v>
          </cell>
          <cell r="BA14">
            <v>0.93770970893429617</v>
          </cell>
          <cell r="BB14">
            <v>0.80954530542247727</v>
          </cell>
          <cell r="BC14">
            <v>1.1777271302045056</v>
          </cell>
          <cell r="BD14">
            <v>0.98351859284252729</v>
          </cell>
        </row>
        <row r="15">
          <cell r="AZ15" t="str">
            <v>Iceland</v>
          </cell>
          <cell r="BA15">
            <v>1.3549753797271757</v>
          </cell>
          <cell r="BB15">
            <v>0.96693313413076631</v>
          </cell>
          <cell r="BC15">
            <v>0.88695883392198882</v>
          </cell>
          <cell r="BD15">
            <v>1.5799069076552963</v>
          </cell>
        </row>
        <row r="16">
          <cell r="AZ16" t="str">
            <v>Ireland</v>
          </cell>
          <cell r="BA16">
            <v>2.3256654772908836</v>
          </cell>
          <cell r="BB16">
            <v>1.4116151636225509</v>
          </cell>
          <cell r="BC16">
            <v>1.2328311306831357</v>
          </cell>
          <cell r="BD16">
            <v>1.3363719114959356</v>
          </cell>
        </row>
        <row r="17">
          <cell r="AZ17" t="str">
            <v>Israel</v>
          </cell>
          <cell r="BA17">
            <v>1.5063517650578806</v>
          </cell>
          <cell r="BB17">
            <v>1.2655883578894078</v>
          </cell>
          <cell r="BC17">
            <v>0.95700768212956899</v>
          </cell>
          <cell r="BD17">
            <v>1.2437082225214233</v>
          </cell>
        </row>
        <row r="18">
          <cell r="AZ18" t="str">
            <v>Italy</v>
          </cell>
          <cell r="BA18">
            <v>0.73546065535271588</v>
          </cell>
          <cell r="BB18">
            <v>0.72492428173930989</v>
          </cell>
          <cell r="BC18">
            <v>1.194736080985384</v>
          </cell>
          <cell r="BD18">
            <v>0.84917034249774448</v>
          </cell>
        </row>
        <row r="19">
          <cell r="AZ19" t="str">
            <v>Japan</v>
          </cell>
          <cell r="BA19">
            <v>0.70646054279830339</v>
          </cell>
          <cell r="BB19">
            <v>1.1478810293510939</v>
          </cell>
          <cell r="BC19">
            <v>0.77089402465012646</v>
          </cell>
          <cell r="BD19">
            <v>0.79835555738857999</v>
          </cell>
        </row>
        <row r="20">
          <cell r="AZ20">
            <v>0</v>
          </cell>
          <cell r="BA20" t="e">
            <v>#DIV/0!</v>
          </cell>
          <cell r="BB20" t="e">
            <v>#DIV/0!</v>
          </cell>
          <cell r="BC20" t="e">
            <v>#DIV/0!</v>
          </cell>
          <cell r="BD20" t="e">
            <v>#DIV/0!</v>
          </cell>
        </row>
        <row r="21">
          <cell r="AZ21" t="str">
            <v>Netherlands</v>
          </cell>
          <cell r="BA21">
            <v>1.066495495118837</v>
          </cell>
          <cell r="BB21">
            <v>0.92507850295720861</v>
          </cell>
          <cell r="BC21">
            <v>1.295720271996363</v>
          </cell>
          <cell r="BD21">
            <v>0.88975243027593975</v>
          </cell>
        </row>
        <row r="22">
          <cell r="AZ22" t="str">
            <v>New Zealand</v>
          </cell>
          <cell r="BA22">
            <v>1.4900226465140474</v>
          </cell>
          <cell r="BB22">
            <v>0.79398100481562461</v>
          </cell>
          <cell r="BC22">
            <v>1.5894272312548783</v>
          </cell>
          <cell r="BD22">
            <v>1.1807069164699107</v>
          </cell>
        </row>
        <row r="23">
          <cell r="AZ23" t="str">
            <v>Norway</v>
          </cell>
          <cell r="BA23">
            <v>1.2380928245738634</v>
          </cell>
          <cell r="BB23">
            <v>1.0123002486733685</v>
          </cell>
          <cell r="BC23">
            <v>1.5401084615528597</v>
          </cell>
          <cell r="BD23">
            <v>0.79413174334844538</v>
          </cell>
        </row>
        <row r="24">
          <cell r="AZ24" t="str">
            <v>Portugal</v>
          </cell>
          <cell r="BA24">
            <v>1.1081779342281051</v>
          </cell>
          <cell r="BB24">
            <v>1.0842050793119991</v>
          </cell>
          <cell r="BC24">
            <v>1.3070344656025428</v>
          </cell>
          <cell r="BD24">
            <v>0.78200768501943252</v>
          </cell>
        </row>
        <row r="25">
          <cell r="AZ25" t="str">
            <v>Spain</v>
          </cell>
          <cell r="BA25">
            <v>0.96302019355923918</v>
          </cell>
          <cell r="BB25">
            <v>0.80425719486342861</v>
          </cell>
          <cell r="BC25">
            <v>1.4006278932548377</v>
          </cell>
          <cell r="BD25">
            <v>0.85490462806878675</v>
          </cell>
        </row>
        <row r="26">
          <cell r="AZ26" t="str">
            <v>Sweden</v>
          </cell>
          <cell r="BA26">
            <v>0.83418313830473867</v>
          </cell>
          <cell r="BB26">
            <v>0.73154863291569294</v>
          </cell>
          <cell r="BC26">
            <v>1.1858687908218599</v>
          </cell>
          <cell r="BD26">
            <v>0.96157145908189834</v>
          </cell>
        </row>
        <row r="27">
          <cell r="AZ27" t="str">
            <v>Switzerland</v>
          </cell>
          <cell r="BA27">
            <v>0.96361317055608331</v>
          </cell>
          <cell r="BB27">
            <v>0.73888228087799401</v>
          </cell>
          <cell r="BC27">
            <v>1.3098053215677046</v>
          </cell>
          <cell r="BD27">
            <v>0.99568215774264679</v>
          </cell>
        </row>
        <row r="28">
          <cell r="AZ28" t="str">
            <v>United Kingdom</v>
          </cell>
          <cell r="BA28">
            <v>0.96821421138739505</v>
          </cell>
          <cell r="BB28">
            <v>1.1050230600059556</v>
          </cell>
          <cell r="BC28">
            <v>0.92172816511075295</v>
          </cell>
          <cell r="BD28">
            <v>0.95059878180595614</v>
          </cell>
        </row>
        <row r="29">
          <cell r="AZ29" t="str">
            <v>United States</v>
          </cell>
          <cell r="BA29">
            <v>1.1826465741585974</v>
          </cell>
          <cell r="BB29">
            <v>1.1647045208640456</v>
          </cell>
          <cell r="BC29">
            <v>0.88695953479521117</v>
          </cell>
          <cell r="BD29">
            <v>1.1448152609066593</v>
          </cell>
        </row>
        <row r="30">
          <cell r="AZ30" t="str">
            <v>Greece</v>
          </cell>
          <cell r="BA30">
            <v>0.88264897655726127</v>
          </cell>
          <cell r="BB30">
            <v>0.93336425358999398</v>
          </cell>
          <cell r="BC30">
            <v>1.4699157495877413</v>
          </cell>
          <cell r="BD30">
            <v>0.64334571796603357</v>
          </cell>
        </row>
        <row r="31">
          <cell r="AZ31">
            <v>0</v>
          </cell>
          <cell r="BA31" t="e">
            <v>#DIV/0!</v>
          </cell>
          <cell r="BB31" t="e">
            <v>#DIV/0!</v>
          </cell>
          <cell r="BC31" t="e">
            <v>#DIV/0!</v>
          </cell>
          <cell r="BD31" t="e">
            <v>#DIV/0!</v>
          </cell>
        </row>
        <row r="32">
          <cell r="AZ32" t="str">
            <v>Malta</v>
          </cell>
          <cell r="BA32">
            <v>1.8751643620702008</v>
          </cell>
          <cell r="BB32">
            <v>1.0636715544916735</v>
          </cell>
          <cell r="BC32">
            <v>1.3703309277608018</v>
          </cell>
          <cell r="BD32">
            <v>1.2864897658729839</v>
          </cell>
        </row>
        <row r="33">
          <cell r="AZ33" t="str">
            <v>Singapore</v>
          </cell>
          <cell r="BA33">
            <v>2.0356167628075061</v>
          </cell>
          <cell r="BB33">
            <v>1.4272200348586506</v>
          </cell>
          <cell r="BC33">
            <v>1.2662198918384344</v>
          </cell>
          <cell r="BD33">
            <v>1.1264085883856438</v>
          </cell>
        </row>
        <row r="34">
          <cell r="AZ34" t="str">
            <v>South Korea</v>
          </cell>
          <cell r="BA34">
            <v>2.1473899679374227</v>
          </cell>
          <cell r="BB34">
            <v>1.3731092748696769</v>
          </cell>
          <cell r="BC34">
            <v>1.2363906910859026</v>
          </cell>
          <cell r="BD34">
            <v>1.2648822338377816</v>
          </cell>
        </row>
        <row r="36">
          <cell r="AZ36" t="str">
            <v>Argentina</v>
          </cell>
          <cell r="BA36">
            <v>1.4282040429694804</v>
          </cell>
          <cell r="BB36">
            <v>1.3380143781585838</v>
          </cell>
          <cell r="BC36">
            <v>0.82883257732348314</v>
          </cell>
          <cell r="BD36">
            <v>1.2878422389855149</v>
          </cell>
        </row>
        <row r="37">
          <cell r="AZ37" t="str">
            <v>Bolivia</v>
          </cell>
          <cell r="BA37">
            <v>2.2158147493707441</v>
          </cell>
          <cell r="BB37">
            <v>1.067419413320521</v>
          </cell>
          <cell r="BC37">
            <v>1.3115252966576911</v>
          </cell>
          <cell r="BD37">
            <v>1.5827841044817832</v>
          </cell>
        </row>
        <row r="38">
          <cell r="AZ38" t="str">
            <v>Brazil</v>
          </cell>
          <cell r="BA38">
            <v>1.6758914688419786</v>
          </cell>
          <cell r="BB38">
            <v>1.0271833870865323</v>
          </cell>
          <cell r="BC38">
            <v>2.0126130801164428</v>
          </cell>
          <cell r="BD38">
            <v>0.81065788722788823</v>
          </cell>
        </row>
        <row r="39">
          <cell r="AZ39" t="str">
            <v>Colombia</v>
          </cell>
          <cell r="BA39">
            <v>1.7582764448896349</v>
          </cell>
          <cell r="BB39">
            <v>1.119960081232757</v>
          </cell>
          <cell r="BC39">
            <v>1.6855558605596894</v>
          </cell>
          <cell r="BD39">
            <v>0.93141121886995126</v>
          </cell>
        </row>
        <row r="40">
          <cell r="AZ40" t="str">
            <v>Congo DR</v>
          </cell>
          <cell r="BA40">
            <v>0.5004415151511008</v>
          </cell>
          <cell r="BB40">
            <v>0.31117660386844914</v>
          </cell>
          <cell r="BC40">
            <v>1.2578036104995731</v>
          </cell>
          <cell r="BD40">
            <v>1.2785966334689198</v>
          </cell>
        </row>
        <row r="41">
          <cell r="AZ41" t="str">
            <v>Costa Rica</v>
          </cell>
          <cell r="BA41">
            <v>2.3208538193839612</v>
          </cell>
          <cell r="BB41">
            <v>1.2220967135838947</v>
          </cell>
          <cell r="BC41">
            <v>1.4352285401733922</v>
          </cell>
          <cell r="BD41">
            <v>1.3231867667477011</v>
          </cell>
        </row>
        <row r="42">
          <cell r="AZ42" t="str">
            <v>Ecuador</v>
          </cell>
          <cell r="BA42">
            <v>1.9456016081757121</v>
          </cell>
          <cell r="BB42">
            <v>0.73229375796236096</v>
          </cell>
          <cell r="BC42">
            <v>2.1403190929044325</v>
          </cell>
          <cell r="BD42">
            <v>1.2413380239599168</v>
          </cell>
        </row>
        <row r="43">
          <cell r="AZ43" t="str">
            <v>Egypt</v>
          </cell>
          <cell r="BA43">
            <v>1.4759319563910198</v>
          </cell>
          <cell r="BB43">
            <v>1.6420484054667239</v>
          </cell>
          <cell r="BC43">
            <v>1.2449764823659799</v>
          </cell>
          <cell r="BD43">
            <v>0.72197013505373997</v>
          </cell>
        </row>
        <row r="44">
          <cell r="AZ44" t="str">
            <v>El Salvador</v>
          </cell>
          <cell r="BA44">
            <v>1.9676307872923455</v>
          </cell>
          <cell r="BB44">
            <v>1.64871223632556</v>
          </cell>
          <cell r="BC44">
            <v>0.99324767741581532</v>
          </cell>
          <cell r="BD44">
            <v>1.2015481799750736</v>
          </cell>
        </row>
        <row r="45">
          <cell r="AZ45" t="str">
            <v>Ethiopia (Former)</v>
          </cell>
          <cell r="BA45">
            <v>1.5173381918318383</v>
          </cell>
          <cell r="BB45">
            <v>0.41712198034477033</v>
          </cell>
          <cell r="BC45">
            <v>1.6471265380043132</v>
          </cell>
          <cell r="BD45">
            <v>2.2084742967587401</v>
          </cell>
        </row>
        <row r="46">
          <cell r="AZ46" t="str">
            <v>Guatemala</v>
          </cell>
          <cell r="BA46">
            <v>2.8109407728196256</v>
          </cell>
          <cell r="BB46">
            <v>1.5087125884405745</v>
          </cell>
          <cell r="BC46">
            <v>1.276178308588944</v>
          </cell>
          <cell r="BD46">
            <v>1.4599360154865579</v>
          </cell>
        </row>
        <row r="47">
          <cell r="AZ47" t="str">
            <v>Honduras</v>
          </cell>
          <cell r="BA47">
            <v>1.5643224968871101</v>
          </cell>
          <cell r="BB47">
            <v>1.1294411850828063</v>
          </cell>
          <cell r="BC47">
            <v>1.1696255895369805</v>
          </cell>
          <cell r="BD47">
            <v>1.1841747853625524</v>
          </cell>
        </row>
        <row r="48">
          <cell r="AZ48" t="str">
            <v>India</v>
          </cell>
          <cell r="BA48">
            <v>2.4219187740108135</v>
          </cell>
          <cell r="BB48">
            <v>0.89109463551199364</v>
          </cell>
          <cell r="BC48">
            <v>2.0703227916077593</v>
          </cell>
          <cell r="BD48">
            <v>1.3127973197816434</v>
          </cell>
        </row>
        <row r="49">
          <cell r="AZ49" t="str">
            <v>Kenya</v>
          </cell>
          <cell r="BA49">
            <v>1.2904080378021159</v>
          </cell>
          <cell r="BB49">
            <v>0.63957860865005112</v>
          </cell>
          <cell r="BC49">
            <v>1.4020904809675019</v>
          </cell>
          <cell r="BD49">
            <v>1.4389877235108806</v>
          </cell>
        </row>
        <row r="50">
          <cell r="AZ50" t="str">
            <v>Mauritius</v>
          </cell>
          <cell r="BA50">
            <v>1.8915167550252874</v>
          </cell>
          <cell r="BB50">
            <v>1.1936163297881262</v>
          </cell>
          <cell r="BC50">
            <v>1.3006208610687804</v>
          </cell>
          <cell r="BD50">
            <v>1.2184135646707628</v>
          </cell>
        </row>
        <row r="51">
          <cell r="AZ51" t="str">
            <v>Mexico</v>
          </cell>
          <cell r="BA51">
            <v>1.1844090901732269</v>
          </cell>
          <cell r="BB51">
            <v>1.4903392021478554</v>
          </cell>
          <cell r="BC51">
            <v>0.86534788863247702</v>
          </cell>
          <cell r="BD51">
            <v>0.91838729730110547</v>
          </cell>
        </row>
        <row r="52">
          <cell r="AZ52" t="str">
            <v>Morocco</v>
          </cell>
          <cell r="BA52">
            <v>1.1707208131407525</v>
          </cell>
          <cell r="BB52">
            <v>0.83265177448118444</v>
          </cell>
          <cell r="BC52">
            <v>1.4219515182410636</v>
          </cell>
          <cell r="BD52">
            <v>0.98879244195417071</v>
          </cell>
        </row>
        <row r="53">
          <cell r="AZ53" t="str">
            <v>Nigeria</v>
          </cell>
          <cell r="BA53">
            <v>1.2735489745368485</v>
          </cell>
          <cell r="BB53">
            <v>0.63968186436152941</v>
          </cell>
          <cell r="BC53">
            <v>2.5444040875418392</v>
          </cell>
          <cell r="BD53">
            <v>0.78246609403597411</v>
          </cell>
        </row>
        <row r="54">
          <cell r="AZ54" t="str">
            <v>Pakistan</v>
          </cell>
          <cell r="BA54">
            <v>1.4785261879687266</v>
          </cell>
          <cell r="BB54">
            <v>0.8702996597919449</v>
          </cell>
          <cell r="BC54">
            <v>1.232623894414598</v>
          </cell>
          <cell r="BD54">
            <v>1.3782551540481276</v>
          </cell>
        </row>
        <row r="55">
          <cell r="AZ55" t="str">
            <v>Panama</v>
          </cell>
          <cell r="BA55">
            <v>2.7997344043811832</v>
          </cell>
          <cell r="BB55">
            <v>1.1735222053829222</v>
          </cell>
          <cell r="BC55">
            <v>1.3824635551196569</v>
          </cell>
          <cell r="BD55">
            <v>1.7257259562045686</v>
          </cell>
        </row>
        <row r="56">
          <cell r="AZ56" t="str">
            <v>Peru</v>
          </cell>
          <cell r="BA56">
            <v>2.2798900933986443</v>
          </cell>
          <cell r="BB56">
            <v>1.1262940849785459</v>
          </cell>
          <cell r="BC56">
            <v>1.6822112932786688</v>
          </cell>
          <cell r="BD56">
            <v>1.2033211884238886</v>
          </cell>
        </row>
        <row r="57">
          <cell r="AZ57" t="str">
            <v>Philippines</v>
          </cell>
          <cell r="BA57">
            <v>1.7504713457153176</v>
          </cell>
          <cell r="BB57">
            <v>0.98649363316479566</v>
          </cell>
          <cell r="BC57">
            <v>1.3692175141723375</v>
          </cell>
          <cell r="BD57">
            <v>1.2959500823118042</v>
          </cell>
        </row>
        <row r="58">
          <cell r="AZ58" t="str">
            <v>South Africa</v>
          </cell>
          <cell r="BA58">
            <v>0.91927385163082675</v>
          </cell>
          <cell r="BB58">
            <v>0.72907826740580572</v>
          </cell>
          <cell r="BC58">
            <v>1.6058246063340564</v>
          </cell>
          <cell r="BD58">
            <v>0.78518617766333121</v>
          </cell>
        </row>
        <row r="59">
          <cell r="AZ59" t="str">
            <v>Sri Lanka</v>
          </cell>
          <cell r="BA59">
            <v>3.5840046865079818</v>
          </cell>
          <cell r="BB59">
            <v>1.4148042763290418</v>
          </cell>
          <cell r="BC59">
            <v>1.8379357398424938</v>
          </cell>
          <cell r="BD59">
            <v>1.3782940523437179</v>
          </cell>
        </row>
        <row r="60">
          <cell r="AZ60" t="str">
            <v>Thailand</v>
          </cell>
          <cell r="BA60">
            <v>1.9567708092747906</v>
          </cell>
          <cell r="BB60">
            <v>0.96335894686158774</v>
          </cell>
          <cell r="BC60">
            <v>1.6900129289093009</v>
          </cell>
          <cell r="BD60">
            <v>1.2018819110509935</v>
          </cell>
        </row>
        <row r="61">
          <cell r="AZ61" t="str">
            <v>Trinidad and Tobago</v>
          </cell>
          <cell r="BA61">
            <v>1.8108954029987916</v>
          </cell>
          <cell r="BB61">
            <v>1.1668398876338151</v>
          </cell>
          <cell r="BC61">
            <v>1.7266953184365579</v>
          </cell>
          <cell r="BD61">
            <v>0.89880687974723084</v>
          </cell>
        </row>
        <row r="62">
          <cell r="AZ62" t="str">
            <v>Turkey</v>
          </cell>
          <cell r="BA62">
            <v>1.2688059837465269</v>
          </cell>
          <cell r="BB62">
            <v>0.8462480600555109</v>
          </cell>
          <cell r="BC62">
            <v>1.6482714654176061</v>
          </cell>
          <cell r="BD62">
            <v>0.90963841283452795</v>
          </cell>
        </row>
        <row r="63">
          <cell r="AZ63" t="str">
            <v>Uganda</v>
          </cell>
          <cell r="BA63">
            <v>1.2078113103579702</v>
          </cell>
          <cell r="BB63">
            <v>0.85705600687071459</v>
          </cell>
          <cell r="BC63">
            <v>1.371998738054617</v>
          </cell>
          <cell r="BD63">
            <v>1.0271554554972395</v>
          </cell>
        </row>
        <row r="64">
          <cell r="AZ64" t="str">
            <v>Uruguay</v>
          </cell>
          <cell r="BA64">
            <v>2.6737523485793462</v>
          </cell>
          <cell r="BB64">
            <v>1.7407053073190784</v>
          </cell>
          <cell r="BC64">
            <v>1.1580967827863098</v>
          </cell>
          <cell r="BD64">
            <v>1.3263284042882328</v>
          </cell>
        </row>
        <row r="65">
          <cell r="AZ65" t="str">
            <v>Venezuela</v>
          </cell>
          <cell r="BA65">
            <v>1.561335065017238</v>
          </cell>
          <cell r="BB65">
            <v>1.5182690684423741</v>
          </cell>
          <cell r="BC65">
            <v>1.8937970610908152</v>
          </cell>
          <cell r="BD65">
            <v>0.54301763112074619</v>
          </cell>
        </row>
        <row r="66">
          <cell r="AZ66" t="str">
            <v>Afghanistan</v>
          </cell>
          <cell r="BA66">
            <v>0.96768729996480363</v>
          </cell>
          <cell r="BB66">
            <v>0.44738579846248316</v>
          </cell>
          <cell r="BC66">
            <v>2.1170321482554271</v>
          </cell>
          <cell r="BD66">
            <v>1.021704707257987</v>
          </cell>
        </row>
        <row r="67">
          <cell r="AZ67" t="str">
            <v>Algeria</v>
          </cell>
          <cell r="BA67">
            <v>0.7893833570392782</v>
          </cell>
          <cell r="BB67">
            <v>0.55359517105731071</v>
          </cell>
          <cell r="BC67">
            <v>1.6950813621073018</v>
          </cell>
          <cell r="BD67">
            <v>0.84121135015331239</v>
          </cell>
        </row>
        <row r="68">
          <cell r="AZ68" t="str">
            <v>Angola</v>
          </cell>
          <cell r="BA68">
            <v>1.7597234242898032</v>
          </cell>
          <cell r="BB68">
            <v>0.49780842484250459</v>
          </cell>
          <cell r="BC68">
            <v>3.2194724974783204</v>
          </cell>
          <cell r="BD68">
            <v>1.0979876452499444</v>
          </cell>
        </row>
        <row r="69">
          <cell r="AZ69" t="str">
            <v>Antigua</v>
          </cell>
          <cell r="BA69">
            <v>0.99707290467235121</v>
          </cell>
          <cell r="BB69">
            <v>1.0849657293531947</v>
          </cell>
          <cell r="BC69">
            <v>0.81714947557209172</v>
          </cell>
          <cell r="BD69">
            <v>1.1246292838978704</v>
          </cell>
        </row>
        <row r="70">
          <cell r="AZ70" t="str">
            <v>Aruba</v>
          </cell>
          <cell r="BA70">
            <v>0.96831494183455835</v>
          </cell>
          <cell r="BB70">
            <v>1.2608827695115479</v>
          </cell>
          <cell r="BC70">
            <v>0.76011378944531371</v>
          </cell>
          <cell r="BD70">
            <v>1.0103301474410715</v>
          </cell>
        </row>
        <row r="71">
          <cell r="AZ71" t="str">
            <v>Bahamas</v>
          </cell>
          <cell r="BA71">
            <v>0.75159132485484015</v>
          </cell>
          <cell r="BB71">
            <v>1.1073348957418343</v>
          </cell>
          <cell r="BC71">
            <v>0.68793683144926376</v>
          </cell>
          <cell r="BD71">
            <v>0.98662975923240759</v>
          </cell>
        </row>
        <row r="72">
          <cell r="AZ72" t="str">
            <v>Bahrain</v>
          </cell>
          <cell r="BA72">
            <v>1.0806772439241989</v>
          </cell>
          <cell r="BB72">
            <v>1.0366907594656676</v>
          </cell>
          <cell r="BC72">
            <v>1.0130183900958198</v>
          </cell>
          <cell r="BD72">
            <v>1.0290333487544154</v>
          </cell>
        </row>
        <row r="73">
          <cell r="AZ73" t="str">
            <v>Bangladesh</v>
          </cell>
          <cell r="BA73">
            <v>2.6157907965284379</v>
          </cell>
          <cell r="BB73">
            <v>0.98145050666915334</v>
          </cell>
          <cell r="BC73">
            <v>1.4580846579100164</v>
          </cell>
          <cell r="BD73">
            <v>1.8278976039036807</v>
          </cell>
        </row>
        <row r="74">
          <cell r="AZ74" t="str">
            <v>Barbados</v>
          </cell>
          <cell r="BA74">
            <v>0.98050910589277396</v>
          </cell>
          <cell r="BB74">
            <v>1.1139528192335892</v>
          </cell>
          <cell r="BC74">
            <v>0.89973764222530961</v>
          </cell>
          <cell r="BD74">
            <v>0.97829299527685498</v>
          </cell>
        </row>
        <row r="75">
          <cell r="AZ75" t="str">
            <v>Belize</v>
          </cell>
          <cell r="BA75">
            <v>1.0881236705431838</v>
          </cell>
          <cell r="BB75">
            <v>1.1711960029305435</v>
          </cell>
          <cell r="BC75">
            <v>0.86074784585414421</v>
          </cell>
          <cell r="BD75">
            <v>1.0793759367015325</v>
          </cell>
        </row>
        <row r="76">
          <cell r="AZ76" t="str">
            <v>Benin</v>
          </cell>
          <cell r="BA76">
            <v>0.9560110000989458</v>
          </cell>
          <cell r="BB76">
            <v>0.7034498899072108</v>
          </cell>
          <cell r="BC76">
            <v>1.3498344090974088</v>
          </cell>
          <cell r="BD76">
            <v>1.0068139601515462</v>
          </cell>
        </row>
        <row r="77">
          <cell r="AZ77" t="str">
            <v>Bhutan</v>
          </cell>
          <cell r="BA77">
            <v>2.890152609153636</v>
          </cell>
          <cell r="BB77">
            <v>1.1317609926356302</v>
          </cell>
          <cell r="BC77">
            <v>1.8966400135324279</v>
          </cell>
          <cell r="BD77">
            <v>1.3464218331008138</v>
          </cell>
        </row>
        <row r="78">
          <cell r="AZ78" t="str">
            <v>Botswana</v>
          </cell>
          <cell r="BA78">
            <v>1.3066864164097753</v>
          </cell>
          <cell r="BB78">
            <v>0.93322393618438992</v>
          </cell>
          <cell r="BC78">
            <v>1.2631878218799726</v>
          </cell>
          <cell r="BD78">
            <v>1.108453749811525</v>
          </cell>
        </row>
        <row r="79">
          <cell r="AZ79" t="str">
            <v>Brunei</v>
          </cell>
          <cell r="BA79">
            <v>0.87106536990390071</v>
          </cell>
          <cell r="BB79">
            <v>0.9962652735470845</v>
          </cell>
          <cell r="BC79">
            <v>1.1781785807035239</v>
          </cell>
          <cell r="BD79">
            <v>0.74210376120167165</v>
          </cell>
        </row>
        <row r="80">
          <cell r="AZ80" t="str">
            <v>Burkina Faso</v>
          </cell>
          <cell r="BA80">
            <v>0.83648055828145051</v>
          </cell>
          <cell r="BB80">
            <v>0.47995830502721715</v>
          </cell>
          <cell r="BC80">
            <v>1.691375233684919</v>
          </cell>
          <cell r="BD80">
            <v>1.0304154774233505</v>
          </cell>
        </row>
        <row r="81">
          <cell r="AZ81" t="str">
            <v>Burundi</v>
          </cell>
          <cell r="BA81">
            <v>0.63396512743524269</v>
          </cell>
          <cell r="BB81">
            <v>0.3931796807944033</v>
          </cell>
          <cell r="BC81">
            <v>1.394759059256786</v>
          </cell>
          <cell r="BD81">
            <v>1.1560459926391635</v>
          </cell>
        </row>
        <row r="82">
          <cell r="AZ82" t="str">
            <v>Cabo Verde</v>
          </cell>
          <cell r="BA82">
            <v>1.4662757360755039</v>
          </cell>
          <cell r="BB82">
            <v>1.035136343294387</v>
          </cell>
          <cell r="BC82">
            <v>1.5668031100283069</v>
          </cell>
          <cell r="BD82">
            <v>0.90407334745702261</v>
          </cell>
        </row>
        <row r="83">
          <cell r="AZ83" t="str">
            <v>Cambodia</v>
          </cell>
          <cell r="BA83">
            <v>3.3871892653893254</v>
          </cell>
          <cell r="BB83">
            <v>1.2001356501644558</v>
          </cell>
          <cell r="BC83">
            <v>1.7359080332593779</v>
          </cell>
          <cell r="BD83">
            <v>1.6258572601934074</v>
          </cell>
        </row>
        <row r="84">
          <cell r="AZ84" t="str">
            <v>Cameroon</v>
          </cell>
          <cell r="BA84">
            <v>0.61485317527816352</v>
          </cell>
          <cell r="BB84">
            <v>0.45254016265500302</v>
          </cell>
          <cell r="BC84">
            <v>1.3267718230231176</v>
          </cell>
          <cell r="BD84">
            <v>1.024042666646656</v>
          </cell>
        </row>
        <row r="85">
          <cell r="AZ85" t="str">
            <v>Central African Republic</v>
          </cell>
          <cell r="BA85">
            <v>0.38701372938140355</v>
          </cell>
          <cell r="BB85">
            <v>0.37397955428052071</v>
          </cell>
          <cell r="BC85">
            <v>1.1960493269068579</v>
          </cell>
          <cell r="BD85">
            <v>0.86522572070987225</v>
          </cell>
        </row>
        <row r="86">
          <cell r="AZ86" t="str">
            <v>Chad</v>
          </cell>
          <cell r="BA86">
            <v>1.0813648416979098</v>
          </cell>
          <cell r="BB86">
            <v>0.46176577403065644</v>
          </cell>
          <cell r="BC86">
            <v>3.2568726593466062</v>
          </cell>
          <cell r="BD86">
            <v>0.71903449696405275</v>
          </cell>
        </row>
        <row r="87">
          <cell r="AZ87" t="str">
            <v>Chile</v>
          </cell>
          <cell r="BA87">
            <v>2.7002324858015134</v>
          </cell>
          <cell r="BB87">
            <v>1.4652727925844093</v>
          </cell>
          <cell r="BC87">
            <v>1.6732750743095188</v>
          </cell>
          <cell r="BD87">
            <v>1.1013245757950396</v>
          </cell>
        </row>
        <row r="88">
          <cell r="AZ88" t="str">
            <v>Comoros</v>
          </cell>
          <cell r="BA88">
            <v>0.49607670204620385</v>
          </cell>
          <cell r="BB88">
            <v>0.47179434239753421</v>
          </cell>
          <cell r="BC88">
            <v>1.1269650768842132</v>
          </cell>
          <cell r="BD88">
            <v>0.9330085946997736</v>
          </cell>
        </row>
        <row r="89">
          <cell r="AZ89" t="str">
            <v>Congo R</v>
          </cell>
          <cell r="BA89">
            <v>0.78987627695721541</v>
          </cell>
          <cell r="BB89">
            <v>0.62233743237895189</v>
          </cell>
          <cell r="BC89">
            <v>1.9961358497750163</v>
          </cell>
          <cell r="BD89">
            <v>0.63583298250024256</v>
          </cell>
        </row>
        <row r="90">
          <cell r="AZ90" t="str">
            <v>Cote d'Ivoire</v>
          </cell>
          <cell r="BA90">
            <v>0.74968955053273678</v>
          </cell>
          <cell r="BB90">
            <v>0.49691378210865172</v>
          </cell>
          <cell r="BC90">
            <v>1.2702375095483585</v>
          </cell>
          <cell r="BD90">
            <v>1.1877238630717042</v>
          </cell>
        </row>
        <row r="91">
          <cell r="AZ91" t="str">
            <v>Djibouti</v>
          </cell>
          <cell r="BA91">
            <v>1.1828521746656497</v>
          </cell>
          <cell r="BB91">
            <v>0.73528369928170767</v>
          </cell>
          <cell r="BC91">
            <v>1.0787076688627144</v>
          </cell>
          <cell r="BD91">
            <v>1.4913231801710094</v>
          </cell>
        </row>
        <row r="92">
          <cell r="AZ92" t="str">
            <v>Dominican Republic</v>
          </cell>
          <cell r="BA92">
            <v>2.4661417511920285</v>
          </cell>
          <cell r="BB92">
            <v>1.5885882283595223</v>
          </cell>
          <cell r="BC92">
            <v>1.2794899111889713</v>
          </cell>
          <cell r="BD92">
            <v>1.2133045602079209</v>
          </cell>
        </row>
        <row r="93">
          <cell r="AZ93" t="str">
            <v>Equatorial Guinea</v>
          </cell>
          <cell r="BA93">
            <v>11.46567069261339</v>
          </cell>
          <cell r="BB93">
            <v>4.654299119628746</v>
          </cell>
          <cell r="BC93">
            <v>4.6450065390219866</v>
          </cell>
          <cell r="BD93">
            <v>0.53034544559546493</v>
          </cell>
        </row>
        <row r="94">
          <cell r="AZ94" t="str">
            <v>Fiji</v>
          </cell>
          <cell r="BA94">
            <v>1.3567389995097119</v>
          </cell>
          <cell r="BB94">
            <v>0.8621127684098745</v>
          </cell>
          <cell r="BC94">
            <v>1.1563204564387104</v>
          </cell>
          <cell r="BD94">
            <v>1.3609871441296015</v>
          </cell>
        </row>
        <row r="95">
          <cell r="AZ95" t="str">
            <v>French Polynesia</v>
          </cell>
          <cell r="BA95">
            <v>0.50875753820178449</v>
          </cell>
          <cell r="BB95">
            <v>0.66254209765530481</v>
          </cell>
          <cell r="BC95">
            <v>0.95580311542955354</v>
          </cell>
          <cell r="BD95">
            <v>0.80339465313368874</v>
          </cell>
        </row>
        <row r="96">
          <cell r="AZ96" t="str">
            <v>Gabon</v>
          </cell>
          <cell r="BA96">
            <v>0.52891571439209017</v>
          </cell>
          <cell r="BB96">
            <v>0.54710288210135383</v>
          </cell>
          <cell r="BC96">
            <v>1.2655918393352155</v>
          </cell>
          <cell r="BD96">
            <v>0.7638776475129766</v>
          </cell>
        </row>
        <row r="97">
          <cell r="AZ97" t="str">
            <v>Gambia</v>
          </cell>
          <cell r="BA97">
            <v>0.28125631965913794</v>
          </cell>
          <cell r="BB97">
            <v>0.61966726540565664</v>
          </cell>
          <cell r="BC97">
            <v>0.59036118453095732</v>
          </cell>
          <cell r="BD97">
            <v>0.76882224280227107</v>
          </cell>
        </row>
        <row r="98">
          <cell r="AZ98" t="str">
            <v>Ghana</v>
          </cell>
          <cell r="BA98">
            <v>1.0493581064151205</v>
          </cell>
          <cell r="BB98">
            <v>0.46496867822350885</v>
          </cell>
          <cell r="BC98">
            <v>2.0752353886114157</v>
          </cell>
          <cell r="BD98">
            <v>1.0875084964613462</v>
          </cell>
        </row>
        <row r="99">
          <cell r="AZ99" t="str">
            <v>Grenada</v>
          </cell>
          <cell r="BA99">
            <v>1.9758325428515118</v>
          </cell>
          <cell r="BB99">
            <v>1.5705230146992566</v>
          </cell>
          <cell r="BC99">
            <v>0.9594608006171268</v>
          </cell>
          <cell r="BD99">
            <v>1.3112291428424176</v>
          </cell>
        </row>
        <row r="100">
          <cell r="AZ100" t="str">
            <v>Guinea</v>
          </cell>
          <cell r="BA100">
            <v>0.5748602945367508</v>
          </cell>
          <cell r="BB100">
            <v>0.56416401557128482</v>
          </cell>
          <cell r="BC100">
            <v>0.87324466721904959</v>
          </cell>
          <cell r="BD100">
            <v>1.166866009381234</v>
          </cell>
        </row>
        <row r="101">
          <cell r="AZ101" t="str">
            <v>Guinea-Bissau</v>
          </cell>
          <cell r="BA101">
            <v>0.55596379599148649</v>
          </cell>
          <cell r="BB101">
            <v>0.36418425127478427</v>
          </cell>
          <cell r="BC101">
            <v>1.2469967346838275</v>
          </cell>
          <cell r="BD101">
            <v>1.2242215889893655</v>
          </cell>
        </row>
        <row r="102">
          <cell r="AZ102" t="str">
            <v>Guyana</v>
          </cell>
          <cell r="BA102">
            <v>2.4852022349711818</v>
          </cell>
          <cell r="BB102">
            <v>1.3355461450011317</v>
          </cell>
          <cell r="BC102">
            <v>1.3371804729180043</v>
          </cell>
          <cell r="BD102">
            <v>1.39159484573975</v>
          </cell>
        </row>
        <row r="103">
          <cell r="AZ103" t="str">
            <v>Haiti</v>
          </cell>
          <cell r="BA103">
            <v>0.82410391947227513</v>
          </cell>
          <cell r="BB103">
            <v>0.7396471893616906</v>
          </cell>
          <cell r="BC103">
            <v>1.0432458685198787</v>
          </cell>
          <cell r="BD103">
            <v>1.067998628293507</v>
          </cell>
        </row>
        <row r="104">
          <cell r="AZ104" t="str">
            <v>Indonesia (Former)</v>
          </cell>
          <cell r="BA104">
            <v>2.4273264479301497</v>
          </cell>
          <cell r="BB104">
            <v>0.84861520828305592</v>
          </cell>
          <cell r="BC104">
            <v>2.5001620692378723</v>
          </cell>
          <cell r="BD104">
            <v>1.1440610898606791</v>
          </cell>
        </row>
        <row r="105">
          <cell r="AZ105" t="str">
            <v>Iran</v>
          </cell>
          <cell r="BA105">
            <v>1.5360354399208624</v>
          </cell>
          <cell r="BB105">
            <v>0.74364775160106389</v>
          </cell>
          <cell r="BC105">
            <v>2.5918260644045561</v>
          </cell>
          <cell r="BD105">
            <v>0.79694456617220955</v>
          </cell>
        </row>
        <row r="106">
          <cell r="AZ106" t="str">
            <v>Iraq</v>
          </cell>
          <cell r="BA106">
            <v>2.2550111011164549</v>
          </cell>
          <cell r="BB106">
            <v>0.55196267081800987</v>
          </cell>
          <cell r="BC106">
            <v>3.5356677274006079</v>
          </cell>
          <cell r="BD106">
            <v>1.1554935679926197</v>
          </cell>
        </row>
        <row r="107">
          <cell r="AZ107" t="str">
            <v>Jamaica</v>
          </cell>
          <cell r="BA107">
            <v>1.0928125184428823</v>
          </cell>
          <cell r="BB107">
            <v>1.1717611297980177</v>
          </cell>
          <cell r="BC107">
            <v>0.92290764975024908</v>
          </cell>
          <cell r="BD107">
            <v>1.0105279457649314</v>
          </cell>
        </row>
        <row r="108">
          <cell r="AZ108" t="str">
            <v>Jordan</v>
          </cell>
          <cell r="BA108">
            <v>1.6986844897443549</v>
          </cell>
          <cell r="BB108">
            <v>1.1050172616916998</v>
          </cell>
          <cell r="BC108">
            <v>1.4692655419329224</v>
          </cell>
          <cell r="BD108">
            <v>1.0462690191507213</v>
          </cell>
        </row>
        <row r="109">
          <cell r="AZ109" t="str">
            <v>Kiribati</v>
          </cell>
          <cell r="BA109">
            <v>1.4212082723167712</v>
          </cell>
          <cell r="BB109">
            <v>1.2057435150321094</v>
          </cell>
          <cell r="BC109">
            <v>1.1456340715841586</v>
          </cell>
          <cell r="BD109">
            <v>1.0288613920559246</v>
          </cell>
        </row>
        <row r="110">
          <cell r="AZ110" t="str">
            <v>Kuwait</v>
          </cell>
          <cell r="BA110">
            <v>1.5455768275079984</v>
          </cell>
          <cell r="BB110">
            <v>1.573344214893815</v>
          </cell>
          <cell r="BC110">
            <v>1.3902720179145813</v>
          </cell>
          <cell r="BD110">
            <v>0.70658931938148917</v>
          </cell>
        </row>
        <row r="111">
          <cell r="AZ111" t="str">
            <v>Laos</v>
          </cell>
          <cell r="BA111">
            <v>5.3652217965819151</v>
          </cell>
          <cell r="BB111">
            <v>1.2042984249428617</v>
          </cell>
          <cell r="BC111">
            <v>2.3031846963980258</v>
          </cell>
          <cell r="BD111">
            <v>1.9343042931375463</v>
          </cell>
        </row>
        <row r="112">
          <cell r="AZ112" t="str">
            <v>Lebanon</v>
          </cell>
          <cell r="BA112">
            <v>3.7546396251925089</v>
          </cell>
          <cell r="BB112">
            <v>3.5544043606867786</v>
          </cell>
          <cell r="BC112">
            <v>1.14550330577322</v>
          </cell>
          <cell r="BD112">
            <v>0.92215745027533613</v>
          </cell>
        </row>
        <row r="113">
          <cell r="AZ113" t="str">
            <v>Lesotho</v>
          </cell>
          <cell r="BA113">
            <v>1.3940169918138572</v>
          </cell>
          <cell r="BB113">
            <v>0.90325134582819522</v>
          </cell>
          <cell r="BC113">
            <v>1.6569256383278275</v>
          </cell>
          <cell r="BD113">
            <v>0.93144331927849244</v>
          </cell>
        </row>
        <row r="114">
          <cell r="AZ114" t="str">
            <v>Liberia</v>
          </cell>
          <cell r="BA114">
            <v>0.9531056891738815</v>
          </cell>
          <cell r="BB114">
            <v>0.5928747859899608</v>
          </cell>
          <cell r="BC114">
            <v>0.97567371537584158</v>
          </cell>
          <cell r="BD114">
            <v>1.6476822975714596</v>
          </cell>
        </row>
        <row r="115">
          <cell r="AZ115" t="str">
            <v>Libya</v>
          </cell>
          <cell r="BA115">
            <v>0.25901884131933006</v>
          </cell>
          <cell r="BB115">
            <v>0.77143727199787848</v>
          </cell>
          <cell r="BC115">
            <v>1.2176580782544804</v>
          </cell>
          <cell r="BD115">
            <v>0.27574356363202362</v>
          </cell>
        </row>
        <row r="116">
          <cell r="AZ116" t="str">
            <v>Madagascar</v>
          </cell>
          <cell r="BA116">
            <v>0.75723954020408346</v>
          </cell>
          <cell r="BB116">
            <v>0.69049753490960852</v>
          </cell>
          <cell r="BC116">
            <v>1.1138097082972058</v>
          </cell>
          <cell r="BD116">
            <v>0.98460072590190539</v>
          </cell>
        </row>
        <row r="117">
          <cell r="AZ117" t="str">
            <v>Malawi</v>
          </cell>
          <cell r="BA117">
            <v>0.47031846434299651</v>
          </cell>
          <cell r="BB117">
            <v>0.62116283297977271</v>
          </cell>
          <cell r="BC117">
            <v>1.0900882770395983</v>
          </cell>
          <cell r="BD117">
            <v>0.69458419669437266</v>
          </cell>
        </row>
        <row r="118">
          <cell r="AZ118" t="str">
            <v>Maldives</v>
          </cell>
          <cell r="BA118">
            <v>4.1137203451446993</v>
          </cell>
          <cell r="BB118">
            <v>1.8915628397230368</v>
          </cell>
          <cell r="BC118">
            <v>1.4975143572057059</v>
          </cell>
          <cell r="BD118">
            <v>1.4522553871733155</v>
          </cell>
        </row>
        <row r="119">
          <cell r="AZ119" t="str">
            <v>Mali</v>
          </cell>
          <cell r="BA119">
            <v>1.179376517705051</v>
          </cell>
          <cell r="BB119">
            <v>0.62811694883278513</v>
          </cell>
          <cell r="BC119">
            <v>1.7531841916189597</v>
          </cell>
          <cell r="BD119">
            <v>1.070987539515269</v>
          </cell>
        </row>
        <row r="120">
          <cell r="AZ120" t="str">
            <v>Mauritania</v>
          </cell>
          <cell r="BA120">
            <v>0.65457874250965509</v>
          </cell>
          <cell r="BB120">
            <v>0.44960156333049239</v>
          </cell>
          <cell r="BC120">
            <v>1.6778209107854103</v>
          </cell>
          <cell r="BD120">
            <v>0.86773773137166832</v>
          </cell>
        </row>
        <row r="121">
          <cell r="AZ121" t="str">
            <v>Micronesia Federated States</v>
          </cell>
          <cell r="BA121">
            <v>0.90013845010059923</v>
          </cell>
          <cell r="BB121">
            <v>0.99652661919126073</v>
          </cell>
          <cell r="BC121">
            <v>0.8789119015409671</v>
          </cell>
          <cell r="BD121">
            <v>1.0277206049808376</v>
          </cell>
        </row>
        <row r="122">
          <cell r="AZ122" t="str">
            <v>Mongolia</v>
          </cell>
          <cell r="BA122">
            <v>2.1322251262692218</v>
          </cell>
          <cell r="BB122">
            <v>0.52598062302321913</v>
          </cell>
          <cell r="BC122">
            <v>3.2132231285396164</v>
          </cell>
          <cell r="BD122">
            <v>1.2616021699670514</v>
          </cell>
        </row>
        <row r="123">
          <cell r="AZ123" t="str">
            <v>Mozambique</v>
          </cell>
          <cell r="BA123">
            <v>0.74316122596376122</v>
          </cell>
          <cell r="BB123">
            <v>0.78521961748939562</v>
          </cell>
          <cell r="BC123">
            <v>1.0065471955290233</v>
          </cell>
          <cell r="BD123">
            <v>0.94028121130513354</v>
          </cell>
        </row>
        <row r="124">
          <cell r="AZ124" t="str">
            <v>Myanmar</v>
          </cell>
          <cell r="BA124">
            <v>4.5639012821729379</v>
          </cell>
          <cell r="BB124">
            <v>0.92998930871902041</v>
          </cell>
          <cell r="BC124">
            <v>3.490088210302237</v>
          </cell>
          <cell r="BD124">
            <v>1.406118371276579</v>
          </cell>
        </row>
        <row r="125">
          <cell r="AZ125" t="str">
            <v>Namibia</v>
          </cell>
          <cell r="BA125">
            <v>1.2315349978891519</v>
          </cell>
          <cell r="BB125">
            <v>0.77147413999965242</v>
          </cell>
          <cell r="BC125">
            <v>1.7144070482510898</v>
          </cell>
          <cell r="BD125">
            <v>0.9311324062505919</v>
          </cell>
        </row>
        <row r="126">
          <cell r="AZ126" t="str">
            <v>Nepal</v>
          </cell>
          <cell r="BA126">
            <v>1.9508084248024231</v>
          </cell>
          <cell r="BB126">
            <v>0.90093786914215479</v>
          </cell>
          <cell r="BC126">
            <v>1.6639311566624686</v>
          </cell>
          <cell r="BD126">
            <v>1.3013209650967508</v>
          </cell>
        </row>
        <row r="127">
          <cell r="AZ127" t="str">
            <v>New Caledonia</v>
          </cell>
          <cell r="BA127">
            <v>1.1154043950539632</v>
          </cell>
          <cell r="BB127">
            <v>0.80955894464077738</v>
          </cell>
          <cell r="BC127">
            <v>1.5501142211765209</v>
          </cell>
          <cell r="BD127">
            <v>0.88883300981762792</v>
          </cell>
        </row>
        <row r="128">
          <cell r="AZ128" t="str">
            <v>Nicaragua</v>
          </cell>
          <cell r="BA128">
            <v>1.2003347664981834</v>
          </cell>
          <cell r="BB128">
            <v>0.88883709437876846</v>
          </cell>
          <cell r="BC128">
            <v>1.0044589659690921</v>
          </cell>
          <cell r="BD128">
            <v>1.3444603985885011</v>
          </cell>
        </row>
        <row r="129">
          <cell r="AZ129" t="str">
            <v>Niger</v>
          </cell>
          <cell r="BA129">
            <v>0.53292248072180537</v>
          </cell>
          <cell r="BB129">
            <v>0.34775291777215689</v>
          </cell>
          <cell r="BC129">
            <v>1.5256405818263867</v>
          </cell>
          <cell r="BD129">
            <v>1.0044793798882925</v>
          </cell>
        </row>
        <row r="130">
          <cell r="AZ130" t="str">
            <v>Oman</v>
          </cell>
          <cell r="BA130">
            <v>1.0993597141634739</v>
          </cell>
          <cell r="BB130">
            <v>1.0150362593853948</v>
          </cell>
          <cell r="BC130">
            <v>1.4537286768266329</v>
          </cell>
          <cell r="BD130">
            <v>0.74503196153747564</v>
          </cell>
        </row>
        <row r="131">
          <cell r="AZ131" t="str">
            <v>Papua New Guinea</v>
          </cell>
          <cell r="BA131">
            <v>1.0791782011750857</v>
          </cell>
          <cell r="BB131">
            <v>0.62038986979472144</v>
          </cell>
          <cell r="BC131">
            <v>1.4162216613038672</v>
          </cell>
          <cell r="BD131">
            <v>1.2282795857195099</v>
          </cell>
        </row>
        <row r="132">
          <cell r="AZ132" t="str">
            <v>Paraguay</v>
          </cell>
          <cell r="BA132">
            <v>1.813745016995655</v>
          </cell>
          <cell r="BB132">
            <v>0.91198505510802852</v>
          </cell>
          <cell r="BC132">
            <v>1.6083493105677293</v>
          </cell>
          <cell r="BD132">
            <v>1.2365398972606891</v>
          </cell>
        </row>
        <row r="133">
          <cell r="AZ133" t="str">
            <v>Qatar</v>
          </cell>
          <cell r="BA133">
            <v>1.9266086418949293</v>
          </cell>
          <cell r="BB133">
            <v>1.4607175790758224</v>
          </cell>
          <cell r="BC133">
            <v>1.5614484652611362</v>
          </cell>
          <cell r="BD133">
            <v>0.84469435726355069</v>
          </cell>
        </row>
        <row r="134">
          <cell r="AZ134" t="str">
            <v>Rwanda</v>
          </cell>
          <cell r="BA134">
            <v>1.0290428524632502</v>
          </cell>
          <cell r="BB134">
            <v>0.48334103344684215</v>
          </cell>
          <cell r="BC134">
            <v>1.7374083899584118</v>
          </cell>
          <cell r="BD134">
            <v>1.225400010625006</v>
          </cell>
        </row>
        <row r="135">
          <cell r="AZ135" t="str">
            <v>Sao Tome</v>
          </cell>
          <cell r="BA135">
            <v>0.89258740155362026</v>
          </cell>
          <cell r="BB135">
            <v>0.39496824186420842</v>
          </cell>
          <cell r="BC135">
            <v>1.4405112559538436</v>
          </cell>
          <cell r="BD135">
            <v>1.5688156741352179</v>
          </cell>
        </row>
        <row r="136">
          <cell r="AZ136" t="str">
            <v>Saudi Arabia</v>
          </cell>
          <cell r="BA136">
            <v>1.3432718952717924</v>
          </cell>
          <cell r="BB136">
            <v>0.96091762485037124</v>
          </cell>
          <cell r="BC136">
            <v>1.4025612992821346</v>
          </cell>
          <cell r="BD136">
            <v>0.99668040004200786</v>
          </cell>
        </row>
        <row r="137">
          <cell r="AZ137" t="str">
            <v>Senegal</v>
          </cell>
          <cell r="BA137">
            <v>0.58079928591039631</v>
          </cell>
          <cell r="BB137">
            <v>0.43386486100069244</v>
          </cell>
          <cell r="BC137">
            <v>1.4090447816159979</v>
          </cell>
          <cell r="BD137">
            <v>0.95005073896614722</v>
          </cell>
        </row>
        <row r="138">
          <cell r="AZ138" t="str">
            <v>Seychelles</v>
          </cell>
          <cell r="BA138">
            <v>1.1526239162998537</v>
          </cell>
          <cell r="BB138">
            <v>1.0982799628921447</v>
          </cell>
          <cell r="BC138">
            <v>0.76864948298294999</v>
          </cell>
          <cell r="BD138">
            <v>1.3653570179232264</v>
          </cell>
        </row>
        <row r="139">
          <cell r="AZ139" t="str">
            <v>Sierra Leone</v>
          </cell>
          <cell r="BA139">
            <v>1.1229073391757376</v>
          </cell>
          <cell r="BB139">
            <v>0.69591466598975815</v>
          </cell>
          <cell r="BC139">
            <v>1.4111372714034081</v>
          </cell>
          <cell r="BD139">
            <v>1.1434539221792919</v>
          </cell>
        </row>
        <row r="140">
          <cell r="AZ140" t="str">
            <v>Solomon Islands</v>
          </cell>
          <cell r="BA140">
            <v>1.3753451434738424</v>
          </cell>
          <cell r="BB140">
            <v>0.92418771604126515</v>
          </cell>
          <cell r="BC140">
            <v>1.1089437786610181</v>
          </cell>
          <cell r="BD140">
            <v>1.3419674368112138</v>
          </cell>
        </row>
        <row r="141">
          <cell r="AZ141" t="str">
            <v>Somalia</v>
          </cell>
          <cell r="BA141">
            <v>0.35917215718429751</v>
          </cell>
          <cell r="BB141">
            <v>1.2752155143662212</v>
          </cell>
          <cell r="BC141">
            <v>0.26541232463450914</v>
          </cell>
          <cell r="BD141">
            <v>1.0612018281882987</v>
          </cell>
        </row>
        <row r="142">
          <cell r="AZ142" t="str">
            <v>St. Lucia</v>
          </cell>
          <cell r="BA142">
            <v>1.3245076091977832</v>
          </cell>
          <cell r="BB142">
            <v>1.114636608617833</v>
          </cell>
          <cell r="BC142">
            <v>1.0711828769314495</v>
          </cell>
          <cell r="BD142">
            <v>1.1093217628441856</v>
          </cell>
        </row>
        <row r="143">
          <cell r="AZ143" t="str">
            <v>St. Vincent</v>
          </cell>
          <cell r="BA143">
            <v>1.5090385929851402</v>
          </cell>
          <cell r="BB143">
            <v>1.2683659079700451</v>
          </cell>
          <cell r="BC143">
            <v>1.1311563704611138</v>
          </cell>
          <cell r="BD143">
            <v>1.0517999379300229</v>
          </cell>
        </row>
        <row r="144">
          <cell r="AZ144" t="str">
            <v>Sudan (Former)</v>
          </cell>
          <cell r="BA144">
            <v>2.2478598464610053</v>
          </cell>
          <cell r="BB144">
            <v>0.59511051520439162</v>
          </cell>
          <cell r="BC144">
            <v>2.7091719615937286</v>
          </cell>
          <cell r="BD144">
            <v>1.3942319582291804</v>
          </cell>
        </row>
        <row r="145">
          <cell r="AZ145" t="str">
            <v>Suriname</v>
          </cell>
          <cell r="BA145">
            <v>1.6954186107605176</v>
          </cell>
          <cell r="BB145">
            <v>0.99704434128691477</v>
          </cell>
          <cell r="BC145">
            <v>2.26060729218886</v>
          </cell>
          <cell r="BD145">
            <v>0.75220696242561236</v>
          </cell>
        </row>
        <row r="146">
          <cell r="AZ146" t="str">
            <v>Swaziland</v>
          </cell>
          <cell r="BA146">
            <v>1.0273846541157865</v>
          </cell>
          <cell r="BB146">
            <v>0.84616504607924081</v>
          </cell>
          <cell r="BC146">
            <v>1.5023315308310556</v>
          </cell>
          <cell r="BD146">
            <v>0.80818765232896006</v>
          </cell>
        </row>
        <row r="147">
          <cell r="AZ147" t="str">
            <v>Syria</v>
          </cell>
          <cell r="BA147">
            <v>0.43801882111207341</v>
          </cell>
          <cell r="BB147">
            <v>1.005407770506711</v>
          </cell>
          <cell r="BC147">
            <v>1.6002903856942612</v>
          </cell>
          <cell r="BD147">
            <v>0.27223987612569411</v>
          </cell>
        </row>
        <row r="148">
          <cell r="AZ148" t="str">
            <v>Tanzania</v>
          </cell>
          <cell r="BA148">
            <v>1.5641556900241533</v>
          </cell>
          <cell r="BB148">
            <v>1.0631751328939043</v>
          </cell>
          <cell r="BC148">
            <v>1.1810764655330594</v>
          </cell>
          <cell r="BD148">
            <v>1.2456532143100483</v>
          </cell>
        </row>
        <row r="149">
          <cell r="AZ149" t="str">
            <v>Togo</v>
          </cell>
          <cell r="BA149">
            <v>0.52335958881709921</v>
          </cell>
          <cell r="BB149">
            <v>0.41480207045428352</v>
          </cell>
          <cell r="BC149">
            <v>1.1729843681783414</v>
          </cell>
          <cell r="BD149">
            <v>1.0756402515348917</v>
          </cell>
        </row>
        <row r="150">
          <cell r="AZ150" t="str">
            <v>Tonga</v>
          </cell>
          <cell r="BA150">
            <v>1.0719579849280039</v>
          </cell>
          <cell r="BB150">
            <v>0.8526041642792711</v>
          </cell>
          <cell r="BC150">
            <v>1.2401916567168252</v>
          </cell>
          <cell r="BD150">
            <v>1.0137748404008209</v>
          </cell>
        </row>
        <row r="151">
          <cell r="AZ151" t="str">
            <v>Tunisia</v>
          </cell>
          <cell r="BA151">
            <v>0.98117751282171362</v>
          </cell>
          <cell r="BB151">
            <v>1.0145831788158908</v>
          </cell>
          <cell r="BC151">
            <v>1.2466165309132302</v>
          </cell>
          <cell r="BD151">
            <v>0.77575940041470204</v>
          </cell>
        </row>
        <row r="152">
          <cell r="AZ152" t="str">
            <v>United Arab Emirates</v>
          </cell>
          <cell r="BA152">
            <v>0.68256293500451359</v>
          </cell>
          <cell r="BB152">
            <v>0.91568565786562461</v>
          </cell>
          <cell r="BC152">
            <v>0.69569850337607075</v>
          </cell>
          <cell r="BD152">
            <v>1.0714581685260156</v>
          </cell>
        </row>
        <row r="153">
          <cell r="AZ153" t="str">
            <v>Vanuatu</v>
          </cell>
          <cell r="BA153">
            <v>1.2395197036530206</v>
          </cell>
          <cell r="BB153">
            <v>0.92136430344256315</v>
          </cell>
          <cell r="BC153">
            <v>1.3808221362409103</v>
          </cell>
          <cell r="BD153">
            <v>0.97428117628984967</v>
          </cell>
        </row>
        <row r="154">
          <cell r="AZ154" t="str">
            <v>Virgin Islands</v>
          </cell>
          <cell r="BA154">
            <v>3.9595407152296773</v>
          </cell>
          <cell r="BB154">
            <v>5.0026908227991385</v>
          </cell>
          <cell r="BC154">
            <v>0.76972305340660174</v>
          </cell>
          <cell r="BD154">
            <v>1.0282687934001011</v>
          </cell>
        </row>
        <row r="155">
          <cell r="AZ155" t="str">
            <v>West Bank and Gaza</v>
          </cell>
          <cell r="BA155">
            <v>1.4795210219162584</v>
          </cell>
          <cell r="BB155">
            <v>1.0930609698509699</v>
          </cell>
          <cell r="BC155">
            <v>1.091630949006984</v>
          </cell>
          <cell r="BD155">
            <v>1.239940693170688</v>
          </cell>
        </row>
        <row r="156">
          <cell r="AZ156" t="str">
            <v>Western Samoa</v>
          </cell>
          <cell r="BA156">
            <v>2.9312740514916324</v>
          </cell>
          <cell r="BB156">
            <v>1.4471842048325723</v>
          </cell>
          <cell r="BC156">
            <v>1.8381540312614295</v>
          </cell>
          <cell r="BD156">
            <v>1.1019216315749205</v>
          </cell>
        </row>
        <row r="157">
          <cell r="AZ157" t="str">
            <v>Yemen</v>
          </cell>
          <cell r="BA157">
            <v>0.66107122004144259</v>
          </cell>
          <cell r="BB157">
            <v>0.6615473922497539</v>
          </cell>
          <cell r="BC157">
            <v>1.4359027446335406</v>
          </cell>
          <cell r="BD157">
            <v>0.6959247193120025</v>
          </cell>
        </row>
        <row r="158">
          <cell r="AZ158" t="str">
            <v>Zambia</v>
          </cell>
          <cell r="BA158">
            <v>1.4845250636034302</v>
          </cell>
          <cell r="BB158">
            <v>0.54426596210326217</v>
          </cell>
          <cell r="BC158">
            <v>2.8528956922726008</v>
          </cell>
          <cell r="BD158">
            <v>0.95607170686764598</v>
          </cell>
        </row>
        <row r="159">
          <cell r="AZ159" t="str">
            <v>Zimbabwe</v>
          </cell>
          <cell r="BA159">
            <v>0.43866465480021855</v>
          </cell>
          <cell r="BB159">
            <v>0.40322296551687348</v>
          </cell>
          <cell r="BC159">
            <v>0.77711671737775156</v>
          </cell>
          <cell r="BD159">
            <v>1.3999132747607606</v>
          </cell>
        </row>
      </sheetData>
      <sheetData sheetId="12"/>
      <sheetData sheetId="13"/>
      <sheetData sheetId="14"/>
      <sheetData sheetId="15"/>
      <sheetData sheetId="16"/>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Index"/>
      <sheetName val="Geography Geopolitical"/>
      <sheetName val="Geography Geoeconomic"/>
      <sheetName val="Src UN Pop"/>
      <sheetName val="Src UN GDP"/>
      <sheetName val="Src UN Consumption"/>
      <sheetName val="Src UN Real GDP"/>
      <sheetName val="Src PENN GDP"/>
      <sheetName val="Src North"/>
      <sheetName val="Src GDP comparisons"/>
      <sheetName val="Src MADDISON Multiple"/>
      <sheetName val="Src WID"/>
      <sheetName val="Src US Quintiles"/>
      <sheetName val="SRC Countries"/>
      <sheetName val="Real and Nominal GDP"/>
      <sheetName val="Growth"/>
      <sheetName val="Table 1"/>
      <sheetName val="Short Series"/>
      <sheetName val="CH Inverted Current Long Series"/>
      <sheetName val="Long Series"/>
      <sheetName val="Price Index"/>
      <sheetName val="Country GDP-Cap ratio North"/>
      <sheetName val="Geoeconomic"/>
      <sheetName val="PPP"/>
      <sheetName val="NDP-GDP-FI"/>
      <sheetName val="Comparisons"/>
      <sheetName val="MADDISON Multiple"/>
      <sheetName val="Transitional"/>
      <sheetName val="North"/>
      <sheetName val="Dispersion UN GD-Cap"/>
      <sheetName val="Dispersion PPP GD-Cap"/>
      <sheetName val="Dispersion Weighted"/>
      <sheetName val="Dispersion Weighted North"/>
      <sheetName val="Scale (includes Tables 4 and 5)"/>
      <sheetName val="In-text calculations"/>
      <sheetName val="CHART 1"/>
      <sheetName val="CHART 2"/>
      <sheetName val="CHART 3"/>
      <sheetName val="CHART 4"/>
      <sheetName val="CHART 5"/>
      <sheetName val="CHART 6"/>
      <sheetName val="CHART 7"/>
      <sheetName val="CHART 8"/>
      <sheetName val="CHART 9"/>
      <sheetName val="CHART 10"/>
      <sheetName val="CHART 11"/>
      <sheetName val="CHART 12"/>
      <sheetName val="CHART 13"/>
      <sheetName val="CHART 14"/>
      <sheetName val="CHART 15"/>
      <sheetName val="CHART 16"/>
      <sheetName val="CHART 17"/>
      <sheetName val="CHART 18"/>
      <sheetName val="CHART 19"/>
      <sheetName val="CHART 20"/>
      <sheetName val="CHART 21"/>
      <sheetName val="CHART 22"/>
      <sheetName val="CHART 23"/>
      <sheetName val="CHART 24"/>
      <sheetName val="CHART 25"/>
      <sheetName val="CHART 26"/>
      <sheetName val="CHART 27"/>
      <sheetName val="CHART 28"/>
      <sheetName val="CHART 29"/>
      <sheetName val="CHART 30"/>
      <sheetName val="CHART 31"/>
      <sheetName val="CHART 32"/>
      <sheetName val="CHART 33"/>
      <sheetName val="CHART 35"/>
      <sheetName val="CHART 36"/>
      <sheetName val="CHART X1"/>
      <sheetName val="CHART X2"/>
      <sheetName val="CHART X3"/>
      <sheetName val="CHART X4"/>
      <sheetName val="CHART X5"/>
      <sheetName val="CHART X6"/>
      <sheetName val="CHART X7"/>
      <sheetName val="CHART X8"/>
      <sheetName val="CHART X9"/>
      <sheetName val="CHART X10"/>
      <sheetName val="1970"/>
      <sheetName val="1975"/>
      <sheetName val="1980"/>
      <sheetName val="1985"/>
      <sheetName val="1990"/>
      <sheetName val="1995"/>
      <sheetName val="2000"/>
      <sheetName val="2005"/>
      <sheetName val="2010"/>
      <sheetName val="2015"/>
      <sheetName val="TO D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ow r="45">
          <cell r="C45">
            <v>6.554239893559016</v>
          </cell>
        </row>
      </sheetData>
      <sheetData sheetId="21"/>
      <sheetData sheetId="22"/>
      <sheetData sheetId="23"/>
      <sheetData sheetId="24"/>
      <sheetData sheetId="25"/>
      <sheetData sheetId="26"/>
      <sheetData sheetId="27"/>
      <sheetData sheetId="28"/>
      <sheetData sheetId="29"/>
      <sheetData sheetId="30">
        <row r="3">
          <cell r="E3">
            <v>4097.7420707694846</v>
          </cell>
          <cell r="F3">
            <v>4426.1704918032783</v>
          </cell>
          <cell r="G3">
            <v>5336.3827309236949</v>
          </cell>
          <cell r="H3">
            <v>6760.5480376877294</v>
          </cell>
          <cell r="I3">
            <v>7996.4589498644982</v>
          </cell>
          <cell r="J3">
            <v>9070.6502914834709</v>
          </cell>
          <cell r="K3">
            <v>9050.2050665575716</v>
          </cell>
          <cell r="L3">
            <v>9807.1507399835209</v>
          </cell>
          <cell r="M3">
            <v>11552.477354240153</v>
          </cell>
          <cell r="N3">
            <v>14956.124220230915</v>
          </cell>
          <cell r="O3">
            <v>15660.095297640502</v>
          </cell>
          <cell r="P3">
            <v>13125.066093333333</v>
          </cell>
          <cell r="Q3">
            <v>12160.719128700721</v>
          </cell>
          <cell r="R3">
            <v>10150.898659064771</v>
          </cell>
          <cell r="S3">
            <v>9779.6489767245821</v>
          </cell>
          <cell r="T3">
            <v>9837.2758811659187</v>
          </cell>
          <cell r="U3">
            <v>13110.947397725564</v>
          </cell>
          <cell r="V3">
            <v>15963.130682076155</v>
          </cell>
          <cell r="W3">
            <v>18099.664400999325</v>
          </cell>
          <cell r="X3">
            <v>19191.441389566808</v>
          </cell>
          <cell r="Y3">
            <v>23886.077234952027</v>
          </cell>
          <cell r="Z3">
            <v>24714.173298512465</v>
          </cell>
          <cell r="AA3">
            <v>25999.083599375084</v>
          </cell>
          <cell r="AB3">
            <v>20900.057551950926</v>
          </cell>
          <cell r="AC3">
            <v>20542.220687014375</v>
          </cell>
          <cell r="AD3">
            <v>23359.37334377447</v>
          </cell>
          <cell r="AE3">
            <v>24064.444422001245</v>
          </cell>
          <cell r="AF3">
            <v>23223.546691125033</v>
          </cell>
          <cell r="AG3">
            <v>23908.137912756072</v>
          </cell>
          <cell r="AH3">
            <v>24371.617710113405</v>
          </cell>
          <cell r="AI3">
            <v>21936.513258908089</v>
          </cell>
          <cell r="AJ3">
            <v>22228.647584680952</v>
          </cell>
          <cell r="AK3">
            <v>24742.619009550457</v>
          </cell>
          <cell r="AL3">
            <v>32775.178363532017</v>
          </cell>
          <cell r="AM3">
            <v>38505.152916950843</v>
          </cell>
          <cell r="AN3">
            <v>41280.993355902974</v>
          </cell>
          <cell r="AO3">
            <v>43746.531145435911</v>
          </cell>
          <cell r="AP3">
            <v>48580.31493777439</v>
          </cell>
          <cell r="AQ3">
            <v>47787.429246014239</v>
          </cell>
          <cell r="AR3">
            <v>43336.769328218608</v>
          </cell>
          <cell r="AS3">
            <v>39733.988336155548</v>
          </cell>
          <cell r="AT3">
            <v>41101.323423003902</v>
          </cell>
          <cell r="AU3">
            <v>38391.396489184895</v>
          </cell>
          <cell r="AV3">
            <v>40621.912722186462</v>
          </cell>
          <cell r="AW3">
            <v>42293.269959481462</v>
          </cell>
          <cell r="AX3">
            <v>36039.907862691311</v>
          </cell>
          <cell r="AY3">
            <v>37060.605963804985</v>
          </cell>
          <cell r="AZ3">
            <v>38952.39437184111</v>
          </cell>
        </row>
        <row r="4">
          <cell r="E4">
            <v>1516.6329631359633</v>
          </cell>
          <cell r="F4">
            <v>1673.9902257433216</v>
          </cell>
          <cell r="G4">
            <v>1924.5067126139627</v>
          </cell>
          <cell r="H4">
            <v>2528.2344226842383</v>
          </cell>
          <cell r="I4">
            <v>2842.5758789146635</v>
          </cell>
          <cell r="J4">
            <v>3167.3615923431926</v>
          </cell>
          <cell r="K4">
            <v>3415.1128542081406</v>
          </cell>
          <cell r="L4">
            <v>3908.3161922038857</v>
          </cell>
          <cell r="M4">
            <v>4711.9389498401479</v>
          </cell>
          <cell r="N4">
            <v>5722.0523996205711</v>
          </cell>
          <cell r="O4">
            <v>5900.1121751571227</v>
          </cell>
          <cell r="P4">
            <v>5380.927442431549</v>
          </cell>
          <cell r="Q4">
            <v>5569.5480398842692</v>
          </cell>
          <cell r="R4">
            <v>5008.6100909876714</v>
          </cell>
          <cell r="S4">
            <v>4839.6933145718021</v>
          </cell>
          <cell r="T4">
            <v>4793.7407172257845</v>
          </cell>
          <cell r="U4">
            <v>5624.7690750639458</v>
          </cell>
          <cell r="V4">
            <v>6520.006877837438</v>
          </cell>
          <cell r="W4">
            <v>7538.4552438632709</v>
          </cell>
          <cell r="X4">
            <v>7780.6518630661631</v>
          </cell>
          <cell r="Y4">
            <v>9551.8934363021763</v>
          </cell>
          <cell r="Z4">
            <v>10152.881116917484</v>
          </cell>
          <cell r="AA4">
            <v>11098.973469339133</v>
          </cell>
          <cell r="AB4">
            <v>10312.768285720827</v>
          </cell>
          <cell r="AC4">
            <v>10950.116323928025</v>
          </cell>
          <cell r="AD4">
            <v>12697.677112900423</v>
          </cell>
          <cell r="AE4">
            <v>13417.992903536027</v>
          </cell>
          <cell r="AF4">
            <v>13046.108505487988</v>
          </cell>
          <cell r="AG4">
            <v>13054.838571934835</v>
          </cell>
          <cell r="AH4">
            <v>13435.205251163497</v>
          </cell>
          <cell r="AI4">
            <v>11846.938629896162</v>
          </cell>
          <cell r="AJ4">
            <v>12159.796173204852</v>
          </cell>
          <cell r="AK4">
            <v>13729.407115167171</v>
          </cell>
          <cell r="AL4">
            <v>17965.828815713019</v>
          </cell>
          <cell r="AM4">
            <v>21383.302710551001</v>
          </cell>
          <cell r="AN4">
            <v>21944.56449065073</v>
          </cell>
          <cell r="AO4">
            <v>24076.685566423872</v>
          </cell>
          <cell r="AP4">
            <v>27941.558560805883</v>
          </cell>
          <cell r="AQ4">
            <v>30999.206893172792</v>
          </cell>
          <cell r="AR4">
            <v>28836.504708040004</v>
          </cell>
          <cell r="AS4">
            <v>26122.651527760121</v>
          </cell>
          <cell r="AT4">
            <v>25212.721393738229</v>
          </cell>
          <cell r="AU4">
            <v>21620.18312646656</v>
          </cell>
          <cell r="AV4">
            <v>21198.978915848886</v>
          </cell>
          <cell r="AW4">
            <v>21039.126917068377</v>
          </cell>
          <cell r="AX4">
            <v>17561.375670808891</v>
          </cell>
          <cell r="AY4">
            <v>17412.842694790103</v>
          </cell>
          <cell r="AZ4">
            <v>18166.521856518306</v>
          </cell>
        </row>
        <row r="5">
          <cell r="E5">
            <v>1648.8279708729438</v>
          </cell>
          <cell r="F5">
            <v>2051.1617988386388</v>
          </cell>
          <cell r="G5">
            <v>2411.5992740811612</v>
          </cell>
          <cell r="H5">
            <v>3142.380883499528</v>
          </cell>
          <cell r="I5">
            <v>3771.365580696267</v>
          </cell>
          <cell r="J5">
            <v>4654.1559371596823</v>
          </cell>
          <cell r="K5">
            <v>5285.5075934110082</v>
          </cell>
          <cell r="L5">
            <v>6188.331564481181</v>
          </cell>
          <cell r="M5">
            <v>7801.973387484958</v>
          </cell>
          <cell r="N5">
            <v>9203.1785748608509</v>
          </cell>
          <cell r="O5">
            <v>10367.026082624205</v>
          </cell>
          <cell r="P5">
            <v>9413.3727028309349</v>
          </cell>
          <cell r="Q5">
            <v>8595.6399006978518</v>
          </cell>
          <cell r="R5">
            <v>8774.7479480599668</v>
          </cell>
          <cell r="S5">
            <v>7891.2665930635394</v>
          </cell>
          <cell r="T5">
            <v>8482.2696503102088</v>
          </cell>
          <cell r="U5">
            <v>12248.785134858821</v>
          </cell>
          <cell r="V5">
            <v>15824.458435252791</v>
          </cell>
          <cell r="W5">
            <v>17893.440604613872</v>
          </cell>
          <cell r="X5">
            <v>18374.92789583145</v>
          </cell>
          <cell r="Y5">
            <v>20025.365549241062</v>
          </cell>
          <cell r="Z5">
            <v>19910.438419760168</v>
          </cell>
          <cell r="AA5">
            <v>20303.717155081362</v>
          </cell>
          <cell r="AB5">
            <v>18142.386943131358</v>
          </cell>
          <cell r="AC5">
            <v>19693.392278061452</v>
          </cell>
          <cell r="AD5">
            <v>23670.735482252603</v>
          </cell>
          <cell r="AE5">
            <v>23435.872503895265</v>
          </cell>
          <cell r="AF5">
            <v>20965.980404788748</v>
          </cell>
          <cell r="AG5">
            <v>22458.549456638306</v>
          </cell>
          <cell r="AH5">
            <v>22062.41738928737</v>
          </cell>
          <cell r="AI5">
            <v>20775.92386292835</v>
          </cell>
          <cell r="AJ5">
            <v>21071.887922310791</v>
          </cell>
          <cell r="AK5">
            <v>22604.79199547047</v>
          </cell>
          <cell r="AL5">
            <v>27487.475206320098</v>
          </cell>
          <cell r="AM5">
            <v>32051.843460368265</v>
          </cell>
          <cell r="AN5">
            <v>32480.599954346719</v>
          </cell>
          <cell r="AO5">
            <v>35335.641238524862</v>
          </cell>
          <cell r="AP5">
            <v>39520.989425053136</v>
          </cell>
          <cell r="AQ5">
            <v>43966.369275698882</v>
          </cell>
          <cell r="AR5">
            <v>44598.153663094061</v>
          </cell>
          <cell r="AS5">
            <v>44195.896518238638</v>
          </cell>
          <cell r="AT5">
            <v>47468.906634601779</v>
          </cell>
          <cell r="AU5">
            <v>46213.541615016824</v>
          </cell>
          <cell r="AV5">
            <v>47593.631722622042</v>
          </cell>
          <cell r="AW5">
            <v>50407.32639849597</v>
          </cell>
          <cell r="AX5">
            <v>44328.592954573673</v>
          </cell>
          <cell r="AY5">
            <v>48080.640572673954</v>
          </cell>
          <cell r="AZ5">
            <v>49363.478945506016</v>
          </cell>
        </row>
        <row r="6">
          <cell r="E6">
            <v>5201.8770185751237</v>
          </cell>
          <cell r="F6">
            <v>5927.3040044186691</v>
          </cell>
          <cell r="G6">
            <v>6924.8907724256242</v>
          </cell>
          <cell r="H6">
            <v>9138.158861853477</v>
          </cell>
          <cell r="I6">
            <v>10798.909964753493</v>
          </cell>
          <cell r="J6">
            <v>12192.841673779449</v>
          </cell>
          <cell r="K6">
            <v>13470.275022987544</v>
          </cell>
          <cell r="L6">
            <v>15384.370998363338</v>
          </cell>
          <cell r="M6">
            <v>20931.671396522714</v>
          </cell>
          <cell r="N6">
            <v>24641.711584862656</v>
          </cell>
          <cell r="O6">
            <v>26476.260152323513</v>
          </cell>
          <cell r="P6">
            <v>23186.973474679682</v>
          </cell>
          <cell r="Q6">
            <v>23706.97023948708</v>
          </cell>
          <cell r="R6">
            <v>23833.176271249766</v>
          </cell>
          <cell r="S6">
            <v>23481.8956536226</v>
          </cell>
          <cell r="T6">
            <v>24995.405892064424</v>
          </cell>
          <cell r="U6">
            <v>36642.20037058567</v>
          </cell>
          <cell r="V6">
            <v>45682.524027048414</v>
          </cell>
          <cell r="W6">
            <v>51738.808186510054</v>
          </cell>
          <cell r="X6">
            <v>51087.746224522125</v>
          </cell>
          <cell r="Y6">
            <v>61079.781124986956</v>
          </cell>
          <cell r="Z6">
            <v>65232.765974989692</v>
          </cell>
          <cell r="AA6">
            <v>68926.197918432386</v>
          </cell>
          <cell r="AB6">
            <v>67207.262074267186</v>
          </cell>
          <cell r="AC6">
            <v>73952.501498435697</v>
          </cell>
          <cell r="AD6">
            <v>87414.296468069922</v>
          </cell>
          <cell r="AE6">
            <v>86767.603351955302</v>
          </cell>
          <cell r="AF6">
            <v>80515.191689176456</v>
          </cell>
          <cell r="AG6">
            <v>84764.083016535311</v>
          </cell>
          <cell r="AH6">
            <v>89717.31484075269</v>
          </cell>
          <cell r="AI6">
            <v>82532.544222796365</v>
          </cell>
          <cell r="AJ6">
            <v>81848.673131181131</v>
          </cell>
          <cell r="AK6">
            <v>87412.730348638957</v>
          </cell>
          <cell r="AL6">
            <v>98956.986917630609</v>
          </cell>
          <cell r="AM6">
            <v>110432.74815007516</v>
          </cell>
          <cell r="AN6">
            <v>116094.77757374039</v>
          </cell>
          <cell r="AO6">
            <v>126060.80965949566</v>
          </cell>
          <cell r="AP6">
            <v>144079.42390011891</v>
          </cell>
          <cell r="AQ6">
            <v>158130.24470330041</v>
          </cell>
          <cell r="AR6">
            <v>139289.60319856848</v>
          </cell>
          <cell r="AS6">
            <v>156127.46762769768</v>
          </cell>
          <cell r="AT6">
            <v>175052.49586366644</v>
          </cell>
          <cell r="AU6">
            <v>165123.43308250103</v>
          </cell>
          <cell r="AV6">
            <v>173527.48626269208</v>
          </cell>
          <cell r="AW6">
            <v>179317.65658415708</v>
          </cell>
          <cell r="AX6">
            <v>167593.8598508141</v>
          </cell>
          <cell r="AY6">
            <v>165134.42644948716</v>
          </cell>
          <cell r="AZ6">
            <v>166337.51698811096</v>
          </cell>
        </row>
        <row r="7">
          <cell r="E7">
            <v>810.17816180651448</v>
          </cell>
          <cell r="F7">
            <v>854.95124969538688</v>
          </cell>
          <cell r="G7">
            <v>952.88860035527307</v>
          </cell>
          <cell r="H7">
            <v>1114.1134300959316</v>
          </cell>
          <cell r="I7">
            <v>1209.1952484278002</v>
          </cell>
          <cell r="J7">
            <v>1520.6372853686719</v>
          </cell>
          <cell r="K7">
            <v>1683.8605682144082</v>
          </cell>
          <cell r="L7">
            <v>1984.2272271443424</v>
          </cell>
          <cell r="M7">
            <v>2501.1803931127574</v>
          </cell>
          <cell r="N7">
            <v>3132.4544071431378</v>
          </cell>
          <cell r="O7">
            <v>3879.9012584239995</v>
          </cell>
          <cell r="P7">
            <v>3825.6347693140547</v>
          </cell>
          <cell r="Q7">
            <v>3762.5955142599501</v>
          </cell>
          <cell r="R7">
            <v>3518.9907596577045</v>
          </cell>
          <cell r="S7">
            <v>3294.1074525651252</v>
          </cell>
          <cell r="T7">
            <v>3310.828666422296</v>
          </cell>
          <cell r="U7">
            <v>4212.5913673311843</v>
          </cell>
          <cell r="V7">
            <v>5096.8314035122276</v>
          </cell>
          <cell r="W7">
            <v>5828.3586938930403</v>
          </cell>
          <cell r="X7">
            <v>6063.7030972851371</v>
          </cell>
          <cell r="Y7">
            <v>7229.5769734188361</v>
          </cell>
          <cell r="Z7">
            <v>7739.6114391284473</v>
          </cell>
          <cell r="AA7">
            <v>8432.8584860863048</v>
          </cell>
          <cell r="AB7">
            <v>7496.5675844872976</v>
          </cell>
          <cell r="AC7">
            <v>8226.2019543455535</v>
          </cell>
          <cell r="AD7">
            <v>9721.9962240833011</v>
          </cell>
          <cell r="AE7">
            <v>9919.3967866357398</v>
          </cell>
          <cell r="AF7">
            <v>9753.1940963469569</v>
          </cell>
          <cell r="AG7">
            <v>10178.367650183689</v>
          </cell>
          <cell r="AH7">
            <v>10395.2526199515</v>
          </cell>
          <cell r="AI7">
            <v>10218.471479927799</v>
          </cell>
          <cell r="AJ7">
            <v>10187.598757374955</v>
          </cell>
          <cell r="AK7">
            <v>11131.599033647892</v>
          </cell>
          <cell r="AL7">
            <v>13431.516027588534</v>
          </cell>
          <cell r="AM7">
            <v>14923.134814953815</v>
          </cell>
          <cell r="AN7">
            <v>15716.123145528249</v>
          </cell>
          <cell r="AO7">
            <v>16601.871782319984</v>
          </cell>
          <cell r="AP7">
            <v>19327.06677893567</v>
          </cell>
          <cell r="AQ7">
            <v>21783.237489323707</v>
          </cell>
          <cell r="AR7">
            <v>20596.042898718737</v>
          </cell>
          <cell r="AS7">
            <v>21005.35723486578</v>
          </cell>
          <cell r="AT7">
            <v>22727.688118326732</v>
          </cell>
          <cell r="AU7">
            <v>21887.197581210534</v>
          </cell>
          <cell r="AV7">
            <v>23972.335471569724</v>
          </cell>
          <cell r="AW7">
            <v>26397.814582794839</v>
          </cell>
          <cell r="AX7">
            <v>24703.045349098258</v>
          </cell>
          <cell r="AY7">
            <v>26266.187856296478</v>
          </cell>
          <cell r="AZ7">
            <v>29211.006515522069</v>
          </cell>
        </row>
        <row r="8">
          <cell r="E8">
            <v>12096.740040027255</v>
          </cell>
          <cell r="F8">
            <v>13393.913178752109</v>
          </cell>
          <cell r="G8">
            <v>16199.423695480438</v>
          </cell>
          <cell r="H8">
            <v>20710.653537378781</v>
          </cell>
          <cell r="I8">
            <v>22004.213074290317</v>
          </cell>
          <cell r="J8">
            <v>27403.083529785294</v>
          </cell>
          <cell r="K8">
            <v>27904.743435332839</v>
          </cell>
          <cell r="L8">
            <v>30407.973253516218</v>
          </cell>
          <cell r="M8">
            <v>37153.866998888334</v>
          </cell>
          <cell r="N8">
            <v>44501.425307823454</v>
          </cell>
          <cell r="O8">
            <v>50172.588259487755</v>
          </cell>
          <cell r="P8">
            <v>43363.590082462084</v>
          </cell>
          <cell r="Q8">
            <v>40517.785548798143</v>
          </cell>
          <cell r="R8">
            <v>38144.12514682328</v>
          </cell>
          <cell r="S8">
            <v>35632.24677328844</v>
          </cell>
          <cell r="T8">
            <v>36724.007907057392</v>
          </cell>
          <cell r="U8">
            <v>50871.043972315005</v>
          </cell>
          <cell r="V8">
            <v>61349.900761003701</v>
          </cell>
          <cell r="W8">
            <v>66771.533401744484</v>
          </cell>
          <cell r="X8">
            <v>67025.83617631004</v>
          </cell>
          <cell r="Y8">
            <v>82621.82652264004</v>
          </cell>
          <cell r="Z8">
            <v>82122.067040237642</v>
          </cell>
          <cell r="AA8">
            <v>89968.890098114731</v>
          </cell>
          <cell r="AB8">
            <v>84180.40261463933</v>
          </cell>
          <cell r="AC8">
            <v>87860.474315574989</v>
          </cell>
          <cell r="AD8">
            <v>100041.13463230262</v>
          </cell>
          <cell r="AE8">
            <v>99429.249297639428</v>
          </cell>
          <cell r="AF8">
            <v>89149.783270935324</v>
          </cell>
          <cell r="AG8">
            <v>91411.06696697649</v>
          </cell>
          <cell r="AH8">
            <v>89981.006226415091</v>
          </cell>
          <cell r="AI8">
            <v>81354.749797394179</v>
          </cell>
          <cell r="AJ8">
            <v>81467.369561186657</v>
          </cell>
          <cell r="AK8">
            <v>87705.029145851848</v>
          </cell>
          <cell r="AL8">
            <v>107029.2647800079</v>
          </cell>
          <cell r="AM8">
            <v>121615.51816053312</v>
          </cell>
          <cell r="AN8">
            <v>124374.15808007575</v>
          </cell>
          <cell r="AO8">
            <v>133187.40327830738</v>
          </cell>
          <cell r="AP8">
            <v>167129.76773660677</v>
          </cell>
          <cell r="AQ8">
            <v>180647.59294898613</v>
          </cell>
          <cell r="AR8">
            <v>149241.88068648381</v>
          </cell>
          <cell r="AS8">
            <v>144561.10271202889</v>
          </cell>
          <cell r="AT8">
            <v>162165.74485958877</v>
          </cell>
          <cell r="AU8">
            <v>152003.12600905169</v>
          </cell>
          <cell r="AV8">
            <v>172597.20923862947</v>
          </cell>
          <cell r="AW8">
            <v>185144.142478758</v>
          </cell>
          <cell r="AX8">
            <v>163393.91602057064</v>
          </cell>
          <cell r="AY8">
            <v>168011.80980336131</v>
          </cell>
          <cell r="AZ8">
            <v>165429.53991678081</v>
          </cell>
        </row>
        <row r="9">
          <cell r="E9">
            <v>926.26811257111694</v>
          </cell>
          <cell r="F9">
            <v>1075.4888892573338</v>
          </cell>
          <cell r="G9">
            <v>1371.8785649451017</v>
          </cell>
          <cell r="H9">
            <v>1930.7209804373788</v>
          </cell>
          <cell r="I9">
            <v>2362.8824755075898</v>
          </cell>
          <cell r="J9">
            <v>2561.8916529630737</v>
          </cell>
          <cell r="K9">
            <v>2652.630798448854</v>
          </cell>
          <cell r="L9">
            <v>2895.3219672442729</v>
          </cell>
          <cell r="M9">
            <v>3443.367435869292</v>
          </cell>
          <cell r="N9">
            <v>4096.6085437376059</v>
          </cell>
          <cell r="O9">
            <v>5008.4507604594273</v>
          </cell>
          <cell r="P9">
            <v>5837.7206016777036</v>
          </cell>
          <cell r="Q9">
            <v>6305.0863091088704</v>
          </cell>
          <cell r="R9">
            <v>6976.808802287831</v>
          </cell>
          <cell r="S9">
            <v>7394.2760402897029</v>
          </cell>
          <cell r="T9">
            <v>6858.1826023318863</v>
          </cell>
          <cell r="U9">
            <v>6789.265234808794</v>
          </cell>
          <cell r="V9">
            <v>7662.8914325111955</v>
          </cell>
          <cell r="W9">
            <v>9216.6731472714309</v>
          </cell>
          <cell r="X9">
            <v>10676.921972652795</v>
          </cell>
          <cell r="Y9">
            <v>12910.876442812085</v>
          </cell>
          <cell r="Z9">
            <v>14684.998783169765</v>
          </cell>
          <cell r="AA9">
            <v>16353.214583281731</v>
          </cell>
          <cell r="AB9">
            <v>18446.629077305308</v>
          </cell>
          <cell r="AC9">
            <v>21792.623809059623</v>
          </cell>
          <cell r="AD9">
            <v>25265.059982827308</v>
          </cell>
          <cell r="AE9">
            <v>27032.35328323425</v>
          </cell>
          <cell r="AF9">
            <v>27403.754588416159</v>
          </cell>
          <cell r="AG9">
            <v>22969.02827889501</v>
          </cell>
          <cell r="AH9">
            <v>22596.881352230295</v>
          </cell>
          <cell r="AI9">
            <v>24485.679717983832</v>
          </cell>
          <cell r="AJ9">
            <v>22216.968734782382</v>
          </cell>
          <cell r="AK9">
            <v>22255.425518153526</v>
          </cell>
          <cell r="AL9">
            <v>22827.858629725637</v>
          </cell>
          <cell r="AM9">
            <v>26086.717741714034</v>
          </cell>
          <cell r="AN9">
            <v>28278.515320052673</v>
          </cell>
          <cell r="AO9">
            <v>32090.888334333282</v>
          </cell>
          <cell r="AP9">
            <v>38034.640259920277</v>
          </cell>
          <cell r="AQ9">
            <v>39578.578836303204</v>
          </cell>
          <cell r="AR9">
            <v>38666.660759260165</v>
          </cell>
          <cell r="AS9">
            <v>46509.318023622007</v>
          </cell>
          <cell r="AT9">
            <v>53322.854233284008</v>
          </cell>
          <cell r="AU9">
            <v>55208.180372524308</v>
          </cell>
          <cell r="AV9">
            <v>56707.562643669262</v>
          </cell>
          <cell r="AW9">
            <v>57265.127629653201</v>
          </cell>
          <cell r="AX9">
            <v>54920.616223766825</v>
          </cell>
          <cell r="AY9">
            <v>55017.507990849343</v>
          </cell>
          <cell r="AZ9">
            <v>56629.931785401925</v>
          </cell>
        </row>
        <row r="10">
          <cell r="E10">
            <v>279.40203703189707</v>
          </cell>
          <cell r="F10">
            <v>300.94089013825101</v>
          </cell>
          <cell r="G10">
            <v>323.46742868033255</v>
          </cell>
          <cell r="H10">
            <v>405.1518440579801</v>
          </cell>
          <cell r="I10">
            <v>559.98717005400647</v>
          </cell>
          <cell r="J10">
            <v>613.36236019671674</v>
          </cell>
          <cell r="K10">
            <v>828.37895832343509</v>
          </cell>
          <cell r="L10">
            <v>1048.8876427350303</v>
          </cell>
          <cell r="M10">
            <v>1397.3971380730745</v>
          </cell>
          <cell r="N10">
            <v>1774.3658523420422</v>
          </cell>
          <cell r="O10">
            <v>1707.7484706872124</v>
          </cell>
          <cell r="P10">
            <v>1875.9837742398881</v>
          </cell>
          <cell r="Q10">
            <v>1985.0406588193064</v>
          </cell>
          <cell r="R10">
            <v>2189.1870195590545</v>
          </cell>
          <cell r="S10">
            <v>2396.9472650643665</v>
          </cell>
          <cell r="T10">
            <v>2450.4657943400512</v>
          </cell>
          <cell r="U10">
            <v>2810.8047333951708</v>
          </cell>
          <cell r="V10">
            <v>3501.9689700603722</v>
          </cell>
          <cell r="W10">
            <v>4680.3327949445948</v>
          </cell>
          <cell r="X10">
            <v>5741.7536181519235</v>
          </cell>
          <cell r="Y10">
            <v>6499.9916595089098</v>
          </cell>
          <cell r="Z10">
            <v>7515.313026619423</v>
          </cell>
          <cell r="AA10">
            <v>7981.1284166298619</v>
          </cell>
          <cell r="AB10">
            <v>8705.3478801350284</v>
          </cell>
          <cell r="AC10">
            <v>10172.693972973293</v>
          </cell>
          <cell r="AD10">
            <v>12274.106765125607</v>
          </cell>
          <cell r="AE10">
            <v>13068.935795246929</v>
          </cell>
          <cell r="AF10">
            <v>12077.241360681748</v>
          </cell>
          <cell r="AG10">
            <v>8021.0279612176864</v>
          </cell>
          <cell r="AH10">
            <v>10313.908592825603</v>
          </cell>
          <cell r="AI10">
            <v>11859.964962033762</v>
          </cell>
          <cell r="AJ10">
            <v>11171.009331921665</v>
          </cell>
          <cell r="AK10">
            <v>12686.235605184684</v>
          </cell>
          <cell r="AL10">
            <v>14109.596216092215</v>
          </cell>
          <cell r="AM10">
            <v>15773.819023448432</v>
          </cell>
          <cell r="AN10">
            <v>18436.208746827248</v>
          </cell>
          <cell r="AO10">
            <v>20656.152289752888</v>
          </cell>
          <cell r="AP10">
            <v>22828.05897824706</v>
          </cell>
          <cell r="AQ10">
            <v>20317.363722908216</v>
          </cell>
          <cell r="AR10">
            <v>18266.79763677052</v>
          </cell>
          <cell r="AS10">
            <v>21996.713973458965</v>
          </cell>
          <cell r="AT10">
            <v>24123.192318532281</v>
          </cell>
          <cell r="AU10">
            <v>24423.327208283175</v>
          </cell>
          <cell r="AV10">
            <v>26111.617397433169</v>
          </cell>
          <cell r="AW10">
            <v>27984.208173929197</v>
          </cell>
          <cell r="AX10">
            <v>27276.142720163538</v>
          </cell>
          <cell r="AY10">
            <v>27788.573496244011</v>
          </cell>
          <cell r="AZ10">
            <v>30075.857209108275</v>
          </cell>
        </row>
        <row r="11">
          <cell r="E11">
            <v>393.25049866474149</v>
          </cell>
          <cell r="F11">
            <v>446.89854148880846</v>
          </cell>
          <cell r="G11">
            <v>524.90572744184738</v>
          </cell>
          <cell r="H11">
            <v>699.9348901178322</v>
          </cell>
          <cell r="I11">
            <v>927.44519189414405</v>
          </cell>
          <cell r="J11">
            <v>978.39934691917267</v>
          </cell>
          <cell r="K11">
            <v>1150.557159794387</v>
          </cell>
          <cell r="L11">
            <v>1322.5548493245265</v>
          </cell>
          <cell r="M11">
            <v>1598.6182243493276</v>
          </cell>
          <cell r="N11">
            <v>1943.3259481526945</v>
          </cell>
          <cell r="O11">
            <v>2384.7401283344543</v>
          </cell>
          <cell r="P11">
            <v>2721.212587521597</v>
          </cell>
          <cell r="Q11">
            <v>2699.5554514190185</v>
          </cell>
          <cell r="R11">
            <v>2904.0072753658446</v>
          </cell>
          <cell r="S11">
            <v>3225.173115412696</v>
          </cell>
          <cell r="T11">
            <v>3315.1628210344202</v>
          </cell>
          <cell r="U11">
            <v>4038.1325261915636</v>
          </cell>
          <cell r="V11">
            <v>5350.2677248289847</v>
          </cell>
          <cell r="W11">
            <v>6369.3274596487945</v>
          </cell>
          <cell r="X11">
            <v>7614.3729714312412</v>
          </cell>
          <cell r="Y11">
            <v>8216.1763268176819</v>
          </cell>
          <cell r="Z11">
            <v>9135.6810031368095</v>
          </cell>
          <cell r="AA11">
            <v>10778.424268932895</v>
          </cell>
          <cell r="AB11">
            <v>11251.233845247336</v>
          </cell>
          <cell r="AC11">
            <v>12159.530532415361</v>
          </cell>
          <cell r="AD11">
            <v>13129.057332305963</v>
          </cell>
          <cell r="AE11">
            <v>13649.523566854785</v>
          </cell>
          <cell r="AF11">
            <v>14039.700438485943</v>
          </cell>
          <cell r="AG11">
            <v>12839.926813983631</v>
          </cell>
          <cell r="AH11">
            <v>13819.36138567146</v>
          </cell>
          <cell r="AI11">
            <v>14940.701902078761</v>
          </cell>
          <cell r="AJ11">
            <v>13448.288954458631</v>
          </cell>
          <cell r="AK11">
            <v>13750.265576138378</v>
          </cell>
          <cell r="AL11">
            <v>14120.228082333311</v>
          </cell>
          <cell r="AM11">
            <v>15387.52528571254</v>
          </cell>
          <cell r="AN11">
            <v>16532.042189373155</v>
          </cell>
          <cell r="AO11">
            <v>17025.866022327402</v>
          </cell>
          <cell r="AP11">
            <v>17814.116595569241</v>
          </cell>
          <cell r="AQ11">
            <v>18130.555421827747</v>
          </cell>
          <cell r="AR11">
            <v>16988.377696183772</v>
          </cell>
          <cell r="AS11">
            <v>19277.718274348124</v>
          </cell>
          <cell r="AT11">
            <v>20939.178207067653</v>
          </cell>
          <cell r="AU11">
            <v>21307.98359322951</v>
          </cell>
          <cell r="AV11">
            <v>21915.652330118912</v>
          </cell>
          <cell r="AW11">
            <v>22619.431152931047</v>
          </cell>
          <cell r="AX11"/>
          <cell r="AY11"/>
          <cell r="AZ11"/>
        </row>
        <row r="12">
          <cell r="E12">
            <v>3520.5742157908639</v>
          </cell>
          <cell r="F12">
            <v>3856.7853888485133</v>
          </cell>
          <cell r="G12">
            <v>4466.4404296739867</v>
          </cell>
          <cell r="H12">
            <v>6361.8359115283074</v>
          </cell>
          <cell r="I12">
            <v>7465.9377569160933</v>
          </cell>
          <cell r="J12">
            <v>7880.7299956345096</v>
          </cell>
          <cell r="K12">
            <v>8431.8098458243567</v>
          </cell>
          <cell r="L12">
            <v>8196.68366418611</v>
          </cell>
          <cell r="M12">
            <v>9504.30971526346</v>
          </cell>
          <cell r="N12">
            <v>10363.953010666166</v>
          </cell>
          <cell r="O12">
            <v>11809.587938219336</v>
          </cell>
          <cell r="P12">
            <v>13613.241343764401</v>
          </cell>
          <cell r="Q12">
            <v>12765.053538429625</v>
          </cell>
          <cell r="R12">
            <v>12649.634360024849</v>
          </cell>
          <cell r="S12">
            <v>13365.864254216414</v>
          </cell>
          <cell r="T12">
            <v>11570.510532247934</v>
          </cell>
          <cell r="U12">
            <v>12010.38598127731</v>
          </cell>
          <cell r="V12">
            <v>14026.509487734033</v>
          </cell>
          <cell r="W12">
            <v>17486.082228150415</v>
          </cell>
          <cell r="X12">
            <v>19056.360018470376</v>
          </cell>
          <cell r="Y12">
            <v>19012.486744071743</v>
          </cell>
          <cell r="Z12">
            <v>19106.207004520762</v>
          </cell>
          <cell r="AA12">
            <v>18643.541659851671</v>
          </cell>
          <cell r="AB12">
            <v>17922.281749576538</v>
          </cell>
          <cell r="AC12">
            <v>20298.907281301923</v>
          </cell>
          <cell r="AD12">
            <v>21630.001509121332</v>
          </cell>
          <cell r="AE12">
            <v>23807.329417474601</v>
          </cell>
          <cell r="AF12">
            <v>23608.930413652288</v>
          </cell>
          <cell r="AG12">
            <v>20841.097401109797</v>
          </cell>
          <cell r="AH12">
            <v>22582.563123034892</v>
          </cell>
          <cell r="AI12">
            <v>21451.983537464603</v>
          </cell>
          <cell r="AJ12">
            <v>20240.254940023453</v>
          </cell>
          <cell r="AK12">
            <v>22336.108419367574</v>
          </cell>
          <cell r="AL12">
            <v>28329.227456890327</v>
          </cell>
          <cell r="AM12">
            <v>33987.640529870325</v>
          </cell>
          <cell r="AN12">
            <v>37551.44053255058</v>
          </cell>
          <cell r="AO12">
            <v>39711.074470853579</v>
          </cell>
          <cell r="AP12">
            <v>46976.454102667616</v>
          </cell>
          <cell r="AQ12">
            <v>49666.177689090851</v>
          </cell>
          <cell r="AR12">
            <v>46460.193274404024</v>
          </cell>
          <cell r="AS12">
            <v>58770.173540185053</v>
          </cell>
          <cell r="AT12">
            <v>68505.947561811045</v>
          </cell>
          <cell r="AU12">
            <v>69670.0810556621</v>
          </cell>
          <cell r="AV12">
            <v>66520.586307264297</v>
          </cell>
          <cell r="AW12">
            <v>62194.702817522273</v>
          </cell>
          <cell r="AX12">
            <v>52521.988225326553</v>
          </cell>
          <cell r="AY12">
            <v>53865.951017453233</v>
          </cell>
          <cell r="AZ12">
            <v>57644.710709406063</v>
          </cell>
        </row>
        <row r="13">
          <cell r="E13">
            <v>2045.3124369781217</v>
          </cell>
          <cell r="F13">
            <v>2365.2907800178536</v>
          </cell>
          <cell r="G13">
            <v>2909.8851656029051</v>
          </cell>
          <cell r="H13">
            <v>3879.9143702597521</v>
          </cell>
          <cell r="I13">
            <v>4614.084011360701</v>
          </cell>
          <cell r="J13">
            <v>5244.8363222173621</v>
          </cell>
          <cell r="K13">
            <v>5622.3683651956107</v>
          </cell>
          <cell r="L13">
            <v>6750.0889316101875</v>
          </cell>
          <cell r="M13">
            <v>8134.821135539285</v>
          </cell>
          <cell r="N13">
            <v>9706.2109748586354</v>
          </cell>
          <cell r="O13">
            <v>10782.916843019326</v>
          </cell>
          <cell r="P13">
            <v>9340.6737622777418</v>
          </cell>
          <cell r="Q13">
            <v>9375.3036168173312</v>
          </cell>
          <cell r="R13">
            <v>9485.3990213468132</v>
          </cell>
          <cell r="S13">
            <v>8936.7610711195157</v>
          </cell>
          <cell r="T13">
            <v>9112.2272907422685</v>
          </cell>
          <cell r="U13">
            <v>12987.611671031251</v>
          </cell>
          <cell r="V13">
            <v>16231.743215916742</v>
          </cell>
          <cell r="W13">
            <v>17365.55405257193</v>
          </cell>
          <cell r="X13">
            <v>17302.901735650172</v>
          </cell>
          <cell r="Y13">
            <v>21491.597109198934</v>
          </cell>
          <cell r="Z13">
            <v>22386.040579716111</v>
          </cell>
          <cell r="AA13">
            <v>24901.247399256255</v>
          </cell>
          <cell r="AB13">
            <v>24074.750325832738</v>
          </cell>
          <cell r="AC13">
            <v>25669.389089930817</v>
          </cell>
          <cell r="AD13">
            <v>30162.246604275453</v>
          </cell>
          <cell r="AE13">
            <v>29558.99845133298</v>
          </cell>
          <cell r="AF13">
            <v>26516.032364996048</v>
          </cell>
          <cell r="AG13">
            <v>27110.887259748415</v>
          </cell>
          <cell r="AH13">
            <v>26952.795222225795</v>
          </cell>
          <cell r="AI13">
            <v>24413.590512953084</v>
          </cell>
          <cell r="AJ13">
            <v>24327.751369887035</v>
          </cell>
          <cell r="AK13">
            <v>26185.051851320048</v>
          </cell>
          <cell r="AL13">
            <v>32045.589866352766</v>
          </cell>
          <cell r="AM13">
            <v>36632.243311116668</v>
          </cell>
          <cell r="AN13">
            <v>38286.09160795527</v>
          </cell>
          <cell r="AO13">
            <v>40556.517498749206</v>
          </cell>
          <cell r="AP13">
            <v>46801.029333898638</v>
          </cell>
          <cell r="AQ13">
            <v>51568.318487853801</v>
          </cell>
          <cell r="AR13">
            <v>47789.508243570701</v>
          </cell>
          <cell r="AS13">
            <v>46611.459831682689</v>
          </cell>
          <cell r="AT13">
            <v>50946.445474773587</v>
          </cell>
          <cell r="AU13">
            <v>48018.51424846681</v>
          </cell>
          <cell r="AV13">
            <v>50129.509003609557</v>
          </cell>
          <cell r="AW13">
            <v>51197.583288738155</v>
          </cell>
          <cell r="AX13">
            <v>44016.026903701808</v>
          </cell>
          <cell r="AY13">
            <v>45320.601848390397</v>
          </cell>
          <cell r="AZ13">
            <v>47892.071255132891</v>
          </cell>
        </row>
        <row r="14">
          <cell r="E14">
            <v>2787.5153439823594</v>
          </cell>
          <cell r="F14">
            <v>3102.609331633711</v>
          </cell>
          <cell r="G14">
            <v>3859.4269007265771</v>
          </cell>
          <cell r="H14">
            <v>4937.8082603820831</v>
          </cell>
          <cell r="I14">
            <v>5779.6160878914789</v>
          </cell>
          <cell r="J14">
            <v>6757.1323729842834</v>
          </cell>
          <cell r="K14">
            <v>7299.2736201140669</v>
          </cell>
          <cell r="L14">
            <v>8483.6678677836207</v>
          </cell>
          <cell r="M14">
            <v>10369.211006734498</v>
          </cell>
          <cell r="N14">
            <v>11872.896683372272</v>
          </cell>
          <cell r="O14">
            <v>12969.912336565172</v>
          </cell>
          <cell r="P14">
            <v>10626.89361123301</v>
          </cell>
          <cell r="Q14">
            <v>9361.7062578666719</v>
          </cell>
          <cell r="R14">
            <v>8855.3781370354063</v>
          </cell>
          <cell r="S14">
            <v>8458.6138543569596</v>
          </cell>
          <cell r="T14">
            <v>8745.7138872905562</v>
          </cell>
          <cell r="U14">
            <v>12187.086482587272</v>
          </cell>
          <cell r="V14">
            <v>15087.06898381248</v>
          </cell>
          <cell r="W14">
            <v>16367.07226213021</v>
          </cell>
          <cell r="X14">
            <v>16532.774572312152</v>
          </cell>
          <cell r="Y14">
            <v>20586.528175961652</v>
          </cell>
          <cell r="Z14">
            <v>21116.705156510146</v>
          </cell>
          <cell r="AA14">
            <v>23417.110028962798</v>
          </cell>
          <cell r="AB14">
            <v>22334.942305681554</v>
          </cell>
          <cell r="AC14">
            <v>24222.327885836821</v>
          </cell>
          <cell r="AD14">
            <v>28469.597169925699</v>
          </cell>
          <cell r="AE14">
            <v>27526.68790760437</v>
          </cell>
          <cell r="AF14">
            <v>24941.829296359698</v>
          </cell>
          <cell r="AG14">
            <v>25495.006055796552</v>
          </cell>
          <cell r="AH14">
            <v>25353.090541737038</v>
          </cell>
          <cell r="AI14">
            <v>23147.173326520155</v>
          </cell>
          <cell r="AJ14">
            <v>23064.207944573027</v>
          </cell>
          <cell r="AK14">
            <v>24988.2174283651</v>
          </cell>
          <cell r="AL14">
            <v>30617.047725738819</v>
          </cell>
          <cell r="AM14">
            <v>35400.368144744949</v>
          </cell>
          <cell r="AN14">
            <v>36693.295063585596</v>
          </cell>
          <cell r="AO14">
            <v>38607.977142570882</v>
          </cell>
          <cell r="AP14">
            <v>44121.076834705338</v>
          </cell>
          <cell r="AQ14">
            <v>48148.406190345027</v>
          </cell>
          <cell r="AR14">
            <v>44658.107656425382</v>
          </cell>
          <cell r="AS14">
            <v>44246.416337385876</v>
          </cell>
          <cell r="AT14">
            <v>47852.17726952571</v>
          </cell>
          <cell r="AU14">
            <v>44931.452467846495</v>
          </cell>
          <cell r="AV14">
            <v>46720.121899164886</v>
          </cell>
          <cell r="AW14">
            <v>47329.742393392873</v>
          </cell>
          <cell r="AX14">
            <v>40397.096370108273</v>
          </cell>
          <cell r="AY14">
            <v>41354.437001134611</v>
          </cell>
          <cell r="AZ14">
            <v>43300.915381351158</v>
          </cell>
        </row>
        <row r="15">
          <cell r="E15">
            <v>4097.1386365356848</v>
          </cell>
          <cell r="F15">
            <v>4552.9059171351228</v>
          </cell>
          <cell r="G15">
            <v>5100.1507117102346</v>
          </cell>
          <cell r="H15">
            <v>5821.3829081709282</v>
          </cell>
          <cell r="I15">
            <v>7005.8091293574489</v>
          </cell>
          <cell r="J15">
            <v>7514.1836694505419</v>
          </cell>
          <cell r="K15">
            <v>8824.8429817430624</v>
          </cell>
          <cell r="L15">
            <v>8929.4785167698137</v>
          </cell>
          <cell r="M15">
            <v>9119.649045922306</v>
          </cell>
          <cell r="N15">
            <v>10009.041913089553</v>
          </cell>
          <cell r="O15">
            <v>11166.617259139937</v>
          </cell>
          <cell r="P15">
            <v>12343.119356350697</v>
          </cell>
          <cell r="Q15">
            <v>12499.526775104521</v>
          </cell>
          <cell r="R15">
            <v>13479.944530621216</v>
          </cell>
          <cell r="S15">
            <v>13882.549408579931</v>
          </cell>
          <cell r="T15">
            <v>14106.853735657194</v>
          </cell>
          <cell r="U15">
            <v>14384.876725040522</v>
          </cell>
          <cell r="V15">
            <v>16221.445081601396</v>
          </cell>
          <cell r="W15">
            <v>18814.122481495921</v>
          </cell>
          <cell r="X15">
            <v>20676.153398175215</v>
          </cell>
          <cell r="Y15">
            <v>21449.711620543767</v>
          </cell>
          <cell r="Z15">
            <v>21751.063288248726</v>
          </cell>
          <cell r="AA15">
            <v>20856.563564076681</v>
          </cell>
          <cell r="AB15">
            <v>20096.614211601118</v>
          </cell>
          <cell r="AC15">
            <v>19913.052309865834</v>
          </cell>
          <cell r="AD15">
            <v>20593.198680180532</v>
          </cell>
          <cell r="AE15">
            <v>21234.123188702284</v>
          </cell>
          <cell r="AF15">
            <v>21837.164312120964</v>
          </cell>
          <cell r="AG15">
            <v>20942.315386365506</v>
          </cell>
          <cell r="AH15">
            <v>22197.497041756644</v>
          </cell>
          <cell r="AI15">
            <v>24141.251438226442</v>
          </cell>
          <cell r="AJ15">
            <v>23723.00911414803</v>
          </cell>
          <cell r="AK15">
            <v>24201.101833383524</v>
          </cell>
          <cell r="AL15">
            <v>28203.031218795259</v>
          </cell>
          <cell r="AM15">
            <v>31925.466180665087</v>
          </cell>
          <cell r="AN15">
            <v>36236.395091919658</v>
          </cell>
          <cell r="AO15">
            <v>40434.382899637822</v>
          </cell>
          <cell r="AP15">
            <v>44215.717948783175</v>
          </cell>
          <cell r="AQ15">
            <v>46400.867330999361</v>
          </cell>
          <cell r="AR15">
            <v>40544.741388474496</v>
          </cell>
          <cell r="AS15">
            <v>47119.191184157367</v>
          </cell>
          <cell r="AT15">
            <v>51826.036845011542</v>
          </cell>
          <cell r="AU15">
            <v>52147.945210503487</v>
          </cell>
          <cell r="AV15">
            <v>52190.444292713961</v>
          </cell>
          <cell r="AW15">
            <v>50555.083583281412</v>
          </cell>
          <cell r="AX15">
            <v>43115.788311827178</v>
          </cell>
          <cell r="AY15">
            <v>42170.358989375498</v>
          </cell>
          <cell r="AZ15">
            <v>45069.840224411746</v>
          </cell>
        </row>
        <row r="16">
          <cell r="E16">
            <v>993.2357820218017</v>
          </cell>
          <cell r="F16">
            <v>1149.220660729731</v>
          </cell>
          <cell r="G16">
            <v>1382.2165252658431</v>
          </cell>
          <cell r="H16">
            <v>1663.4426407352416</v>
          </cell>
          <cell r="I16">
            <v>1457.2038023535858</v>
          </cell>
          <cell r="J16">
            <v>1201.5672467314603</v>
          </cell>
          <cell r="K16">
            <v>1372.6436397205316</v>
          </cell>
          <cell r="L16">
            <v>1728.4440970177063</v>
          </cell>
          <cell r="M16">
            <v>2235.3788735553308</v>
          </cell>
          <cell r="N16">
            <v>2899.3954759555359</v>
          </cell>
          <cell r="O16">
            <v>3486.7765499572515</v>
          </cell>
          <cell r="P16">
            <v>3346.7080036507523</v>
          </cell>
          <cell r="Q16">
            <v>3458.4728466883139</v>
          </cell>
          <cell r="R16">
            <v>3450.5786404102137</v>
          </cell>
          <cell r="S16">
            <v>3614.8309142532003</v>
          </cell>
          <cell r="T16">
            <v>3811.903452813538</v>
          </cell>
          <cell r="U16">
            <v>4811.8642504081608</v>
          </cell>
          <cell r="V16">
            <v>5677.8586704083609</v>
          </cell>
          <cell r="W16">
            <v>6432.9888034825162</v>
          </cell>
          <cell r="X16">
            <v>6739.1391662805372</v>
          </cell>
          <cell r="Y16">
            <v>8076.2741483980208</v>
          </cell>
          <cell r="Z16">
            <v>8160.9331068061583</v>
          </cell>
          <cell r="AA16">
            <v>9566.4955814885925</v>
          </cell>
          <cell r="AB16">
            <v>8923.1330734252533</v>
          </cell>
          <cell r="AC16">
            <v>9827.1111060673029</v>
          </cell>
          <cell r="AD16">
            <v>11487.912255782199</v>
          </cell>
          <cell r="AE16">
            <v>11338.124510117092</v>
          </cell>
          <cell r="AF16">
            <v>10752.998378576109</v>
          </cell>
          <cell r="AG16">
            <v>11384.075605477692</v>
          </cell>
          <cell r="AH16">
            <v>11453.774151503698</v>
          </cell>
          <cell r="AI16">
            <v>10770.815605235315</v>
          </cell>
          <cell r="AJ16">
            <v>10996.228051759796</v>
          </cell>
          <cell r="AK16">
            <v>11853.731648798423</v>
          </cell>
          <cell r="AL16">
            <v>14652.897057358216</v>
          </cell>
          <cell r="AM16">
            <v>17228.967823952651</v>
          </cell>
          <cell r="AN16">
            <v>18456.709555124369</v>
          </cell>
          <cell r="AO16">
            <v>19839.025317811705</v>
          </cell>
          <cell r="AP16">
            <v>22713.741942367858</v>
          </cell>
          <cell r="AQ16">
            <v>25741.251507309331</v>
          </cell>
          <cell r="AR16">
            <v>23624.10279069937</v>
          </cell>
          <cell r="AS16">
            <v>22973.727285555458</v>
          </cell>
          <cell r="AT16">
            <v>24384.668484711092</v>
          </cell>
          <cell r="AU16">
            <v>22061.859258789387</v>
          </cell>
          <cell r="AV16">
            <v>21056.00314713925</v>
          </cell>
          <cell r="AW16">
            <v>20275.621537278628</v>
          </cell>
          <cell r="AX16">
            <v>16952.414590197117</v>
          </cell>
          <cell r="AY16">
            <v>17467.686301085574</v>
          </cell>
          <cell r="AZ16">
            <v>18683.786952005936</v>
          </cell>
        </row>
        <row r="17">
          <cell r="E17">
            <v>3462.7118512358247</v>
          </cell>
          <cell r="F17">
            <v>3846.5336283763713</v>
          </cell>
          <cell r="G17">
            <v>4655.290174662251</v>
          </cell>
          <cell r="H17">
            <v>6124.9989837058083</v>
          </cell>
          <cell r="I17">
            <v>6775.9421678698</v>
          </cell>
          <cell r="J17">
            <v>7994.6512380970817</v>
          </cell>
          <cell r="K17">
            <v>8772.5489461585075</v>
          </cell>
          <cell r="L17">
            <v>9767.2967048554601</v>
          </cell>
          <cell r="M17">
            <v>11813.354886304258</v>
          </cell>
          <cell r="N17">
            <v>13746.994600003478</v>
          </cell>
          <cell r="O17">
            <v>13881.309599927399</v>
          </cell>
          <cell r="P17">
            <v>12073.06278893442</v>
          </cell>
          <cell r="Q17">
            <v>11791.61211660576</v>
          </cell>
          <cell r="R17">
            <v>11845.614030725405</v>
          </cell>
          <cell r="S17">
            <v>11552.89010288781</v>
          </cell>
          <cell r="T17">
            <v>12251.782656592579</v>
          </cell>
          <cell r="U17">
            <v>17220.865479346903</v>
          </cell>
          <cell r="V17">
            <v>21300.390813317317</v>
          </cell>
          <cell r="W17">
            <v>22645.453603077127</v>
          </cell>
          <cell r="X17">
            <v>21830.822431403951</v>
          </cell>
          <cell r="Y17">
            <v>26842.426205210348</v>
          </cell>
          <cell r="Z17">
            <v>26964.593742507142</v>
          </cell>
          <cell r="AA17">
            <v>29584.368625100306</v>
          </cell>
          <cell r="AB17">
            <v>27549.047901051526</v>
          </cell>
          <cell r="AC17">
            <v>29934.753750191408</v>
          </cell>
          <cell r="AD17">
            <v>35354.570027274618</v>
          </cell>
          <cell r="AE17">
            <v>35776.405080249519</v>
          </cell>
          <cell r="AF17">
            <v>32968.838195194847</v>
          </cell>
          <cell r="AG17">
            <v>33393.838440609623</v>
          </cell>
          <cell r="AH17">
            <v>33447.493260705924</v>
          </cell>
          <cell r="AI17">
            <v>30704.745043898423</v>
          </cell>
          <cell r="AJ17">
            <v>30794.716447849987</v>
          </cell>
          <cell r="AK17">
            <v>33315.955681217303</v>
          </cell>
          <cell r="AL17">
            <v>40468.033223884013</v>
          </cell>
          <cell r="AM17">
            <v>46457.727817314146</v>
          </cell>
          <cell r="AN17">
            <v>48693.196343140953</v>
          </cell>
          <cell r="AO17">
            <v>51980.942280398427</v>
          </cell>
          <cell r="AP17">
            <v>58318.557165988692</v>
          </cell>
          <cell r="AQ17">
            <v>64207.55957615735</v>
          </cell>
          <cell r="AR17">
            <v>58084.335197641449</v>
          </cell>
          <cell r="AS17">
            <v>57967.424467725825</v>
          </cell>
          <cell r="AT17">
            <v>61617.02048389781</v>
          </cell>
          <cell r="AU17">
            <v>58281.913357786783</v>
          </cell>
          <cell r="AV17">
            <v>61016.524658391718</v>
          </cell>
          <cell r="AW17">
            <v>62324.392637317585</v>
          </cell>
          <cell r="AX17">
            <v>53263.534079432982</v>
          </cell>
          <cell r="AY17">
            <v>54679.994097364739</v>
          </cell>
          <cell r="AZ17">
            <v>57657.682842558708</v>
          </cell>
        </row>
        <row r="18">
          <cell r="E18">
            <v>2443.9109444046721</v>
          </cell>
          <cell r="F18">
            <v>2685.1550767057361</v>
          </cell>
          <cell r="G18">
            <v>3146.204339895407</v>
          </cell>
          <cell r="H18">
            <v>4134.1850563880826</v>
          </cell>
          <cell r="I18">
            <v>5256.3027135347293</v>
          </cell>
          <cell r="J18">
            <v>6218.1357762406942</v>
          </cell>
          <cell r="K18">
            <v>6699.4050230259691</v>
          </cell>
          <cell r="L18">
            <v>7033.5887486907332</v>
          </cell>
          <cell r="M18">
            <v>7606.9301014322064</v>
          </cell>
          <cell r="N18">
            <v>9299.6106934208274</v>
          </cell>
          <cell r="O18">
            <v>11212.651870425123</v>
          </cell>
          <cell r="P18">
            <v>10912.584211901793</v>
          </cell>
          <cell r="Q18">
            <v>10926.305971748257</v>
          </cell>
          <cell r="R18">
            <v>10491.791893056979</v>
          </cell>
          <cell r="S18">
            <v>10827.269229557523</v>
          </cell>
          <cell r="T18">
            <v>11384.876468576036</v>
          </cell>
          <cell r="U18">
            <v>14924.709946837349</v>
          </cell>
          <cell r="V18">
            <v>18527.606737906746</v>
          </cell>
          <cell r="W18">
            <v>21970.991437965105</v>
          </cell>
          <cell r="X18">
            <v>23909.43347702434</v>
          </cell>
          <cell r="Y18">
            <v>28421.475266711528</v>
          </cell>
          <cell r="Z18">
            <v>25502.453116828132</v>
          </cell>
          <cell r="AA18">
            <v>22398.747255905688</v>
          </cell>
          <cell r="AB18">
            <v>17597.769760729399</v>
          </cell>
          <cell r="AC18">
            <v>20207.580903404429</v>
          </cell>
          <cell r="AD18">
            <v>26176.962124475362</v>
          </cell>
          <cell r="AE18">
            <v>25696.036522633243</v>
          </cell>
          <cell r="AF18">
            <v>24651.836484174491</v>
          </cell>
          <cell r="AG18">
            <v>25947.660857101586</v>
          </cell>
          <cell r="AH18">
            <v>26082.289429949346</v>
          </cell>
          <cell r="AI18">
            <v>24287.031072364945</v>
          </cell>
          <cell r="AJ18">
            <v>24805.407348053901</v>
          </cell>
          <cell r="AK18">
            <v>26854.015624817177</v>
          </cell>
          <cell r="AL18">
            <v>32714.105691049135</v>
          </cell>
          <cell r="AM18">
            <v>37579.749665454387</v>
          </cell>
          <cell r="AN18">
            <v>38791.183068333143</v>
          </cell>
          <cell r="AO18">
            <v>41117.408201122867</v>
          </cell>
          <cell r="AP18">
            <v>48131.243141297855</v>
          </cell>
          <cell r="AQ18">
            <v>53384.442044233147</v>
          </cell>
          <cell r="AR18">
            <v>46980.466233398205</v>
          </cell>
          <cell r="AS18">
            <v>46218.799049234578</v>
          </cell>
          <cell r="AT18">
            <v>50842.029361457513</v>
          </cell>
          <cell r="AU18">
            <v>47478.468422199971</v>
          </cell>
          <cell r="AV18">
            <v>49663.246401805831</v>
          </cell>
          <cell r="AW18">
            <v>50002.591709423767</v>
          </cell>
          <cell r="AX18">
            <v>42320.583527880328</v>
          </cell>
          <cell r="AY18">
            <v>43459.183734700411</v>
          </cell>
          <cell r="AZ18">
            <v>45683.829827733891</v>
          </cell>
        </row>
        <row r="19">
          <cell r="E19">
            <v>2910.8744526474284</v>
          </cell>
          <cell r="F19">
            <v>3237.5416277641584</v>
          </cell>
          <cell r="G19">
            <v>3923.4759074226677</v>
          </cell>
          <cell r="H19">
            <v>5056.2786800170807</v>
          </cell>
          <cell r="I19">
            <v>5432.4908540407478</v>
          </cell>
          <cell r="J19">
            <v>6809.9423195999116</v>
          </cell>
          <cell r="K19">
            <v>6979.913160873939</v>
          </cell>
          <cell r="L19">
            <v>7661.2298344284909</v>
          </cell>
          <cell r="M19">
            <v>9441.9646199342933</v>
          </cell>
          <cell r="N19">
            <v>11397.292463657301</v>
          </cell>
          <cell r="O19">
            <v>12964.479766682271</v>
          </cell>
          <cell r="P19">
            <v>11344.7917203058</v>
          </cell>
          <cell r="Q19">
            <v>10724.560864981115</v>
          </cell>
          <cell r="R19">
            <v>10215.653913492966</v>
          </cell>
          <cell r="S19">
            <v>9636.5436900928198</v>
          </cell>
          <cell r="T19">
            <v>9982.4035317129947</v>
          </cell>
          <cell r="U19">
            <v>13840.893560907543</v>
          </cell>
          <cell r="V19">
            <v>16671.275363988916</v>
          </cell>
          <cell r="W19">
            <v>18101.726592373394</v>
          </cell>
          <cell r="X19">
            <v>18177.581345382445</v>
          </cell>
          <cell r="Y19">
            <v>22296.021076656951</v>
          </cell>
          <cell r="Z19">
            <v>22188.171628966807</v>
          </cell>
          <cell r="AA19">
            <v>24349.106638234331</v>
          </cell>
          <cell r="AB19">
            <v>22859.193257507774</v>
          </cell>
          <cell r="AC19">
            <v>23969.377137628715</v>
          </cell>
          <cell r="AD19">
            <v>27471.682189998548</v>
          </cell>
          <cell r="AE19">
            <v>27521.514302777137</v>
          </cell>
          <cell r="AF19">
            <v>24675.22469259605</v>
          </cell>
          <cell r="AG19">
            <v>25408.690314139494</v>
          </cell>
          <cell r="AH19">
            <v>25119.652152497936</v>
          </cell>
          <cell r="AI19">
            <v>22815.652879972891</v>
          </cell>
          <cell r="AJ19">
            <v>23034.070461421838</v>
          </cell>
          <cell r="AK19">
            <v>24740.525026485644</v>
          </cell>
          <cell r="AL19">
            <v>30388.060821571613</v>
          </cell>
          <cell r="AM19">
            <v>34818.8225561851</v>
          </cell>
          <cell r="AN19">
            <v>35927.811228747472</v>
          </cell>
          <cell r="AO19">
            <v>37666.688898672124</v>
          </cell>
          <cell r="AP19">
            <v>42930.263563413289</v>
          </cell>
          <cell r="AQ19">
            <v>46847.749690804849</v>
          </cell>
          <cell r="AR19">
            <v>42911.252510866594</v>
          </cell>
          <cell r="AS19">
            <v>41886.983207444966</v>
          </cell>
          <cell r="AT19">
            <v>45150.592697829372</v>
          </cell>
          <cell r="AU19">
            <v>42111.964021549255</v>
          </cell>
          <cell r="AV19">
            <v>43961.259273244352</v>
          </cell>
          <cell r="AW19">
            <v>44398.99648920777</v>
          </cell>
          <cell r="AX19">
            <v>37854.576370056413</v>
          </cell>
          <cell r="AY19">
            <v>38176.837460460694</v>
          </cell>
          <cell r="AZ19">
            <v>39737.792180588243</v>
          </cell>
        </row>
        <row r="20">
          <cell r="E20">
            <v>2736.3094673863984</v>
          </cell>
          <cell r="F20">
            <v>3160.4355907795903</v>
          </cell>
          <cell r="G20">
            <v>3789.5252553734454</v>
          </cell>
          <cell r="H20">
            <v>5029.3801948936771</v>
          </cell>
          <cell r="I20">
            <v>5626.1487987614764</v>
          </cell>
          <cell r="J20">
            <v>6200.3515409128868</v>
          </cell>
          <cell r="K20">
            <v>6574.0632442144179</v>
          </cell>
          <cell r="L20">
            <v>7598.3014365618064</v>
          </cell>
          <cell r="M20">
            <v>9390.589906169429</v>
          </cell>
          <cell r="N20">
            <v>11191.150354405123</v>
          </cell>
          <cell r="O20">
            <v>12094.408209750703</v>
          </cell>
          <cell r="P20">
            <v>10201.455841187217</v>
          </cell>
          <cell r="Q20">
            <v>9930.0982664049843</v>
          </cell>
          <cell r="R20">
            <v>9872.7241314059575</v>
          </cell>
          <cell r="S20">
            <v>9291.6307784934943</v>
          </cell>
          <cell r="T20">
            <v>9393.0020744895428</v>
          </cell>
          <cell r="U20">
            <v>13361.168415677872</v>
          </cell>
          <cell r="V20">
            <v>16527.001122606162</v>
          </cell>
          <cell r="W20">
            <v>17867.622764862492</v>
          </cell>
          <cell r="X20">
            <v>17658.505540603841</v>
          </cell>
          <cell r="Y20">
            <v>22245.161702608275</v>
          </cell>
          <cell r="Z20">
            <v>23377.272886777482</v>
          </cell>
          <cell r="AA20">
            <v>26484.718317530784</v>
          </cell>
          <cell r="AB20">
            <v>25707.87056268493</v>
          </cell>
          <cell r="AC20">
            <v>27307.198820131311</v>
          </cell>
          <cell r="AD20">
            <v>31880.608279051776</v>
          </cell>
          <cell r="AE20">
            <v>30702.597253055817</v>
          </cell>
          <cell r="AF20">
            <v>27239.309258233854</v>
          </cell>
          <cell r="AG20">
            <v>27484.921575702701</v>
          </cell>
          <cell r="AH20">
            <v>26999.955425528133</v>
          </cell>
          <cell r="AI20">
            <v>23929.974268528182</v>
          </cell>
          <cell r="AJ20">
            <v>23915.860910651227</v>
          </cell>
          <cell r="AK20">
            <v>25486.488044288457</v>
          </cell>
          <cell r="AL20">
            <v>30727.233054530825</v>
          </cell>
          <cell r="AM20">
            <v>34509.91080583138</v>
          </cell>
          <cell r="AN20">
            <v>35018.450560412755</v>
          </cell>
          <cell r="AO20">
            <v>36791.599820417745</v>
          </cell>
          <cell r="AP20">
            <v>42289.298732294672</v>
          </cell>
          <cell r="AQ20">
            <v>46221.574840790709</v>
          </cell>
          <cell r="AR20">
            <v>42240.152906389303</v>
          </cell>
          <cell r="AS20">
            <v>42277.138659520991</v>
          </cell>
          <cell r="AT20">
            <v>46457.61661751385</v>
          </cell>
          <cell r="AU20">
            <v>43668.001608166676</v>
          </cell>
          <cell r="AV20">
            <v>46145.249790758979</v>
          </cell>
          <cell r="AW20">
            <v>47858.830292882296</v>
          </cell>
          <cell r="AX20">
            <v>41366.92373231674</v>
          </cell>
          <cell r="AY20">
            <v>42712.392129243497</v>
          </cell>
          <cell r="AZ20">
            <v>44946.74797001484</v>
          </cell>
        </row>
        <row r="21">
          <cell r="E21">
            <v>2538.3368333773592</v>
          </cell>
          <cell r="F21">
            <v>3188.6049355829405</v>
          </cell>
          <cell r="G21">
            <v>3940.4270500978905</v>
          </cell>
          <cell r="H21">
            <v>5325.6714313907923</v>
          </cell>
          <cell r="I21">
            <v>6924.7434903021394</v>
          </cell>
          <cell r="J21">
            <v>6356.1150639702846</v>
          </cell>
          <cell r="K21">
            <v>7466.2182068264246</v>
          </cell>
          <cell r="L21">
            <v>9789.1322604446923</v>
          </cell>
          <cell r="M21">
            <v>11039.959915235333</v>
          </cell>
          <cell r="N21">
            <v>12433.107123744488</v>
          </cell>
          <cell r="O21">
            <v>14594.177331312265</v>
          </cell>
          <cell r="P21">
            <v>14918.920256303541</v>
          </cell>
          <cell r="Q21">
            <v>13542.791519661849</v>
          </cell>
          <cell r="R21">
            <v>11545.586283307699</v>
          </cell>
          <cell r="S21">
            <v>11817.034307895883</v>
          </cell>
          <cell r="T21">
            <v>12169.149187439461</v>
          </cell>
          <cell r="U21">
            <v>16086.875386258806</v>
          </cell>
          <cell r="V21">
            <v>22013.388972540637</v>
          </cell>
          <cell r="W21">
            <v>24088.194986306637</v>
          </cell>
          <cell r="X21">
            <v>22140.435809566068</v>
          </cell>
          <cell r="Y21">
            <v>24987.581729355443</v>
          </cell>
          <cell r="Z21">
            <v>26423.629359065926</v>
          </cell>
          <cell r="AA21">
            <v>26815.489042902005</v>
          </cell>
          <cell r="AB21">
            <v>23325.02526879264</v>
          </cell>
          <cell r="AC21">
            <v>23741.619258650211</v>
          </cell>
          <cell r="AD21">
            <v>26223.255962545165</v>
          </cell>
          <cell r="AE21">
            <v>27136.647192300574</v>
          </cell>
          <cell r="AF21">
            <v>27798.825355965517</v>
          </cell>
          <cell r="AG21">
            <v>30854.392381291411</v>
          </cell>
          <cell r="AH21">
            <v>32287.076402634324</v>
          </cell>
          <cell r="AI21">
            <v>32105.998135040205</v>
          </cell>
          <cell r="AJ21">
            <v>29003.725704913628</v>
          </cell>
          <cell r="AK21">
            <v>32575.221134199466</v>
          </cell>
          <cell r="AL21">
            <v>39638.750614685778</v>
          </cell>
          <cell r="AM21">
            <v>47525.139661426845</v>
          </cell>
          <cell r="AN21">
            <v>56995.714227114469</v>
          </cell>
          <cell r="AO21">
            <v>57440.137594752574</v>
          </cell>
          <cell r="AP21">
            <v>70494.636084534737</v>
          </cell>
          <cell r="AQ21">
            <v>57594.628346907528</v>
          </cell>
          <cell r="AR21">
            <v>41648.964316673308</v>
          </cell>
          <cell r="AS21">
            <v>42717.744593042131</v>
          </cell>
          <cell r="AT21">
            <v>46869.835237989224</v>
          </cell>
          <cell r="AU21">
            <v>45231.6505102511</v>
          </cell>
          <cell r="AV21">
            <v>49027.815664665824</v>
          </cell>
          <cell r="AW21">
            <v>54064.858359795289</v>
          </cell>
          <cell r="AX21">
            <v>52519.405125922429</v>
          </cell>
          <cell r="AY21">
            <v>62232.149905522361</v>
          </cell>
          <cell r="AZ21">
            <v>72954.137381077278</v>
          </cell>
        </row>
        <row r="22">
          <cell r="E22">
            <v>1492.0720146250947</v>
          </cell>
          <cell r="F22">
            <v>1709.1085452140312</v>
          </cell>
          <cell r="G22">
            <v>2087.4306643193381</v>
          </cell>
          <cell r="H22">
            <v>2432.5578257360858</v>
          </cell>
          <cell r="I22">
            <v>2524.852363409902</v>
          </cell>
          <cell r="J22">
            <v>2982.1677706849541</v>
          </cell>
          <cell r="K22">
            <v>2923.4014876479264</v>
          </cell>
          <cell r="L22">
            <v>3421.8011144972761</v>
          </cell>
          <cell r="M22">
            <v>4386.917186411486</v>
          </cell>
          <cell r="N22">
            <v>5407.9935006693049</v>
          </cell>
          <cell r="O22">
            <v>6338.7991221422826</v>
          </cell>
          <cell r="P22">
            <v>5959.1085307098874</v>
          </cell>
          <cell r="Q22">
            <v>6133.53881084967</v>
          </cell>
          <cell r="R22">
            <v>5886.6425209299796</v>
          </cell>
          <cell r="S22">
            <v>5667.980575810594</v>
          </cell>
          <cell r="T22">
            <v>5973.6397950158753</v>
          </cell>
          <cell r="U22">
            <v>8050.0796685619371</v>
          </cell>
          <cell r="V22">
            <v>9507.9266753645261</v>
          </cell>
          <cell r="W22">
            <v>10595.419249101737</v>
          </cell>
          <cell r="X22">
            <v>11013.222449877203</v>
          </cell>
          <cell r="Y22">
            <v>13831.081634076783</v>
          </cell>
          <cell r="Z22">
            <v>13938.155121316977</v>
          </cell>
          <cell r="AA22">
            <v>15601.971837438283</v>
          </cell>
          <cell r="AB22">
            <v>14554.449227535004</v>
          </cell>
          <cell r="AC22">
            <v>15762.44238900474</v>
          </cell>
          <cell r="AD22">
            <v>18957.613752808742</v>
          </cell>
          <cell r="AE22">
            <v>20620.00255064814</v>
          </cell>
          <cell r="AF22">
            <v>22310.98061987941</v>
          </cell>
          <cell r="AG22">
            <v>24018.223870771642</v>
          </cell>
          <cell r="AH22">
            <v>26000.270656867153</v>
          </cell>
          <cell r="AI22">
            <v>25944.06152085754</v>
          </cell>
          <cell r="AJ22">
            <v>27882.279481225891</v>
          </cell>
          <cell r="AK22">
            <v>32190.827223782584</v>
          </cell>
          <cell r="AL22">
            <v>40498.356976718627</v>
          </cell>
          <cell r="AM22">
            <v>46987.598422669915</v>
          </cell>
          <cell r="AN22">
            <v>50320.711458904239</v>
          </cell>
          <cell r="AO22">
            <v>53911.237007275697</v>
          </cell>
          <cell r="AP22">
            <v>61390.522622066528</v>
          </cell>
          <cell r="AQ22">
            <v>61252.822919870836</v>
          </cell>
          <cell r="AR22">
            <v>51663.023985653439</v>
          </cell>
          <cell r="AS22">
            <v>47979.998824273905</v>
          </cell>
          <cell r="AT22">
            <v>51044.711521241785</v>
          </cell>
          <cell r="AU22">
            <v>48096.274633575857</v>
          </cell>
          <cell r="AV22">
            <v>51046.921091071337</v>
          </cell>
          <cell r="AW22">
            <v>55266.927523719438</v>
          </cell>
          <cell r="AX22">
            <v>61913.484097276931</v>
          </cell>
          <cell r="AY22">
            <v>63736.154270195708</v>
          </cell>
          <cell r="AZ22">
            <v>69310.285185648958</v>
          </cell>
        </row>
        <row r="23">
          <cell r="E23">
            <v>2110.3867849841135</v>
          </cell>
          <cell r="F23">
            <v>2166.6054051734823</v>
          </cell>
          <cell r="G23">
            <v>2755.1582499484166</v>
          </cell>
          <cell r="H23">
            <v>3427.0471295647831</v>
          </cell>
          <cell r="I23">
            <v>4511.6037854488395</v>
          </cell>
          <cell r="J23">
            <v>4338.9580293458321</v>
          </cell>
          <cell r="K23">
            <v>4450.5181966493801</v>
          </cell>
          <cell r="L23">
            <v>4711.8147981701586</v>
          </cell>
          <cell r="M23">
            <v>4547.7243643600978</v>
          </cell>
          <cell r="N23">
            <v>5739.7288936126397</v>
          </cell>
          <cell r="O23">
            <v>6392.7893356071445</v>
          </cell>
          <cell r="P23">
            <v>6655.6798931231442</v>
          </cell>
          <cell r="Q23">
            <v>7144.8015242565471</v>
          </cell>
          <cell r="R23">
            <v>7832.8262243985819</v>
          </cell>
          <cell r="S23">
            <v>7227.0569931750215</v>
          </cell>
          <cell r="T23">
            <v>6705.9656820206392</v>
          </cell>
          <cell r="U23">
            <v>8180.1743387356692</v>
          </cell>
          <cell r="V23">
            <v>9670.6018567997235</v>
          </cell>
          <cell r="W23">
            <v>11619.720511765374</v>
          </cell>
          <cell r="X23">
            <v>11329.150615312858</v>
          </cell>
          <cell r="Y23">
            <v>13051.824762275093</v>
          </cell>
          <cell r="Z23">
            <v>14482.624920367385</v>
          </cell>
          <cell r="AA23">
            <v>15649.924395147455</v>
          </cell>
          <cell r="AB23">
            <v>15164.281855673824</v>
          </cell>
          <cell r="AC23">
            <v>16636.448497620629</v>
          </cell>
          <cell r="AD23">
            <v>18748.644238663492</v>
          </cell>
          <cell r="AE23">
            <v>20043.450556542848</v>
          </cell>
          <cell r="AF23">
            <v>20420.687470434397</v>
          </cell>
          <cell r="AG23">
            <v>20120.689445831114</v>
          </cell>
          <cell r="AH23">
            <v>19858.20899322275</v>
          </cell>
          <cell r="AI23">
            <v>21949.731456675636</v>
          </cell>
          <cell r="AJ23">
            <v>21371.948583333469</v>
          </cell>
          <cell r="AK23">
            <v>19393.247784000891</v>
          </cell>
          <cell r="AL23">
            <v>20001.515075393901</v>
          </cell>
          <cell r="AM23">
            <v>20869.316801948793</v>
          </cell>
          <cell r="AN23">
            <v>21505.474051828194</v>
          </cell>
          <cell r="AO23">
            <v>22797.21536455338</v>
          </cell>
          <cell r="AP23">
            <v>25857.019350150989</v>
          </cell>
          <cell r="AQ23">
            <v>30433.637059152563</v>
          </cell>
          <cell r="AR23">
            <v>28481.42412624288</v>
          </cell>
          <cell r="AS23">
            <v>31511.081599023102</v>
          </cell>
          <cell r="AT23">
            <v>34615.910053596526</v>
          </cell>
          <cell r="AU23">
            <v>33380.503318242838</v>
          </cell>
          <cell r="AV23">
            <v>37462.737042911453</v>
          </cell>
          <cell r="AW23">
            <v>39036.287251164133</v>
          </cell>
          <cell r="AX23">
            <v>37199.857598945113</v>
          </cell>
          <cell r="AY23">
            <v>38908.313230704829</v>
          </cell>
          <cell r="AZ23">
            <v>42363.509393118125</v>
          </cell>
        </row>
        <row r="24">
          <cell r="E24">
            <v>2109.0476951617552</v>
          </cell>
          <cell r="F24">
            <v>2298.4275345094065</v>
          </cell>
          <cell r="G24">
            <v>2669.3167889201482</v>
          </cell>
          <cell r="H24">
            <v>3200.2851069996123</v>
          </cell>
          <cell r="I24">
            <v>3616.7209259619785</v>
          </cell>
          <cell r="J24">
            <v>4102.6051795914518</v>
          </cell>
          <cell r="K24">
            <v>4028.4662938225197</v>
          </cell>
          <cell r="L24">
            <v>4602.0178541102323</v>
          </cell>
          <cell r="M24">
            <v>5601.4389918380257</v>
          </cell>
          <cell r="N24">
            <v>6969.2853637895842</v>
          </cell>
          <cell r="O24">
            <v>8436.8322318186274</v>
          </cell>
          <cell r="P24">
            <v>7582.6530391485485</v>
          </cell>
          <cell r="Q24">
            <v>7510.9654806605331</v>
          </cell>
          <cell r="R24">
            <v>7776.3950729605313</v>
          </cell>
          <cell r="S24">
            <v>7657.4928497282363</v>
          </cell>
          <cell r="T24">
            <v>7910.5664681225571</v>
          </cell>
          <cell r="U24">
            <v>11180.863968842192</v>
          </cell>
          <cell r="V24">
            <v>14065.645611732269</v>
          </cell>
          <cell r="W24">
            <v>15568.324032967161</v>
          </cell>
          <cell r="X24">
            <v>16213.426117553292</v>
          </cell>
          <cell r="Y24">
            <v>20655.688576634006</v>
          </cell>
          <cell r="Z24">
            <v>21696.332668888979</v>
          </cell>
          <cell r="AA24">
            <v>23081.407003402481</v>
          </cell>
          <cell r="AB24">
            <v>18522.839219938236</v>
          </cell>
          <cell r="AC24">
            <v>19213.514688417577</v>
          </cell>
          <cell r="AD24">
            <v>20434.827989049449</v>
          </cell>
          <cell r="AE24">
            <v>22890.223798591753</v>
          </cell>
          <cell r="AF24">
            <v>21684.045963182587</v>
          </cell>
          <cell r="AG24">
            <v>22220.841147370858</v>
          </cell>
          <cell r="AH24">
            <v>21860.795073968886</v>
          </cell>
          <cell r="AI24">
            <v>19897.468692903865</v>
          </cell>
          <cell r="AJ24">
            <v>20171.679073872307</v>
          </cell>
          <cell r="AK24">
            <v>21971.647785697336</v>
          </cell>
          <cell r="AL24">
            <v>27000.516414972553</v>
          </cell>
          <cell r="AM24">
            <v>30772.016557259612</v>
          </cell>
          <cell r="AN24">
            <v>31458.046087363859</v>
          </cell>
          <cell r="AO24">
            <v>32836.904781168436</v>
          </cell>
          <cell r="AP24">
            <v>37091.042594139428</v>
          </cell>
          <cell r="AQ24">
            <v>40166.457868309946</v>
          </cell>
          <cell r="AR24">
            <v>36719.181691406899</v>
          </cell>
          <cell r="AS24">
            <v>35660.586754271833</v>
          </cell>
          <cell r="AT24">
            <v>38152.656408822986</v>
          </cell>
          <cell r="AU24">
            <v>34653.728560391035</v>
          </cell>
          <cell r="AV24">
            <v>35697.52631226118</v>
          </cell>
          <cell r="AW24">
            <v>36082.50225540813</v>
          </cell>
          <cell r="AX24">
            <v>30754.125439052954</v>
          </cell>
          <cell r="AY24">
            <v>31483.955675169895</v>
          </cell>
          <cell r="AZ24">
            <v>32733.573280549266</v>
          </cell>
        </row>
        <row r="25">
          <cell r="E25">
            <v>2030.0089068785164</v>
          </cell>
          <cell r="F25">
            <v>2255.1034682814811</v>
          </cell>
          <cell r="G25">
            <v>2945.0705446268948</v>
          </cell>
          <cell r="H25">
            <v>3944.0211925405411</v>
          </cell>
          <cell r="I25">
            <v>4323.1502969139619</v>
          </cell>
          <cell r="J25">
            <v>4643.1756845321834</v>
          </cell>
          <cell r="K25">
            <v>5154.3620609679756</v>
          </cell>
          <cell r="L25">
            <v>6278.3483537665561</v>
          </cell>
          <cell r="M25">
            <v>8715.1392703416186</v>
          </cell>
          <cell r="N25">
            <v>9069.2840597647337</v>
          </cell>
          <cell r="O25">
            <v>9420.5630624712667</v>
          </cell>
          <cell r="P25">
            <v>10274.273932219974</v>
          </cell>
          <cell r="Q25">
            <v>9446.9264316173285</v>
          </cell>
          <cell r="R25">
            <v>10295.74630909119</v>
          </cell>
          <cell r="S25">
            <v>10891.107081034786</v>
          </cell>
          <cell r="T25">
            <v>11485.385175518015</v>
          </cell>
          <cell r="U25">
            <v>16976.868885552136</v>
          </cell>
          <cell r="V25">
            <v>20555.200348694194</v>
          </cell>
          <cell r="W25">
            <v>24839.198955090145</v>
          </cell>
          <cell r="X25">
            <v>24583.113912249923</v>
          </cell>
          <cell r="Y25">
            <v>25137.420576191442</v>
          </cell>
          <cell r="Z25">
            <v>28653.750132383528</v>
          </cell>
          <cell r="AA25">
            <v>31194.782840909989</v>
          </cell>
          <cell r="AB25">
            <v>35396.816609172689</v>
          </cell>
          <cell r="AC25">
            <v>38948.72520108489</v>
          </cell>
          <cell r="AD25">
            <v>43125.459859834817</v>
          </cell>
          <cell r="AE25">
            <v>38135.385260242503</v>
          </cell>
          <cell r="AF25">
            <v>34751.054477801816</v>
          </cell>
          <cell r="AG25">
            <v>31700.517050378745</v>
          </cell>
          <cell r="AH25">
            <v>35810.808858111421</v>
          </cell>
          <cell r="AI25">
            <v>38342.735693502</v>
          </cell>
          <cell r="AJ25">
            <v>33666.471682989737</v>
          </cell>
          <cell r="AK25">
            <v>32212.007297802258</v>
          </cell>
          <cell r="AL25">
            <v>34747.2220025469</v>
          </cell>
          <cell r="AM25">
            <v>37593.506437755386</v>
          </cell>
          <cell r="AN25">
            <v>37090.205436725948</v>
          </cell>
          <cell r="AO25">
            <v>35271.310972806736</v>
          </cell>
          <cell r="AP25">
            <v>35173.660767535344</v>
          </cell>
          <cell r="AQ25">
            <v>39206.378267867185</v>
          </cell>
          <cell r="AR25">
            <v>40679.287792940653</v>
          </cell>
          <cell r="AS25">
            <v>44340.07775476035</v>
          </cell>
          <cell r="AT25">
            <v>47935.728770931026</v>
          </cell>
          <cell r="AU25">
            <v>48276.684329911521</v>
          </cell>
          <cell r="AV25">
            <v>40214.188875134321</v>
          </cell>
          <cell r="AW25">
            <v>37842.472818493021</v>
          </cell>
          <cell r="AX25">
            <v>34303.585638940618</v>
          </cell>
          <cell r="AY25">
            <v>38777.22302064133</v>
          </cell>
          <cell r="AZ25">
            <v>38265.105680836015</v>
          </cell>
        </row>
        <row r="26">
          <cell r="E26">
            <v>4443.1459690050287</v>
          </cell>
          <cell r="F26">
            <v>4594.550910801634</v>
          </cell>
          <cell r="G26">
            <v>5704.8057652353064</v>
          </cell>
          <cell r="H26">
            <v>7760.1322302418621</v>
          </cell>
          <cell r="I26">
            <v>9385.0346252302897</v>
          </cell>
          <cell r="J26">
            <v>9134.1703584635416</v>
          </cell>
          <cell r="K26">
            <v>9940.0916385277251</v>
          </cell>
          <cell r="L26">
            <v>10928.032245214057</v>
          </cell>
          <cell r="M26">
            <v>13529.306062762931</v>
          </cell>
          <cell r="N26">
            <v>15743.394626077417</v>
          </cell>
          <cell r="O26">
            <v>17119.532861953972</v>
          </cell>
          <cell r="P26">
            <v>14342.170902541526</v>
          </cell>
          <cell r="Q26">
            <v>13049.595982448549</v>
          </cell>
          <cell r="R26">
            <v>12821.123702111934</v>
          </cell>
          <cell r="S26">
            <v>12561.157364097377</v>
          </cell>
          <cell r="T26">
            <v>12915.319103585874</v>
          </cell>
          <cell r="U26">
            <v>18774.011690798718</v>
          </cell>
          <cell r="V26">
            <v>23214.336452174477</v>
          </cell>
          <cell r="W26">
            <v>26062.779505396695</v>
          </cell>
          <cell r="X26">
            <v>27512.161596585705</v>
          </cell>
          <cell r="Y26">
            <v>34650.140791689693</v>
          </cell>
          <cell r="Z26">
            <v>37068.939205698429</v>
          </cell>
          <cell r="AA26">
            <v>41049.276389009538</v>
          </cell>
          <cell r="AB26">
            <v>41547.372614097425</v>
          </cell>
          <cell r="AC26">
            <v>45539.423553734414</v>
          </cell>
          <cell r="AD26">
            <v>52893.552163548113</v>
          </cell>
          <cell r="AE26">
            <v>52599.546310498336</v>
          </cell>
          <cell r="AF26">
            <v>46983.03853809998</v>
          </cell>
          <cell r="AG26">
            <v>47456.813565411794</v>
          </cell>
          <cell r="AH26">
            <v>51558.641575190952</v>
          </cell>
          <cell r="AI26">
            <v>48757.973478742409</v>
          </cell>
          <cell r="AJ26">
            <v>48324.227815664766</v>
          </cell>
          <cell r="AK26">
            <v>53225.195447190381</v>
          </cell>
          <cell r="AL26">
            <v>66073.623219962348</v>
          </cell>
          <cell r="AM26">
            <v>76771.426655364208</v>
          </cell>
          <cell r="AN26">
            <v>81570.641623092684</v>
          </cell>
          <cell r="AO26">
            <v>91100.356682576021</v>
          </cell>
          <cell r="AP26">
            <v>107190.15039117631</v>
          </cell>
          <cell r="AQ26">
            <v>115133.3328145453</v>
          </cell>
          <cell r="AR26">
            <v>103505.18337467432</v>
          </cell>
          <cell r="AS26">
            <v>104771.86316695184</v>
          </cell>
          <cell r="AT26">
            <v>115406.61389273014</v>
          </cell>
          <cell r="AU26">
            <v>106460.07845232885</v>
          </cell>
          <cell r="AV26">
            <v>113341.23746284796</v>
          </cell>
          <cell r="AW26">
            <v>118824.28913962567</v>
          </cell>
          <cell r="AX26">
            <v>100935.70097275476</v>
          </cell>
          <cell r="AY26">
            <v>102791.37486161984</v>
          </cell>
          <cell r="AZ26">
            <v>107356.29975381721</v>
          </cell>
        </row>
        <row r="27">
          <cell r="E27">
            <v>2935.3366408389884</v>
          </cell>
          <cell r="F27">
            <v>3390.6197230104322</v>
          </cell>
          <cell r="G27">
            <v>4115.7684603215812</v>
          </cell>
          <cell r="H27">
            <v>5348.961555058967</v>
          </cell>
          <cell r="I27">
            <v>6432.5380391047684</v>
          </cell>
          <cell r="J27">
            <v>7308.1833895076852</v>
          </cell>
          <cell r="K27">
            <v>7902.4962463142829</v>
          </cell>
          <cell r="L27">
            <v>9141.3487894586851</v>
          </cell>
          <cell r="M27">
            <v>11155.558543084055</v>
          </cell>
          <cell r="N27">
            <v>12794.456417923242</v>
          </cell>
          <cell r="O27">
            <v>13782.462558526873</v>
          </cell>
          <cell r="P27">
            <v>11530.00088654458</v>
          </cell>
          <cell r="Q27">
            <v>11052.647889150616</v>
          </cell>
          <cell r="R27">
            <v>10650.602124481871</v>
          </cell>
          <cell r="S27">
            <v>9974.0218289779405</v>
          </cell>
          <cell r="T27">
            <v>9921.4900093696069</v>
          </cell>
          <cell r="U27">
            <v>13771.127290092221</v>
          </cell>
          <cell r="V27">
            <v>16686.362249754795</v>
          </cell>
          <cell r="W27">
            <v>17733.81116252713</v>
          </cell>
          <cell r="X27">
            <v>17351.939365060254</v>
          </cell>
          <cell r="Y27">
            <v>21248.946239364166</v>
          </cell>
          <cell r="Z27">
            <v>21706.633978821363</v>
          </cell>
          <cell r="AA27">
            <v>23935.335821992841</v>
          </cell>
          <cell r="AB27">
            <v>23185.738858106291</v>
          </cell>
          <cell r="AC27">
            <v>24659.837388217413</v>
          </cell>
          <cell r="AD27">
            <v>29221.900314400493</v>
          </cell>
          <cell r="AE27">
            <v>28914.259902571794</v>
          </cell>
          <cell r="AF27">
            <v>26636.049049933012</v>
          </cell>
          <cell r="AG27">
            <v>27817.211957057083</v>
          </cell>
          <cell r="AH27">
            <v>28227.675208453802</v>
          </cell>
          <cell r="AI27">
            <v>26120.500398463209</v>
          </cell>
          <cell r="AJ27">
            <v>26907.037869751708</v>
          </cell>
          <cell r="AK27">
            <v>29297.926706146449</v>
          </cell>
          <cell r="AL27">
            <v>35738.642750045969</v>
          </cell>
          <cell r="AM27">
            <v>40338.469847024491</v>
          </cell>
          <cell r="AN27">
            <v>41852.104073291157</v>
          </cell>
          <cell r="AO27">
            <v>44585.77262521151</v>
          </cell>
          <cell r="AP27">
            <v>51311.390716794078</v>
          </cell>
          <cell r="AQ27">
            <v>57216.200103158153</v>
          </cell>
          <cell r="AR27">
            <v>52204.478446587178</v>
          </cell>
          <cell r="AS27">
            <v>50770.497749284492</v>
          </cell>
          <cell r="AT27">
            <v>54012.062614320057</v>
          </cell>
          <cell r="AU27">
            <v>49972.910989370721</v>
          </cell>
          <cell r="AV27">
            <v>52079.312576827375</v>
          </cell>
          <cell r="AW27">
            <v>52755.119851816729</v>
          </cell>
          <cell r="AX27">
            <v>45163.3851875904</v>
          </cell>
          <cell r="AY27">
            <v>46175.50224693292</v>
          </cell>
          <cell r="AZ27">
            <v>48830.449046219692</v>
          </cell>
        </row>
        <row r="28">
          <cell r="E28">
            <v>2305.171603473902</v>
          </cell>
          <cell r="F28">
            <v>2764.9589041048175</v>
          </cell>
          <cell r="G28">
            <v>3296.3314157216851</v>
          </cell>
          <cell r="H28">
            <v>4249.9140134387771</v>
          </cell>
          <cell r="I28">
            <v>4688.0571870078566</v>
          </cell>
          <cell r="J28">
            <v>4484.5501465792395</v>
          </cell>
          <cell r="K28">
            <v>4472.804582492915</v>
          </cell>
          <cell r="L28">
            <v>4869.9876483071066</v>
          </cell>
          <cell r="M28">
            <v>5901.9564989089013</v>
          </cell>
          <cell r="N28">
            <v>6697.0980561012238</v>
          </cell>
          <cell r="O28">
            <v>7425.3132161853719</v>
          </cell>
          <cell r="P28">
            <v>7956.3690311132232</v>
          </cell>
          <cell r="Q28">
            <v>7866.6558495913023</v>
          </cell>
          <cell r="R28">
            <v>7739.7293363340004</v>
          </cell>
          <cell r="S28">
            <v>7384.4223856904455</v>
          </cell>
          <cell r="T28">
            <v>7376.3860902333854</v>
          </cell>
          <cell r="U28">
            <v>9206.369807166755</v>
          </cell>
          <cell r="V28">
            <v>11615.692184503599</v>
          </cell>
          <cell r="W28">
            <v>13883.536416013962</v>
          </cell>
          <cell r="X28">
            <v>13280.205049335651</v>
          </cell>
          <cell r="Y28">
            <v>13371.951515697263</v>
          </cell>
          <cell r="Z28">
            <v>12719.483922151258</v>
          </cell>
          <cell r="AA28">
            <v>12006.544070089441</v>
          </cell>
          <cell r="AB28">
            <v>12804.55900129725</v>
          </cell>
          <cell r="AC28">
            <v>14783.319469463986</v>
          </cell>
          <cell r="AD28">
            <v>17184.363520888528</v>
          </cell>
          <cell r="AE28">
            <v>18694.103498756776</v>
          </cell>
          <cell r="AF28">
            <v>18468.937640078435</v>
          </cell>
          <cell r="AG28">
            <v>15111.170003017991</v>
          </cell>
          <cell r="AH28">
            <v>15694.004473916688</v>
          </cell>
          <cell r="AI28">
            <v>14108.161148784957</v>
          </cell>
          <cell r="AJ28">
            <v>13845.956917122172</v>
          </cell>
          <cell r="AK28">
            <v>15775.204078213446</v>
          </cell>
          <cell r="AL28">
            <v>20862.492318505723</v>
          </cell>
          <cell r="AM28">
            <v>24997.31646455601</v>
          </cell>
          <cell r="AN28">
            <v>27808.978914748554</v>
          </cell>
          <cell r="AO28">
            <v>26756.383368327657</v>
          </cell>
          <cell r="AP28">
            <v>32363.598652634882</v>
          </cell>
          <cell r="AQ28">
            <v>31086.93238592206</v>
          </cell>
          <cell r="AR28">
            <v>27986.701459610566</v>
          </cell>
          <cell r="AS28">
            <v>33637.9666924634</v>
          </cell>
          <cell r="AT28">
            <v>38023.114885257331</v>
          </cell>
          <cell r="AU28">
            <v>39393.492418879061</v>
          </cell>
          <cell r="AV28">
            <v>42279.769440226919</v>
          </cell>
          <cell r="AW28">
            <v>44014.27726804914</v>
          </cell>
          <cell r="AX28">
            <v>38357.085832322759</v>
          </cell>
          <cell r="AY28">
            <v>40341.356542488247</v>
          </cell>
          <cell r="AZ28">
            <v>42932.082720346792</v>
          </cell>
        </row>
        <row r="29">
          <cell r="E29">
            <v>3305.984650134415</v>
          </cell>
          <cell r="F29">
            <v>3734.2122995880695</v>
          </cell>
          <cell r="G29">
            <v>4412.7338059981312</v>
          </cell>
          <cell r="H29">
            <v>5689.282986627456</v>
          </cell>
          <cell r="I29">
            <v>6810.6916580881698</v>
          </cell>
          <cell r="J29">
            <v>8202.9163746487993</v>
          </cell>
          <cell r="K29">
            <v>8924.241841103918</v>
          </cell>
          <cell r="L29">
            <v>10263.264975657277</v>
          </cell>
          <cell r="M29">
            <v>11461.305083067209</v>
          </cell>
          <cell r="N29">
            <v>13045.498741427416</v>
          </cell>
          <cell r="O29">
            <v>15770.400929400237</v>
          </cell>
          <cell r="P29">
            <v>15515.243070398366</v>
          </cell>
          <cell r="Q29">
            <v>15236.405174848</v>
          </cell>
          <cell r="R29">
            <v>14941.508632504845</v>
          </cell>
          <cell r="S29">
            <v>14996.194510118727</v>
          </cell>
          <cell r="T29">
            <v>15751.257500352147</v>
          </cell>
          <cell r="U29">
            <v>18874.246188708861</v>
          </cell>
          <cell r="V29">
            <v>22505.726090813208</v>
          </cell>
          <cell r="W29">
            <v>24251.265939857811</v>
          </cell>
          <cell r="X29">
            <v>24372.225884628981</v>
          </cell>
          <cell r="Y29">
            <v>28253.343017951469</v>
          </cell>
          <cell r="Z29">
            <v>28574.968655367375</v>
          </cell>
          <cell r="AA29">
            <v>30517.04493436855</v>
          </cell>
          <cell r="AB29">
            <v>28030.100157802513</v>
          </cell>
          <cell r="AC29">
            <v>29251.787641234885</v>
          </cell>
          <cell r="AD29">
            <v>34806.543172135527</v>
          </cell>
          <cell r="AE29">
            <v>37330.343263887517</v>
          </cell>
          <cell r="AF29">
            <v>36423.180345418441</v>
          </cell>
          <cell r="AG29">
            <v>34626.303489207159</v>
          </cell>
          <cell r="AH29">
            <v>36209.176388756023</v>
          </cell>
          <cell r="AI29">
            <v>38005.346085349338</v>
          </cell>
          <cell r="AJ29">
            <v>38468.808760276312</v>
          </cell>
          <cell r="AK29">
            <v>42894.673339464702</v>
          </cell>
          <cell r="AL29">
            <v>50108.246942193466</v>
          </cell>
          <cell r="AM29">
            <v>57413.595800456438</v>
          </cell>
          <cell r="AN29">
            <v>66704.602660758086</v>
          </cell>
          <cell r="AO29">
            <v>73827.269867560302</v>
          </cell>
          <cell r="AP29">
            <v>84963.963414220721</v>
          </cell>
          <cell r="AQ29">
            <v>97036.32616696661</v>
          </cell>
          <cell r="AR29">
            <v>80171.031533939065</v>
          </cell>
          <cell r="AS29">
            <v>87804.075337124668</v>
          </cell>
          <cell r="AT29">
            <v>100857.08308784368</v>
          </cell>
          <cell r="AU29">
            <v>101755.64399650678</v>
          </cell>
          <cell r="AV29">
            <v>103208.50422317775</v>
          </cell>
          <cell r="AW29">
            <v>97075.838407442658</v>
          </cell>
          <cell r="AX29">
            <v>74425.424186455115</v>
          </cell>
          <cell r="AY29">
            <v>70713.040952380776</v>
          </cell>
          <cell r="AZ29">
            <v>75373.26768995481</v>
          </cell>
        </row>
        <row r="30">
          <cell r="E30">
            <v>931.84547685522227</v>
          </cell>
          <cell r="F30">
            <v>1051.952753360777</v>
          </cell>
          <cell r="G30">
            <v>1271.1532266129218</v>
          </cell>
          <cell r="H30">
            <v>1684.8358736201806</v>
          </cell>
          <cell r="I30">
            <v>1925.9101851200035</v>
          </cell>
          <cell r="J30">
            <v>2098.4367835244766</v>
          </cell>
          <cell r="K30">
            <v>2174.0629431158968</v>
          </cell>
          <cell r="L30">
            <v>2260.6188301967527</v>
          </cell>
          <cell r="M30">
            <v>2445.9055638730479</v>
          </cell>
          <cell r="N30">
            <v>2740.561294440281</v>
          </cell>
          <cell r="O30">
            <v>3355.3381782140291</v>
          </cell>
          <cell r="P30">
            <v>3238.5237485971252</v>
          </cell>
          <cell r="Q30">
            <v>3075.8333061480926</v>
          </cell>
          <cell r="R30">
            <v>2735.7696723284434</v>
          </cell>
          <cell r="S30">
            <v>2527.8447170579866</v>
          </cell>
          <cell r="T30">
            <v>2715.6851811738434</v>
          </cell>
          <cell r="U30">
            <v>3881.2993103127737</v>
          </cell>
          <cell r="V30">
            <v>4832.5414796745799</v>
          </cell>
          <cell r="W30">
            <v>5659.4942581215892</v>
          </cell>
          <cell r="X30">
            <v>6091.3430452444745</v>
          </cell>
          <cell r="Y30">
            <v>7909.5186344224403</v>
          </cell>
          <cell r="Z30">
            <v>8947.659879017805</v>
          </cell>
          <cell r="AA30">
            <v>10789.667814101216</v>
          </cell>
          <cell r="AB30">
            <v>9450.3171392609202</v>
          </cell>
          <cell r="AC30">
            <v>9868.1458166290449</v>
          </cell>
          <cell r="AD30">
            <v>11625.919297400376</v>
          </cell>
          <cell r="AE30">
            <v>12067.8223388931</v>
          </cell>
          <cell r="AF30">
            <v>11433.726796863915</v>
          </cell>
          <cell r="AG30">
            <v>12071.31499259269</v>
          </cell>
          <cell r="AH30">
            <v>12315.01896076561</v>
          </cell>
          <cell r="AI30">
            <v>11395.332375288468</v>
          </cell>
          <cell r="AJ30">
            <v>11731.54531761332</v>
          </cell>
          <cell r="AK30">
            <v>12830.741076794091</v>
          </cell>
          <cell r="AL30">
            <v>15733.596081209385</v>
          </cell>
          <cell r="AM30">
            <v>17951.670683155102</v>
          </cell>
          <cell r="AN30">
            <v>18645.198250985759</v>
          </cell>
          <cell r="AO30">
            <v>19717.072277032225</v>
          </cell>
          <cell r="AP30">
            <v>22577.35566484668</v>
          </cell>
          <cell r="AQ30">
            <v>24596.091343124019</v>
          </cell>
          <cell r="AR30">
            <v>22887.983208475009</v>
          </cell>
          <cell r="AS30">
            <v>22342.548633297851</v>
          </cell>
          <cell r="AT30">
            <v>23058.107371723985</v>
          </cell>
          <cell r="AU30">
            <v>20412.36569773766</v>
          </cell>
          <cell r="AV30">
            <v>21467.230083302351</v>
          </cell>
          <cell r="AW30">
            <v>21965.075911302349</v>
          </cell>
          <cell r="AX30">
            <v>19100.687787932071</v>
          </cell>
          <cell r="AY30">
            <v>18127.060084936846</v>
          </cell>
          <cell r="AZ30">
            <v>18886.60280282997</v>
          </cell>
        </row>
        <row r="31">
          <cell r="E31">
            <v>1203.075327228066</v>
          </cell>
          <cell r="F31">
            <v>1352.9050751666371</v>
          </cell>
          <cell r="G31">
            <v>1696.6090692544301</v>
          </cell>
          <cell r="H31">
            <v>2230.5092955732025</v>
          </cell>
          <cell r="I31">
            <v>2727.0804330291767</v>
          </cell>
          <cell r="J31">
            <v>3168.8394342387433</v>
          </cell>
          <cell r="K31">
            <v>3244.1557084768688</v>
          </cell>
          <cell r="L31">
            <v>3590.5150343568766</v>
          </cell>
          <cell r="M31">
            <v>4308.2900332233785</v>
          </cell>
          <cell r="N31">
            <v>5708.9886265208452</v>
          </cell>
          <cell r="O31">
            <v>6138.0864134621361</v>
          </cell>
          <cell r="P31">
            <v>5305.8390706439377</v>
          </cell>
          <cell r="Q31">
            <v>5090.0930813575424</v>
          </cell>
          <cell r="R31">
            <v>4413.9724557732943</v>
          </cell>
          <cell r="S31">
            <v>4445.8092044793075</v>
          </cell>
          <cell r="T31">
            <v>4634.8887024175892</v>
          </cell>
          <cell r="U31">
            <v>6442.8239672640884</v>
          </cell>
          <cell r="V31">
            <v>8141.9021920970699</v>
          </cell>
          <cell r="W31">
            <v>9580.5986898237479</v>
          </cell>
          <cell r="X31">
            <v>10555.370567445503</v>
          </cell>
          <cell r="Y31">
            <v>13611.117499714548</v>
          </cell>
          <cell r="Z31">
            <v>14618.102083079546</v>
          </cell>
          <cell r="AA31">
            <v>15917.799571975684</v>
          </cell>
          <cell r="AB31">
            <v>13219.425612929768</v>
          </cell>
          <cell r="AC31">
            <v>13303.303242887636</v>
          </cell>
          <cell r="AD31">
            <v>15367.068887787207</v>
          </cell>
          <cell r="AE31">
            <v>16021.265443025231</v>
          </cell>
          <cell r="AF31">
            <v>14676.728240815957</v>
          </cell>
          <cell r="AG31">
            <v>15312.970309217762</v>
          </cell>
          <cell r="AH31">
            <v>15614.314493112977</v>
          </cell>
          <cell r="AI31">
            <v>14546.35706412171</v>
          </cell>
          <cell r="AJ31">
            <v>15123.657400938111</v>
          </cell>
          <cell r="AK31">
            <v>16791.503356395253</v>
          </cell>
          <cell r="AL31">
            <v>21264.420418645095</v>
          </cell>
          <cell r="AM31">
            <v>24681.864605532595</v>
          </cell>
          <cell r="AN31">
            <v>26338.117122518928</v>
          </cell>
          <cell r="AO31">
            <v>28171.828118221154</v>
          </cell>
          <cell r="AP31">
            <v>32603.531191533937</v>
          </cell>
          <cell r="AQ31">
            <v>35653.872897595465</v>
          </cell>
          <cell r="AR31">
            <v>32274.672437894493</v>
          </cell>
          <cell r="AS31">
            <v>30562.97948612817</v>
          </cell>
          <cell r="AT31">
            <v>31763.535359082289</v>
          </cell>
          <cell r="AU31">
            <v>28597.40159740817</v>
          </cell>
          <cell r="AV31">
            <v>29123.582323972787</v>
          </cell>
          <cell r="AW31">
            <v>29663.494736277346</v>
          </cell>
          <cell r="AX31">
            <v>25863.371052473678</v>
          </cell>
          <cell r="AY31">
            <v>26723.720948836919</v>
          </cell>
          <cell r="AZ31">
            <v>28243.822407674179</v>
          </cell>
        </row>
        <row r="32">
          <cell r="E32">
            <v>4667.6221252959067</v>
          </cell>
          <cell r="F32">
            <v>5067.5882908567446</v>
          </cell>
          <cell r="G32">
            <v>5945.3098991587831</v>
          </cell>
          <cell r="H32">
            <v>7192.8928538919608</v>
          </cell>
          <cell r="I32">
            <v>7971.0390593650473</v>
          </cell>
          <cell r="J32">
            <v>9979.8626536169049</v>
          </cell>
          <cell r="K32">
            <v>10725.788643150658</v>
          </cell>
          <cell r="L32">
            <v>11300.877625097037</v>
          </cell>
          <cell r="M32">
            <v>12443.499866020959</v>
          </cell>
          <cell r="N32">
            <v>14698.789867907277</v>
          </cell>
          <cell r="O32">
            <v>16834.33261130079</v>
          </cell>
          <cell r="P32">
            <v>15374.464911567398</v>
          </cell>
          <cell r="Q32">
            <v>13566.362624070689</v>
          </cell>
          <cell r="R32">
            <v>12481.333505671746</v>
          </cell>
          <cell r="S32">
            <v>12948.957129360082</v>
          </cell>
          <cell r="T32">
            <v>13520.543808237051</v>
          </cell>
          <cell r="U32">
            <v>17769.850383822806</v>
          </cell>
          <cell r="V32">
            <v>21493.741402503438</v>
          </cell>
          <cell r="W32">
            <v>24099.83854289541</v>
          </cell>
          <cell r="X32">
            <v>25251.91427127791</v>
          </cell>
          <cell r="Y32">
            <v>30114.209891840965</v>
          </cell>
          <cell r="Z32">
            <v>31419.790781294258</v>
          </cell>
          <cell r="AA32">
            <v>32348.161070358055</v>
          </cell>
          <cell r="AB32">
            <v>24008.846230885527</v>
          </cell>
          <cell r="AC32">
            <v>25686.973090281528</v>
          </cell>
          <cell r="AD32">
            <v>29876.352640549001</v>
          </cell>
          <cell r="AE32">
            <v>32508.611677973757</v>
          </cell>
          <cell r="AF32">
            <v>29879.850303077525</v>
          </cell>
          <cell r="AG32">
            <v>30098.588094396386</v>
          </cell>
          <cell r="AH32">
            <v>30541.749783052146</v>
          </cell>
          <cell r="AI32">
            <v>29273.872843303714</v>
          </cell>
          <cell r="AJ32">
            <v>26972.980827942389</v>
          </cell>
          <cell r="AK32">
            <v>29594.110054666151</v>
          </cell>
          <cell r="AL32">
            <v>37089.079254670374</v>
          </cell>
          <cell r="AM32">
            <v>42488.637348246324</v>
          </cell>
          <cell r="AN32">
            <v>43037.52905724688</v>
          </cell>
          <cell r="AO32">
            <v>46282.737616234532</v>
          </cell>
          <cell r="AP32">
            <v>53256.254363220534</v>
          </cell>
          <cell r="AQ32">
            <v>55754.696656558648</v>
          </cell>
          <cell r="AR32">
            <v>46169.647901675402</v>
          </cell>
          <cell r="AS32">
            <v>52075.745609663216</v>
          </cell>
          <cell r="AT32">
            <v>59582.340470396237</v>
          </cell>
          <cell r="AU32">
            <v>57017.639937167398</v>
          </cell>
          <cell r="AV32">
            <v>60216.861823726424</v>
          </cell>
          <cell r="AW32">
            <v>59240.140954381379</v>
          </cell>
          <cell r="AX32">
            <v>51005.959401099906</v>
          </cell>
          <cell r="AY32">
            <v>52063.345635332465</v>
          </cell>
          <cell r="AZ32">
            <v>54128.647435175641</v>
          </cell>
        </row>
        <row r="33">
          <cell r="E33">
            <v>3934.6642765746451</v>
          </cell>
          <cell r="F33">
            <v>4688.5544286992081</v>
          </cell>
          <cell r="G33">
            <v>5706.062981719173</v>
          </cell>
          <cell r="H33">
            <v>7623.323223023197</v>
          </cell>
          <cell r="I33">
            <v>8744.612458607091</v>
          </cell>
          <cell r="J33">
            <v>10001.356095204907</v>
          </cell>
          <cell r="K33">
            <v>10462.596191955286</v>
          </cell>
          <cell r="L33">
            <v>11199.31457452484</v>
          </cell>
          <cell r="M33">
            <v>15710.87492420749</v>
          </cell>
          <cell r="N33">
            <v>17759.344705550859</v>
          </cell>
          <cell r="O33">
            <v>18878.071454293651</v>
          </cell>
          <cell r="P33">
            <v>17258.083234943788</v>
          </cell>
          <cell r="Q33">
            <v>17661.302886929185</v>
          </cell>
          <cell r="R33">
            <v>17406.04460181321</v>
          </cell>
          <cell r="S33">
            <v>16519.381832264378</v>
          </cell>
          <cell r="T33">
            <v>16728.044132297764</v>
          </cell>
          <cell r="U33">
            <v>23713.883678165024</v>
          </cell>
          <cell r="V33">
            <v>29547.348401052132</v>
          </cell>
          <cell r="W33">
            <v>31800.295362360561</v>
          </cell>
          <cell r="X33">
            <v>30517.490525603345</v>
          </cell>
          <cell r="Y33">
            <v>38652.322360368482</v>
          </cell>
          <cell r="Z33">
            <v>38717.894743400488</v>
          </cell>
          <cell r="AA33">
            <v>39909.756996532546</v>
          </cell>
          <cell r="AB33">
            <v>38307.504788438098</v>
          </cell>
          <cell r="AC33">
            <v>42090.063254326116</v>
          </cell>
          <cell r="AD33">
            <v>48870.667269832338</v>
          </cell>
          <cell r="AE33">
            <v>46734.444829492211</v>
          </cell>
          <cell r="AF33">
            <v>40469.47410129918</v>
          </cell>
          <cell r="AG33">
            <v>41460.960570345407</v>
          </cell>
          <cell r="AH33">
            <v>40624.985991384143</v>
          </cell>
          <cell r="AI33">
            <v>37950.399386096484</v>
          </cell>
          <cell r="AJ33">
            <v>38735.554865997889</v>
          </cell>
          <cell r="AK33">
            <v>41552.122236680334</v>
          </cell>
          <cell r="AL33">
            <v>48409.925927327786</v>
          </cell>
          <cell r="AM33">
            <v>53625.528037916789</v>
          </cell>
          <cell r="AN33">
            <v>55193.387373372338</v>
          </cell>
          <cell r="AO33">
            <v>57609.484419174092</v>
          </cell>
          <cell r="AP33">
            <v>63489.056999681758</v>
          </cell>
          <cell r="AQ33">
            <v>72455.115429238358</v>
          </cell>
          <cell r="AR33">
            <v>69922.288033039513</v>
          </cell>
          <cell r="AS33">
            <v>74566.159655085547</v>
          </cell>
          <cell r="AT33">
            <v>88267.697263487018</v>
          </cell>
          <cell r="AU33">
            <v>83170.747802138285</v>
          </cell>
          <cell r="AV33">
            <v>84719.98262809994</v>
          </cell>
          <cell r="AW33">
            <v>86152.121802817594</v>
          </cell>
          <cell r="AX33">
            <v>81733.038501429546</v>
          </cell>
          <cell r="AY33">
            <v>79833.032192014885</v>
          </cell>
          <cell r="AZ33">
            <v>80255.095371183954</v>
          </cell>
        </row>
        <row r="34">
          <cell r="E34">
            <v>2354.6355836555649</v>
          </cell>
          <cell r="F34">
            <v>2651.8662903214477</v>
          </cell>
          <cell r="G34">
            <v>3038.2468815076568</v>
          </cell>
          <cell r="H34">
            <v>3442.3204079017696</v>
          </cell>
          <cell r="I34">
            <v>3668.6020026292836</v>
          </cell>
          <cell r="J34">
            <v>4305.1345596491337</v>
          </cell>
          <cell r="K34">
            <v>4142.4133992032766</v>
          </cell>
          <cell r="L34">
            <v>4674.5566547379567</v>
          </cell>
          <cell r="M34">
            <v>5971.8830947009137</v>
          </cell>
          <cell r="N34">
            <v>7802.7620995778898</v>
          </cell>
          <cell r="O34">
            <v>10041.681687719127</v>
          </cell>
          <cell r="P34">
            <v>9613.2803007218881</v>
          </cell>
          <cell r="Q34">
            <v>9148.0354638249373</v>
          </cell>
          <cell r="R34">
            <v>8698.6042965140459</v>
          </cell>
          <cell r="S34">
            <v>8175.7558370995012</v>
          </cell>
          <cell r="T34">
            <v>8660.0583868574522</v>
          </cell>
          <cell r="U34">
            <v>10623.201921438505</v>
          </cell>
          <cell r="V34">
            <v>13137.196343845959</v>
          </cell>
          <cell r="W34">
            <v>16003.406931888023</v>
          </cell>
          <cell r="X34">
            <v>16256.386111722162</v>
          </cell>
          <cell r="Y34">
            <v>19061.498549962078</v>
          </cell>
          <cell r="Z34">
            <v>19881.600534417423</v>
          </cell>
          <cell r="AA34">
            <v>20523.689416329926</v>
          </cell>
          <cell r="AB34">
            <v>18386.666461291072</v>
          </cell>
          <cell r="AC34">
            <v>19719.508329693297</v>
          </cell>
          <cell r="AD34">
            <v>23112.087414743994</v>
          </cell>
          <cell r="AE34">
            <v>24244.823609794938</v>
          </cell>
          <cell r="AF34">
            <v>26565.354061667818</v>
          </cell>
          <cell r="AG34">
            <v>28012.670472472633</v>
          </cell>
          <cell r="AH34">
            <v>28427.115123756339</v>
          </cell>
          <cell r="AI34">
            <v>27989.419253137799</v>
          </cell>
          <cell r="AJ34">
            <v>27557.363949801369</v>
          </cell>
          <cell r="AK34">
            <v>29823.610027688443</v>
          </cell>
          <cell r="AL34">
            <v>34239.54901545855</v>
          </cell>
          <cell r="AM34">
            <v>40077.397469994052</v>
          </cell>
          <cell r="AN34">
            <v>41966.102270694566</v>
          </cell>
          <cell r="AO34">
            <v>44405.84973060451</v>
          </cell>
          <cell r="AP34">
            <v>50150.892311379728</v>
          </cell>
          <cell r="AQ34">
            <v>46716.762070886405</v>
          </cell>
          <cell r="AR34">
            <v>38104.28290864436</v>
          </cell>
          <cell r="AS34">
            <v>38700.39706923315</v>
          </cell>
          <cell r="AT34">
            <v>41214.896035032973</v>
          </cell>
          <cell r="AU34">
            <v>41711.849315384039</v>
          </cell>
          <cell r="AV34">
            <v>42542.584972857519</v>
          </cell>
          <cell r="AW34">
            <v>46604.136527786955</v>
          </cell>
          <cell r="AX34">
            <v>44344.487552043611</v>
          </cell>
          <cell r="AY34">
            <v>40442.107032560096</v>
          </cell>
          <cell r="AZ34">
            <v>39766.996247870498</v>
          </cell>
        </row>
        <row r="35">
          <cell r="E35">
            <v>5105.2506099772518</v>
          </cell>
          <cell r="F35">
            <v>5485.6295421958412</v>
          </cell>
          <cell r="G35">
            <v>5999.481344837739</v>
          </cell>
          <cell r="H35">
            <v>6642.8611299010654</v>
          </cell>
          <cell r="I35">
            <v>7135.6754308106492</v>
          </cell>
          <cell r="J35">
            <v>7664.0484087574232</v>
          </cell>
          <cell r="K35">
            <v>8452.3893810941736</v>
          </cell>
          <cell r="L35">
            <v>9313.820068316154</v>
          </cell>
          <cell r="M35">
            <v>10423.612784803263</v>
          </cell>
          <cell r="N35">
            <v>11555.366779819629</v>
          </cell>
          <cell r="O35">
            <v>12447.606024181712</v>
          </cell>
          <cell r="P35">
            <v>13839.848208338952</v>
          </cell>
          <cell r="Q35">
            <v>14265.418098049038</v>
          </cell>
          <cell r="R35">
            <v>15358.968283518938</v>
          </cell>
          <cell r="S35">
            <v>16933.95943602471</v>
          </cell>
          <cell r="T35">
            <v>18021.450076630197</v>
          </cell>
          <cell r="U35">
            <v>18840.066625057269</v>
          </cell>
          <cell r="V35">
            <v>19804.169848645288</v>
          </cell>
          <cell r="W35">
            <v>21151.24242720937</v>
          </cell>
          <cell r="X35">
            <v>22549.790897868064</v>
          </cell>
          <cell r="Y35">
            <v>23601.160784285898</v>
          </cell>
          <cell r="Z35">
            <v>24159.248731451189</v>
          </cell>
          <cell r="AA35">
            <v>25324.885655810755</v>
          </cell>
          <cell r="AB35">
            <v>26382.566473914456</v>
          </cell>
          <cell r="AC35">
            <v>27745.895160372947</v>
          </cell>
          <cell r="AD35">
            <v>28758.688285812335</v>
          </cell>
          <cell r="AE35">
            <v>30021.939006253135</v>
          </cell>
          <cell r="AF35">
            <v>31528.290445255305</v>
          </cell>
          <cell r="AG35">
            <v>32880.579130213016</v>
          </cell>
          <cell r="AH35">
            <v>34533.176291413132</v>
          </cell>
          <cell r="AI35">
            <v>36527.052658647415</v>
          </cell>
          <cell r="AJ35">
            <v>37212.256577076776</v>
          </cell>
          <cell r="AK35">
            <v>37912.140444042569</v>
          </cell>
          <cell r="AL35">
            <v>39651.396507014011</v>
          </cell>
          <cell r="AM35">
            <v>41703.794438196019</v>
          </cell>
          <cell r="AN35">
            <v>44048.459485772051</v>
          </cell>
          <cell r="AO35">
            <v>46335.568364169092</v>
          </cell>
          <cell r="AP35">
            <v>48237.635010819598</v>
          </cell>
          <cell r="AQ35">
            <v>48455.029513398113</v>
          </cell>
          <cell r="AR35">
            <v>47047.08451308254</v>
          </cell>
          <cell r="AS35">
            <v>48600.094369719242</v>
          </cell>
          <cell r="AT35">
            <v>49830.998970716602</v>
          </cell>
          <cell r="AU35">
            <v>51701.78268767977</v>
          </cell>
          <cell r="AV35">
            <v>53242.622778248733</v>
          </cell>
          <cell r="AW35">
            <v>55080.155411900356</v>
          </cell>
          <cell r="AX35">
            <v>56887.594913513851</v>
          </cell>
          <cell r="AY35">
            <v>58060.772676488603</v>
          </cell>
          <cell r="AZ35">
            <v>60142.66061162285</v>
          </cell>
        </row>
      </sheetData>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Population"/>
      <sheetName val="GDP"/>
    </sheetNames>
    <definedNames>
      <definedName name="TheilT2"/>
    </definedNames>
    <sheetDataSet>
      <sheetData sheetId="0"/>
      <sheetData sheetId="1"/>
      <sheetData sheetId="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Explanation"/>
      <sheetName val="GDP"/>
      <sheetName val="POP"/>
      <sheetName val="Interbloc Theil"/>
      <sheetName val="Global Theil"/>
      <sheetName val="Decomposition"/>
      <sheetName val="Chart Decomposition"/>
      <sheetName val="Chart Discrepancy"/>
    </sheetNames>
    <sheetDataSet>
      <sheetData sheetId="0"/>
      <sheetData sheetId="1"/>
      <sheetData sheetId="2">
        <row r="11">
          <cell r="B11" t="str" vm="7">
            <v>Australia</v>
          </cell>
          <cell r="C11" vm="8">
            <v>19652816896</v>
          </cell>
          <cell r="D11" vm="9">
            <v>19892486144</v>
          </cell>
          <cell r="E11" vm="10">
            <v>21507446784</v>
          </cell>
          <cell r="F11" vm="11">
            <v>23764140032</v>
          </cell>
          <cell r="G11" vm="12">
            <v>25936834560</v>
          </cell>
          <cell r="H11" vm="13">
            <v>27268450304</v>
          </cell>
          <cell r="I11" vm="14">
            <v>30397581312</v>
          </cell>
          <cell r="J11" vm="15">
            <v>32665473024</v>
          </cell>
          <cell r="K11" vm="16">
            <v>36628963328</v>
          </cell>
          <cell r="L11" vm="17">
            <v>41271140352</v>
          </cell>
          <cell r="M11" vm="18">
            <v>45149511680</v>
          </cell>
          <cell r="N11" vm="19">
            <v>51967291392</v>
          </cell>
          <cell r="O11" vm="20">
            <v>63737348096</v>
          </cell>
          <cell r="P11" vm="21">
            <v>88831246336</v>
          </cell>
          <cell r="Q11" vm="22">
            <v>97170554880</v>
          </cell>
          <cell r="R11" vm="23">
            <v>104921219072</v>
          </cell>
          <cell r="S11" vm="24">
            <v>110201880576</v>
          </cell>
          <cell r="T11" vm="25">
            <v>118338600960</v>
          </cell>
          <cell r="U11" vm="26">
            <v>134712033280</v>
          </cell>
          <cell r="V11" vm="27">
            <v>149774925824</v>
          </cell>
          <cell r="W11" vm="28">
            <v>176642277376</v>
          </cell>
          <cell r="X11" vm="29">
            <v>193770274816</v>
          </cell>
          <cell r="Y11" vm="30">
            <v>177030414336</v>
          </cell>
          <cell r="Z11" vm="31">
            <v>193242169344</v>
          </cell>
          <cell r="AA11" vm="32">
            <v>180234715136</v>
          </cell>
          <cell r="AB11" vm="33">
            <v>182036938752</v>
          </cell>
          <cell r="AC11" vm="34">
            <v>189060349952</v>
          </cell>
          <cell r="AD11" vm="35">
            <v>235659198464</v>
          </cell>
          <cell r="AE11" vm="36">
            <v>299267981312</v>
          </cell>
          <cell r="AF11" vm="37">
            <v>310777217024</v>
          </cell>
          <cell r="AG11" vm="38">
            <v>325310414848</v>
          </cell>
          <cell r="AH11" vm="39">
            <v>324878860288</v>
          </cell>
          <cell r="AI11" vm="40">
            <v>311544414208</v>
          </cell>
          <cell r="AJ11" vm="41">
            <v>322211676160</v>
          </cell>
          <cell r="AK11" vm="42">
            <v>367216361472</v>
          </cell>
          <cell r="AL11" vm="43">
            <v>400302735360</v>
          </cell>
          <cell r="AM11" vm="44">
            <v>434568003584</v>
          </cell>
          <cell r="AN11" vm="45">
            <v>398899150848</v>
          </cell>
          <cell r="AO11" vm="46">
            <v>388608229376</v>
          </cell>
          <cell r="AP11" vm="47">
            <v>415222628352</v>
          </cell>
          <cell r="AQ11" vm="48">
            <v>378376093696</v>
          </cell>
          <cell r="AR11" vm="49">
            <v>394648911872</v>
          </cell>
          <cell r="AS11" vm="50">
            <v>466488066048</v>
          </cell>
          <cell r="AT11" vm="51">
            <v>612490412032</v>
          </cell>
          <cell r="AU11" vm="52">
            <v>693407776768</v>
          </cell>
          <cell r="AV11" vm="53">
            <v>746054221824</v>
          </cell>
          <cell r="AW11" vm="54">
            <v>853099610112</v>
          </cell>
          <cell r="AX11" vm="55">
            <v>1053995499520</v>
          </cell>
          <cell r="AY11" vm="56">
            <v>927805210624</v>
          </cell>
          <cell r="AZ11" vm="57">
            <v>1146138525696</v>
          </cell>
          <cell r="BA11" vm="58">
            <v>1396649885696</v>
          </cell>
          <cell r="BB11" vm="59">
            <v>1546151788544</v>
          </cell>
          <cell r="BC11" vm="60">
            <v>1576184446976</v>
          </cell>
          <cell r="BD11" vm="61">
            <v>1467483684864</v>
          </cell>
          <cell r="BE11" vm="62">
            <v>1351694024704</v>
          </cell>
          <cell r="BF11" vm="63">
            <v>1208847040512</v>
          </cell>
          <cell r="BG11" vm="64">
            <v>1330135695360</v>
          </cell>
          <cell r="BH11" vm="65">
            <v>1433904349184</v>
          </cell>
          <cell r="BI11" vm="66">
            <v>1392680632320</v>
          </cell>
        </row>
        <row r="12">
          <cell r="B12" t="str" vm="67">
            <v>Austria</v>
          </cell>
          <cell r="C12" vm="68">
            <v>7311749632</v>
          </cell>
          <cell r="D12" vm="69">
            <v>7756110336</v>
          </cell>
          <cell r="E12" vm="70">
            <v>8374175232</v>
          </cell>
          <cell r="F12" vm="71">
            <v>9169983488</v>
          </cell>
          <cell r="G12" vm="72">
            <v>9994071040</v>
          </cell>
          <cell r="H12" vm="73">
            <v>10887682048</v>
          </cell>
          <cell r="I12" vm="74">
            <v>11579431936</v>
          </cell>
          <cell r="J12" vm="75">
            <v>12440625152</v>
          </cell>
          <cell r="K12" vm="76">
            <v>13582798848</v>
          </cell>
          <cell r="L12" vm="77">
            <v>15373005824</v>
          </cell>
          <cell r="M12" vm="78">
            <v>17858486272</v>
          </cell>
          <cell r="N12" vm="79">
            <v>22059612160</v>
          </cell>
          <cell r="O12" vm="80">
            <v>29515468800</v>
          </cell>
          <cell r="P12" vm="81">
            <v>35189301248</v>
          </cell>
          <cell r="Q12" vm="82">
            <v>40059207680</v>
          </cell>
          <cell r="R12" vm="83">
            <v>42959974400</v>
          </cell>
          <cell r="S12" vm="84">
            <v>51545759744</v>
          </cell>
          <cell r="T12" vm="85">
            <v>62052257792</v>
          </cell>
          <cell r="U12" vm="86">
            <v>73937297408</v>
          </cell>
          <cell r="V12" vm="87">
            <v>82058911744</v>
          </cell>
          <cell r="W12" vm="88">
            <v>71034224640</v>
          </cell>
          <cell r="X12" vm="89">
            <v>71275290624</v>
          </cell>
          <cell r="Y12" vm="90">
            <v>72121016320</v>
          </cell>
          <cell r="Z12" vm="91">
            <v>67985346560</v>
          </cell>
          <cell r="AA12" vm="92">
            <v>69386772480</v>
          </cell>
          <cell r="AB12" vm="93">
            <v>99036168192</v>
          </cell>
          <cell r="AC12" vm="94">
            <v>124168445952</v>
          </cell>
          <cell r="AD12" vm="95">
            <v>133339398144</v>
          </cell>
          <cell r="AE12" vm="96">
            <v>133105803264</v>
          </cell>
          <cell r="AF12" vm="97">
            <v>166463389696</v>
          </cell>
          <cell r="AG12" vm="98">
            <v>173794181120</v>
          </cell>
          <cell r="AH12" vm="99">
            <v>195078127616</v>
          </cell>
          <cell r="AI12" vm="100">
            <v>190379720704</v>
          </cell>
          <cell r="AJ12" vm="101">
            <v>203535237120</v>
          </cell>
          <cell r="AK12" vm="102">
            <v>241038278656</v>
          </cell>
          <cell r="AL12" vm="103">
            <v>237250953216</v>
          </cell>
          <cell r="AM12" vm="104">
            <v>212790345728</v>
          </cell>
          <cell r="AN12" vm="105">
            <v>218259898368</v>
          </cell>
          <cell r="AO12" vm="106">
            <v>217185779712</v>
          </cell>
          <cell r="AP12" vm="107">
            <v>196799774720</v>
          </cell>
          <cell r="AQ12" vm="108">
            <v>197337874432</v>
          </cell>
          <cell r="AR12" vm="109">
            <v>213377777664</v>
          </cell>
          <cell r="AS12" vm="110">
            <v>261695782912</v>
          </cell>
          <cell r="AT12" vm="111">
            <v>300904218624</v>
          </cell>
          <cell r="AU12" vm="112">
            <v>315974418432</v>
          </cell>
          <cell r="AV12" vm="113">
            <v>335998550016</v>
          </cell>
          <cell r="AW12" vm="114">
            <v>388691460096</v>
          </cell>
          <cell r="AX12" vm="115">
            <v>430294302720</v>
          </cell>
          <cell r="AY12" vm="116">
            <v>400172285952</v>
          </cell>
          <cell r="AZ12" vm="117">
            <v>391892762624</v>
          </cell>
          <cell r="BA12" vm="118">
            <v>431120318464</v>
          </cell>
          <cell r="BB12" vm="119">
            <v>409425248256</v>
          </cell>
          <cell r="BC12" vm="120">
            <v>430068727808</v>
          </cell>
          <cell r="BD12" vm="121">
            <v>441996115968</v>
          </cell>
          <cell r="BE12" vm="122">
            <v>381817552896</v>
          </cell>
          <cell r="BF12" vm="123">
            <v>395227693056</v>
          </cell>
          <cell r="BG12" vm="124">
            <v>418316156928</v>
          </cell>
          <cell r="BH12" vm="125">
            <v>455508262912</v>
          </cell>
          <cell r="BI12" vm="126">
            <v>446314741760</v>
          </cell>
        </row>
        <row r="13">
          <cell r="B13" t="str" vm="127">
            <v>Belgium</v>
          </cell>
          <cell r="C13" vm="128">
            <v>12400145408</v>
          </cell>
          <cell r="D13" vm="129">
            <v>13264015360</v>
          </cell>
          <cell r="E13" vm="130">
            <v>14260017152</v>
          </cell>
          <cell r="F13" vm="131">
            <v>15960107008</v>
          </cell>
          <cell r="G13" vm="132">
            <v>17371457536</v>
          </cell>
          <cell r="H13" vm="133">
            <v>18651883520</v>
          </cell>
          <cell r="I13" vm="134">
            <v>19992041472</v>
          </cell>
          <cell r="J13" vm="135">
            <v>21376352256</v>
          </cell>
          <cell r="K13" vm="136">
            <v>23710736384</v>
          </cell>
          <cell r="L13" vm="137">
            <v>26706196480</v>
          </cell>
          <cell r="M13" vm="138">
            <v>29821661184</v>
          </cell>
          <cell r="N13" vm="139">
            <v>37209419776</v>
          </cell>
          <cell r="O13" vm="140">
            <v>47743803392</v>
          </cell>
          <cell r="P13" vm="141">
            <v>56033079296</v>
          </cell>
          <cell r="Q13" vm="142">
            <v>65678188544</v>
          </cell>
          <cell r="R13" vm="143">
            <v>71113883648</v>
          </cell>
          <cell r="S13" vm="144">
            <v>82839904256</v>
          </cell>
          <cell r="T13" vm="145">
            <v>101246525440</v>
          </cell>
          <cell r="U13" vm="146">
            <v>116315455488</v>
          </cell>
          <cell r="V13" vm="147">
            <v>126829314048</v>
          </cell>
          <cell r="W13" vm="148">
            <v>104730017792</v>
          </cell>
          <cell r="X13" vm="149">
            <v>92095930368</v>
          </cell>
          <cell r="Y13" vm="150">
            <v>87184236544</v>
          </cell>
          <cell r="Z13" vm="151">
            <v>83349528576</v>
          </cell>
          <cell r="AA13" vm="152">
            <v>86268264448</v>
          </cell>
          <cell r="AB13" vm="153">
            <v>120018788352</v>
          </cell>
          <cell r="AC13" vm="154">
            <v>149394407424</v>
          </cell>
          <cell r="AD13" vm="155">
            <v>162299101184</v>
          </cell>
          <cell r="AE13" vm="156">
            <v>164221059072</v>
          </cell>
          <cell r="AF13" vm="157">
            <v>205331742720</v>
          </cell>
          <cell r="AG13" vm="158">
            <v>210511003648</v>
          </cell>
          <cell r="AH13" vm="159">
            <v>234781655040</v>
          </cell>
          <cell r="AI13" vm="160">
            <v>224721797120</v>
          </cell>
          <cell r="AJ13" vm="161">
            <v>244884127744</v>
          </cell>
          <cell r="AK13" vm="162">
            <v>288025575424</v>
          </cell>
          <cell r="AL13" vm="163">
            <v>279201447936</v>
          </cell>
          <cell r="AM13" vm="164">
            <v>252708044800</v>
          </cell>
          <cell r="AN13" vm="165">
            <v>258528346112</v>
          </cell>
          <cell r="AO13" vm="166">
            <v>258158526464</v>
          </cell>
          <cell r="AP13" vm="167">
            <v>236204539904</v>
          </cell>
          <cell r="AQ13" vm="168">
            <v>236541296640</v>
          </cell>
          <cell r="AR13" vm="169">
            <v>257157824512</v>
          </cell>
          <cell r="AS13" vm="170">
            <v>317381705728</v>
          </cell>
          <cell r="AT13" vm="171">
            <v>368537010176</v>
          </cell>
          <cell r="AU13" vm="172">
            <v>385570963456</v>
          </cell>
          <cell r="AV13" vm="173">
            <v>407918084096</v>
          </cell>
          <cell r="AW13" vm="174">
            <v>470324248576</v>
          </cell>
          <cell r="AX13" vm="175">
            <v>515223519232</v>
          </cell>
          <cell r="AY13" vm="176">
            <v>481345929216</v>
          </cell>
          <cell r="AZ13" vm="177">
            <v>480951631872</v>
          </cell>
          <cell r="BA13" vm="178">
            <v>522645504000</v>
          </cell>
          <cell r="BB13" vm="179">
            <v>496181248000</v>
          </cell>
          <cell r="BC13" vm="180">
            <v>521642704896</v>
          </cell>
          <cell r="BD13" vm="181">
            <v>534678077440</v>
          </cell>
          <cell r="BE13" vm="182">
            <v>462149681152</v>
          </cell>
          <cell r="BF13" vm="183">
            <v>475900870656</v>
          </cell>
          <cell r="BG13" vm="184">
            <v>503788765184</v>
          </cell>
          <cell r="BH13" vm="185">
            <v>542685921280</v>
          </cell>
          <cell r="BI13" vm="186">
            <v>529606705152</v>
          </cell>
        </row>
        <row r="14">
          <cell r="B14" t="str" vm="187">
            <v>Finland</v>
          </cell>
          <cell r="C14" vm="188">
            <v>5921659392</v>
          </cell>
          <cell r="D14" vm="189">
            <v>6340580864</v>
          </cell>
          <cell r="E14" vm="190">
            <v>6885920256</v>
          </cell>
          <cell r="F14" vm="191">
            <v>7766654976</v>
          </cell>
          <cell r="G14" vm="192">
            <v>8589340160</v>
          </cell>
          <cell r="H14" vm="193">
            <v>9208524800</v>
          </cell>
          <cell r="I14" vm="194">
            <v>9368953856</v>
          </cell>
          <cell r="J14" vm="195">
            <v>8823033856</v>
          </cell>
          <cell r="K14" vm="196">
            <v>10070766592</v>
          </cell>
          <cell r="L14" vm="197">
            <v>11357516800</v>
          </cell>
          <cell r="M14" vm="198">
            <v>12527405056</v>
          </cell>
          <cell r="N14" vm="199">
            <v>14743185408</v>
          </cell>
          <cell r="O14" vm="200">
            <v>19472363520</v>
          </cell>
          <cell r="P14" vm="201">
            <v>24848822272</v>
          </cell>
          <cell r="Q14" vm="202">
            <v>29472624640</v>
          </cell>
          <cell r="R14" vm="203">
            <v>31849515008</v>
          </cell>
          <cell r="S14" vm="204">
            <v>33499799552</v>
          </cell>
          <cell r="T14" vm="205">
            <v>36256161792</v>
          </cell>
          <cell r="U14" vm="206">
            <v>44465254400</v>
          </cell>
          <cell r="V14" vm="207">
            <v>53645201408</v>
          </cell>
          <cell r="W14" vm="208">
            <v>52448333824</v>
          </cell>
          <cell r="X14" vm="209">
            <v>52797583360</v>
          </cell>
          <cell r="Y14" vm="210">
            <v>50973528064</v>
          </cell>
          <cell r="Z14" vm="211">
            <v>52888801280</v>
          </cell>
          <cell r="AA14" vm="212">
            <v>55875862528</v>
          </cell>
          <cell r="AB14" vm="213">
            <v>73531547648</v>
          </cell>
          <cell r="AC14" vm="214">
            <v>91594752000</v>
          </cell>
          <cell r="AD14" vm="215">
            <v>109058990080</v>
          </cell>
          <cell r="AE14" vm="216">
            <v>119012057088</v>
          </cell>
          <cell r="AF14" vm="217">
            <v>141438353408</v>
          </cell>
          <cell r="AG14" vm="218">
            <v>127773859840</v>
          </cell>
          <cell r="AH14" vm="219">
            <v>112532520960</v>
          </cell>
          <cell r="AI14" vm="220">
            <v>89214115840</v>
          </cell>
          <cell r="AJ14" vm="221">
            <v>103299940352</v>
          </cell>
          <cell r="AK14" vm="222">
            <v>134189817856</v>
          </cell>
          <cell r="AL14" vm="223">
            <v>132129177600</v>
          </cell>
          <cell r="AM14" vm="224">
            <v>126912151552</v>
          </cell>
          <cell r="AN14" vm="225">
            <v>134038716416</v>
          </cell>
          <cell r="AO14" vm="226">
            <v>135218413568</v>
          </cell>
          <cell r="AP14" vm="227">
            <v>125706649600</v>
          </cell>
          <cell r="AQ14" vm="228">
            <v>129421025280</v>
          </cell>
          <cell r="AR14" vm="229">
            <v>139738382336</v>
          </cell>
          <cell r="AS14" vm="230">
            <v>171274272768</v>
          </cell>
          <cell r="AT14" vm="231">
            <v>197116952576</v>
          </cell>
          <cell r="AU14" vm="232">
            <v>204809109504</v>
          </cell>
          <cell r="AV14" vm="233">
            <v>216907546624</v>
          </cell>
          <cell r="AW14" vm="234">
            <v>256052559872</v>
          </cell>
          <cell r="AX14" vm="235">
            <v>284553969664</v>
          </cell>
          <cell r="AY14" vm="236">
            <v>252496527360</v>
          </cell>
          <cell r="AZ14" vm="237">
            <v>249181192192</v>
          </cell>
          <cell r="BA14" vm="238">
            <v>275243696128</v>
          </cell>
          <cell r="BB14" vm="239">
            <v>258304835584</v>
          </cell>
          <cell r="BC14" vm="240">
            <v>271285272576</v>
          </cell>
          <cell r="BD14" vm="241">
            <v>274497224704</v>
          </cell>
          <cell r="BE14" vm="242">
            <v>234440081408</v>
          </cell>
          <cell r="BF14" vm="243">
            <v>240607903744</v>
          </cell>
          <cell r="BG14" vm="244">
            <v>255122538496</v>
          </cell>
          <cell r="BH14" vm="245">
            <v>275893682176</v>
          </cell>
          <cell r="BI14" vm="246">
            <v>268761202688</v>
          </cell>
        </row>
        <row r="15">
          <cell r="B15" t="str" vm="247">
            <v>France</v>
          </cell>
          <cell r="C15" vm="248">
            <v>67461644288</v>
          </cell>
          <cell r="D15" vm="249">
            <v>75607531520</v>
          </cell>
          <cell r="E15" vm="250">
            <v>84759191552</v>
          </cell>
          <cell r="F15" vm="251">
            <v>94007853056</v>
          </cell>
          <cell r="G15" vm="252">
            <v>101537251328</v>
          </cell>
          <cell r="H15" vm="253">
            <v>110045855744</v>
          </cell>
          <cell r="I15" vm="254">
            <v>118972981248</v>
          </cell>
          <cell r="J15" vm="255">
            <v>129785438208</v>
          </cell>
          <cell r="K15" vm="256">
            <v>141903069184</v>
          </cell>
          <cell r="L15" vm="257">
            <v>148456357888</v>
          </cell>
          <cell r="M15" vm="258">
            <v>165966610432</v>
          </cell>
          <cell r="N15" vm="259">
            <v>203494146048</v>
          </cell>
          <cell r="O15" vm="260">
            <v>264429879296</v>
          </cell>
          <cell r="P15" vm="261">
            <v>285552377856</v>
          </cell>
          <cell r="Q15" vm="262">
            <v>360832172032</v>
          </cell>
          <cell r="R15" vm="263">
            <v>372319027200</v>
          </cell>
          <cell r="S15" vm="264">
            <v>410279477248</v>
          </cell>
          <cell r="T15" vm="265">
            <v>506707836928</v>
          </cell>
          <cell r="U15" vm="266">
            <v>613953110016</v>
          </cell>
          <cell r="V15" vm="267">
            <v>701288415232</v>
          </cell>
          <cell r="W15" vm="268">
            <v>615552188416</v>
          </cell>
          <cell r="X15" vm="269">
            <v>584877735936</v>
          </cell>
          <cell r="Y15" vm="270">
            <v>559869198336</v>
          </cell>
          <cell r="Z15" vm="271">
            <v>530683789312</v>
          </cell>
          <cell r="AA15" vm="272">
            <v>553138388992</v>
          </cell>
          <cell r="AB15" vm="273">
            <v>771470786560</v>
          </cell>
          <cell r="AC15" vm="274">
            <v>934173278208</v>
          </cell>
          <cell r="AD15" vm="275">
            <v>1018847035392</v>
          </cell>
          <cell r="AE15" vm="276">
            <v>1025211826176</v>
          </cell>
          <cell r="AF15" vm="277">
            <v>1269179613184</v>
          </cell>
          <cell r="AG15" vm="278">
            <v>1269276868608</v>
          </cell>
          <cell r="AH15" vm="279">
            <v>1401465864192</v>
          </cell>
          <cell r="AI15" vm="280">
            <v>1322815586304</v>
          </cell>
          <cell r="AJ15" vm="281">
            <v>1393982701568</v>
          </cell>
          <cell r="AK15" vm="282">
            <v>1601094811648</v>
          </cell>
          <cell r="AL15" vm="283">
            <v>1605675122688</v>
          </cell>
          <cell r="AM15" vm="284">
            <v>1452884885504</v>
          </cell>
          <cell r="AN15" vm="285">
            <v>1503108792320</v>
          </cell>
          <cell r="AO15" vm="286">
            <v>1492647542784</v>
          </cell>
          <cell r="AP15" vm="287">
            <v>1362248990720</v>
          </cell>
          <cell r="AQ15" vm="288">
            <v>1376465321984</v>
          </cell>
          <cell r="AR15" vm="289">
            <v>1494286598144</v>
          </cell>
          <cell r="AS15" vm="290">
            <v>1840480780288</v>
          </cell>
          <cell r="AT15" vm="291">
            <v>2115742466048</v>
          </cell>
          <cell r="AU15" vm="292">
            <v>2196126040064</v>
          </cell>
          <cell r="AV15" vm="293">
            <v>2318593687552</v>
          </cell>
          <cell r="AW15" vm="294">
            <v>2657213218816</v>
          </cell>
          <cell r="AX15" vm="295">
            <v>2918382829568</v>
          </cell>
          <cell r="AY15" vm="296">
            <v>2690222391296</v>
          </cell>
          <cell r="AZ15" vm="297">
            <v>2642609438720</v>
          </cell>
          <cell r="BA15" vm="298">
            <v>2861408190464</v>
          </cell>
          <cell r="BB15" vm="299">
            <v>2683825291264</v>
          </cell>
          <cell r="BC15" vm="300">
            <v>2811077853184</v>
          </cell>
          <cell r="BD15" vm="301">
            <v>2852165779456</v>
          </cell>
          <cell r="BE15" vm="302">
            <v>2438207897600</v>
          </cell>
          <cell r="BF15" vm="303">
            <v>2471285489664</v>
          </cell>
          <cell r="BG15" vm="304">
            <v>2595151151104</v>
          </cell>
          <cell r="BH15" vm="305">
            <v>2787863953408</v>
          </cell>
          <cell r="BI15" vm="306">
            <v>2715518238720</v>
          </cell>
        </row>
        <row r="16">
          <cell r="B16" t="str" vm="307">
            <v>Greece</v>
          </cell>
          <cell r="C16" vm="308">
            <v>4961400320</v>
          </cell>
          <cell r="D16" vm="309">
            <v>5213047808</v>
          </cell>
          <cell r="E16" vm="310">
            <v>5895278080</v>
          </cell>
          <cell r="F16" vm="311">
            <v>6669673472</v>
          </cell>
          <cell r="G16" vm="312">
            <v>7689154048</v>
          </cell>
          <cell r="H16" vm="313">
            <v>8591517696</v>
          </cell>
          <cell r="I16" vm="314">
            <v>9275600896</v>
          </cell>
          <cell r="J16" vm="315">
            <v>10090676224</v>
          </cell>
          <cell r="K16" vm="316">
            <v>11615656960</v>
          </cell>
          <cell r="L16" vm="317">
            <v>13139862528</v>
          </cell>
          <cell r="M16" vm="318">
            <v>14591755264</v>
          </cell>
          <cell r="N16" vm="319">
            <v>16885507072</v>
          </cell>
          <cell r="O16" vm="320">
            <v>22347845632</v>
          </cell>
          <cell r="P16" vm="321">
            <v>25351305216</v>
          </cell>
          <cell r="Q16" vm="322">
            <v>28525873152</v>
          </cell>
          <cell r="R16" vm="323">
            <v>31152840704</v>
          </cell>
          <cell r="S16" vm="324">
            <v>36176232448</v>
          </cell>
          <cell r="T16" vm="325">
            <v>44270202880</v>
          </cell>
          <cell r="U16" vm="326">
            <v>54481874944</v>
          </cell>
          <cell r="V16" vm="327">
            <v>56829665280</v>
          </cell>
          <cell r="W16" vm="328">
            <v>52346507264</v>
          </cell>
          <cell r="X16" vm="329">
            <v>54617993216</v>
          </cell>
          <cell r="Y16" vm="330">
            <v>49428873216</v>
          </cell>
          <cell r="Z16" vm="331">
            <v>48020025344</v>
          </cell>
          <cell r="AA16" vm="332">
            <v>47820849152</v>
          </cell>
          <cell r="AB16" vm="333">
            <v>56379592704</v>
          </cell>
          <cell r="AC16" vm="334">
            <v>65652752384</v>
          </cell>
          <cell r="AD16" vm="335">
            <v>76261277696</v>
          </cell>
          <cell r="AE16" vm="336">
            <v>79169044480</v>
          </cell>
          <cell r="AF16" vm="337">
            <v>97891090432</v>
          </cell>
          <cell r="AG16" vm="338">
            <v>105143230464</v>
          </cell>
          <cell r="AH16" vm="339">
            <v>116224671744</v>
          </cell>
          <cell r="AI16" vm="340">
            <v>108809060352</v>
          </cell>
          <cell r="AJ16" vm="341">
            <v>116601798656</v>
          </cell>
          <cell r="AK16" vm="342">
            <v>136878366720</v>
          </cell>
          <cell r="AL16" vm="343">
            <v>145861607424</v>
          </cell>
          <cell r="AM16" vm="344">
            <v>143157592064</v>
          </cell>
          <cell r="AN16" vm="345">
            <v>144428171264</v>
          </cell>
          <cell r="AO16" vm="346">
            <v>142540734464</v>
          </cell>
          <cell r="AP16" vm="347">
            <v>130133843968</v>
          </cell>
          <cell r="AQ16" vm="348">
            <v>136191352832</v>
          </cell>
          <cell r="AR16" vm="349">
            <v>153830948864</v>
          </cell>
          <cell r="AS16" vm="350">
            <v>201924263936</v>
          </cell>
          <cell r="AT16" vm="351">
            <v>240521265152</v>
          </cell>
          <cell r="AU16" vm="352">
            <v>247782998016</v>
          </cell>
          <cell r="AV16" vm="353">
            <v>273317740544</v>
          </cell>
          <cell r="AW16" vm="354">
            <v>318497947648</v>
          </cell>
          <cell r="AX16" vm="355">
            <v>354460794880</v>
          </cell>
          <cell r="AY16" vm="356">
            <v>330000236544</v>
          </cell>
          <cell r="AZ16" vm="357">
            <v>299361566720</v>
          </cell>
          <cell r="BA16" vm="358">
            <v>287797837824</v>
          </cell>
          <cell r="BB16" vm="359">
            <v>245670674432</v>
          </cell>
          <cell r="BC16" vm="360">
            <v>239862005760</v>
          </cell>
          <cell r="BD16" vm="361">
            <v>237029572608</v>
          </cell>
          <cell r="BE16" vm="362">
            <v>196591353856</v>
          </cell>
          <cell r="BF16" vm="363">
            <v>195222437888</v>
          </cell>
          <cell r="BG16" vm="364">
            <v>203588419584</v>
          </cell>
          <cell r="BH16" vm="365">
            <v>218138361856</v>
          </cell>
          <cell r="BI16" vm="366">
            <v>209852760064</v>
          </cell>
        </row>
        <row r="17">
          <cell r="B17" t="str" vm="367">
            <v>Israel</v>
          </cell>
          <cell r="C17" vm="368">
            <v>3138500096</v>
          </cell>
          <cell r="D17" vm="369">
            <v>2510000128</v>
          </cell>
          <cell r="E17" vm="370">
            <v>2992333312</v>
          </cell>
          <cell r="F17" vm="371">
            <v>3405333248</v>
          </cell>
          <cell r="G17" vm="372">
            <v>3663333376</v>
          </cell>
          <cell r="H17" vm="373">
            <v>3980000000</v>
          </cell>
          <cell r="I17" vm="374">
            <v>4030000128</v>
          </cell>
          <cell r="J17" vm="375">
            <v>4618999808</v>
          </cell>
          <cell r="K17" vm="376">
            <v>5329333248</v>
          </cell>
          <cell r="L17" vm="377">
            <v>7048666624</v>
          </cell>
          <cell r="M17" vm="378">
            <v>6711750144</v>
          </cell>
          <cell r="N17" vm="379">
            <v>8775249920</v>
          </cell>
          <cell r="O17" vm="380">
            <v>11326249984</v>
          </cell>
          <cell r="P17" vm="381">
            <v>16341000192</v>
          </cell>
          <cell r="Q17" vm="382">
            <v>15360166912</v>
          </cell>
          <cell r="R17" vm="383">
            <v>15183125504</v>
          </cell>
          <cell r="S17" vm="384">
            <v>17372798976</v>
          </cell>
          <cell r="T17" vm="385">
            <v>16843176960</v>
          </cell>
          <cell r="U17" vm="386">
            <v>21514080256</v>
          </cell>
          <cell r="V17" vm="387">
            <v>24164509696</v>
          </cell>
          <cell r="W17" vm="388">
            <v>25579227136</v>
          </cell>
          <cell r="X17" vm="389">
            <v>27837509632</v>
          </cell>
          <cell r="Y17" vm="390">
            <v>31092230144</v>
          </cell>
          <cell r="Z17" vm="391">
            <v>29160458240</v>
          </cell>
          <cell r="AA17" vm="392">
            <v>27504906240</v>
          </cell>
          <cell r="AB17" vm="393">
            <v>34097559552</v>
          </cell>
          <cell r="AC17" vm="394">
            <v>40963276800</v>
          </cell>
          <cell r="AD17" vm="395">
            <v>50099380224</v>
          </cell>
          <cell r="AE17" vm="396">
            <v>49901961216</v>
          </cell>
          <cell r="AF17" vm="397">
            <v>59011272704</v>
          </cell>
          <cell r="AG17" vm="398">
            <v>67558014976</v>
          </cell>
          <cell r="AH17" vm="399">
            <v>75607007232</v>
          </cell>
          <cell r="AI17" vm="400">
            <v>75985903616</v>
          </cell>
          <cell r="AJ17" vm="401">
            <v>86342656000</v>
          </cell>
          <cell r="AK17" vm="402">
            <v>100384808960</v>
          </cell>
          <cell r="AL17" vm="403">
            <v>109995843584</v>
          </cell>
          <cell r="AM17" vm="404">
            <v>114692620288</v>
          </cell>
          <cell r="AN17" vm="405">
            <v>115932848128</v>
          </cell>
          <cell r="AO17" vm="406">
            <v>117111537664</v>
          </cell>
          <cell r="AP17" vm="407">
            <v>132343046144</v>
          </cell>
          <cell r="AQ17" vm="408">
            <v>130756337664</v>
          </cell>
          <cell r="AR17" vm="409">
            <v>121123831808</v>
          </cell>
          <cell r="AS17" vm="410">
            <v>126965981184</v>
          </cell>
          <cell r="AT17" vm="411">
            <v>135477428224</v>
          </cell>
          <cell r="AU17" vm="412">
            <v>142528905216</v>
          </cell>
          <cell r="AV17" vm="413">
            <v>154034323456</v>
          </cell>
          <cell r="AW17" vm="414">
            <v>178959187968</v>
          </cell>
          <cell r="AX17" vm="415">
            <v>216105172992</v>
          </cell>
          <cell r="AY17" vm="416">
            <v>207468167168</v>
          </cell>
          <cell r="AZ17" vm="417">
            <v>233995681792</v>
          </cell>
          <cell r="BA17" vm="418">
            <v>261468635136</v>
          </cell>
          <cell r="BB17" vm="419">
            <v>257180139520</v>
          </cell>
          <cell r="BC17" vm="420">
            <v>292636164096</v>
          </cell>
          <cell r="BD17" vm="421">
            <v>309558444032</v>
          </cell>
          <cell r="BE17" vm="422">
            <v>299813109760</v>
          </cell>
          <cell r="BF17" vm="423">
            <v>318950604800</v>
          </cell>
          <cell r="BG17" vm="424">
            <v>353253392384</v>
          </cell>
          <cell r="BH17" vm="425">
            <v>370587992064</v>
          </cell>
          <cell r="BI17" vm="426">
            <v>395098652672</v>
          </cell>
        </row>
        <row r="18">
          <cell r="B18" t="str" vm="427">
            <v>Italy</v>
          </cell>
          <cell r="C18" vm="428">
            <v>44842762240</v>
          </cell>
          <cell r="D18" vm="429">
            <v>50383892480</v>
          </cell>
          <cell r="E18" vm="430">
            <v>57710743552</v>
          </cell>
          <cell r="F18" vm="431">
            <v>63175417856</v>
          </cell>
          <cell r="G18" vm="432">
            <v>67978153984</v>
          </cell>
          <cell r="H18" vm="433">
            <v>73654870016</v>
          </cell>
          <cell r="I18" vm="434">
            <v>81133117440</v>
          </cell>
          <cell r="J18" vm="435">
            <v>87942234112</v>
          </cell>
          <cell r="K18" vm="436">
            <v>97085079552</v>
          </cell>
          <cell r="L18" vm="437">
            <v>113395318784</v>
          </cell>
          <cell r="M18" vm="438">
            <v>124672368640</v>
          </cell>
          <cell r="N18" vm="439">
            <v>145260036096</v>
          </cell>
          <cell r="O18" vm="440">
            <v>175492055040</v>
          </cell>
          <cell r="P18" vm="441">
            <v>199564492800</v>
          </cell>
          <cell r="Q18" vm="442">
            <v>227695853568</v>
          </cell>
          <cell r="R18" vm="443">
            <v>224717275136</v>
          </cell>
          <cell r="S18" vm="444">
            <v>257596309504</v>
          </cell>
          <cell r="T18" vm="445">
            <v>315058323456</v>
          </cell>
          <cell r="U18" vm="446">
            <v>393677176832</v>
          </cell>
          <cell r="V18" vm="447">
            <v>477256777728</v>
          </cell>
          <cell r="W18" vm="448">
            <v>430702854144</v>
          </cell>
          <cell r="X18" vm="449">
            <v>427272634368</v>
          </cell>
          <cell r="Y18" vm="450">
            <v>443042365440</v>
          </cell>
          <cell r="Z18" vm="451">
            <v>437887696896</v>
          </cell>
          <cell r="AA18" vm="452">
            <v>452217503744</v>
          </cell>
          <cell r="AB18" vm="453">
            <v>640386334720</v>
          </cell>
          <cell r="AC18" vm="454">
            <v>805713149952</v>
          </cell>
          <cell r="AD18" vm="455">
            <v>891608956928</v>
          </cell>
          <cell r="AE18" vm="456">
            <v>928661307392</v>
          </cell>
          <cell r="AF18" vm="457">
            <v>1181222699008</v>
          </cell>
          <cell r="AG18" vm="458">
            <v>1246220124160</v>
          </cell>
          <cell r="AH18" vm="459">
            <v>1320161640448</v>
          </cell>
          <cell r="AI18" vm="460">
            <v>1064958099456</v>
          </cell>
          <cell r="AJ18" vm="461">
            <v>1099216715776</v>
          </cell>
          <cell r="AK18" vm="462">
            <v>1174662021120</v>
          </cell>
          <cell r="AL18" vm="463">
            <v>1312426557440</v>
          </cell>
          <cell r="AM18" vm="464">
            <v>1241879543808</v>
          </cell>
          <cell r="AN18" vm="465">
            <v>1270052552704</v>
          </cell>
          <cell r="AO18" vm="466">
            <v>1252023730176</v>
          </cell>
          <cell r="AP18" vm="467">
            <v>1143829823488</v>
          </cell>
          <cell r="AQ18" vm="468">
            <v>1167012790272</v>
          </cell>
          <cell r="AR18" vm="469">
            <v>1270712369152</v>
          </cell>
          <cell r="AS18" vm="470">
            <v>1574145884160</v>
          </cell>
          <cell r="AT18" vm="471">
            <v>1803226972160</v>
          </cell>
          <cell r="AU18" vm="472">
            <v>1857524334592</v>
          </cell>
          <cell r="AV18" vm="473">
            <v>1947919712256</v>
          </cell>
          <cell r="AW18" vm="474">
            <v>2210292563968</v>
          </cell>
          <cell r="AX18" vm="475">
            <v>2398856675328</v>
          </cell>
          <cell r="AY18" vm="476">
            <v>2191241904128</v>
          </cell>
          <cell r="AZ18" vm="477">
            <v>2134017835008</v>
          </cell>
          <cell r="BA18" vm="478">
            <v>2291991052288</v>
          </cell>
          <cell r="BB18" vm="479">
            <v>2087077019648</v>
          </cell>
          <cell r="BC18" vm="480">
            <v>2141315268608</v>
          </cell>
          <cell r="BD18" vm="481">
            <v>2159133982720</v>
          </cell>
          <cell r="BE18" vm="482">
            <v>1835899289600</v>
          </cell>
          <cell r="BF18" vm="483">
            <v>1875797475328</v>
          </cell>
          <cell r="BG18" vm="484">
            <v>1961796173824</v>
          </cell>
          <cell r="BH18" vm="485">
            <v>2085764333568</v>
          </cell>
          <cell r="BI18" vm="486">
            <v>2001244389376</v>
          </cell>
        </row>
        <row r="19">
          <cell r="B19" t="str" vm="487">
            <v>Japan</v>
          </cell>
          <cell r="C19" vm="488">
            <v>53508616192</v>
          </cell>
          <cell r="D19" vm="489">
            <v>60723019776</v>
          </cell>
          <cell r="E19" vm="490">
            <v>69498134528</v>
          </cell>
          <cell r="F19" vm="491">
            <v>81749008384</v>
          </cell>
          <cell r="G19" vm="492">
            <v>90950279168</v>
          </cell>
          <cell r="H19" vm="493">
            <v>105628073984</v>
          </cell>
          <cell r="I19" vm="494">
            <v>123781881856</v>
          </cell>
          <cell r="J19" vm="495">
            <v>146601066496</v>
          </cell>
          <cell r="K19" vm="496">
            <v>172204195840</v>
          </cell>
          <cell r="L19" vm="497">
            <v>212609187840</v>
          </cell>
          <cell r="M19" vm="498">
            <v>240151805952</v>
          </cell>
          <cell r="N19" vm="499">
            <v>318031298560</v>
          </cell>
          <cell r="O19" vm="500">
            <v>432082681856</v>
          </cell>
          <cell r="P19" vm="501">
            <v>479626002432</v>
          </cell>
          <cell r="Q19" vm="502">
            <v>521541910528</v>
          </cell>
          <cell r="R19" vm="503">
            <v>586161848320</v>
          </cell>
          <cell r="S19" vm="504">
            <v>721411768320</v>
          </cell>
          <cell r="T19" vm="505">
            <v>1013612150784</v>
          </cell>
          <cell r="U19" vm="506">
            <v>1055012093952</v>
          </cell>
          <cell r="V19" vm="507">
            <v>1105386012672</v>
          </cell>
          <cell r="W19" vm="508">
            <v>1218988998656</v>
          </cell>
          <cell r="X19" vm="509">
            <v>1134517944320</v>
          </cell>
          <cell r="Y19" vm="510">
            <v>1243323564032</v>
          </cell>
          <cell r="Z19" vm="511">
            <v>1318381682688</v>
          </cell>
          <cell r="AA19" vm="512">
            <v>1398892789760</v>
          </cell>
          <cell r="AB19" vm="513">
            <v>2078953308160</v>
          </cell>
          <cell r="AC19" vm="514">
            <v>2532808589312</v>
          </cell>
          <cell r="AD19" vm="515">
            <v>3071683067904</v>
          </cell>
          <cell r="AE19" vm="516">
            <v>3054914240512</v>
          </cell>
          <cell r="AF19" vm="517">
            <v>3132817670144</v>
          </cell>
          <cell r="AG19" vm="518">
            <v>3584419954688</v>
          </cell>
          <cell r="AH19" vm="519">
            <v>3908809523200</v>
          </cell>
          <cell r="AI19" vm="520">
            <v>4454143754240</v>
          </cell>
          <cell r="AJ19" vm="521">
            <v>4907039457280</v>
          </cell>
          <cell r="AK19" vm="522">
            <v>5449116549120</v>
          </cell>
          <cell r="AL19" vm="523">
            <v>4833712537600</v>
          </cell>
          <cell r="AM19" vm="524">
            <v>4414733025280</v>
          </cell>
          <cell r="AN19" vm="525">
            <v>4032509771776</v>
          </cell>
          <cell r="AO19" vm="526">
            <v>4562078924800</v>
          </cell>
          <cell r="AP19" vm="527">
            <v>4887519690752</v>
          </cell>
          <cell r="AQ19" vm="528">
            <v>4303544385536</v>
          </cell>
          <cell r="AR19" vm="529">
            <v>4115116326912</v>
          </cell>
          <cell r="AS19" vm="530">
            <v>4445658152960</v>
          </cell>
          <cell r="AT19" vm="531">
            <v>4815149072384</v>
          </cell>
          <cell r="AU19" vm="532">
            <v>4755410649088</v>
          </cell>
          <cell r="AV19" vm="533">
            <v>4530377326592</v>
          </cell>
          <cell r="AW19" vm="534">
            <v>4515264724992</v>
          </cell>
          <cell r="AX19" vm="535">
            <v>5037908557824</v>
          </cell>
          <cell r="AY19" vm="536">
            <v>5231382888448</v>
          </cell>
          <cell r="AZ19" vm="537">
            <v>5700097933312</v>
          </cell>
          <cell r="BA19" vm="538">
            <v>6157459521536</v>
          </cell>
          <cell r="BB19" vm="539">
            <v>6203213086720</v>
          </cell>
          <cell r="BC19" vm="540">
            <v>5155717120000</v>
          </cell>
          <cell r="BD19" vm="541">
            <v>4850413731840</v>
          </cell>
          <cell r="BE19" vm="542">
            <v>4389475713024</v>
          </cell>
          <cell r="BF19" vm="543">
            <v>4922537934848</v>
          </cell>
          <cell r="BG19" vm="544">
            <v>4866864316416</v>
          </cell>
          <cell r="BH19" vm="545">
            <v>4954806812672</v>
          </cell>
          <cell r="BI19" vm="546">
            <v>5081769443328</v>
          </cell>
        </row>
        <row r="20">
          <cell r="B20" t="str" vm="547">
            <v>Luxemburg</v>
          </cell>
          <cell r="C20" vm="548">
            <v>704145664</v>
          </cell>
          <cell r="D20" vm="549">
            <v>741509504</v>
          </cell>
          <cell r="E20" vm="550">
            <v>791140608</v>
          </cell>
          <cell r="F20" vm="551">
            <v>903158784</v>
          </cell>
          <cell r="G20" vm="552">
            <v>921600768</v>
          </cell>
          <cell r="H20" vm="553">
            <v>968440128</v>
          </cell>
          <cell r="I20" vm="554">
            <v>974721792</v>
          </cell>
          <cell r="J20" vm="555">
            <v>1066447104</v>
          </cell>
          <cell r="K20" vm="556">
            <v>1234878976</v>
          </cell>
          <cell r="L20" vm="557">
            <v>1509155072</v>
          </cell>
          <cell r="M20" vm="558">
            <v>1572310784</v>
          </cell>
          <cell r="N20" vm="559">
            <v>1968733056</v>
          </cell>
          <cell r="O20" vm="560">
            <v>2701874688</v>
          </cell>
          <cell r="P20" vm="561">
            <v>3295860992</v>
          </cell>
          <cell r="Q20" vm="562">
            <v>3233431552</v>
          </cell>
          <cell r="R20" vm="563">
            <v>3544268032</v>
          </cell>
          <cell r="S20" vm="564">
            <v>3922895872</v>
          </cell>
          <cell r="T20" vm="565">
            <v>4884869120</v>
          </cell>
          <cell r="U20" vm="566">
            <v>5711457792</v>
          </cell>
          <cell r="V20" vm="567">
            <v>6232005632</v>
          </cell>
          <cell r="W20" vm="568">
            <v>5231808512</v>
          </cell>
          <cell r="X20" vm="569">
            <v>4764549632</v>
          </cell>
          <cell r="Y20" vm="570">
            <v>4683697664</v>
          </cell>
          <cell r="Z20" vm="571">
            <v>4594891776</v>
          </cell>
          <cell r="AA20" vm="572">
            <v>4738559488</v>
          </cell>
          <cell r="AB20" vm="573">
            <v>6921264128</v>
          </cell>
          <cell r="AC20" vm="574">
            <v>8614215680</v>
          </cell>
          <cell r="AD20" vm="575">
            <v>9750161408</v>
          </cell>
          <cell r="AE20" vm="576">
            <v>10391504896</v>
          </cell>
          <cell r="AF20" vm="577">
            <v>13229247488</v>
          </cell>
          <cell r="AG20" vm="578">
            <v>14321879040</v>
          </cell>
          <cell r="AH20" vm="579">
            <v>16065740800</v>
          </cell>
          <cell r="AI20" vm="580">
            <v>16486899712</v>
          </cell>
          <cell r="AJ20" vm="581">
            <v>18325790720</v>
          </cell>
          <cell r="AK20" vm="582">
            <v>21588170752</v>
          </cell>
          <cell r="AL20" vm="583">
            <v>21776609280</v>
          </cell>
          <cell r="AM20" vm="584">
            <v>19731912704</v>
          </cell>
          <cell r="AN20" vm="585">
            <v>20209121280</v>
          </cell>
          <cell r="AO20" vm="586">
            <v>22235928576</v>
          </cell>
          <cell r="AP20" vm="587">
            <v>21263515648</v>
          </cell>
          <cell r="AQ20" vm="588">
            <v>21272418304</v>
          </cell>
          <cell r="AR20" vm="589">
            <v>23616329728</v>
          </cell>
          <cell r="AS20" vm="590">
            <v>29557325824</v>
          </cell>
          <cell r="AT20" vm="591">
            <v>34685280256</v>
          </cell>
          <cell r="AU20" vm="592">
            <v>37347393536</v>
          </cell>
          <cell r="AV20" vm="593">
            <v>42414309376</v>
          </cell>
          <cell r="AW20" vm="594">
            <v>50888134656</v>
          </cell>
          <cell r="AX20" vm="595">
            <v>55849684992</v>
          </cell>
          <cell r="AY20" vm="596">
            <v>51370545152</v>
          </cell>
          <cell r="AZ20" vm="597">
            <v>53212475392</v>
          </cell>
          <cell r="BA20" vm="598">
            <v>60004630528</v>
          </cell>
          <cell r="BB20" vm="599">
            <v>56677961728</v>
          </cell>
          <cell r="BC20" vm="600">
            <v>61739352064</v>
          </cell>
          <cell r="BD20" vm="601">
            <v>66103853056</v>
          </cell>
          <cell r="BE20" vm="602">
            <v>57744457728</v>
          </cell>
          <cell r="BF20" vm="603">
            <v>60691484672</v>
          </cell>
          <cell r="BG20" vm="604">
            <v>64181944320</v>
          </cell>
          <cell r="BH20" vm="605">
            <v>70919954432</v>
          </cell>
          <cell r="BI20" vm="606">
            <v>71104921600</v>
          </cell>
        </row>
        <row r="21">
          <cell r="B21" t="str" vm="607">
            <v>Netherlands</v>
          </cell>
          <cell r="C21" vm="608">
            <v>13493833728</v>
          </cell>
          <cell r="D21" vm="609">
            <v>14647057408</v>
          </cell>
          <cell r="E21" vm="610">
            <v>15891240960</v>
          </cell>
          <cell r="F21" vm="611">
            <v>18699380736</v>
          </cell>
          <cell r="G21" vm="612">
            <v>21000587264</v>
          </cell>
          <cell r="H21" vm="613">
            <v>22867204096</v>
          </cell>
          <cell r="I21" vm="614">
            <v>25087561728</v>
          </cell>
          <cell r="J21" vm="615">
            <v>27817605120</v>
          </cell>
          <cell r="K21" vm="616">
            <v>34035947520</v>
          </cell>
          <cell r="L21" vm="617">
            <v>38164717568</v>
          </cell>
          <cell r="M21" vm="618">
            <v>44579123200</v>
          </cell>
          <cell r="N21" vm="619">
            <v>54706556928</v>
          </cell>
          <cell r="O21" vm="620">
            <v>71840907264</v>
          </cell>
          <cell r="P21" vm="621">
            <v>87243415552</v>
          </cell>
          <cell r="Q21" vm="622">
            <v>100249526272</v>
          </cell>
          <cell r="R21" vm="623">
            <v>109168721920</v>
          </cell>
          <cell r="S21" vm="624">
            <v>127016992768</v>
          </cell>
          <cell r="T21" vm="625">
            <v>155859697664</v>
          </cell>
          <cell r="U21" vm="626">
            <v>179669401600</v>
          </cell>
          <cell r="V21" vm="627">
            <v>195152084992</v>
          </cell>
          <cell r="W21" vm="628">
            <v>164134223872</v>
          </cell>
          <cell r="X21" vm="629">
            <v>158479532032</v>
          </cell>
          <cell r="Y21" vm="630">
            <v>153445466112</v>
          </cell>
          <cell r="Z21" vm="631">
            <v>143912665088</v>
          </cell>
          <cell r="AA21" vm="632">
            <v>143845818368</v>
          </cell>
          <cell r="AB21" vm="633">
            <v>200862089216</v>
          </cell>
          <cell r="AC21" vm="634">
            <v>245046312960</v>
          </cell>
          <cell r="AD21" vm="635">
            <v>261910511616</v>
          </cell>
          <cell r="AE21" vm="636">
            <v>258336702464</v>
          </cell>
          <cell r="AF21" vm="637">
            <v>318330503168</v>
          </cell>
          <cell r="AG21" vm="638">
            <v>327500333056</v>
          </cell>
          <cell r="AH21" vm="639">
            <v>362962878464</v>
          </cell>
          <cell r="AI21" vm="640">
            <v>353550172160</v>
          </cell>
          <cell r="AJ21" vm="641">
            <v>379130249216</v>
          </cell>
          <cell r="AK21" vm="642">
            <v>452301684736</v>
          </cell>
          <cell r="AL21" vm="643">
            <v>450490204160</v>
          </cell>
          <cell r="AM21" vm="644">
            <v>416812728320</v>
          </cell>
          <cell r="AN21" vm="645">
            <v>438008217600</v>
          </cell>
          <cell r="AO21" vm="646">
            <v>446898569216</v>
          </cell>
          <cell r="AP21" vm="647">
            <v>416442777600</v>
          </cell>
          <cell r="AQ21" vm="648">
            <v>431213412352</v>
          </cell>
          <cell r="AR21" vm="649">
            <v>471613964288</v>
          </cell>
          <cell r="AS21" vm="650">
            <v>578792325120</v>
          </cell>
          <cell r="AT21" vm="651">
            <v>657171611648</v>
          </cell>
          <cell r="AU21" vm="652">
            <v>685092634624</v>
          </cell>
          <cell r="AV21" vm="653">
            <v>733340893184</v>
          </cell>
          <cell r="AW21" vm="654">
            <v>847481536512</v>
          </cell>
          <cell r="AX21" vm="655">
            <v>947997638656</v>
          </cell>
          <cell r="AY21" vm="656">
            <v>868077273088</v>
          </cell>
          <cell r="AZ21" vm="657">
            <v>846554923008</v>
          </cell>
          <cell r="BA21" vm="658">
            <v>904085962752</v>
          </cell>
          <cell r="BB21" vm="659">
            <v>838971293696</v>
          </cell>
          <cell r="BC21" vm="660">
            <v>876923518976</v>
          </cell>
          <cell r="BD21" vm="661">
            <v>890981318656</v>
          </cell>
          <cell r="BE21" vm="662">
            <v>765264920576</v>
          </cell>
          <cell r="BF21" vm="663">
            <v>783528165376</v>
          </cell>
          <cell r="BG21" vm="664">
            <v>833869643776</v>
          </cell>
          <cell r="BH21" vm="665">
            <v>914104844288</v>
          </cell>
          <cell r="BI21" vm="666">
            <v>909070368768</v>
          </cell>
        </row>
        <row r="22">
          <cell r="B22" t="str" vm="667">
            <v>Norway</v>
          </cell>
          <cell r="C22" vm="668">
            <v>5632460800</v>
          </cell>
          <cell r="D22" vm="669">
            <v>6066976768</v>
          </cell>
          <cell r="E22" vm="670">
            <v>6510239744</v>
          </cell>
          <cell r="F22" vm="671">
            <v>7159202816</v>
          </cell>
          <cell r="G22" vm="672">
            <v>8058680832</v>
          </cell>
          <cell r="H22" vm="673">
            <v>8696460288</v>
          </cell>
          <cell r="I22" vm="674">
            <v>9514497024</v>
          </cell>
          <cell r="J22" vm="675">
            <v>10159934464</v>
          </cell>
          <cell r="K22" vm="676">
            <v>11063064576</v>
          </cell>
          <cell r="L22" vm="677">
            <v>12814123008</v>
          </cell>
          <cell r="M22" vm="678">
            <v>14583114752</v>
          </cell>
          <cell r="N22" vm="679">
            <v>17358610432</v>
          </cell>
          <cell r="O22" vm="680">
            <v>22534254592</v>
          </cell>
          <cell r="P22" vm="681">
            <v>27145693184</v>
          </cell>
          <cell r="Q22" vm="682">
            <v>32877805568</v>
          </cell>
          <cell r="R22" vm="683">
            <v>35942268928</v>
          </cell>
          <cell r="S22" vm="684">
            <v>41508028416</v>
          </cell>
          <cell r="T22" vm="685">
            <v>46523092992</v>
          </cell>
          <cell r="U22" vm="686">
            <v>53132242944</v>
          </cell>
          <cell r="V22" vm="687">
            <v>64439382016</v>
          </cell>
          <cell r="W22" vm="688">
            <v>63596654592</v>
          </cell>
          <cell r="X22" vm="689">
            <v>62647193600</v>
          </cell>
          <cell r="Y22" vm="690">
            <v>61627240448</v>
          </cell>
          <cell r="Z22" vm="691">
            <v>62057955328</v>
          </cell>
          <cell r="AA22" vm="692">
            <v>65416880128</v>
          </cell>
          <cell r="AB22" vm="693">
            <v>78693253120</v>
          </cell>
          <cell r="AC22" vm="694">
            <v>94230052864</v>
          </cell>
          <cell r="AD22" vm="695">
            <v>101900263424</v>
          </cell>
          <cell r="AE22" vm="696">
            <v>102633791488</v>
          </cell>
          <cell r="AF22" vm="697">
            <v>119791681536</v>
          </cell>
          <cell r="AG22" vm="698">
            <v>121872465920</v>
          </cell>
          <cell r="AH22" vm="699">
            <v>130838036480</v>
          </cell>
          <cell r="AI22" vm="700">
            <v>120579072000</v>
          </cell>
          <cell r="AJ22" vm="701">
            <v>127131459584</v>
          </cell>
          <cell r="AK22" vm="702">
            <v>152029609984</v>
          </cell>
          <cell r="AL22" vm="703">
            <v>163520102400</v>
          </cell>
          <cell r="AM22" vm="704">
            <v>161356627968</v>
          </cell>
          <cell r="AN22" vm="705">
            <v>154163363840</v>
          </cell>
          <cell r="AO22" vm="706">
            <v>162284470272</v>
          </cell>
          <cell r="AP22" vm="707">
            <v>171247124480</v>
          </cell>
          <cell r="AQ22" vm="708">
            <v>173972226048</v>
          </cell>
          <cell r="AR22" vm="709">
            <v>195524182016</v>
          </cell>
          <cell r="AS22" vm="710">
            <v>228858511360</v>
          </cell>
          <cell r="AT22" vm="711">
            <v>264511635456</v>
          </cell>
          <cell r="AU22" vm="712">
            <v>308884275200</v>
          </cell>
          <cell r="AV22" vm="713">
            <v>345581355008</v>
          </cell>
          <cell r="AW22" vm="714">
            <v>400937091072</v>
          </cell>
          <cell r="AX22" vm="715">
            <v>462249984000</v>
          </cell>
          <cell r="AY22" vm="716">
            <v>386190376960</v>
          </cell>
          <cell r="AZ22" vm="717">
            <v>428757024768</v>
          </cell>
          <cell r="BA22" vm="718">
            <v>498283446272</v>
          </cell>
          <cell r="BB22" vm="719">
            <v>509506322432</v>
          </cell>
          <cell r="BC22" vm="720">
            <v>522761535488</v>
          </cell>
          <cell r="BD22" vm="721">
            <v>498410061824</v>
          </cell>
          <cell r="BE22" vm="722">
            <v>385801551872</v>
          </cell>
          <cell r="BF22" vm="723">
            <v>368819929088</v>
          </cell>
          <cell r="BG22" vm="724">
            <v>398393966592</v>
          </cell>
          <cell r="BH22" vm="725">
            <v>434166628352</v>
          </cell>
          <cell r="BI22" vm="726">
            <v>403336364032</v>
          </cell>
        </row>
        <row r="23">
          <cell r="B23" t="str" vm="727">
            <v>Portugal</v>
          </cell>
          <cell r="C23" vm="728">
            <v>3417516544</v>
          </cell>
          <cell r="D23" vm="729">
            <v>3668222464</v>
          </cell>
          <cell r="E23" vm="730">
            <v>3905734400</v>
          </cell>
          <cell r="F23" vm="731">
            <v>4235608064</v>
          </cell>
          <cell r="G23" vm="732">
            <v>4687463936</v>
          </cell>
          <cell r="H23" vm="733">
            <v>5135387648</v>
          </cell>
          <cell r="I23" vm="734">
            <v>5740241408</v>
          </cell>
          <cell r="J23" vm="735">
            <v>6354262528</v>
          </cell>
          <cell r="K23" vm="736">
            <v>6969026048</v>
          </cell>
          <cell r="L23" vm="737">
            <v>8108234752</v>
          </cell>
          <cell r="M23" vm="738">
            <v>9201606656</v>
          </cell>
          <cell r="N23" vm="739">
            <v>11239116800</v>
          </cell>
          <cell r="O23" vm="740">
            <v>15090566144</v>
          </cell>
          <cell r="P23" vm="741">
            <v>17512388608</v>
          </cell>
          <cell r="Q23" vm="742">
            <v>19347609600</v>
          </cell>
          <cell r="R23" vm="743">
            <v>20332834816</v>
          </cell>
          <cell r="S23" vm="744">
            <v>21439524864</v>
          </cell>
          <cell r="T23" vm="745">
            <v>23487612928</v>
          </cell>
          <cell r="U23" vm="746">
            <v>26622818304</v>
          </cell>
          <cell r="V23" vm="747">
            <v>32896522240</v>
          </cell>
          <cell r="W23" vm="748">
            <v>31977275392</v>
          </cell>
          <cell r="X23" vm="749">
            <v>30527754240</v>
          </cell>
          <cell r="Y23" vm="750">
            <v>27239651328</v>
          </cell>
          <cell r="Z23" vm="751">
            <v>25217970176</v>
          </cell>
          <cell r="AA23" vm="752">
            <v>27115806720</v>
          </cell>
          <cell r="AB23" vm="753">
            <v>38745903104</v>
          </cell>
          <cell r="AC23" vm="754">
            <v>48182923264</v>
          </cell>
          <cell r="AD23" vm="755">
            <v>56347250688</v>
          </cell>
          <cell r="AE23" vm="756">
            <v>60594094080</v>
          </cell>
          <cell r="AF23" vm="757">
            <v>78713856000</v>
          </cell>
          <cell r="AG23" vm="758">
            <v>89233596416</v>
          </cell>
          <cell r="AH23" vm="759">
            <v>107592097792</v>
          </cell>
          <cell r="AI23" vm="760">
            <v>95009751040</v>
          </cell>
          <cell r="AJ23" vm="761">
            <v>99688644608</v>
          </cell>
          <cell r="AK23" vm="762">
            <v>118122004480</v>
          </cell>
          <cell r="AL23" vm="763">
            <v>122630086656</v>
          </cell>
          <cell r="AM23" vm="764">
            <v>117016535040</v>
          </cell>
          <cell r="AN23" vm="765">
            <v>123946328064</v>
          </cell>
          <cell r="AO23" vm="766">
            <v>127427346432</v>
          </cell>
          <cell r="AP23" vm="767">
            <v>118310707200</v>
          </cell>
          <cell r="AQ23" vm="768">
            <v>121498886144</v>
          </cell>
          <cell r="AR23" vm="769">
            <v>134156091392</v>
          </cell>
          <cell r="AS23" vm="770">
            <v>164862148608</v>
          </cell>
          <cell r="AT23" vm="771">
            <v>189034496000</v>
          </cell>
          <cell r="AU23" vm="772">
            <v>197180325888</v>
          </cell>
          <cell r="AV23" vm="773">
            <v>208581689344</v>
          </cell>
          <cell r="AW23" vm="774">
            <v>240190799872</v>
          </cell>
          <cell r="AX23" vm="775">
            <v>262344785920</v>
          </cell>
          <cell r="AY23" vm="776">
            <v>243701628928</v>
          </cell>
          <cell r="AZ23" vm="777">
            <v>237880901632</v>
          </cell>
          <cell r="BA23" vm="778">
            <v>244797227008</v>
          </cell>
          <cell r="BB23" vm="779">
            <v>216236605440</v>
          </cell>
          <cell r="BC23" vm="780">
            <v>226369503232</v>
          </cell>
          <cell r="BD23" vm="781">
            <v>229596168192</v>
          </cell>
          <cell r="BE23" vm="782">
            <v>199313899520</v>
          </cell>
          <cell r="BF23" vm="783">
            <v>206286028800</v>
          </cell>
          <cell r="BG23" vm="784">
            <v>221357867008</v>
          </cell>
          <cell r="BH23" vm="785">
            <v>241274634240</v>
          </cell>
          <cell r="BI23" vm="786">
            <v>237686079488</v>
          </cell>
        </row>
        <row r="24">
          <cell r="B24" t="str" vm="787">
            <v>Singapore</v>
          </cell>
          <cell r="C24" vm="788">
            <v>764634752</v>
          </cell>
          <cell r="D24" vm="789">
            <v>826244608</v>
          </cell>
          <cell r="E24" vm="790">
            <v>917614016</v>
          </cell>
          <cell r="F24" vm="791">
            <v>894159168</v>
          </cell>
          <cell r="G24" vm="792">
            <v>974650432</v>
          </cell>
          <cell r="H24" vm="793">
            <v>1096432768</v>
          </cell>
          <cell r="I24" vm="794">
            <v>1238043904</v>
          </cell>
          <cell r="J24" vm="795">
            <v>1425715456</v>
          </cell>
          <cell r="K24" vm="796">
            <v>1659904640</v>
          </cell>
          <cell r="L24" vm="797">
            <v>1920586752</v>
          </cell>
          <cell r="M24" vm="798">
            <v>2263785472</v>
          </cell>
          <cell r="N24" vm="799">
            <v>2721441024</v>
          </cell>
          <cell r="O24" vm="800">
            <v>3696213248</v>
          </cell>
          <cell r="P24" vm="801">
            <v>5221534720</v>
          </cell>
          <cell r="Q24" vm="802">
            <v>5633673728</v>
          </cell>
          <cell r="R24" vm="803">
            <v>6327077888</v>
          </cell>
          <cell r="S24" vm="804">
            <v>6618585088</v>
          </cell>
          <cell r="T24" vm="805">
            <v>7517176320</v>
          </cell>
          <cell r="U24" vm="806">
            <v>9296921600</v>
          </cell>
          <cell r="V24" vm="807">
            <v>11896256512</v>
          </cell>
          <cell r="W24" vm="808">
            <v>14175228928</v>
          </cell>
          <cell r="X24" vm="809">
            <v>16084252672</v>
          </cell>
          <cell r="Y24" vm="810">
            <v>17784113152</v>
          </cell>
          <cell r="Z24" vm="811">
            <v>19749361664</v>
          </cell>
          <cell r="AA24" vm="812">
            <v>19156533248</v>
          </cell>
          <cell r="AB24" vm="813">
            <v>18586746880</v>
          </cell>
          <cell r="AC24" vm="814">
            <v>20919216128</v>
          </cell>
          <cell r="AD24" vm="815">
            <v>25371461632</v>
          </cell>
          <cell r="AE24" vm="816">
            <v>30465363968</v>
          </cell>
          <cell r="AF24" vm="817">
            <v>36144336896</v>
          </cell>
          <cell r="AG24" vm="818">
            <v>45466165248</v>
          </cell>
          <cell r="AH24" vm="819">
            <v>52130263040</v>
          </cell>
          <cell r="AI24" vm="820">
            <v>60603478016</v>
          </cell>
          <cell r="AJ24" vm="821">
            <v>73690849280</v>
          </cell>
          <cell r="AK24" vm="822">
            <v>87810990080</v>
          </cell>
          <cell r="AL24" vm="823">
            <v>96295886848</v>
          </cell>
          <cell r="AM24" vm="824">
            <v>100124188672</v>
          </cell>
          <cell r="AN24" vm="825">
            <v>85728313344</v>
          </cell>
          <cell r="AO24" vm="826">
            <v>86284664832</v>
          </cell>
          <cell r="AP24" vm="827">
            <v>96074481664</v>
          </cell>
          <cell r="AQ24" vm="828">
            <v>89794945024</v>
          </cell>
          <cell r="AR24" vm="829">
            <v>92537749504</v>
          </cell>
          <cell r="AS24" vm="830">
            <v>97645445120</v>
          </cell>
          <cell r="AT24" vm="831">
            <v>115035496448</v>
          </cell>
          <cell r="AU24" vm="832">
            <v>127807619072</v>
          </cell>
          <cell r="AV24" vm="833">
            <v>148630372352</v>
          </cell>
          <cell r="AW24" vm="834">
            <v>180941946880</v>
          </cell>
          <cell r="AX24" vm="835">
            <v>193611988992</v>
          </cell>
          <cell r="AY24" vm="836">
            <v>194152284160</v>
          </cell>
          <cell r="AZ24" vm="837">
            <v>239809380352</v>
          </cell>
          <cell r="BA24" vm="838">
            <v>279351164928</v>
          </cell>
          <cell r="BB24" vm="839">
            <v>295087210496</v>
          </cell>
          <cell r="BC24" vm="840">
            <v>307576373248</v>
          </cell>
          <cell r="BD24" vm="841">
            <v>314851164160</v>
          </cell>
          <cell r="BE24" vm="842">
            <v>308004159488</v>
          </cell>
          <cell r="BF24" vm="843">
            <v>318652350464</v>
          </cell>
          <cell r="BG24" vm="844">
            <v>341863333888</v>
          </cell>
          <cell r="BH24" vm="845">
            <v>373217067008</v>
          </cell>
          <cell r="BI24" vm="846">
            <v>372062519296</v>
          </cell>
        </row>
        <row r="25">
          <cell r="B25" t="str" vm="847">
            <v>South Korea</v>
          </cell>
          <cell r="C25" vm="848">
            <v>2417558272</v>
          </cell>
          <cell r="D25" vm="849">
            <v>2814318592</v>
          </cell>
          <cell r="E25" vm="850">
            <v>3988784640</v>
          </cell>
          <cell r="F25" vm="851">
            <v>3458939392</v>
          </cell>
          <cell r="G25" vm="852">
            <v>3120833280</v>
          </cell>
          <cell r="H25" vm="853">
            <v>3928908288</v>
          </cell>
          <cell r="I25" vm="854">
            <v>4855907328</v>
          </cell>
          <cell r="J25" vm="855">
            <v>6119284224</v>
          </cell>
          <cell r="K25" vm="856">
            <v>7678581248</v>
          </cell>
          <cell r="L25" vm="857">
            <v>9005023232</v>
          </cell>
          <cell r="M25" vm="858">
            <v>9903500288</v>
          </cell>
          <cell r="N25" vm="859">
            <v>10862327808</v>
          </cell>
          <cell r="O25" vm="860">
            <v>13876531200</v>
          </cell>
          <cell r="P25" vm="861">
            <v>19544094720</v>
          </cell>
          <cell r="Q25" vm="862">
            <v>21784297472</v>
          </cell>
          <cell r="R25" vm="863">
            <v>29902479360</v>
          </cell>
          <cell r="S25" vm="864">
            <v>38446489600</v>
          </cell>
          <cell r="T25" vm="865">
            <v>51972108288</v>
          </cell>
          <cell r="U25" vm="866">
            <v>66946899968</v>
          </cell>
          <cell r="V25" vm="867">
            <v>65398644736</v>
          </cell>
          <cell r="W25" vm="868">
            <v>72933351424</v>
          </cell>
          <cell r="X25" vm="869">
            <v>78358863872</v>
          </cell>
          <cell r="Y25" vm="870">
            <v>87760363520</v>
          </cell>
          <cell r="Z25" vm="871">
            <v>97510236160</v>
          </cell>
          <cell r="AA25" vm="872">
            <v>101296177152</v>
          </cell>
          <cell r="AB25" vm="873">
            <v>116836802560</v>
          </cell>
          <cell r="AC25" vm="874">
            <v>147948257280</v>
          </cell>
          <cell r="AD25" vm="875">
            <v>199590821888</v>
          </cell>
          <cell r="AE25" vm="876">
            <v>246927294464</v>
          </cell>
          <cell r="AF25" vm="877">
            <v>283367538688</v>
          </cell>
          <cell r="AG25" vm="878">
            <v>330648518656</v>
          </cell>
          <cell r="AH25" vm="879">
            <v>355525263360</v>
          </cell>
          <cell r="AI25" vm="880">
            <v>392666087424</v>
          </cell>
          <cell r="AJ25" vm="881">
            <v>463617392640</v>
          </cell>
          <cell r="AK25" vm="882">
            <v>566583427072</v>
          </cell>
          <cell r="AL25" vm="883">
            <v>610169585664</v>
          </cell>
          <cell r="AM25" vm="884">
            <v>569754517504</v>
          </cell>
          <cell r="AN25" vm="885">
            <v>383330942976</v>
          </cell>
          <cell r="AO25" vm="886">
            <v>497512644608</v>
          </cell>
          <cell r="AP25" vm="887">
            <v>576178094080</v>
          </cell>
          <cell r="AQ25" vm="888">
            <v>547658235904</v>
          </cell>
          <cell r="AR25" vm="889">
            <v>627246104576</v>
          </cell>
          <cell r="AS25" vm="890">
            <v>702717362176</v>
          </cell>
          <cell r="AT25" vm="891">
            <v>793174999040</v>
          </cell>
          <cell r="AU25" vm="892">
            <v>934901055488</v>
          </cell>
          <cell r="AV25" vm="893">
            <v>1053216931840</v>
          </cell>
          <cell r="AW25" vm="894">
            <v>1172614021120</v>
          </cell>
          <cell r="AX25" vm="895">
            <v>1047339008000</v>
          </cell>
          <cell r="AY25" vm="896">
            <v>943941877760</v>
          </cell>
          <cell r="AZ25" vm="897">
            <v>1144066932736</v>
          </cell>
          <cell r="BA25" vm="898">
            <v>1253223038976</v>
          </cell>
          <cell r="BB25" vm="899">
            <v>1278427660288</v>
          </cell>
          <cell r="BC25" vm="900">
            <v>1370795147264</v>
          </cell>
          <cell r="BD25" vm="901">
            <v>1484318179328</v>
          </cell>
          <cell r="BE25" vm="902">
            <v>1465773195264</v>
          </cell>
          <cell r="BF25" vm="903">
            <v>1500111568896</v>
          </cell>
          <cell r="BG25" vm="904">
            <v>1623901470720</v>
          </cell>
          <cell r="BH25" vm="905">
            <v>1720578867200</v>
          </cell>
          <cell r="BI25" vm="906">
            <v>1642383278080</v>
          </cell>
        </row>
        <row r="26">
          <cell r="B26" t="str" vm="907">
            <v>Spain</v>
          </cell>
          <cell r="C26" vm="908">
            <v>13834300416</v>
          </cell>
          <cell r="D26" vm="909">
            <v>16138545152</v>
          </cell>
          <cell r="E26" vm="910">
            <v>19074914304</v>
          </cell>
          <cell r="F26" vm="911">
            <v>21343844352</v>
          </cell>
          <cell r="G26" vm="912">
            <v>24756959232</v>
          </cell>
          <cell r="H26" vm="913">
            <v>28721061888</v>
          </cell>
          <cell r="I26" vm="914">
            <v>31647119360</v>
          </cell>
          <cell r="J26" vm="915">
            <v>31475548160</v>
          </cell>
          <cell r="K26" vm="916">
            <v>36038713344</v>
          </cell>
          <cell r="L26" vm="917">
            <v>40992997376</v>
          </cell>
          <cell r="M26" vm="918">
            <v>46619418624</v>
          </cell>
          <cell r="N26" vm="919">
            <v>59132416000</v>
          </cell>
          <cell r="O26" vm="920">
            <v>78639529984</v>
          </cell>
          <cell r="P26" vm="921">
            <v>97274003456</v>
          </cell>
          <cell r="Q26" vm="922">
            <v>114777047040</v>
          </cell>
          <cell r="R26" vm="923">
            <v>118507184128</v>
          </cell>
          <cell r="S26" vm="924">
            <v>132449280000</v>
          </cell>
          <cell r="T26" vm="925">
            <v>160599687168</v>
          </cell>
          <cell r="U26" vm="926">
            <v>214601957376</v>
          </cell>
          <cell r="V26" vm="927">
            <v>232766816256</v>
          </cell>
          <cell r="W26" vm="928">
            <v>202807885824</v>
          </cell>
          <cell r="X26" vm="929">
            <v>195996762112</v>
          </cell>
          <cell r="Y26" vm="930">
            <v>170951180288</v>
          </cell>
          <cell r="Z26" vm="931">
            <v>172102909952</v>
          </cell>
          <cell r="AA26" vm="932">
            <v>180793458688</v>
          </cell>
          <cell r="AB26" vm="933">
            <v>251321073664</v>
          </cell>
          <cell r="AC26" vm="934">
            <v>318747934720</v>
          </cell>
          <cell r="AD26" vm="935">
            <v>376160419840</v>
          </cell>
          <cell r="AE26" vm="936">
            <v>414757060608</v>
          </cell>
          <cell r="AF26" vm="937">
            <v>536558600192</v>
          </cell>
          <cell r="AG26" vm="938">
            <v>577166180352</v>
          </cell>
          <cell r="AH26" vm="939">
            <v>630915989504</v>
          </cell>
          <cell r="AI26" vm="940">
            <v>525075644416</v>
          </cell>
          <cell r="AJ26" vm="941">
            <v>530562646016</v>
          </cell>
          <cell r="AK26" vm="942">
            <v>614608994304</v>
          </cell>
          <cell r="AL26" vm="943">
            <v>642588999680</v>
          </cell>
          <cell r="AM26" vm="944">
            <v>590077296640</v>
          </cell>
          <cell r="AN26" vm="945">
            <v>619214864384</v>
          </cell>
          <cell r="AO26" vm="946">
            <v>634693156864</v>
          </cell>
          <cell r="AP26" vm="947">
            <v>596877639680</v>
          </cell>
          <cell r="AQ26" vm="948">
            <v>627286802432</v>
          </cell>
          <cell r="AR26" vm="949">
            <v>705394311168</v>
          </cell>
          <cell r="AS26" vm="950">
            <v>905492103168</v>
          </cell>
          <cell r="AT26" vm="951">
            <v>1067093393408</v>
          </cell>
          <cell r="AU26" vm="952">
            <v>1153285619712</v>
          </cell>
          <cell r="AV26" vm="953">
            <v>1259343839232</v>
          </cell>
          <cell r="AW26" vm="954">
            <v>1472131104768</v>
          </cell>
          <cell r="AX26" vm="955">
            <v>1625224904704</v>
          </cell>
          <cell r="AY26" vm="956">
            <v>1485583548416</v>
          </cell>
          <cell r="AZ26" vm="957">
            <v>1420722044928</v>
          </cell>
          <cell r="BA26" vm="958">
            <v>1478772785152</v>
          </cell>
          <cell r="BB26" vm="959">
            <v>1324820070400</v>
          </cell>
          <cell r="BC26" vm="960">
            <v>1354757439488</v>
          </cell>
          <cell r="BD26" vm="961">
            <v>1369398837248</v>
          </cell>
          <cell r="BE26" vm="962">
            <v>1195119214592</v>
          </cell>
          <cell r="BF26" vm="963">
            <v>1232076013568</v>
          </cell>
          <cell r="BG26" vm="964">
            <v>1312551731200</v>
          </cell>
          <cell r="BH26" vm="965">
            <v>1419735203840</v>
          </cell>
          <cell r="BI26" vm="966">
            <v>1394116263936</v>
          </cell>
        </row>
        <row r="27">
          <cell r="B27" t="str" vm="967">
            <v>Sweden</v>
          </cell>
          <cell r="C27" vm="968">
            <v>17212686336</v>
          </cell>
          <cell r="D27" vm="969">
            <v>18667251712</v>
          </cell>
          <cell r="E27" vm="970">
            <v>20204869632</v>
          </cell>
          <cell r="F27" vm="971">
            <v>22532417536</v>
          </cell>
          <cell r="G27" vm="972">
            <v>24795500544</v>
          </cell>
          <cell r="H27" vm="973">
            <v>26971486208</v>
          </cell>
          <cell r="I27" vm="974">
            <v>29275996160</v>
          </cell>
          <cell r="J27" vm="975">
            <v>31066820608</v>
          </cell>
          <cell r="K27" vm="976">
            <v>33738102784</v>
          </cell>
          <cell r="L27" vm="977">
            <v>38092451840</v>
          </cell>
          <cell r="M27" vm="978">
            <v>41566412800</v>
          </cell>
          <cell r="N27" vm="979">
            <v>48954146816</v>
          </cell>
          <cell r="O27" vm="980">
            <v>59404967936</v>
          </cell>
          <cell r="P27" vm="981">
            <v>66013339648</v>
          </cell>
          <cell r="Q27" vm="982">
            <v>82885394432</v>
          </cell>
          <cell r="R27" vm="983">
            <v>89362071552</v>
          </cell>
          <cell r="S27" vm="984">
            <v>94468743168</v>
          </cell>
          <cell r="T27" vm="985">
            <v>104442347520</v>
          </cell>
          <cell r="U27" vm="986">
            <v>123386413056</v>
          </cell>
          <cell r="V27" vm="987">
            <v>142092075008</v>
          </cell>
          <cell r="W27" vm="988">
            <v>129686937600</v>
          </cell>
          <cell r="X27" vm="989">
            <v>114380554240</v>
          </cell>
          <cell r="Y27" vm="990">
            <v>105014353920</v>
          </cell>
          <cell r="Z27" vm="991">
            <v>109201358848</v>
          </cell>
          <cell r="AA27" vm="992">
            <v>114123538432</v>
          </cell>
          <cell r="AB27" vm="993">
            <v>150498050048</v>
          </cell>
          <cell r="AC27" vm="994">
            <v>183009640448</v>
          </cell>
          <cell r="AD27" vm="995">
            <v>206986674176</v>
          </cell>
          <cell r="AE27" vm="996">
            <v>217948323840</v>
          </cell>
          <cell r="AF27" vm="997">
            <v>261846188032</v>
          </cell>
          <cell r="AG27" vm="998">
            <v>274229035008</v>
          </cell>
          <cell r="AH27" vm="999">
            <v>284321120256</v>
          </cell>
          <cell r="AI27" vm="1000">
            <v>212953333760</v>
          </cell>
          <cell r="AJ27" vm="1001">
            <v>229033574400</v>
          </cell>
          <cell r="AK27" vm="1002">
            <v>267305877504</v>
          </cell>
          <cell r="AL27" vm="1003">
            <v>291743825920</v>
          </cell>
          <cell r="AM27" vm="1004">
            <v>268146147328</v>
          </cell>
          <cell r="AN27" vm="1005">
            <v>270809071616</v>
          </cell>
          <cell r="AO27" vm="1006">
            <v>274072174592</v>
          </cell>
          <cell r="AP27" vm="1007">
            <v>262835453952</v>
          </cell>
          <cell r="AQ27" vm="1008">
            <v>242395856896</v>
          </cell>
          <cell r="AR27" vm="1009">
            <v>266849058816</v>
          </cell>
          <cell r="AS27" vm="1010">
            <v>334337212416</v>
          </cell>
          <cell r="AT27" vm="1011">
            <v>385118044160</v>
          </cell>
          <cell r="AU27" vm="1012">
            <v>392218083328</v>
          </cell>
          <cell r="AV27" vm="1013">
            <v>423093436416</v>
          </cell>
          <cell r="AW27" vm="1014">
            <v>491252580352</v>
          </cell>
          <cell r="AX27" vm="1015">
            <v>517706153984</v>
          </cell>
          <cell r="AY27" vm="1016">
            <v>436536999936</v>
          </cell>
          <cell r="AZ27" vm="1017">
            <v>495812542464</v>
          </cell>
          <cell r="BA27" vm="1018">
            <v>574094114816</v>
          </cell>
          <cell r="BB27" vm="1019">
            <v>552483749888</v>
          </cell>
          <cell r="BC27" vm="1020">
            <v>586841849856</v>
          </cell>
          <cell r="BD27" vm="1021">
            <v>581964005376</v>
          </cell>
          <cell r="BE27" vm="1022">
            <v>505103777792</v>
          </cell>
          <cell r="BF27" vm="1023">
            <v>515654680576</v>
          </cell>
          <cell r="BG27" vm="1024">
            <v>541018750976</v>
          </cell>
          <cell r="BH27" vm="1025">
            <v>555455348736</v>
          </cell>
          <cell r="BI27" vm="1026">
            <v>530832916480</v>
          </cell>
        </row>
        <row r="28">
          <cell r="B28" t="str" vm="1027">
            <v>United Kingdom</v>
          </cell>
          <cell r="C28" vm="1028">
            <v>77741965312</v>
          </cell>
          <cell r="D28" vm="1029">
            <v>81247567872</v>
          </cell>
          <cell r="E28" vm="1030">
            <v>86561964032</v>
          </cell>
          <cell r="F28" vm="1031">
            <v>94407557120</v>
          </cell>
          <cell r="G28" vm="1032">
            <v>101824757760</v>
          </cell>
          <cell r="H28" vm="1033">
            <v>108572753920</v>
          </cell>
          <cell r="I28" vm="1034">
            <v>113116889088</v>
          </cell>
          <cell r="J28" vm="1035">
            <v>107759910912</v>
          </cell>
          <cell r="K28" vm="1036">
            <v>116464705536</v>
          </cell>
          <cell r="L28" vm="1037">
            <v>130671943680</v>
          </cell>
          <cell r="M28" vm="1038">
            <v>148113899520</v>
          </cell>
          <cell r="N28" vm="1039">
            <v>169965027328</v>
          </cell>
          <cell r="O28" vm="1040">
            <v>192537968640</v>
          </cell>
          <cell r="P28" vm="1041">
            <v>206131363840</v>
          </cell>
          <cell r="Q28" vm="1042">
            <v>241756635136</v>
          </cell>
          <cell r="R28" vm="1043">
            <v>232614559744</v>
          </cell>
          <cell r="S28" vm="1044">
            <v>263066451968</v>
          </cell>
          <cell r="T28" vm="1045">
            <v>335883042816</v>
          </cell>
          <cell r="U28" vm="1046">
            <v>438994075648</v>
          </cell>
          <cell r="V28" vm="1047">
            <v>564947714048</v>
          </cell>
          <cell r="W28" vm="1048">
            <v>540765683712</v>
          </cell>
          <cell r="X28" vm="1049">
            <v>515048931328</v>
          </cell>
          <cell r="Y28" vm="1050">
            <v>489618014208</v>
          </cell>
          <cell r="Z28" vm="1051">
            <v>461487112192</v>
          </cell>
          <cell r="AA28" vm="1052">
            <v>489285156864</v>
          </cell>
          <cell r="AB28" vm="1053">
            <v>601452642304</v>
          </cell>
          <cell r="AC28" vm="1054">
            <v>745162604544</v>
          </cell>
          <cell r="AD28" vm="1055">
            <v>910122745856</v>
          </cell>
          <cell r="AE28" vm="1056">
            <v>926884823040</v>
          </cell>
          <cell r="AF28" vm="1057">
            <v>1093169381376</v>
          </cell>
          <cell r="AG28" vm="1058">
            <v>1142797238272</v>
          </cell>
          <cell r="AH28" vm="1059">
            <v>1179659534336</v>
          </cell>
          <cell r="AI28" vm="1060">
            <v>1061388746752</v>
          </cell>
          <cell r="AJ28" vm="1061">
            <v>1140489715712</v>
          </cell>
          <cell r="AK28" vm="1062">
            <v>1341584310272</v>
          </cell>
          <cell r="AL28" vm="1063">
            <v>1415358840832</v>
          </cell>
          <cell r="AM28" vm="1064">
            <v>1559078240256</v>
          </cell>
          <cell r="AN28" vm="1065">
            <v>1650172231680</v>
          </cell>
          <cell r="AO28" vm="1066">
            <v>1682399297536</v>
          </cell>
          <cell r="AP28" vm="1067">
            <v>1657816612864</v>
          </cell>
          <cell r="AQ28" vm="1068">
            <v>1640246149120</v>
          </cell>
          <cell r="AR28" vm="1069">
            <v>1784473976832</v>
          </cell>
          <cell r="AS28" vm="1070">
            <v>2053018746880</v>
          </cell>
          <cell r="AT28" vm="1071">
            <v>2416931504128</v>
          </cell>
          <cell r="AU28" vm="1072">
            <v>2538680090624</v>
          </cell>
          <cell r="AV28" vm="1073">
            <v>2713749815296</v>
          </cell>
          <cell r="AW28" vm="1074">
            <v>3100882239488</v>
          </cell>
          <cell r="AX28" vm="1075">
            <v>2922667311104</v>
          </cell>
          <cell r="AY28" vm="1076">
            <v>2410909794304</v>
          </cell>
          <cell r="AZ28" vm="1077">
            <v>2475244388352</v>
          </cell>
          <cell r="BA28" vm="1078">
            <v>2659310108672</v>
          </cell>
          <cell r="BB28" vm="1079">
            <v>2704887775232</v>
          </cell>
          <cell r="BC28" vm="1080">
            <v>2786022916096</v>
          </cell>
          <cell r="BD28" vm="1081">
            <v>3063803281408</v>
          </cell>
          <cell r="BE28" vm="1082">
            <v>2928590979072</v>
          </cell>
          <cell r="BF28" vm="1083">
            <v>2694283264000</v>
          </cell>
          <cell r="BG28" vm="1084">
            <v>2666229137408</v>
          </cell>
          <cell r="BH28" vm="1085">
            <v>2860667633664</v>
          </cell>
          <cell r="BI28" vm="1086">
            <v>2827113201664</v>
          </cell>
        </row>
        <row r="29">
          <cell r="B29" t="str" vm="1087">
            <v>United States</v>
          </cell>
          <cell r="C29" vm="1088">
            <v>563300007936</v>
          </cell>
          <cell r="D29" vm="1089">
            <v>605099982848</v>
          </cell>
          <cell r="E29" vm="1090">
            <v>638600019968</v>
          </cell>
          <cell r="F29" vm="1091">
            <v>685800030208</v>
          </cell>
          <cell r="G29" vm="1092">
            <v>743699972096</v>
          </cell>
          <cell r="H29" vm="1093">
            <v>814999994368</v>
          </cell>
          <cell r="I29" vm="1094">
            <v>861700030464</v>
          </cell>
          <cell r="J29" vm="1095">
            <v>942500020224</v>
          </cell>
          <cell r="K29" vm="1096">
            <v>1019900002304</v>
          </cell>
          <cell r="L29" vm="1097">
            <v>1073302994944</v>
          </cell>
          <cell r="M29" vm="1098">
            <v>1164849971200</v>
          </cell>
          <cell r="N29" vm="1099">
            <v>1279110021120</v>
          </cell>
          <cell r="O29" vm="1100">
            <v>1425376018432</v>
          </cell>
          <cell r="P29" vm="1101">
            <v>1545242935296</v>
          </cell>
          <cell r="Q29" vm="1102">
            <v>1684903952384</v>
          </cell>
          <cell r="R29" vm="1103">
            <v>1873411964928</v>
          </cell>
          <cell r="S29" vm="1104">
            <v>2081826013184</v>
          </cell>
          <cell r="T29" vm="1105">
            <v>2351598927872</v>
          </cell>
          <cell r="U29" vm="1106">
            <v>2627334045696</v>
          </cell>
          <cell r="V29" vm="1107">
            <v>2857306947584</v>
          </cell>
          <cell r="W29" vm="1108">
            <v>3207041908736</v>
          </cell>
          <cell r="X29" vm="1109">
            <v>3343789064192</v>
          </cell>
          <cell r="Y29" vm="1110">
            <v>3634038046720</v>
          </cell>
          <cell r="Z29" vm="1111">
            <v>4037612929024</v>
          </cell>
          <cell r="AA29" vm="1112">
            <v>4338978914304</v>
          </cell>
          <cell r="AB29" vm="1113">
            <v>4579631038464</v>
          </cell>
          <cell r="AC29" vm="1114">
            <v>4855215161344</v>
          </cell>
          <cell r="AD29" vm="1115">
            <v>5236438073344</v>
          </cell>
          <cell r="AE29" vm="1116">
            <v>5641580052480</v>
          </cell>
          <cell r="AF29" vm="1117">
            <v>5963144232960</v>
          </cell>
          <cell r="AG29" vm="1118">
            <v>6158129037312</v>
          </cell>
          <cell r="AH29" vm="1119">
            <v>6520327110656</v>
          </cell>
          <cell r="AI29" vm="1120">
            <v>6858558930944</v>
          </cell>
          <cell r="AJ29" vm="1121">
            <v>7287236198400</v>
          </cell>
          <cell r="AK29" vm="1122">
            <v>7639749099520</v>
          </cell>
          <cell r="AL29" vm="1123">
            <v>8073121890304</v>
          </cell>
          <cell r="AM29" vm="1124">
            <v>8577554579456</v>
          </cell>
          <cell r="AN29" vm="1125">
            <v>9062818250752</v>
          </cell>
          <cell r="AO29" vm="1126">
            <v>9630664097792</v>
          </cell>
          <cell r="AP29" vm="1127">
            <v>10252345933824</v>
          </cell>
          <cell r="AQ29" vm="1128">
            <v>10581821095936</v>
          </cell>
          <cell r="AR29" vm="1129">
            <v>10936419090432</v>
          </cell>
          <cell r="AS29" vm="1130">
            <v>11458243985408</v>
          </cell>
          <cell r="AT29" vm="1131">
            <v>12213729361920</v>
          </cell>
          <cell r="AU29" vm="1132">
            <v>13036640272384</v>
          </cell>
          <cell r="AV29" vm="1133">
            <v>13814611312640</v>
          </cell>
          <cell r="AW29" vm="1134">
            <v>14451858210816</v>
          </cell>
          <cell r="AX29" vm="1135">
            <v>14712844582912</v>
          </cell>
          <cell r="AY29" vm="1136">
            <v>14448932683776</v>
          </cell>
          <cell r="AZ29" vm="1137">
            <v>14992053108736</v>
          </cell>
          <cell r="BA29" vm="1138">
            <v>15542580674560</v>
          </cell>
          <cell r="BB29" vm="1139">
            <v>16197007441920</v>
          </cell>
          <cell r="BC29" vm="1140">
            <v>16784849633280</v>
          </cell>
          <cell r="BD29" vm="1141">
            <v>17521746903040</v>
          </cell>
          <cell r="BE29" vm="1142">
            <v>18219297406976</v>
          </cell>
          <cell r="BF29" vm="1143">
            <v>18707187236864</v>
          </cell>
          <cell r="BG29" vm="1144">
            <v>19485394206720</v>
          </cell>
          <cell r="BH29" vm="1145">
            <v>20529048190976</v>
          </cell>
          <cell r="BI29" vm="1146">
            <v>21374418550784</v>
          </cell>
        </row>
      </sheetData>
      <sheetData sheetId="3">
        <row r="11">
          <cell r="B11" t="str" vm="7">
            <v>Australia</v>
          </cell>
          <cell r="C11" vm="1147">
            <v>10483000</v>
          </cell>
          <cell r="D11" vm="1148">
            <v>10742000</v>
          </cell>
          <cell r="E11" vm="1149">
            <v>10950000</v>
          </cell>
          <cell r="F11" vm="1150">
            <v>11167000</v>
          </cell>
          <cell r="G11" vm="1151">
            <v>11388000</v>
          </cell>
          <cell r="H11" vm="1152">
            <v>11651000</v>
          </cell>
          <cell r="I11" vm="1153">
            <v>11799000</v>
          </cell>
          <cell r="J11" vm="1154">
            <v>12009000</v>
          </cell>
          <cell r="K11" vm="1155">
            <v>12263000</v>
          </cell>
          <cell r="L11" vm="1156">
            <v>12507000</v>
          </cell>
          <cell r="M11" vm="1157">
            <v>12937000</v>
          </cell>
          <cell r="N11" vm="1158">
            <v>13177000</v>
          </cell>
          <cell r="O11" vm="1159">
            <v>13380000</v>
          </cell>
          <cell r="P11" vm="1160">
            <v>13723000</v>
          </cell>
          <cell r="Q11" vm="1161">
            <v>13893000</v>
          </cell>
          <cell r="R11" vm="1162">
            <v>14033000</v>
          </cell>
          <cell r="S11" vm="1163">
            <v>14192000</v>
          </cell>
          <cell r="T11" vm="1164">
            <v>14358000</v>
          </cell>
          <cell r="U11" vm="1165">
            <v>14514000</v>
          </cell>
          <cell r="V11" vm="1166">
            <v>14692000</v>
          </cell>
          <cell r="W11" vm="1167">
            <v>14927000</v>
          </cell>
          <cell r="X11" vm="1168">
            <v>15178000</v>
          </cell>
          <cell r="Y11" vm="1169">
            <v>15369000</v>
          </cell>
          <cell r="Z11" vm="1170">
            <v>15544000</v>
          </cell>
          <cell r="AA11" vm="1171">
            <v>15758000</v>
          </cell>
          <cell r="AB11" vm="1172">
            <v>16018400</v>
          </cell>
          <cell r="AC11" vm="1173">
            <v>16263900</v>
          </cell>
          <cell r="AD11" vm="1174">
            <v>16532200</v>
          </cell>
          <cell r="AE11" vm="1175">
            <v>16814400</v>
          </cell>
          <cell r="AF11" vm="1176">
            <v>17065100</v>
          </cell>
          <cell r="AG11" vm="1177">
            <v>17284000</v>
          </cell>
          <cell r="AH11" vm="1178">
            <v>17495000</v>
          </cell>
          <cell r="AI11" vm="1179">
            <v>17667000</v>
          </cell>
          <cell r="AJ11" vm="1180">
            <v>17855000</v>
          </cell>
          <cell r="AK11" vm="1181">
            <v>18072000</v>
          </cell>
          <cell r="AL11" vm="1182">
            <v>18311000</v>
          </cell>
          <cell r="AM11" vm="1183">
            <v>18517000</v>
          </cell>
          <cell r="AN11" vm="1184">
            <v>18711000</v>
          </cell>
          <cell r="AO11" vm="1185">
            <v>18926000</v>
          </cell>
          <cell r="AP11" vm="1186">
            <v>19153000</v>
          </cell>
          <cell r="AQ11" vm="1187">
            <v>19413000</v>
          </cell>
          <cell r="AR11" vm="1188">
            <v>19651400</v>
          </cell>
          <cell r="AS11" vm="1189">
            <v>19895400</v>
          </cell>
          <cell r="AT11" vm="1190">
            <v>20127400</v>
          </cell>
          <cell r="AU11" vm="1191">
            <v>20394800</v>
          </cell>
          <cell r="AV11" vm="1192">
            <v>20697900</v>
          </cell>
          <cell r="AW11" vm="1193">
            <v>20827600</v>
          </cell>
          <cell r="AX11" vm="1194">
            <v>21249200</v>
          </cell>
          <cell r="AY11" vm="1195">
            <v>21691700</v>
          </cell>
          <cell r="AZ11" vm="1196">
            <v>22031750</v>
          </cell>
          <cell r="BA11" vm="1197">
            <v>22340024</v>
          </cell>
          <cell r="BB11" vm="1198">
            <v>22733464</v>
          </cell>
          <cell r="BC11" vm="1199">
            <v>23128128</v>
          </cell>
          <cell r="BD11" vm="1200">
            <v>23475686</v>
          </cell>
          <cell r="BE11" vm="1201">
            <v>23815996</v>
          </cell>
          <cell r="BF11" vm="1202">
            <v>24190908</v>
          </cell>
          <cell r="BG11" vm="1203">
            <v>24601860</v>
          </cell>
          <cell r="BH11" vm="1204">
            <v>24982688</v>
          </cell>
          <cell r="BI11" vm="1205">
            <v>25364308</v>
          </cell>
        </row>
        <row r="12">
          <cell r="B12" t="str" vm="67">
            <v>Austria</v>
          </cell>
          <cell r="C12" vm="1206">
            <v>7086299</v>
          </cell>
          <cell r="D12" vm="1207">
            <v>7129864</v>
          </cell>
          <cell r="E12" vm="1208">
            <v>7175811</v>
          </cell>
          <cell r="F12" vm="1209">
            <v>7223801</v>
          </cell>
          <cell r="G12" vm="1210">
            <v>7270889</v>
          </cell>
          <cell r="H12" vm="1211">
            <v>7322066</v>
          </cell>
          <cell r="I12" vm="1212">
            <v>7376998</v>
          </cell>
          <cell r="J12" vm="1213">
            <v>7415403</v>
          </cell>
          <cell r="K12" vm="1214">
            <v>7441055</v>
          </cell>
          <cell r="L12" vm="1215">
            <v>7467086</v>
          </cell>
          <cell r="M12" vm="1216">
            <v>7500482</v>
          </cell>
          <cell r="N12" vm="1217">
            <v>7544201</v>
          </cell>
          <cell r="O12" vm="1218">
            <v>7586115</v>
          </cell>
          <cell r="P12" vm="1219">
            <v>7599038</v>
          </cell>
          <cell r="Q12" vm="1220">
            <v>7578903</v>
          </cell>
          <cell r="R12" vm="1221">
            <v>7565525</v>
          </cell>
          <cell r="S12" vm="1222">
            <v>7568430</v>
          </cell>
          <cell r="T12" vm="1223">
            <v>7562305</v>
          </cell>
          <cell r="U12" vm="1224">
            <v>7549425</v>
          </cell>
          <cell r="V12" vm="1225">
            <v>7549433</v>
          </cell>
          <cell r="W12" vm="1226">
            <v>7568710</v>
          </cell>
          <cell r="X12" vm="1227">
            <v>7574140</v>
          </cell>
          <cell r="Y12" vm="1228">
            <v>7561910</v>
          </cell>
          <cell r="Z12" vm="1229">
            <v>7561434</v>
          </cell>
          <cell r="AA12" vm="1230">
            <v>7564985</v>
          </cell>
          <cell r="AB12" vm="1231">
            <v>7569794</v>
          </cell>
          <cell r="AC12" vm="1232">
            <v>7574586</v>
          </cell>
          <cell r="AD12" vm="1233">
            <v>7585317</v>
          </cell>
          <cell r="AE12" vm="1234">
            <v>7619567</v>
          </cell>
          <cell r="AF12" vm="1235">
            <v>7677850</v>
          </cell>
          <cell r="AG12" vm="1236">
            <v>7754891</v>
          </cell>
          <cell r="AH12" vm="1237">
            <v>7840709</v>
          </cell>
          <cell r="AI12" vm="1238">
            <v>7905633</v>
          </cell>
          <cell r="AJ12" vm="1239">
            <v>7936118</v>
          </cell>
          <cell r="AK12" vm="1240">
            <v>7948278</v>
          </cell>
          <cell r="AL12" vm="1241">
            <v>7959017</v>
          </cell>
          <cell r="AM12" vm="1242">
            <v>7968041</v>
          </cell>
          <cell r="AN12" vm="1243">
            <v>7976789</v>
          </cell>
          <cell r="AO12" vm="1244">
            <v>7992324</v>
          </cell>
          <cell r="AP12" vm="1245">
            <v>8011566</v>
          </cell>
          <cell r="AQ12" vm="1246">
            <v>8042293</v>
          </cell>
          <cell r="AR12" vm="1247">
            <v>8081957</v>
          </cell>
          <cell r="AS12" vm="1248">
            <v>8121423</v>
          </cell>
          <cell r="AT12" vm="1249">
            <v>8171966</v>
          </cell>
          <cell r="AU12" vm="1250">
            <v>8227829</v>
          </cell>
          <cell r="AV12" vm="1251">
            <v>8268641</v>
          </cell>
          <cell r="AW12" vm="1252">
            <v>8295487</v>
          </cell>
          <cell r="AX12" vm="1253">
            <v>8321496</v>
          </cell>
          <cell r="AY12" vm="1254">
            <v>8343323</v>
          </cell>
          <cell r="AZ12" vm="1255">
            <v>8363404</v>
          </cell>
          <cell r="BA12" vm="1256">
            <v>8391643</v>
          </cell>
          <cell r="BB12" vm="1257">
            <v>8429991</v>
          </cell>
          <cell r="BC12" vm="1258">
            <v>8479823</v>
          </cell>
          <cell r="BD12" vm="1259">
            <v>8546356</v>
          </cell>
          <cell r="BE12" vm="1260">
            <v>8642699</v>
          </cell>
          <cell r="BF12" vm="1261">
            <v>8736668</v>
          </cell>
          <cell r="BG12" vm="1262">
            <v>8797566</v>
          </cell>
          <cell r="BH12" vm="1263">
            <v>8840521</v>
          </cell>
          <cell r="BI12" vm="1264">
            <v>8877067</v>
          </cell>
        </row>
        <row r="13">
          <cell r="B13" t="str" vm="127">
            <v>Belgium</v>
          </cell>
          <cell r="C13" vm="1265">
            <v>9183948</v>
          </cell>
          <cell r="D13" vm="1266">
            <v>9220578</v>
          </cell>
          <cell r="E13" vm="1267">
            <v>9289770</v>
          </cell>
          <cell r="F13" vm="1268">
            <v>9378113</v>
          </cell>
          <cell r="G13" vm="1269">
            <v>9463667</v>
          </cell>
          <cell r="H13" vm="1270">
            <v>9527807</v>
          </cell>
          <cell r="I13" vm="1271">
            <v>9580991</v>
          </cell>
          <cell r="J13" vm="1272">
            <v>9618756</v>
          </cell>
          <cell r="K13" vm="1273">
            <v>9646032</v>
          </cell>
          <cell r="L13" vm="1274">
            <v>9655549</v>
          </cell>
          <cell r="M13" vm="1275">
            <v>9673162</v>
          </cell>
          <cell r="N13" vm="1276">
            <v>9711115</v>
          </cell>
          <cell r="O13" vm="1277">
            <v>9741720</v>
          </cell>
          <cell r="P13" vm="1278">
            <v>9772419</v>
          </cell>
          <cell r="Q13" vm="1279">
            <v>9800700</v>
          </cell>
          <cell r="R13" vm="1280">
            <v>9818227</v>
          </cell>
          <cell r="S13" vm="1281">
            <v>9830358</v>
          </cell>
          <cell r="T13" vm="1282">
            <v>9839534</v>
          </cell>
          <cell r="U13" vm="1283">
            <v>9848382</v>
          </cell>
          <cell r="V13" vm="1284">
            <v>9859242</v>
          </cell>
          <cell r="W13" vm="1285">
            <v>9858982</v>
          </cell>
          <cell r="X13" vm="1286">
            <v>9856303</v>
          </cell>
          <cell r="Y13" vm="1287">
            <v>9855520</v>
          </cell>
          <cell r="Z13" vm="1288">
            <v>9855372</v>
          </cell>
          <cell r="AA13" vm="1289">
            <v>9858308</v>
          </cell>
          <cell r="AB13" vm="1290">
            <v>9861823</v>
          </cell>
          <cell r="AC13" vm="1291">
            <v>9870234</v>
          </cell>
          <cell r="AD13" vm="1292">
            <v>9901664</v>
          </cell>
          <cell r="AE13" vm="1293">
            <v>9937697</v>
          </cell>
          <cell r="AF13" vm="1294">
            <v>9967379</v>
          </cell>
          <cell r="AG13" vm="1295">
            <v>10004486</v>
          </cell>
          <cell r="AH13" vm="1296">
            <v>10045158</v>
          </cell>
          <cell r="AI13" vm="1297">
            <v>10084475</v>
          </cell>
          <cell r="AJ13" vm="1298">
            <v>10115603</v>
          </cell>
          <cell r="AK13" vm="1299">
            <v>10136811</v>
          </cell>
          <cell r="AL13" vm="1300">
            <v>10156637</v>
          </cell>
          <cell r="AM13" vm="1301">
            <v>10181245</v>
          </cell>
          <cell r="AN13" vm="1302">
            <v>10203008</v>
          </cell>
          <cell r="AO13" vm="1303">
            <v>10226419</v>
          </cell>
          <cell r="AP13" vm="1304">
            <v>10251250</v>
          </cell>
          <cell r="AQ13" vm="1305">
            <v>10286570</v>
          </cell>
          <cell r="AR13" vm="1306">
            <v>10332785</v>
          </cell>
          <cell r="AS13" vm="1307">
            <v>10376133</v>
          </cell>
          <cell r="AT13" vm="1308">
            <v>10421137</v>
          </cell>
          <cell r="AU13" vm="1309">
            <v>10478617</v>
          </cell>
          <cell r="AV13" vm="1310">
            <v>10547958</v>
          </cell>
          <cell r="AW13" vm="1311">
            <v>10625700</v>
          </cell>
          <cell r="AX13" vm="1312">
            <v>10709973</v>
          </cell>
          <cell r="AY13" vm="1313">
            <v>10796493</v>
          </cell>
          <cell r="AZ13" vm="1314">
            <v>10895586</v>
          </cell>
          <cell r="BA13" vm="1315">
            <v>11038264</v>
          </cell>
          <cell r="BB13" vm="1316">
            <v>11106932</v>
          </cell>
          <cell r="BC13" vm="1317">
            <v>11159407</v>
          </cell>
          <cell r="BD13" vm="1318">
            <v>11209057</v>
          </cell>
          <cell r="BE13" vm="1319">
            <v>11274196</v>
          </cell>
          <cell r="BF13" vm="1320">
            <v>11331422</v>
          </cell>
          <cell r="BG13" vm="1321">
            <v>11375158</v>
          </cell>
          <cell r="BH13" vm="1322">
            <v>11427054</v>
          </cell>
          <cell r="BI13" vm="1323">
            <v>11484055</v>
          </cell>
        </row>
        <row r="14">
          <cell r="B14" t="str" vm="187">
            <v>Finland</v>
          </cell>
          <cell r="C14" vm="1324">
            <v>4461005</v>
          </cell>
          <cell r="D14" vm="1325">
            <v>4491443</v>
          </cell>
          <cell r="E14" vm="1326">
            <v>4523309</v>
          </cell>
          <cell r="F14" vm="1327">
            <v>4548543</v>
          </cell>
          <cell r="G14" vm="1328">
            <v>4563732</v>
          </cell>
          <cell r="H14" vm="1329">
            <v>4580869</v>
          </cell>
          <cell r="I14" vm="1330">
            <v>4605744</v>
          </cell>
          <cell r="J14" vm="1331">
            <v>4626469</v>
          </cell>
          <cell r="K14" vm="1332">
            <v>4623785</v>
          </cell>
          <cell r="L14" vm="1333">
            <v>4606307</v>
          </cell>
          <cell r="M14" vm="1334">
            <v>4612124</v>
          </cell>
          <cell r="N14" vm="1335">
            <v>4639657</v>
          </cell>
          <cell r="O14" vm="1336">
            <v>4666081</v>
          </cell>
          <cell r="P14" vm="1337">
            <v>4690574</v>
          </cell>
          <cell r="Q14" vm="1338">
            <v>4711440</v>
          </cell>
          <cell r="R14" vm="1339">
            <v>4725664</v>
          </cell>
          <cell r="S14" vm="1340">
            <v>4738902</v>
          </cell>
          <cell r="T14" vm="1341">
            <v>4752528</v>
          </cell>
          <cell r="U14" vm="1342">
            <v>4764690</v>
          </cell>
          <cell r="V14" vm="1343">
            <v>4779535</v>
          </cell>
          <cell r="W14" vm="1344">
            <v>4799964</v>
          </cell>
          <cell r="X14" vm="1345">
            <v>4826933</v>
          </cell>
          <cell r="Y14" vm="1346">
            <v>4855787</v>
          </cell>
          <cell r="Z14" vm="1347">
            <v>4881803</v>
          </cell>
          <cell r="AA14" vm="1348">
            <v>4902206</v>
          </cell>
          <cell r="AB14" vm="1349">
            <v>4918154</v>
          </cell>
          <cell r="AC14" vm="1350">
            <v>4932123</v>
          </cell>
          <cell r="AD14" vm="1351">
            <v>4946481</v>
          </cell>
          <cell r="AE14" vm="1352">
            <v>4964371</v>
          </cell>
          <cell r="AF14" vm="1353">
            <v>4986431</v>
          </cell>
          <cell r="AG14" vm="1354">
            <v>5013740</v>
          </cell>
          <cell r="AH14" vm="1355">
            <v>5041992</v>
          </cell>
          <cell r="AI14" vm="1356">
            <v>5066447</v>
          </cell>
          <cell r="AJ14" vm="1357">
            <v>5088333</v>
          </cell>
          <cell r="AK14" vm="1358">
            <v>5107790</v>
          </cell>
          <cell r="AL14" vm="1359">
            <v>5124573</v>
          </cell>
          <cell r="AM14" vm="1360">
            <v>5139835</v>
          </cell>
          <cell r="AN14" vm="1361">
            <v>5153498</v>
          </cell>
          <cell r="AO14" vm="1362">
            <v>5165474</v>
          </cell>
          <cell r="AP14" vm="1363">
            <v>5176209</v>
          </cell>
          <cell r="AQ14" vm="1364">
            <v>5188008</v>
          </cell>
          <cell r="AR14" vm="1365">
            <v>5200598</v>
          </cell>
          <cell r="AS14" vm="1366">
            <v>5213014</v>
          </cell>
          <cell r="AT14" vm="1367">
            <v>5228172</v>
          </cell>
          <cell r="AU14" vm="1368">
            <v>5246096</v>
          </cell>
          <cell r="AV14" vm="1369">
            <v>5266268</v>
          </cell>
          <cell r="AW14" vm="1370">
            <v>5288720</v>
          </cell>
          <cell r="AX14" vm="1371">
            <v>5313399</v>
          </cell>
          <cell r="AY14" vm="1372">
            <v>5338871</v>
          </cell>
          <cell r="AZ14" vm="1373">
            <v>5363352</v>
          </cell>
          <cell r="BA14" vm="1374">
            <v>5388272</v>
          </cell>
          <cell r="BB14" vm="1375">
            <v>5413971</v>
          </cell>
          <cell r="BC14" vm="1376">
            <v>5438972</v>
          </cell>
          <cell r="BD14" vm="1377">
            <v>5461512</v>
          </cell>
          <cell r="BE14" vm="1378">
            <v>5479531</v>
          </cell>
          <cell r="BF14" vm="1379">
            <v>5495303</v>
          </cell>
          <cell r="BG14" vm="1380">
            <v>5508214</v>
          </cell>
          <cell r="BH14" vm="1381">
            <v>5515525</v>
          </cell>
          <cell r="BI14" vm="1382">
            <v>5520314</v>
          </cell>
        </row>
        <row r="15">
          <cell r="B15" t="str" vm="247">
            <v>France</v>
          </cell>
          <cell r="C15" vm="1383">
            <v>47240544</v>
          </cell>
          <cell r="D15" vm="1384">
            <v>47904876</v>
          </cell>
          <cell r="E15" vm="1385">
            <v>48582612</v>
          </cell>
          <cell r="F15" vm="1386">
            <v>49230596</v>
          </cell>
          <cell r="G15" vm="1387">
            <v>49818028</v>
          </cell>
          <cell r="H15" vm="1388">
            <v>50330264</v>
          </cell>
          <cell r="I15" vm="1389">
            <v>50775792</v>
          </cell>
          <cell r="J15" vm="1390">
            <v>51175508</v>
          </cell>
          <cell r="K15" vm="1391">
            <v>51561836</v>
          </cell>
          <cell r="L15" vm="1392">
            <v>51957736</v>
          </cell>
          <cell r="M15" vm="1393">
            <v>52371344</v>
          </cell>
          <cell r="N15" vm="1394">
            <v>52793136</v>
          </cell>
          <cell r="O15" vm="1395">
            <v>53207736</v>
          </cell>
          <cell r="P15" vm="1396">
            <v>53592232</v>
          </cell>
          <cell r="Q15" vm="1397">
            <v>53931392</v>
          </cell>
          <cell r="R15" vm="1398">
            <v>54220024</v>
          </cell>
          <cell r="S15" vm="1399">
            <v>54467704</v>
          </cell>
          <cell r="T15" vm="1400">
            <v>54691852</v>
          </cell>
          <cell r="U15" vm="1401">
            <v>54917120</v>
          </cell>
          <cell r="V15" vm="1402">
            <v>55161528</v>
          </cell>
          <cell r="W15" vm="1403">
            <v>55430296</v>
          </cell>
          <cell r="X15" vm="1404">
            <v>55718932</v>
          </cell>
          <cell r="Y15" vm="1405">
            <v>56023768</v>
          </cell>
          <cell r="Z15" vm="1406">
            <v>56337664</v>
          </cell>
          <cell r="AA15" vm="1407">
            <v>56654696</v>
          </cell>
          <cell r="AB15" vm="1408">
            <v>56976124</v>
          </cell>
          <cell r="AC15" vm="1409">
            <v>57302664</v>
          </cell>
          <cell r="AD15" vm="1410">
            <v>57627104</v>
          </cell>
          <cell r="AE15" vm="1411">
            <v>57940212</v>
          </cell>
          <cell r="AF15" vm="1412">
            <v>58235696</v>
          </cell>
          <cell r="AG15" vm="1413">
            <v>58559312</v>
          </cell>
          <cell r="AH15" vm="1414">
            <v>58851216</v>
          </cell>
          <cell r="AI15" vm="1415">
            <v>59106768</v>
          </cell>
          <cell r="AJ15" vm="1416">
            <v>59327192</v>
          </cell>
          <cell r="AK15" vm="1417">
            <v>59541900</v>
          </cell>
          <cell r="AL15" vm="1418">
            <v>59753100</v>
          </cell>
          <cell r="AM15" vm="1419">
            <v>59964852</v>
          </cell>
          <cell r="AN15" vm="1420">
            <v>60186288</v>
          </cell>
          <cell r="AO15" vm="1421">
            <v>60496720</v>
          </cell>
          <cell r="AP15" vm="1422">
            <v>60912500</v>
          </cell>
          <cell r="AQ15" vm="1423">
            <v>61357432</v>
          </cell>
          <cell r="AR15" vm="1424">
            <v>61805268</v>
          </cell>
          <cell r="AS15" vm="1425">
            <v>62244888</v>
          </cell>
          <cell r="AT15" vm="1426">
            <v>62704896</v>
          </cell>
          <cell r="AU15" vm="1427">
            <v>63179352</v>
          </cell>
          <cell r="AV15" vm="1428">
            <v>63621380</v>
          </cell>
          <cell r="AW15" vm="1429">
            <v>64016224</v>
          </cell>
          <cell r="AX15" vm="1430">
            <v>64374984</v>
          </cell>
          <cell r="AY15" vm="1431">
            <v>64707040</v>
          </cell>
          <cell r="AZ15" vm="1432">
            <v>65027508</v>
          </cell>
          <cell r="BA15" vm="1433">
            <v>65342780</v>
          </cell>
          <cell r="BB15" vm="1434">
            <v>65659808</v>
          </cell>
          <cell r="BC15" vm="1435">
            <v>65998688</v>
          </cell>
          <cell r="BD15" vm="1436">
            <v>66312068</v>
          </cell>
          <cell r="BE15" vm="1437">
            <v>66548272</v>
          </cell>
          <cell r="BF15" vm="1438">
            <v>66724104</v>
          </cell>
          <cell r="BG15" vm="1439">
            <v>66864380</v>
          </cell>
          <cell r="BH15" vm="1440">
            <v>66965912</v>
          </cell>
          <cell r="BI15" vm="1441">
            <v>67059888</v>
          </cell>
        </row>
        <row r="16">
          <cell r="B16" t="str" vm="307">
            <v>Greece</v>
          </cell>
          <cell r="C16" vm="1442">
            <v>8398050</v>
          </cell>
          <cell r="D16" vm="1443">
            <v>8448233</v>
          </cell>
          <cell r="E16" vm="1444">
            <v>8479625</v>
          </cell>
          <cell r="F16" vm="1445">
            <v>8510429</v>
          </cell>
          <cell r="G16" vm="1446">
            <v>8550333</v>
          </cell>
          <cell r="H16" vm="1447">
            <v>8613651</v>
          </cell>
          <cell r="I16" vm="1448">
            <v>8684088</v>
          </cell>
          <cell r="J16" vm="1449">
            <v>8740765</v>
          </cell>
          <cell r="K16" vm="1450">
            <v>8772764</v>
          </cell>
          <cell r="L16" vm="1451">
            <v>8792806</v>
          </cell>
          <cell r="M16" vm="1452">
            <v>8831036</v>
          </cell>
          <cell r="N16" vm="1453">
            <v>8888628</v>
          </cell>
          <cell r="O16" vm="1454">
            <v>8929086</v>
          </cell>
          <cell r="P16" vm="1455">
            <v>8962022</v>
          </cell>
          <cell r="Q16" vm="1456">
            <v>9046541</v>
          </cell>
          <cell r="R16" vm="1457">
            <v>9188150</v>
          </cell>
          <cell r="S16" vm="1458">
            <v>9308479</v>
          </cell>
          <cell r="T16" vm="1459">
            <v>9429959</v>
          </cell>
          <cell r="U16" vm="1460">
            <v>9548258</v>
          </cell>
          <cell r="V16" vm="1461">
            <v>9642505</v>
          </cell>
          <cell r="W16" vm="1462">
            <v>9729350</v>
          </cell>
          <cell r="X16" vm="1463">
            <v>9789513</v>
          </cell>
          <cell r="Y16" vm="1464">
            <v>9846627</v>
          </cell>
          <cell r="Z16" vm="1465">
            <v>9895801</v>
          </cell>
          <cell r="AA16" vm="1466">
            <v>9934300</v>
          </cell>
          <cell r="AB16" vm="1467">
            <v>9967213</v>
          </cell>
          <cell r="AC16" vm="1468">
            <v>10000595</v>
          </cell>
          <cell r="AD16" vm="1469">
            <v>10036983</v>
          </cell>
          <cell r="AE16" vm="1470">
            <v>10089498</v>
          </cell>
          <cell r="AF16" vm="1471">
            <v>10196792</v>
          </cell>
          <cell r="AG16" vm="1472">
            <v>10319927</v>
          </cell>
          <cell r="AH16" vm="1473">
            <v>10399061</v>
          </cell>
          <cell r="AI16" vm="1474">
            <v>10460415</v>
          </cell>
          <cell r="AJ16" vm="1475">
            <v>10512922</v>
          </cell>
          <cell r="AK16" vm="1476">
            <v>10562153</v>
          </cell>
          <cell r="AL16" vm="1477">
            <v>10608800</v>
          </cell>
          <cell r="AM16" vm="1478">
            <v>10661259</v>
          </cell>
          <cell r="AN16" vm="1479">
            <v>10720509</v>
          </cell>
          <cell r="AO16" vm="1480">
            <v>10761698</v>
          </cell>
          <cell r="AP16" vm="1481">
            <v>10805808</v>
          </cell>
          <cell r="AQ16" vm="1482">
            <v>10862132</v>
          </cell>
          <cell r="AR16" vm="1483">
            <v>10902022</v>
          </cell>
          <cell r="AS16" vm="1484">
            <v>10928070</v>
          </cell>
          <cell r="AT16" vm="1485">
            <v>10955141</v>
          </cell>
          <cell r="AU16" vm="1486">
            <v>10987314</v>
          </cell>
          <cell r="AV16" vm="1487">
            <v>11020362</v>
          </cell>
          <cell r="AW16" vm="1488">
            <v>11048473</v>
          </cell>
          <cell r="AX16" vm="1489">
            <v>11077841</v>
          </cell>
          <cell r="AY16" vm="1490">
            <v>11107017</v>
          </cell>
          <cell r="AZ16" vm="1491">
            <v>11121341</v>
          </cell>
          <cell r="BA16" vm="1492">
            <v>11104899</v>
          </cell>
          <cell r="BB16" vm="1493">
            <v>11045011</v>
          </cell>
          <cell r="BC16" vm="1494">
            <v>10965211</v>
          </cell>
          <cell r="BD16" vm="1495">
            <v>10892413</v>
          </cell>
          <cell r="BE16" vm="1496">
            <v>10820883</v>
          </cell>
          <cell r="BF16" vm="1497">
            <v>10775971</v>
          </cell>
          <cell r="BG16" vm="1498">
            <v>10754679</v>
          </cell>
          <cell r="BH16" vm="1499">
            <v>10732882</v>
          </cell>
          <cell r="BI16" vm="1500">
            <v>10716322</v>
          </cell>
        </row>
        <row r="17">
          <cell r="B17" t="str" vm="367">
            <v>Israel</v>
          </cell>
          <cell r="C17" vm="1501">
            <v>2185000</v>
          </cell>
          <cell r="D17" vm="1502">
            <v>2293000</v>
          </cell>
          <cell r="E17" vm="1503">
            <v>2379000</v>
          </cell>
          <cell r="F17" vm="1504">
            <v>2475000</v>
          </cell>
          <cell r="G17" vm="1505">
            <v>2563000</v>
          </cell>
          <cell r="H17" vm="1506">
            <v>2629000</v>
          </cell>
          <cell r="I17" vm="1507">
            <v>2745000</v>
          </cell>
          <cell r="J17" vm="1508">
            <v>2803000</v>
          </cell>
          <cell r="K17" vm="1509">
            <v>2877000</v>
          </cell>
          <cell r="L17" vm="1510">
            <v>2974000</v>
          </cell>
          <cell r="M17" vm="1511">
            <v>3069000</v>
          </cell>
          <cell r="N17" vm="1512">
            <v>3148000</v>
          </cell>
          <cell r="O17" vm="1513">
            <v>3278000</v>
          </cell>
          <cell r="P17" vm="1514">
            <v>3377000</v>
          </cell>
          <cell r="Q17" vm="1515">
            <v>3455000</v>
          </cell>
          <cell r="R17" vm="1516">
            <v>3533000</v>
          </cell>
          <cell r="S17" vm="1517">
            <v>3613000</v>
          </cell>
          <cell r="T17" vm="1518">
            <v>3690000</v>
          </cell>
          <cell r="U17" vm="1519">
            <v>3786000</v>
          </cell>
          <cell r="V17" vm="1520">
            <v>3878000</v>
          </cell>
          <cell r="W17" vm="1521">
            <v>3956000</v>
          </cell>
          <cell r="X17" vm="1522">
            <v>4031000</v>
          </cell>
          <cell r="Y17" vm="1523">
            <v>4105000</v>
          </cell>
          <cell r="Z17" vm="1524">
            <v>4159000</v>
          </cell>
          <cell r="AA17" vm="1525">
            <v>4233000</v>
          </cell>
          <cell r="AB17" vm="1526">
            <v>4299000</v>
          </cell>
          <cell r="AC17" vm="1527">
            <v>4369000</v>
          </cell>
          <cell r="AD17" vm="1528">
            <v>4442000</v>
          </cell>
          <cell r="AE17" vm="1529">
            <v>4518000</v>
          </cell>
          <cell r="AF17" vm="1530">
            <v>4660000</v>
          </cell>
          <cell r="AG17" vm="1531">
            <v>4949000</v>
          </cell>
          <cell r="AH17" vm="1532">
            <v>5123000</v>
          </cell>
          <cell r="AI17" vm="1533">
            <v>5261000</v>
          </cell>
          <cell r="AJ17" vm="1534">
            <v>5399000</v>
          </cell>
          <cell r="AK17" vm="1535">
            <v>5545000</v>
          </cell>
          <cell r="AL17" vm="1536">
            <v>5692000</v>
          </cell>
          <cell r="AM17" vm="1537">
            <v>5836000</v>
          </cell>
          <cell r="AN17" vm="1538">
            <v>5971000</v>
          </cell>
          <cell r="AO17" vm="1539">
            <v>6125000</v>
          </cell>
          <cell r="AP17" vm="1540">
            <v>6289000</v>
          </cell>
          <cell r="AQ17" vm="1541">
            <v>6439000</v>
          </cell>
          <cell r="AR17" vm="1542">
            <v>6570000</v>
          </cell>
          <cell r="AS17" vm="1543">
            <v>6689700</v>
          </cell>
          <cell r="AT17" vm="1544">
            <v>6809000</v>
          </cell>
          <cell r="AU17" vm="1545">
            <v>6930100</v>
          </cell>
          <cell r="AV17" vm="1546">
            <v>7053700</v>
          </cell>
          <cell r="AW17" vm="1547">
            <v>7180100</v>
          </cell>
          <cell r="AX17" vm="1548">
            <v>7308800</v>
          </cell>
          <cell r="AY17" vm="1549">
            <v>7485600</v>
          </cell>
          <cell r="AZ17" vm="1550">
            <v>7623600</v>
          </cell>
          <cell r="BA17" vm="1551">
            <v>7765800</v>
          </cell>
          <cell r="BB17" vm="1552">
            <v>7910500</v>
          </cell>
          <cell r="BC17" vm="1553">
            <v>8059500</v>
          </cell>
          <cell r="BD17" vm="1554">
            <v>8215700</v>
          </cell>
          <cell r="BE17" vm="1555">
            <v>8380100</v>
          </cell>
          <cell r="BF17" vm="1556">
            <v>8546000</v>
          </cell>
          <cell r="BG17" vm="1557">
            <v>8713300</v>
          </cell>
          <cell r="BH17" vm="1558">
            <v>8882800</v>
          </cell>
          <cell r="BI17" vm="1559">
            <v>9053300</v>
          </cell>
        </row>
        <row r="18">
          <cell r="B18" t="str" vm="427">
            <v>Italy</v>
          </cell>
          <cell r="C18" vm="1560">
            <v>50536352</v>
          </cell>
          <cell r="D18" vm="1561">
            <v>50879448</v>
          </cell>
          <cell r="E18" vm="1562">
            <v>51252000</v>
          </cell>
          <cell r="F18" vm="1563">
            <v>51675352</v>
          </cell>
          <cell r="G18" vm="1564">
            <v>52112352</v>
          </cell>
          <cell r="H18" vm="1565">
            <v>52519000</v>
          </cell>
          <cell r="I18" vm="1566">
            <v>52900500</v>
          </cell>
          <cell r="J18" vm="1567">
            <v>53235752</v>
          </cell>
          <cell r="K18" vm="1568">
            <v>53537952</v>
          </cell>
          <cell r="L18" vm="1569">
            <v>53821848</v>
          </cell>
          <cell r="M18" vm="1570">
            <v>54073488</v>
          </cell>
          <cell r="N18" vm="1571">
            <v>54381344</v>
          </cell>
          <cell r="O18" vm="1572">
            <v>54751408</v>
          </cell>
          <cell r="P18" vm="1573">
            <v>55110868</v>
          </cell>
          <cell r="Q18" vm="1574">
            <v>55441000</v>
          </cell>
          <cell r="R18" vm="1575">
            <v>55718260</v>
          </cell>
          <cell r="S18" vm="1576">
            <v>55955412</v>
          </cell>
          <cell r="T18" vm="1577">
            <v>56155144</v>
          </cell>
          <cell r="U18" vm="1578">
            <v>56317748</v>
          </cell>
          <cell r="V18" vm="1579">
            <v>56433884</v>
          </cell>
          <cell r="W18" vm="1580">
            <v>56501676</v>
          </cell>
          <cell r="X18" vm="1581">
            <v>56543548</v>
          </cell>
          <cell r="Y18" vm="1582">
            <v>56564072</v>
          </cell>
          <cell r="Z18" vm="1583">
            <v>56576720</v>
          </cell>
          <cell r="AA18" vm="1584">
            <v>56593072</v>
          </cell>
          <cell r="AB18" vm="1585">
            <v>56596156</v>
          </cell>
          <cell r="AC18" vm="1586">
            <v>56601932</v>
          </cell>
          <cell r="AD18" vm="1587">
            <v>56629288</v>
          </cell>
          <cell r="AE18" vm="1588">
            <v>56671780</v>
          </cell>
          <cell r="AF18" vm="1589">
            <v>56719240</v>
          </cell>
          <cell r="AG18" vm="1590">
            <v>56758520</v>
          </cell>
          <cell r="AH18" vm="1591">
            <v>56797088</v>
          </cell>
          <cell r="AI18" vm="1592">
            <v>56831820</v>
          </cell>
          <cell r="AJ18" vm="1593">
            <v>56843400</v>
          </cell>
          <cell r="AK18" vm="1594">
            <v>56844304</v>
          </cell>
          <cell r="AL18" vm="1595">
            <v>56860280</v>
          </cell>
          <cell r="AM18" vm="1596">
            <v>56890372</v>
          </cell>
          <cell r="AN18" vm="1597">
            <v>56906744</v>
          </cell>
          <cell r="AO18" vm="1598">
            <v>56916316</v>
          </cell>
          <cell r="AP18" vm="1599">
            <v>56942108</v>
          </cell>
          <cell r="AQ18" vm="1600">
            <v>56974100</v>
          </cell>
          <cell r="AR18" vm="1601">
            <v>57059008</v>
          </cell>
          <cell r="AS18" vm="1602">
            <v>57313204</v>
          </cell>
          <cell r="AT18" vm="1603">
            <v>57685328</v>
          </cell>
          <cell r="AU18" vm="1604">
            <v>57969484</v>
          </cell>
          <cell r="AV18" vm="1605">
            <v>58143980</v>
          </cell>
          <cell r="AW18" vm="1606">
            <v>58438312</v>
          </cell>
          <cell r="AX18" vm="1607">
            <v>58826732</v>
          </cell>
          <cell r="AY18" vm="1608">
            <v>59095364</v>
          </cell>
          <cell r="AZ18" vm="1609">
            <v>59277416</v>
          </cell>
          <cell r="BA18" vm="1610">
            <v>59379448</v>
          </cell>
          <cell r="BB18" vm="1611">
            <v>59539716</v>
          </cell>
          <cell r="BC18" vm="1612">
            <v>60233948</v>
          </cell>
          <cell r="BD18" vm="1613">
            <v>60789140</v>
          </cell>
          <cell r="BE18" vm="1614">
            <v>60730584</v>
          </cell>
          <cell r="BF18" vm="1615">
            <v>60627496</v>
          </cell>
          <cell r="BG18" vm="1616">
            <v>60536708</v>
          </cell>
          <cell r="BH18" vm="1617">
            <v>60421760</v>
          </cell>
          <cell r="BI18" vm="1618">
            <v>60297396</v>
          </cell>
        </row>
        <row r="19">
          <cell r="B19" t="str" vm="487">
            <v>Japan</v>
          </cell>
          <cell r="C19" vm="1619">
            <v>94943000</v>
          </cell>
          <cell r="D19" vm="1620">
            <v>95832000</v>
          </cell>
          <cell r="E19" vm="1621">
            <v>96812000</v>
          </cell>
          <cell r="F19" vm="1622">
            <v>97826000</v>
          </cell>
          <cell r="G19" vm="1623">
            <v>98883000</v>
          </cell>
          <cell r="H19" vm="1624">
            <v>99790000</v>
          </cell>
          <cell r="I19" vm="1625">
            <v>100725000</v>
          </cell>
          <cell r="J19" vm="1626">
            <v>101061000</v>
          </cell>
          <cell r="K19" vm="1627">
            <v>103172000</v>
          </cell>
          <cell r="L19" vm="1628">
            <v>104345000</v>
          </cell>
          <cell r="M19" vm="1629">
            <v>105697000</v>
          </cell>
          <cell r="N19" vm="1630">
            <v>107188000</v>
          </cell>
          <cell r="O19" vm="1631">
            <v>108079000</v>
          </cell>
          <cell r="P19" vm="1632">
            <v>110162000</v>
          </cell>
          <cell r="Q19" vm="1633">
            <v>111940000</v>
          </cell>
          <cell r="R19" vm="1634">
            <v>112771000</v>
          </cell>
          <cell r="S19" vm="1635">
            <v>113863000</v>
          </cell>
          <cell r="T19" vm="1636">
            <v>114898000</v>
          </cell>
          <cell r="U19" vm="1637">
            <v>115870000</v>
          </cell>
          <cell r="V19" vm="1638">
            <v>116782000</v>
          </cell>
          <cell r="W19" vm="1639">
            <v>117648000</v>
          </cell>
          <cell r="X19" vm="1640">
            <v>118449000</v>
          </cell>
          <cell r="Y19" vm="1641">
            <v>119259000</v>
          </cell>
          <cell r="Z19" vm="1642">
            <v>120018000</v>
          </cell>
          <cell r="AA19" vm="1643">
            <v>120754000</v>
          </cell>
          <cell r="AB19" vm="1644">
            <v>121492000</v>
          </cell>
          <cell r="AC19" vm="1645">
            <v>122091000</v>
          </cell>
          <cell r="AD19" vm="1646">
            <v>122613000</v>
          </cell>
          <cell r="AE19" vm="1647">
            <v>123116000</v>
          </cell>
          <cell r="AF19" vm="1648">
            <v>123537000</v>
          </cell>
          <cell r="AG19" vm="1649">
            <v>123921000</v>
          </cell>
          <cell r="AH19" vm="1650">
            <v>124229000</v>
          </cell>
          <cell r="AI19" vm="1651">
            <v>124536000</v>
          </cell>
          <cell r="AJ19" vm="1652">
            <v>124961000</v>
          </cell>
          <cell r="AK19" vm="1653">
            <v>125439000</v>
          </cell>
          <cell r="AL19" vm="1654">
            <v>125757000</v>
          </cell>
          <cell r="AM19" vm="1655">
            <v>126057000</v>
          </cell>
          <cell r="AN19" vm="1656">
            <v>126400000</v>
          </cell>
          <cell r="AO19" vm="1657">
            <v>126631000</v>
          </cell>
          <cell r="AP19" vm="1658">
            <v>126843000</v>
          </cell>
          <cell r="AQ19" vm="1659">
            <v>127149000</v>
          </cell>
          <cell r="AR19" vm="1660">
            <v>127445000</v>
          </cell>
          <cell r="AS19" vm="1661">
            <v>127718000</v>
          </cell>
          <cell r="AT19" vm="1662">
            <v>127761000</v>
          </cell>
          <cell r="AU19" vm="1663">
            <v>127773000</v>
          </cell>
          <cell r="AV19" vm="1664">
            <v>127854000</v>
          </cell>
          <cell r="AW19" vm="1665">
            <v>128001000</v>
          </cell>
          <cell r="AX19" vm="1666">
            <v>128063000</v>
          </cell>
          <cell r="AY19" vm="1667">
            <v>128047000</v>
          </cell>
          <cell r="AZ19" vm="1668">
            <v>128070000</v>
          </cell>
          <cell r="BA19" vm="1669">
            <v>127833000</v>
          </cell>
          <cell r="BB19" vm="1670">
            <v>127629000</v>
          </cell>
          <cell r="BC19" vm="1671">
            <v>127445000</v>
          </cell>
          <cell r="BD19" vm="1672">
            <v>127276000</v>
          </cell>
          <cell r="BE19" vm="1673">
            <v>127141000</v>
          </cell>
          <cell r="BF19" vm="1674">
            <v>126994512</v>
          </cell>
          <cell r="BG19" vm="1675">
            <v>126785800</v>
          </cell>
          <cell r="BH19" vm="1676">
            <v>126529104</v>
          </cell>
          <cell r="BI19" vm="1677">
            <v>126264928</v>
          </cell>
        </row>
        <row r="20">
          <cell r="B20" t="str" vm="547">
            <v>Luxemburg</v>
          </cell>
          <cell r="C20" vm="1678">
            <v>316845</v>
          </cell>
          <cell r="D20" vm="1679">
            <v>320750</v>
          </cell>
          <cell r="E20" vm="1680">
            <v>324100</v>
          </cell>
          <cell r="F20" vm="1681">
            <v>327750</v>
          </cell>
          <cell r="G20" vm="1682">
            <v>331500</v>
          </cell>
          <cell r="H20" vm="1683">
            <v>333895</v>
          </cell>
          <cell r="I20" vm="1684">
            <v>334995</v>
          </cell>
          <cell r="J20" vm="1685">
            <v>335850</v>
          </cell>
          <cell r="K20" vm="1686">
            <v>337500</v>
          </cell>
          <cell r="L20" vm="1687">
            <v>339171</v>
          </cell>
          <cell r="M20" vm="1688">
            <v>342421</v>
          </cell>
          <cell r="N20" vm="1689">
            <v>346600</v>
          </cell>
          <cell r="O20" vm="1690">
            <v>350450</v>
          </cell>
          <cell r="P20" vm="1691">
            <v>355050</v>
          </cell>
          <cell r="Q20" vm="1692">
            <v>358950</v>
          </cell>
          <cell r="R20" vm="1693">
            <v>360731</v>
          </cell>
          <cell r="S20" vm="1694">
            <v>361358</v>
          </cell>
          <cell r="T20" vm="1695">
            <v>362007</v>
          </cell>
          <cell r="U20" vm="1696">
            <v>362856</v>
          </cell>
          <cell r="V20" vm="1697">
            <v>364150</v>
          </cell>
          <cell r="W20" vm="1698">
            <v>365225</v>
          </cell>
          <cell r="X20" vm="1699">
            <v>365525</v>
          </cell>
          <cell r="Y20" vm="1700">
            <v>365622</v>
          </cell>
          <cell r="Z20" vm="1701">
            <v>365998</v>
          </cell>
          <cell r="AA20" vm="1702">
            <v>366706</v>
          </cell>
          <cell r="AB20" vm="1703">
            <v>368355</v>
          </cell>
          <cell r="AC20" vm="1704">
            <v>370750</v>
          </cell>
          <cell r="AD20" vm="1705">
            <v>373450</v>
          </cell>
          <cell r="AE20" vm="1706">
            <v>377100</v>
          </cell>
          <cell r="AF20" vm="1707">
            <v>381850</v>
          </cell>
          <cell r="AG20" vm="1708">
            <v>387000</v>
          </cell>
          <cell r="AH20" vm="1709">
            <v>392175</v>
          </cell>
          <cell r="AI20" vm="1710">
            <v>397475</v>
          </cell>
          <cell r="AJ20" vm="1711">
            <v>402925</v>
          </cell>
          <cell r="AK20" vm="1712">
            <v>408625</v>
          </cell>
          <cell r="AL20" vm="1713">
            <v>414225</v>
          </cell>
          <cell r="AM20" vm="1714">
            <v>419450</v>
          </cell>
          <cell r="AN20" vm="1715">
            <v>424700</v>
          </cell>
          <cell r="AO20" vm="1716">
            <v>430475</v>
          </cell>
          <cell r="AP20" vm="1717">
            <v>436300</v>
          </cell>
          <cell r="AQ20" vm="1718">
            <v>441525</v>
          </cell>
          <cell r="AR20" vm="1719">
            <v>446175</v>
          </cell>
          <cell r="AS20" vm="1720">
            <v>451630</v>
          </cell>
          <cell r="AT20" vm="1721">
            <v>458095</v>
          </cell>
          <cell r="AU20" vm="1722">
            <v>465158</v>
          </cell>
          <cell r="AV20" vm="1723">
            <v>472637</v>
          </cell>
          <cell r="AW20" vm="1724">
            <v>479993</v>
          </cell>
          <cell r="AX20" vm="1725">
            <v>488650</v>
          </cell>
          <cell r="AY20" vm="1726">
            <v>497783</v>
          </cell>
          <cell r="AZ20" vm="1727">
            <v>506953</v>
          </cell>
          <cell r="BA20" vm="1728">
            <v>518347</v>
          </cell>
          <cell r="BB20" vm="1729">
            <v>530946</v>
          </cell>
          <cell r="BC20" vm="1730">
            <v>543360</v>
          </cell>
          <cell r="BD20" vm="1731">
            <v>556319</v>
          </cell>
          <cell r="BE20" vm="1732">
            <v>569604</v>
          </cell>
          <cell r="BF20" vm="1733">
            <v>582014</v>
          </cell>
          <cell r="BG20" vm="1734">
            <v>596336</v>
          </cell>
          <cell r="BH20" vm="1735">
            <v>607950</v>
          </cell>
          <cell r="BI20" vm="1736">
            <v>619896</v>
          </cell>
        </row>
        <row r="21">
          <cell r="B21" t="str" vm="607">
            <v>Netherlands</v>
          </cell>
          <cell r="C21" vm="1737">
            <v>11638712</v>
          </cell>
          <cell r="D21" vm="1738">
            <v>11805689</v>
          </cell>
          <cell r="E21" vm="1739">
            <v>11965966</v>
          </cell>
          <cell r="F21" vm="1740">
            <v>12127120</v>
          </cell>
          <cell r="G21" vm="1741">
            <v>12294732</v>
          </cell>
          <cell r="H21" vm="1742">
            <v>12456251</v>
          </cell>
          <cell r="I21" vm="1743">
            <v>12598201</v>
          </cell>
          <cell r="J21" vm="1744">
            <v>12729721</v>
          </cell>
          <cell r="K21" vm="1745">
            <v>12877984</v>
          </cell>
          <cell r="L21" vm="1746">
            <v>13038526</v>
          </cell>
          <cell r="M21" vm="1747">
            <v>13194497</v>
          </cell>
          <cell r="N21" vm="1748">
            <v>13328593</v>
          </cell>
          <cell r="O21" vm="1749">
            <v>13439322</v>
          </cell>
          <cell r="P21" vm="1750">
            <v>13545056</v>
          </cell>
          <cell r="Q21" vm="1751">
            <v>13666335</v>
          </cell>
          <cell r="R21" vm="1752">
            <v>13774037</v>
          </cell>
          <cell r="S21" vm="1753">
            <v>13856185</v>
          </cell>
          <cell r="T21" vm="1754">
            <v>13941700</v>
          </cell>
          <cell r="U21" vm="1755">
            <v>14038270</v>
          </cell>
          <cell r="V21" vm="1756">
            <v>14149800</v>
          </cell>
          <cell r="W21" vm="1757">
            <v>14247208</v>
          </cell>
          <cell r="X21" vm="1758">
            <v>14312690</v>
          </cell>
          <cell r="Y21" vm="1759">
            <v>14367070</v>
          </cell>
          <cell r="Z21" vm="1760">
            <v>14424211</v>
          </cell>
          <cell r="AA21" vm="1761">
            <v>14491632</v>
          </cell>
          <cell r="AB21" vm="1762">
            <v>14572278</v>
          </cell>
          <cell r="AC21" vm="1763">
            <v>14665037</v>
          </cell>
          <cell r="AD21" vm="1764">
            <v>14760094</v>
          </cell>
          <cell r="AE21" vm="1765">
            <v>14848907</v>
          </cell>
          <cell r="AF21" vm="1766">
            <v>14951510</v>
          </cell>
          <cell r="AG21" vm="1767">
            <v>15069798</v>
          </cell>
          <cell r="AH21" vm="1768">
            <v>15184166</v>
          </cell>
          <cell r="AI21" vm="1769">
            <v>15290368</v>
          </cell>
          <cell r="AJ21" vm="1770">
            <v>15382838</v>
          </cell>
          <cell r="AK21" vm="1771">
            <v>15459006</v>
          </cell>
          <cell r="AL21" vm="1772">
            <v>15530498</v>
          </cell>
          <cell r="AM21" vm="1773">
            <v>15610650</v>
          </cell>
          <cell r="AN21" vm="1774">
            <v>15707209</v>
          </cell>
          <cell r="AO21" vm="1775">
            <v>15812088</v>
          </cell>
          <cell r="AP21" vm="1776">
            <v>15925513</v>
          </cell>
          <cell r="AQ21" vm="1777">
            <v>16046180</v>
          </cell>
          <cell r="AR21" vm="1778">
            <v>16148929</v>
          </cell>
          <cell r="AS21" vm="1779">
            <v>16225302</v>
          </cell>
          <cell r="AT21" vm="1780">
            <v>16281779</v>
          </cell>
          <cell r="AU21" vm="1781">
            <v>16319868</v>
          </cell>
          <cell r="AV21" vm="1782">
            <v>16346101</v>
          </cell>
          <cell r="AW21" vm="1783">
            <v>16381696</v>
          </cell>
          <cell r="AX21" vm="1784">
            <v>16445593</v>
          </cell>
          <cell r="AY21" vm="1785">
            <v>16530388</v>
          </cell>
          <cell r="AZ21" vm="1786">
            <v>16615394</v>
          </cell>
          <cell r="BA21" vm="1787">
            <v>16693074</v>
          </cell>
          <cell r="BB21" vm="1788">
            <v>16754962</v>
          </cell>
          <cell r="BC21" vm="1789">
            <v>16804432</v>
          </cell>
          <cell r="BD21" vm="1790">
            <v>16865008</v>
          </cell>
          <cell r="BE21" vm="1791">
            <v>16939924</v>
          </cell>
          <cell r="BF21" vm="1792">
            <v>17030314</v>
          </cell>
          <cell r="BG21" vm="1793">
            <v>17131296</v>
          </cell>
          <cell r="BH21" vm="1794">
            <v>17231624</v>
          </cell>
          <cell r="BI21" vm="1795">
            <v>17332850</v>
          </cell>
        </row>
        <row r="22">
          <cell r="B22" t="str" vm="667">
            <v>Norway</v>
          </cell>
          <cell r="C22" vm="1796">
            <v>3609800</v>
          </cell>
          <cell r="D22" vm="1797">
            <v>3638918</v>
          </cell>
          <cell r="E22" vm="1798">
            <v>3666537</v>
          </cell>
          <cell r="F22" vm="1799">
            <v>3694339</v>
          </cell>
          <cell r="G22" vm="1800">
            <v>3723168</v>
          </cell>
          <cell r="H22" vm="1801">
            <v>3753012</v>
          </cell>
          <cell r="I22" vm="1802">
            <v>3784539</v>
          </cell>
          <cell r="J22" vm="1803">
            <v>3816486</v>
          </cell>
          <cell r="K22" vm="1804">
            <v>3847707</v>
          </cell>
          <cell r="L22" vm="1805">
            <v>3875763</v>
          </cell>
          <cell r="M22" vm="1806">
            <v>3903039</v>
          </cell>
          <cell r="N22" vm="1807">
            <v>3933004</v>
          </cell>
          <cell r="O22" vm="1808">
            <v>3960612</v>
          </cell>
          <cell r="P22" vm="1809">
            <v>3985258</v>
          </cell>
          <cell r="Q22" vm="1810">
            <v>4007313</v>
          </cell>
          <cell r="R22" vm="1811">
            <v>4026152</v>
          </cell>
          <cell r="S22" vm="1812">
            <v>4043205</v>
          </cell>
          <cell r="T22" vm="1813">
            <v>4058671</v>
          </cell>
          <cell r="U22" vm="1814">
            <v>4072517</v>
          </cell>
          <cell r="V22" vm="1815">
            <v>4085620</v>
          </cell>
          <cell r="W22" vm="1816">
            <v>4099702</v>
          </cell>
          <cell r="X22" vm="1817">
            <v>4114787</v>
          </cell>
          <cell r="Y22" vm="1818">
            <v>4128432</v>
          </cell>
          <cell r="Z22" vm="1819">
            <v>4140099</v>
          </cell>
          <cell r="AA22" vm="1820">
            <v>4152516</v>
          </cell>
          <cell r="AB22" vm="1821">
            <v>4167354</v>
          </cell>
          <cell r="AC22" vm="1822">
            <v>4186905</v>
          </cell>
          <cell r="AD22" vm="1823">
            <v>4209488</v>
          </cell>
          <cell r="AE22" vm="1824">
            <v>4226901</v>
          </cell>
          <cell r="AF22" vm="1825">
            <v>4241473</v>
          </cell>
          <cell r="AG22" vm="1826">
            <v>4261732</v>
          </cell>
          <cell r="AH22" vm="1827">
            <v>4286401</v>
          </cell>
          <cell r="AI22" vm="1828">
            <v>4311991</v>
          </cell>
          <cell r="AJ22" vm="1829">
            <v>4336613</v>
          </cell>
          <cell r="AK22" vm="1830">
            <v>4359184</v>
          </cell>
          <cell r="AL22" vm="1831">
            <v>4381336</v>
          </cell>
          <cell r="AM22" vm="1832">
            <v>4405157</v>
          </cell>
          <cell r="AN22" vm="1833">
            <v>4431464</v>
          </cell>
          <cell r="AO22" vm="1834">
            <v>4461913</v>
          </cell>
          <cell r="AP22" vm="1835">
            <v>4490967</v>
          </cell>
          <cell r="AQ22" vm="1836">
            <v>4513751</v>
          </cell>
          <cell r="AR22" vm="1837">
            <v>4538159</v>
          </cell>
          <cell r="AS22" vm="1838">
            <v>4564855</v>
          </cell>
          <cell r="AT22" vm="1839">
            <v>4591910</v>
          </cell>
          <cell r="AU22" vm="1840">
            <v>4623291</v>
          </cell>
          <cell r="AV22" vm="1841">
            <v>4660677</v>
          </cell>
          <cell r="AW22" vm="1842">
            <v>4709153</v>
          </cell>
          <cell r="AX22" vm="1843">
            <v>4768212</v>
          </cell>
          <cell r="AY22" vm="1844">
            <v>4828726</v>
          </cell>
          <cell r="AZ22" vm="1845">
            <v>4889252</v>
          </cell>
          <cell r="BA22" vm="1846">
            <v>4953088</v>
          </cell>
          <cell r="BB22" vm="1847">
            <v>5018573</v>
          </cell>
          <cell r="BC22" vm="1848">
            <v>5079623</v>
          </cell>
          <cell r="BD22" vm="1849">
            <v>5137232</v>
          </cell>
          <cell r="BE22" vm="1850">
            <v>5188607</v>
          </cell>
          <cell r="BF22" vm="1851">
            <v>5234519</v>
          </cell>
          <cell r="BG22" vm="1852">
            <v>5276968</v>
          </cell>
          <cell r="BH22" vm="1853">
            <v>5311916</v>
          </cell>
          <cell r="BI22" vm="1854">
            <v>5347896</v>
          </cell>
        </row>
        <row r="23">
          <cell r="B23" t="str" vm="727">
            <v>Portugal</v>
          </cell>
          <cell r="C23" vm="1855">
            <v>8929316</v>
          </cell>
          <cell r="D23" vm="1856">
            <v>8993985</v>
          </cell>
          <cell r="E23" vm="1857">
            <v>9030355</v>
          </cell>
          <cell r="F23" vm="1858">
            <v>9035365</v>
          </cell>
          <cell r="G23" vm="1859">
            <v>8998595</v>
          </cell>
          <cell r="H23" vm="1860">
            <v>8930990</v>
          </cell>
          <cell r="I23" vm="1861">
            <v>8874520</v>
          </cell>
          <cell r="J23" vm="1862">
            <v>8836650</v>
          </cell>
          <cell r="K23" vm="1863">
            <v>8757705</v>
          </cell>
          <cell r="L23" vm="1864">
            <v>8680431</v>
          </cell>
          <cell r="M23" vm="1865">
            <v>8643756</v>
          </cell>
          <cell r="N23" vm="1866">
            <v>8630430</v>
          </cell>
          <cell r="O23" vm="1867">
            <v>8633100</v>
          </cell>
          <cell r="P23" vm="1868">
            <v>8754365</v>
          </cell>
          <cell r="Q23" vm="1869">
            <v>9093470</v>
          </cell>
          <cell r="R23" vm="1870">
            <v>9355810</v>
          </cell>
          <cell r="S23" vm="1871">
            <v>9455675</v>
          </cell>
          <cell r="T23" vm="1872">
            <v>9558250</v>
          </cell>
          <cell r="U23" vm="1873">
            <v>9661265</v>
          </cell>
          <cell r="V23" vm="1874">
            <v>9766312</v>
          </cell>
          <cell r="W23" vm="1875">
            <v>9851362</v>
          </cell>
          <cell r="X23" vm="1876">
            <v>9911771</v>
          </cell>
          <cell r="Y23" vm="1877">
            <v>9957865</v>
          </cell>
          <cell r="Z23" vm="1878">
            <v>9996232</v>
          </cell>
          <cell r="AA23" vm="1879">
            <v>10023613</v>
          </cell>
          <cell r="AB23" vm="1880">
            <v>10032734</v>
          </cell>
          <cell r="AC23" vm="1881">
            <v>10030031</v>
          </cell>
          <cell r="AD23" vm="1882">
            <v>10019610</v>
          </cell>
          <cell r="AE23" vm="1883">
            <v>10005000</v>
          </cell>
          <cell r="AF23" vm="1884">
            <v>9983218</v>
          </cell>
          <cell r="AG23" vm="1885">
            <v>9960235</v>
          </cell>
          <cell r="AH23" vm="1886">
            <v>9952494</v>
          </cell>
          <cell r="AI23" vm="1887">
            <v>9964675</v>
          </cell>
          <cell r="AJ23" vm="1888">
            <v>9991525</v>
          </cell>
          <cell r="AK23" vm="1889">
            <v>10026176</v>
          </cell>
          <cell r="AL23" vm="1890">
            <v>10063945</v>
          </cell>
          <cell r="AM23" vm="1891">
            <v>10108977</v>
          </cell>
          <cell r="AN23" vm="1892">
            <v>10160196</v>
          </cell>
          <cell r="AO23" vm="1893">
            <v>10217828</v>
          </cell>
          <cell r="AP23" vm="1894">
            <v>10289898</v>
          </cell>
          <cell r="AQ23" vm="1895">
            <v>10362722</v>
          </cell>
          <cell r="AR23" vm="1896">
            <v>10419631</v>
          </cell>
          <cell r="AS23" vm="1897">
            <v>10458821</v>
          </cell>
          <cell r="AT23" vm="1898">
            <v>10483861</v>
          </cell>
          <cell r="AU23" vm="1899">
            <v>10503330</v>
          </cell>
          <cell r="AV23" vm="1900">
            <v>10522288</v>
          </cell>
          <cell r="AW23" vm="1901">
            <v>10542964</v>
          </cell>
          <cell r="AX23" vm="1902">
            <v>10558177</v>
          </cell>
          <cell r="AY23" vm="1903">
            <v>10568247</v>
          </cell>
          <cell r="AZ23" vm="1904">
            <v>10573100</v>
          </cell>
          <cell r="BA23" vm="1905">
            <v>10557560</v>
          </cell>
          <cell r="BB23" vm="1906">
            <v>10514844</v>
          </cell>
          <cell r="BC23" vm="1907">
            <v>10457295</v>
          </cell>
          <cell r="BD23" vm="1908">
            <v>10401062</v>
          </cell>
          <cell r="BE23" vm="1909">
            <v>10358076</v>
          </cell>
          <cell r="BF23" vm="1910">
            <v>10325452</v>
          </cell>
          <cell r="BG23" vm="1911">
            <v>10300300</v>
          </cell>
          <cell r="BH23" vm="1912">
            <v>10283822</v>
          </cell>
          <cell r="BI23" vm="1913">
            <v>10269417</v>
          </cell>
        </row>
        <row r="24">
          <cell r="B24" t="str" vm="787">
            <v>Singapore</v>
          </cell>
          <cell r="C24" vm="1914">
            <v>1702400</v>
          </cell>
          <cell r="D24" vm="1915">
            <v>1750200</v>
          </cell>
          <cell r="E24" vm="1916">
            <v>1795000</v>
          </cell>
          <cell r="F24" vm="1917">
            <v>1841600</v>
          </cell>
          <cell r="G24" vm="1918">
            <v>1886900</v>
          </cell>
          <cell r="H24" vm="1919">
            <v>1934400</v>
          </cell>
          <cell r="I24" vm="1920">
            <v>1977600</v>
          </cell>
          <cell r="J24" vm="1921">
            <v>2012000</v>
          </cell>
          <cell r="K24" vm="1922">
            <v>2042500</v>
          </cell>
          <cell r="L24" vm="1923">
            <v>2074507</v>
          </cell>
          <cell r="M24" vm="1924">
            <v>2112900</v>
          </cell>
          <cell r="N24" vm="1925">
            <v>2152400</v>
          </cell>
          <cell r="O24" vm="1926">
            <v>2193000</v>
          </cell>
          <cell r="P24" vm="1927">
            <v>2229800</v>
          </cell>
          <cell r="Q24" vm="1928">
            <v>2262600</v>
          </cell>
          <cell r="R24" vm="1929">
            <v>2293300</v>
          </cell>
          <cell r="S24" vm="1930">
            <v>2325300</v>
          </cell>
          <cell r="T24" vm="1931">
            <v>2353600</v>
          </cell>
          <cell r="U24" vm="1932">
            <v>2383500</v>
          </cell>
          <cell r="V24" vm="1933">
            <v>2413945</v>
          </cell>
          <cell r="W24" vm="1934">
            <v>2532835</v>
          </cell>
          <cell r="X24" vm="1935">
            <v>2646466</v>
          </cell>
          <cell r="Y24" vm="1936">
            <v>2681061</v>
          </cell>
          <cell r="Z24" vm="1937">
            <v>2732221</v>
          </cell>
          <cell r="AA24" vm="1938">
            <v>2735957</v>
          </cell>
          <cell r="AB24" vm="1939">
            <v>2733373</v>
          </cell>
          <cell r="AC24" vm="1940">
            <v>2774789</v>
          </cell>
          <cell r="AD24" vm="1941">
            <v>2846108</v>
          </cell>
          <cell r="AE24" vm="1942">
            <v>2930901</v>
          </cell>
          <cell r="AF24" vm="1943">
            <v>3047132</v>
          </cell>
          <cell r="AG24" vm="1944">
            <v>3135083</v>
          </cell>
          <cell r="AH24" vm="1945">
            <v>3230698</v>
          </cell>
          <cell r="AI24" vm="1946">
            <v>3313471</v>
          </cell>
          <cell r="AJ24" vm="1947">
            <v>3419048</v>
          </cell>
          <cell r="AK24" vm="1948">
            <v>3524506</v>
          </cell>
          <cell r="AL24" vm="1949">
            <v>3670704</v>
          </cell>
          <cell r="AM24" vm="1950">
            <v>3796038</v>
          </cell>
          <cell r="AN24" vm="1951">
            <v>3927213</v>
          </cell>
          <cell r="AO24" vm="1952">
            <v>3958723</v>
          </cell>
          <cell r="AP24" vm="1953">
            <v>4027887</v>
          </cell>
          <cell r="AQ24" vm="1954">
            <v>4138012</v>
          </cell>
          <cell r="AR24" vm="1955">
            <v>4175950</v>
          </cell>
          <cell r="AS24" vm="1956">
            <v>4114826</v>
          </cell>
          <cell r="AT24" vm="1957">
            <v>4166664</v>
          </cell>
          <cell r="AU24" vm="1958">
            <v>4265762</v>
          </cell>
          <cell r="AV24" vm="1959">
            <v>4401365</v>
          </cell>
          <cell r="AW24" vm="1960">
            <v>4588599</v>
          </cell>
          <cell r="AX24" vm="1961">
            <v>4839396</v>
          </cell>
          <cell r="AY24" vm="1962">
            <v>4987573</v>
          </cell>
          <cell r="AZ24" vm="1963">
            <v>5076732</v>
          </cell>
          <cell r="BA24" vm="1964">
            <v>5183688</v>
          </cell>
          <cell r="BB24" vm="1965">
            <v>5312437</v>
          </cell>
          <cell r="BC24" vm="1966">
            <v>5399162</v>
          </cell>
          <cell r="BD24" vm="1967">
            <v>5469724</v>
          </cell>
          <cell r="BE24" vm="1968">
            <v>5535002</v>
          </cell>
          <cell r="BF24" vm="1969">
            <v>5607283</v>
          </cell>
          <cell r="BG24" vm="1970">
            <v>5612253</v>
          </cell>
          <cell r="BH24" vm="1971">
            <v>5638676</v>
          </cell>
          <cell r="BI24" vm="1972">
            <v>5703569</v>
          </cell>
        </row>
        <row r="25">
          <cell r="B25" t="str" vm="847">
            <v>South Korea</v>
          </cell>
          <cell r="C25" vm="1973">
            <v>25765672</v>
          </cell>
          <cell r="D25" vm="1974">
            <v>26513030</v>
          </cell>
          <cell r="E25" vm="1975">
            <v>27261748</v>
          </cell>
          <cell r="F25" vm="1976">
            <v>27984156</v>
          </cell>
          <cell r="G25" vm="1977">
            <v>28704674</v>
          </cell>
          <cell r="H25" vm="1978">
            <v>29435572</v>
          </cell>
          <cell r="I25" vm="1979">
            <v>30130984</v>
          </cell>
          <cell r="J25" vm="1980">
            <v>30838302</v>
          </cell>
          <cell r="K25" vm="1981">
            <v>31544266</v>
          </cell>
          <cell r="L25" vm="1982">
            <v>32240828</v>
          </cell>
          <cell r="M25" vm="1983">
            <v>32882704</v>
          </cell>
          <cell r="N25" vm="1984">
            <v>33505406</v>
          </cell>
          <cell r="O25" vm="1985">
            <v>34103148</v>
          </cell>
          <cell r="P25" vm="1986">
            <v>34692264</v>
          </cell>
          <cell r="Q25" vm="1987">
            <v>35280724</v>
          </cell>
          <cell r="R25" vm="1988">
            <v>35848524</v>
          </cell>
          <cell r="S25" vm="1989">
            <v>36411796</v>
          </cell>
          <cell r="T25" vm="1990">
            <v>36969184</v>
          </cell>
          <cell r="U25" vm="1991">
            <v>37534236</v>
          </cell>
          <cell r="V25" vm="1992">
            <v>38123776</v>
          </cell>
          <cell r="W25" vm="1993">
            <v>38723248</v>
          </cell>
          <cell r="X25" vm="1994">
            <v>39326352</v>
          </cell>
          <cell r="Y25" vm="1995">
            <v>39910404</v>
          </cell>
          <cell r="Z25" vm="1996">
            <v>40405956</v>
          </cell>
          <cell r="AA25" vm="1997">
            <v>40805744</v>
          </cell>
          <cell r="AB25" vm="1998">
            <v>41213672</v>
          </cell>
          <cell r="AC25" vm="1999">
            <v>41621688</v>
          </cell>
          <cell r="AD25" vm="2000">
            <v>42031248</v>
          </cell>
          <cell r="AE25" vm="2001">
            <v>42449040</v>
          </cell>
          <cell r="AF25" vm="2002">
            <v>42869284</v>
          </cell>
          <cell r="AG25" vm="2003">
            <v>43295704</v>
          </cell>
          <cell r="AH25" vm="2004">
            <v>43747960</v>
          </cell>
          <cell r="AI25" vm="2005">
            <v>44194628</v>
          </cell>
          <cell r="AJ25" vm="2006">
            <v>44641540</v>
          </cell>
          <cell r="AK25" vm="2007">
            <v>45092992</v>
          </cell>
          <cell r="AL25" vm="2008">
            <v>45524680</v>
          </cell>
          <cell r="AM25" vm="2009">
            <v>45953580</v>
          </cell>
          <cell r="AN25" vm="2010">
            <v>46286504</v>
          </cell>
          <cell r="AO25" vm="2011">
            <v>46616676</v>
          </cell>
          <cell r="AP25" vm="2012">
            <v>47008112</v>
          </cell>
          <cell r="AQ25" vm="2013">
            <v>47370164</v>
          </cell>
          <cell r="AR25" vm="2014">
            <v>47644736</v>
          </cell>
          <cell r="AS25" vm="2015">
            <v>47892328</v>
          </cell>
          <cell r="AT25" vm="2016">
            <v>48082520</v>
          </cell>
          <cell r="AU25" vm="2017">
            <v>48184560</v>
          </cell>
          <cell r="AV25" vm="2018">
            <v>48438292</v>
          </cell>
          <cell r="AW25" vm="2019">
            <v>48683640</v>
          </cell>
          <cell r="AX25" vm="2020">
            <v>49054708</v>
          </cell>
          <cell r="AY25" vm="2021">
            <v>49307836</v>
          </cell>
          <cell r="AZ25" vm="2022">
            <v>49554112</v>
          </cell>
          <cell r="BA25" vm="2023">
            <v>49936640</v>
          </cell>
          <cell r="BB25" vm="2024">
            <v>50199852</v>
          </cell>
          <cell r="BC25" vm="2025">
            <v>50428892</v>
          </cell>
          <cell r="BD25" vm="2026">
            <v>50746660</v>
          </cell>
          <cell r="BE25" vm="2027">
            <v>51014948</v>
          </cell>
          <cell r="BF25" vm="2028">
            <v>51217804</v>
          </cell>
          <cell r="BG25" vm="2029">
            <v>51361912</v>
          </cell>
          <cell r="BH25" vm="2030">
            <v>51606632</v>
          </cell>
          <cell r="BI25" vm="2031">
            <v>51709096</v>
          </cell>
        </row>
        <row r="26">
          <cell r="B26" t="str" vm="907">
            <v>Spain</v>
          </cell>
          <cell r="C26" vm="2032">
            <v>30739250</v>
          </cell>
          <cell r="D26" vm="2033">
            <v>31023366</v>
          </cell>
          <cell r="E26" vm="2034">
            <v>31296652</v>
          </cell>
          <cell r="F26" vm="2035">
            <v>31609196</v>
          </cell>
          <cell r="G26" vm="2036">
            <v>31954292</v>
          </cell>
          <cell r="H26" vm="2037">
            <v>32283194</v>
          </cell>
          <cell r="I26" vm="2038">
            <v>32682948</v>
          </cell>
          <cell r="J26" vm="2039">
            <v>33113134</v>
          </cell>
          <cell r="K26" vm="2040">
            <v>33441054</v>
          </cell>
          <cell r="L26" vm="2041">
            <v>33814532</v>
          </cell>
          <cell r="M26" vm="2042">
            <v>34224488</v>
          </cell>
          <cell r="N26" vm="2043">
            <v>34604468</v>
          </cell>
          <cell r="O26" vm="2044">
            <v>34988948</v>
          </cell>
          <cell r="P26" vm="2045">
            <v>35373336</v>
          </cell>
          <cell r="Q26" vm="2046">
            <v>35757900</v>
          </cell>
          <cell r="R26" vm="2047">
            <v>36137812</v>
          </cell>
          <cell r="S26" vm="2048">
            <v>36511640</v>
          </cell>
          <cell r="T26" vm="2049">
            <v>36864896</v>
          </cell>
          <cell r="U26" vm="2050">
            <v>37191328</v>
          </cell>
          <cell r="V26" vm="2051">
            <v>37491164</v>
          </cell>
          <cell r="W26" vm="2052">
            <v>37758632</v>
          </cell>
          <cell r="X26" vm="2053">
            <v>37986012</v>
          </cell>
          <cell r="Y26" vm="2054">
            <v>38171524</v>
          </cell>
          <cell r="Z26" vm="2055">
            <v>38330364</v>
          </cell>
          <cell r="AA26" vm="2056">
            <v>38469512</v>
          </cell>
          <cell r="AB26" vm="2057">
            <v>38584624</v>
          </cell>
          <cell r="AC26" vm="2058">
            <v>38684816</v>
          </cell>
          <cell r="AD26" vm="2059">
            <v>38766940</v>
          </cell>
          <cell r="AE26" vm="2060">
            <v>38827764</v>
          </cell>
          <cell r="AF26" vm="2061">
            <v>38867320</v>
          </cell>
          <cell r="AG26" vm="2062">
            <v>38966376</v>
          </cell>
          <cell r="AH26" vm="2063">
            <v>39157684</v>
          </cell>
          <cell r="AI26" vm="2064">
            <v>39361264</v>
          </cell>
          <cell r="AJ26" vm="2065">
            <v>39549108</v>
          </cell>
          <cell r="AK26" vm="2066">
            <v>39724048</v>
          </cell>
          <cell r="AL26" vm="2067">
            <v>39889852</v>
          </cell>
          <cell r="AM26" vm="2068">
            <v>40057388</v>
          </cell>
          <cell r="AN26" vm="2069">
            <v>40223508</v>
          </cell>
          <cell r="AO26" vm="2070">
            <v>40386876</v>
          </cell>
          <cell r="AP26" vm="2071">
            <v>40567864</v>
          </cell>
          <cell r="AQ26" vm="2072">
            <v>40850412</v>
          </cell>
          <cell r="AR26" vm="2073">
            <v>41431560</v>
          </cell>
          <cell r="AS26" vm="2074">
            <v>42187644</v>
          </cell>
          <cell r="AT26" vm="2075">
            <v>42921896</v>
          </cell>
          <cell r="AU26" vm="2076">
            <v>43653156</v>
          </cell>
          <cell r="AV26" vm="2077">
            <v>44397320</v>
          </cell>
          <cell r="AW26" vm="2078">
            <v>45226804</v>
          </cell>
          <cell r="AX26" vm="2079">
            <v>45954104</v>
          </cell>
          <cell r="AY26" vm="2080">
            <v>46362944</v>
          </cell>
          <cell r="AZ26" vm="2081">
            <v>46576896</v>
          </cell>
          <cell r="BA26" vm="2082">
            <v>46742696</v>
          </cell>
          <cell r="BB26" vm="2083">
            <v>46773056</v>
          </cell>
          <cell r="BC26" vm="2084">
            <v>46620044</v>
          </cell>
          <cell r="BD26" vm="2085">
            <v>46480880</v>
          </cell>
          <cell r="BE26" vm="2086">
            <v>46444832</v>
          </cell>
          <cell r="BF26" vm="2087">
            <v>46484064</v>
          </cell>
          <cell r="BG26" vm="2088">
            <v>46593236</v>
          </cell>
          <cell r="BH26" vm="2089">
            <v>46797752</v>
          </cell>
          <cell r="BI26" vm="2090">
            <v>47076780</v>
          </cell>
        </row>
        <row r="27">
          <cell r="B27" t="str" vm="967">
            <v>Sweden</v>
          </cell>
          <cell r="C27" vm="2091">
            <v>7519998</v>
          </cell>
          <cell r="D27" vm="2092">
            <v>7561588</v>
          </cell>
          <cell r="E27" vm="2093">
            <v>7604328</v>
          </cell>
          <cell r="F27" vm="2094">
            <v>7661354</v>
          </cell>
          <cell r="G27" vm="2095">
            <v>7733853</v>
          </cell>
          <cell r="H27" vm="2096">
            <v>7807797</v>
          </cell>
          <cell r="I27" vm="2097">
            <v>7867931</v>
          </cell>
          <cell r="J27" vm="2098">
            <v>7912273</v>
          </cell>
          <cell r="K27" vm="2099">
            <v>7968072</v>
          </cell>
          <cell r="L27" vm="2100">
            <v>8042801</v>
          </cell>
          <cell r="M27" vm="2101">
            <v>8098334</v>
          </cell>
          <cell r="N27" vm="2102">
            <v>8122300</v>
          </cell>
          <cell r="O27" vm="2103">
            <v>8136312</v>
          </cell>
          <cell r="P27" vm="2104">
            <v>8159955</v>
          </cell>
          <cell r="Q27" vm="2105">
            <v>8192437</v>
          </cell>
          <cell r="R27" vm="2106">
            <v>8222286</v>
          </cell>
          <cell r="S27" vm="2107">
            <v>8251540</v>
          </cell>
          <cell r="T27" vm="2108">
            <v>8275599</v>
          </cell>
          <cell r="U27" vm="2109">
            <v>8293678</v>
          </cell>
          <cell r="V27" vm="2110">
            <v>8310531</v>
          </cell>
          <cell r="W27" vm="2111">
            <v>8320503</v>
          </cell>
          <cell r="X27" vm="2112">
            <v>8325263</v>
          </cell>
          <cell r="Y27" vm="2113">
            <v>8329033</v>
          </cell>
          <cell r="Z27" vm="2114">
            <v>8336605</v>
          </cell>
          <cell r="AA27" vm="2115">
            <v>8350386</v>
          </cell>
          <cell r="AB27" vm="2116">
            <v>8369829</v>
          </cell>
          <cell r="AC27" vm="2117">
            <v>8397804</v>
          </cell>
          <cell r="AD27" vm="2118">
            <v>8436489</v>
          </cell>
          <cell r="AE27" vm="2119">
            <v>8492964</v>
          </cell>
          <cell r="AF27" vm="2120">
            <v>8558835</v>
          </cell>
          <cell r="AG27" vm="2121">
            <v>8617375</v>
          </cell>
          <cell r="AH27" vm="2122">
            <v>8668067</v>
          </cell>
          <cell r="AI27" vm="2123">
            <v>8718561</v>
          </cell>
          <cell r="AJ27" vm="2124">
            <v>8780745</v>
          </cell>
          <cell r="AK27" vm="2125">
            <v>8826939</v>
          </cell>
          <cell r="AL27" vm="2126">
            <v>8840998</v>
          </cell>
          <cell r="AM27" vm="2127">
            <v>8846062</v>
          </cell>
          <cell r="AN27" vm="2128">
            <v>8850974</v>
          </cell>
          <cell r="AO27" vm="2129">
            <v>8857874</v>
          </cell>
          <cell r="AP27" vm="2130">
            <v>8872109</v>
          </cell>
          <cell r="AQ27" vm="2131">
            <v>8895960</v>
          </cell>
          <cell r="AR27" vm="2132">
            <v>8924958</v>
          </cell>
          <cell r="AS27" vm="2133">
            <v>8958229</v>
          </cell>
          <cell r="AT27" vm="2134">
            <v>8993531</v>
          </cell>
          <cell r="AU27" vm="2135">
            <v>9029572</v>
          </cell>
          <cell r="AV27" vm="2136">
            <v>9080505</v>
          </cell>
          <cell r="AW27" vm="2137">
            <v>9148092</v>
          </cell>
          <cell r="AX27" vm="2138">
            <v>9219637</v>
          </cell>
          <cell r="AY27" vm="2139">
            <v>9298515</v>
          </cell>
          <cell r="AZ27" vm="2140">
            <v>9378126</v>
          </cell>
          <cell r="BA27" vm="2141">
            <v>9449213</v>
          </cell>
          <cell r="BB27" vm="2142">
            <v>9519374</v>
          </cell>
          <cell r="BC27" vm="2143">
            <v>9600379</v>
          </cell>
          <cell r="BD27" vm="2144">
            <v>9696110</v>
          </cell>
          <cell r="BE27" vm="2145">
            <v>9799186</v>
          </cell>
          <cell r="BF27" vm="2146">
            <v>9923085</v>
          </cell>
          <cell r="BG27" vm="2147">
            <v>10057698</v>
          </cell>
          <cell r="BH27" vm="2148">
            <v>10175214</v>
          </cell>
          <cell r="BI27" vm="2149">
            <v>10285453</v>
          </cell>
        </row>
        <row r="28">
          <cell r="B28" t="str" vm="1027">
            <v>United Kingdom</v>
          </cell>
          <cell r="C28" vm="2150">
            <v>52800000</v>
          </cell>
          <cell r="D28" vm="2151">
            <v>53250000</v>
          </cell>
          <cell r="E28" vm="2152">
            <v>53650000</v>
          </cell>
          <cell r="F28" vm="2153">
            <v>54000000</v>
          </cell>
          <cell r="G28" vm="2154">
            <v>54348048</v>
          </cell>
          <cell r="H28" vm="2155">
            <v>54648500</v>
          </cell>
          <cell r="I28" vm="2156">
            <v>54943600</v>
          </cell>
          <cell r="J28" vm="2157">
            <v>55211700</v>
          </cell>
          <cell r="K28" vm="2158">
            <v>55441752</v>
          </cell>
          <cell r="L28" vm="2159">
            <v>55663248</v>
          </cell>
          <cell r="M28" vm="2160">
            <v>55896224</v>
          </cell>
          <cell r="N28" vm="2161">
            <v>56086064</v>
          </cell>
          <cell r="O28" vm="2162">
            <v>56194528</v>
          </cell>
          <cell r="P28" vm="2163">
            <v>56229976</v>
          </cell>
          <cell r="Q28" vm="2164">
            <v>56225800</v>
          </cell>
          <cell r="R28" vm="2165">
            <v>56211968</v>
          </cell>
          <cell r="S28" vm="2166">
            <v>56193492</v>
          </cell>
          <cell r="T28" vm="2167">
            <v>56196504</v>
          </cell>
          <cell r="U28" vm="2168">
            <v>56246952</v>
          </cell>
          <cell r="V28" vm="2169">
            <v>56314216</v>
          </cell>
          <cell r="W28" vm="2170">
            <v>56333828</v>
          </cell>
          <cell r="X28" vm="2171">
            <v>56313640</v>
          </cell>
          <cell r="Y28" vm="2172">
            <v>56332848</v>
          </cell>
          <cell r="Z28" vm="2173">
            <v>56422072</v>
          </cell>
          <cell r="AA28" vm="2174">
            <v>56550268</v>
          </cell>
          <cell r="AB28" vm="2175">
            <v>56681396</v>
          </cell>
          <cell r="AC28" vm="2176">
            <v>56802048</v>
          </cell>
          <cell r="AD28" vm="2177">
            <v>56928328</v>
          </cell>
          <cell r="AE28" vm="2178">
            <v>57076712</v>
          </cell>
          <cell r="AF28" vm="2179">
            <v>57247584</v>
          </cell>
          <cell r="AG28" vm="2180">
            <v>57424896</v>
          </cell>
          <cell r="AH28" vm="2181">
            <v>57580400</v>
          </cell>
          <cell r="AI28" vm="2182">
            <v>57718616</v>
          </cell>
          <cell r="AJ28" vm="2183">
            <v>57865744</v>
          </cell>
          <cell r="AK28" vm="2184">
            <v>58019032</v>
          </cell>
          <cell r="AL28" vm="2185">
            <v>58166952</v>
          </cell>
          <cell r="AM28" vm="2186">
            <v>58316952</v>
          </cell>
          <cell r="AN28" vm="2187">
            <v>58487140</v>
          </cell>
          <cell r="AO28" vm="2188">
            <v>58682464</v>
          </cell>
          <cell r="AP28" vm="2189">
            <v>58892512</v>
          </cell>
          <cell r="AQ28" vm="2190">
            <v>59119672</v>
          </cell>
          <cell r="AR28" vm="2191">
            <v>59370480</v>
          </cell>
          <cell r="AS28" vm="2192">
            <v>59647576</v>
          </cell>
          <cell r="AT28" vm="2193">
            <v>59987904</v>
          </cell>
          <cell r="AU28" vm="2194">
            <v>60401208</v>
          </cell>
          <cell r="AV28" vm="2195">
            <v>60846820</v>
          </cell>
          <cell r="AW28" vm="2196">
            <v>61322464</v>
          </cell>
          <cell r="AX28" vm="2197">
            <v>61806996</v>
          </cell>
          <cell r="AY28" vm="2198">
            <v>62276272</v>
          </cell>
          <cell r="AZ28" vm="2199">
            <v>62766364</v>
          </cell>
          <cell r="BA28" vm="2200">
            <v>63258808</v>
          </cell>
          <cell r="BB28" vm="2201">
            <v>63700216</v>
          </cell>
          <cell r="BC28" vm="2202">
            <v>64128272</v>
          </cell>
          <cell r="BD28" vm="2203">
            <v>64602296</v>
          </cell>
          <cell r="BE28" vm="2204">
            <v>65116220</v>
          </cell>
          <cell r="BF28" vm="2205">
            <v>65611592</v>
          </cell>
          <cell r="BG28" vm="2206">
            <v>66058860</v>
          </cell>
          <cell r="BH28" vm="2207">
            <v>66460344</v>
          </cell>
          <cell r="BI28" vm="2208">
            <v>66834404</v>
          </cell>
        </row>
        <row r="29">
          <cell r="B29" t="str" vm="1087">
            <v>United States</v>
          </cell>
          <cell r="C29" vm="2209">
            <v>183691008</v>
          </cell>
          <cell r="D29" vm="2210">
            <v>186538000</v>
          </cell>
          <cell r="E29" vm="2211">
            <v>189242000</v>
          </cell>
          <cell r="F29" vm="2212">
            <v>191888992</v>
          </cell>
          <cell r="G29" vm="2213">
            <v>194303008</v>
          </cell>
          <cell r="H29" vm="2214">
            <v>196560000</v>
          </cell>
          <cell r="I29" vm="2215">
            <v>198712000</v>
          </cell>
          <cell r="J29" vm="2216">
            <v>200706000</v>
          </cell>
          <cell r="K29" vm="2217">
            <v>202676992</v>
          </cell>
          <cell r="L29" vm="2218">
            <v>205052000</v>
          </cell>
          <cell r="M29" vm="2219">
            <v>207660992</v>
          </cell>
          <cell r="N29" vm="2220">
            <v>209896000</v>
          </cell>
          <cell r="O29" vm="2221">
            <v>211908992</v>
          </cell>
          <cell r="P29" vm="2222">
            <v>213854000</v>
          </cell>
          <cell r="Q29" vm="2223">
            <v>215972992</v>
          </cell>
          <cell r="R29" vm="2224">
            <v>218035008</v>
          </cell>
          <cell r="S29" vm="2225">
            <v>220239008</v>
          </cell>
          <cell r="T29" vm="2226">
            <v>222584992</v>
          </cell>
          <cell r="U29" vm="2227">
            <v>225055008</v>
          </cell>
          <cell r="V29" vm="2228">
            <v>227224992</v>
          </cell>
          <cell r="W29" vm="2229">
            <v>229466000</v>
          </cell>
          <cell r="X29" vm="2230">
            <v>231664000</v>
          </cell>
          <cell r="Y29" vm="2231">
            <v>233792000</v>
          </cell>
          <cell r="Z29" vm="2232">
            <v>235824992</v>
          </cell>
          <cell r="AA29" vm="2233">
            <v>237924000</v>
          </cell>
          <cell r="AB29" vm="2234">
            <v>240132992</v>
          </cell>
          <cell r="AC29" vm="2235">
            <v>242288992</v>
          </cell>
          <cell r="AD29" vm="2236">
            <v>244499008</v>
          </cell>
          <cell r="AE29" vm="2237">
            <v>246819008</v>
          </cell>
          <cell r="AF29" vm="2238">
            <v>249623008</v>
          </cell>
          <cell r="AG29" vm="2239">
            <v>252980992</v>
          </cell>
          <cell r="AH29" vm="2240">
            <v>256514000</v>
          </cell>
          <cell r="AI29" vm="2241">
            <v>259919008</v>
          </cell>
          <cell r="AJ29" vm="2242">
            <v>263126000</v>
          </cell>
          <cell r="AK29" vm="2243">
            <v>266278000</v>
          </cell>
          <cell r="AL29" vm="2244">
            <v>269393984</v>
          </cell>
          <cell r="AM29" vm="2245">
            <v>272656992</v>
          </cell>
          <cell r="AN29" vm="2246">
            <v>275854016</v>
          </cell>
          <cell r="AO29" vm="2247">
            <v>279040000</v>
          </cell>
          <cell r="AP29" vm="2248">
            <v>282162400</v>
          </cell>
          <cell r="AQ29" vm="2249">
            <v>284968960</v>
          </cell>
          <cell r="AR29" vm="2250">
            <v>287625184</v>
          </cell>
          <cell r="AS29" vm="2251">
            <v>290107936</v>
          </cell>
          <cell r="AT29" vm="2252">
            <v>292805312</v>
          </cell>
          <cell r="AU29" vm="2253">
            <v>295516608</v>
          </cell>
          <cell r="AV29" vm="2254">
            <v>298379904</v>
          </cell>
          <cell r="AW29" vm="2255">
            <v>301231200</v>
          </cell>
          <cell r="AX29" vm="2256">
            <v>304093952</v>
          </cell>
          <cell r="AY29" vm="2257">
            <v>306771520</v>
          </cell>
          <cell r="AZ29" vm="2258">
            <v>309321664</v>
          </cell>
          <cell r="BA29" vm="2259">
            <v>311556864</v>
          </cell>
          <cell r="BB29" vm="2260">
            <v>313830976</v>
          </cell>
          <cell r="BC29" vm="2261">
            <v>315993728</v>
          </cell>
          <cell r="BD29" vm="2262">
            <v>318300992</v>
          </cell>
          <cell r="BE29" vm="2263">
            <v>320635168</v>
          </cell>
          <cell r="BF29" vm="2264">
            <v>322941312</v>
          </cell>
          <cell r="BG29" vm="2265">
            <v>324985536</v>
          </cell>
          <cell r="BH29" vm="2266">
            <v>326687488</v>
          </cell>
          <cell r="BI29" vm="2267">
            <v>328239520</v>
          </cell>
        </row>
      </sheetData>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Geography"/>
      <sheetName val="SRC UN Current"/>
      <sheetName val="SRC PENN Current "/>
      <sheetName val="SRC PENN Real"/>
      <sheetName val="SRC PPP Multiple"/>
      <sheetName val="SRC Population"/>
      <sheetName val="SRC Geoeconomic Population"/>
      <sheetName val="SRC Geoeconomic Current"/>
      <sheetName val="Long Series Current"/>
      <sheetName val="CHART 13"/>
      <sheetName val="Current"/>
      <sheetName val="Current less China"/>
      <sheetName val="South"/>
      <sheetName val="North"/>
      <sheetName val="Transitional"/>
      <sheetName val="Major Blocs"/>
      <sheetName val="Geoeconomic"/>
      <sheetName val="Decompositions"/>
      <sheetName val="Comparisons"/>
      <sheetName val="North Lorentz"/>
      <sheetName val="Growth Rates"/>
      <sheetName val="China"/>
      <sheetName val="Catch-up"/>
      <sheetName val="Catch-up Table"/>
      <sheetName val="Regressions"/>
      <sheetName val="CHART 01"/>
      <sheetName val="CHART 03"/>
      <sheetName val="CHART 03A"/>
      <sheetName val="CHART 04"/>
      <sheetName val="CHART 05"/>
      <sheetName val="CHART 06"/>
      <sheetName val="CHART 07"/>
      <sheetName val="CHART 08"/>
      <sheetName val="CHART 09"/>
      <sheetName val="CHART 10"/>
      <sheetName val="CHART 11"/>
      <sheetName val="CHART 12"/>
      <sheetName val="FIGURE 2"/>
      <sheetName val="FIGURE 02A"/>
      <sheetName val="CH CONCEPTS 1 AND 2 GINI"/>
      <sheetName val="TO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2">
          <cell r="C2">
            <v>458583960395.57288</v>
          </cell>
        </row>
        <row r="3">
          <cell r="C3">
            <v>2299382120892.3999</v>
          </cell>
        </row>
        <row r="4">
          <cell r="C4">
            <v>535893508327</v>
          </cell>
        </row>
        <row r="7">
          <cell r="C7">
            <v>1686571899</v>
          </cell>
        </row>
        <row r="8">
          <cell r="C8">
            <v>740953508</v>
          </cell>
        </row>
        <row r="10">
          <cell r="C10">
            <v>824788480</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1.748928587964" backgroundQuery="1" createdVersion="6" refreshedVersion="6" minRefreshableVersion="3" recordCount="0" supportSubquery="1" supportAdvancedDrill="1" xr:uid="{E9EC0002-2739-4B09-B2A1-A354A6BC751F}">
  <cacheSource type="external" connectionId="1"/>
  <cacheFields count="15">
    <cacheField name="[Data].[Demographics].[Population]" caption="Population" numFmtId="0" hierarchy="1" level="1">
      <sharedItems containsSemiMixedTypes="0" containsString="0"/>
    </cacheField>
    <cacheField name="[Geography].[Blocs].[Major_Blocs]" caption="Major_Blocs" numFmtId="0" hierarchy="6" level="1">
      <sharedItems count="4">
        <s v="[Geography].[Blocs].[Major_Blocs].&amp;[China Mainland]" c="China Mainland"/>
        <s v="[Geography].[Blocs].[Major_Blocs].&amp;[North]" c="North"/>
        <s v="[Geography].[Blocs].[Major_Blocs].&amp;[South]" c="South"/>
        <s v="[Geography].[Blocs].[Major_Blocs].&amp;[Transitional]" u="1" c="Transitional"/>
      </sharedItems>
    </cacheField>
    <cacheField name="[Geography].[Blocs].[Country]" caption="Country" numFmtId="0" hierarchy="6" level="2">
      <sharedItems count="103">
        <s v="[Geography].[Blocs].[Country].&amp;[Andorra]" c="Andorra"/>
        <s v="[Geography].[Blocs].[Country].&amp;[Australia]" c="Australia"/>
        <s v="[Geography].[Blocs].[Country].&amp;[Austria]" c="Austria"/>
        <s v="[Geography].[Blocs].[Country].&amp;[Belgium]" c="Belgium"/>
        <s v="[Geography].[Blocs].[Country].&amp;[Canada]" c="Canada"/>
        <s v="[Geography].[Blocs].[Country].&amp;[Denmark]" c="Denmark"/>
        <s v="[Geography].[Blocs].[Country].&amp;[Finland]" c="Finland"/>
        <s v="[Geography].[Blocs].[Country].&amp;[France]" c="France"/>
        <s v="[Geography].[Blocs].[Country].&amp;[Germany]" c="Germany"/>
        <s v="[Geography].[Blocs].[Country].&amp;[Greece]" c="Greece"/>
        <s v="[Geography].[Blocs].[Country].&amp;[Iceland]" c="Iceland"/>
        <s v="[Geography].[Blocs].[Country].&amp;[Ireland]" c="Ireland"/>
        <s v="[Geography].[Blocs].[Country].&amp;[Israel]" c="Israel"/>
        <s v="[Geography].[Blocs].[Country].&amp;[Italy]" c="Italy"/>
        <s v="[Geography].[Blocs].[Country].&amp;[Japan]" c="Japan"/>
        <s v="[Geography].[Blocs].[Country].&amp;[Luxemburg]" c="Luxemburg"/>
        <s v="[Geography].[Blocs].[Country].&amp;[Malta]" c="Malta"/>
        <s v="[Geography].[Blocs].[Country].&amp;[Netherlands]" c="Netherlands"/>
        <s v="[Geography].[Blocs].[Country].&amp;[New Zealand]" c="New Zealand"/>
        <s v="[Geography].[Blocs].[Country].&amp;[Norway]" c="Norway"/>
        <s v="[Geography].[Blocs].[Country].&amp;[Portugal]" c="Portugal"/>
        <s v="[Geography].[Blocs].[Country].&amp;[Singapore]" c="Singapore"/>
        <s v="[Geography].[Blocs].[Country].&amp;[South Korea]" c="South Korea"/>
        <s v="[Geography].[Blocs].[Country].&amp;[Spain]" c="Spain"/>
        <s v="[Geography].[Blocs].[Country].&amp;[Sweden]" c="Sweden"/>
        <s v="[Geography].[Blocs].[Country].&amp;[Switzerland]" c="Switzerland"/>
        <s v="[Geography].[Blocs].[Country].&amp;[United Kingdom]" c="United Kingdom"/>
        <s v="[Geography].[Blocs].[Country].&amp;[United States]" c="United States"/>
        <s v="[Geography].[Blocs].[Country].&amp;[Algeria]" c="Algeria"/>
        <s v="[Geography].[Blocs].[Country].&amp;[Argentina]" c="Argentina"/>
        <s v="[Geography].[Blocs].[Country].&amp;[Bahamas]" c="Bahamas"/>
        <s v="[Geography].[Blocs].[Country].&amp;[Bangladesh]" c="Bangladesh"/>
        <s v="[Geography].[Blocs].[Country].&amp;[Belize]" c="Belize"/>
        <s v="[Geography].[Blocs].[Country].&amp;[Benin]" c="Benin"/>
        <s v="[Geography].[Blocs].[Country].&amp;[Bolivia]" c="Bolivia"/>
        <s v="[Geography].[Blocs].[Country].&amp;[Botswana]" c="Botswana"/>
        <s v="[Geography].[Blocs].[Country].&amp;[Brazil]" c="Brazil"/>
        <s v="[Geography].[Blocs].[Country].&amp;[Burkina Faso]" c="Burkina Faso"/>
        <s v="[Geography].[Blocs].[Country].&amp;[Burundi]" c="Burundi"/>
        <s v="[Geography].[Blocs].[Country].&amp;[Cameroon]" c="Cameroon"/>
        <s v="[Geography].[Blocs].[Country].&amp;[Central African Republic]" c="Central African Republic"/>
        <s v="[Geography].[Blocs].[Country].&amp;[Chad]" c="Chad"/>
        <s v="[Geography].[Blocs].[Country].&amp;[Chile]" c="Chile"/>
        <s v="[Geography].[Blocs].[Country].&amp;[Colombia]" c="Colombia"/>
        <s v="[Geography].[Blocs].[Country].&amp;[Congo DR]" c="Congo DR"/>
        <s v="[Geography].[Blocs].[Country].&amp;[Congo R]" c="Congo R"/>
        <s v="[Geography].[Blocs].[Country].&amp;[Costa Rica]" c="Costa Rica"/>
        <s v="[Geography].[Blocs].[Country].&amp;[Cote d'Ivoire]" c="Cote d'Ivoire"/>
        <s v="[Geography].[Blocs].[Country].&amp;[Dominican Republic]" c="Dominican Republic"/>
        <s v="[Geography].[Blocs].[Country].&amp;[Ecuador]" c="Ecuador"/>
        <s v="[Geography].[Blocs].[Country].&amp;[El Salvador]" c="El Salvador"/>
        <s v="[Geography].[Blocs].[Country].&amp;[Fiji]" c="Fiji"/>
        <s v="[Geography].[Blocs].[Country].&amp;[Gabon]" c="Gabon"/>
        <s v="[Geography].[Blocs].[Country].&amp;[Gambia]" c="Gambia"/>
        <s v="[Geography].[Blocs].[Country].&amp;[Ghana]" c="Ghana"/>
        <s v="[Geography].[Blocs].[Country].&amp;[Guatemala]" c="Guatemala"/>
        <s v="[Geography].[Blocs].[Country].&amp;[Guinea-Bissau]" c="Guinea-Bissau"/>
        <s v="[Geography].[Blocs].[Country].&amp;[Guyana]" c="Guyana"/>
        <s v="[Geography].[Blocs].[Country].&amp;[Haiti]" c="Haiti"/>
        <s v="[Geography].[Blocs].[Country].&amp;[Honduras]" c="Honduras"/>
        <s v="[Geography].[Blocs].[Country].&amp;[India]" c="India"/>
        <s v="[Geography].[Blocs].[Country].&amp;[Iraq]" c="Iraq"/>
        <s v="[Geography].[Blocs].[Country].&amp;[Jamaica]" c="Jamaica"/>
        <s v="[Geography].[Blocs].[Country].&amp;[Kenya]" c="Kenya"/>
        <s v="[Geography].[Blocs].[Country].&amp;[Kiribati]" c="Kiribati"/>
        <s v="[Geography].[Blocs].[Country].&amp;[Lesotho]" c="Lesotho"/>
        <s v="[Geography].[Blocs].[Country].&amp;[Madagascar]" c="Madagascar"/>
        <s v="[Geography].[Blocs].[Country].&amp;[Malawi]" c="Malawi"/>
        <s v="[Geography].[Blocs].[Country].&amp;[Malaysia]" c="Malaysia"/>
        <s v="[Geography].[Blocs].[Country].&amp;[Mali]" c="Mali"/>
        <s v="[Geography].[Blocs].[Country].&amp;[Mauritania]" c="Mauritania"/>
        <s v="[Geography].[Blocs].[Country].&amp;[Mexico]" c="Mexico"/>
        <s v="[Geography].[Blocs].[Country].&amp;[Morocco]" c="Morocco"/>
        <s v="[Geography].[Blocs].[Country].&amp;[Nepal]" c="Nepal"/>
        <s v="[Geography].[Blocs].[Country].&amp;[Nicaragua]" c="Nicaragua"/>
        <s v="[Geography].[Blocs].[Country].&amp;[Niger]" c="Niger"/>
        <s v="[Geography].[Blocs].[Country].&amp;[Nigeria]" c="Nigeria"/>
        <s v="[Geography].[Blocs].[Country].&amp;[Oman]" c="Oman"/>
        <s v="[Geography].[Blocs].[Country].&amp;[Pakistan]" c="Pakistan"/>
        <s v="[Geography].[Blocs].[Country].&amp;[Panama]" c="Panama"/>
        <s v="[Geography].[Blocs].[Country].&amp;[Papua New Guinea]" c="Papua New Guinea"/>
        <s v="[Geography].[Blocs].[Country].&amp;[Paraguay]" c="Paraguay"/>
        <s v="[Geography].[Blocs].[Country].&amp;[Peru]" c="Peru"/>
        <s v="[Geography].[Blocs].[Country].&amp;[Philippines]" c="Philippines"/>
        <s v="[Geography].[Blocs].[Country].&amp;[Puerto Rico]" c="Puerto Rico"/>
        <s v="[Geography].[Blocs].[Country].&amp;[Rwanda]" c="Rwanda"/>
        <s v="[Geography].[Blocs].[Country].&amp;[Saudi Arabia]" c="Saudi Arabia"/>
        <s v="[Geography].[Blocs].[Country].&amp;[Senegal]" c="Senegal"/>
        <s v="[Geography].[Blocs].[Country].&amp;[Seychelles]" c="Seychelles"/>
        <s v="[Geography].[Blocs].[Country].&amp;[Sierra Leone]" c="Sierra Leone"/>
        <s v="[Geography].[Blocs].[Country].&amp;[South Africa]" c="South Africa"/>
        <s v="[Geography].[Blocs].[Country].&amp;[Sri Lanka]" c="Sri Lanka"/>
        <s v="[Geography].[Blocs].[Country].&amp;[Sudan (Former)]" c="Sudan (Former)"/>
        <s v="[Geography].[Blocs].[Country].&amp;[Suriname]" c="Suriname"/>
        <s v="[Geography].[Blocs].[Country].&amp;[Swaziland]" c="Swaziland"/>
        <s v="[Geography].[Blocs].[Country].&amp;[Thailand]" c="Thailand"/>
        <s v="[Geography].[Blocs].[Country].&amp;[Togo]" c="Togo"/>
        <s v="[Geography].[Blocs].[Country].&amp;[Trinidad and Tobago]" c="Trinidad and Tobago"/>
        <s v="[Geography].[Blocs].[Country].&amp;[Tunisia]" c="Tunisia"/>
        <s v="[Geography].[Blocs].[Country].&amp;[Turkey]" c="Turkey"/>
        <s v="[Geography].[Blocs].[Country].&amp;[Uruguay]" c="Uruguay"/>
        <s v="[Geography].[Blocs].[Country].&amp;[Zambia]" c="Zambia"/>
        <s v="[Geography].[Blocs].[Country].&amp;[Zimbabwe]" c="Zimbabwe"/>
      </sharedItems>
    </cacheField>
    <cacheField name="[Geography].[Blocs].[Nation]" caption="Nation" numFmtId="0" hierarchy="6"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es].[Year].[Year]" caption="Year" numFmtId="0" hierarchy="5" level="1">
      <sharedItems count="50">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 v="[Dates].[Year].&amp;[2018]" c="2018"/>
        <s v="[Dates].[Year].&amp;[2019]" c="2019"/>
      </sharedItems>
    </cacheField>
    <cacheField name="[Measures].[Item]" caption="Item" numFmtId="0" hierarchy="73" level="32767"/>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2" unbalanced="0">
      <fieldsUsage count="2">
        <fieldUsage x="-1"/>
        <fieldUsage x="0"/>
      </fieldsUsage>
    </cacheHierarchy>
    <cacheHierarchy uniqueName="[Data].[GDP and other output measures]" caption="GDP and other output measures" defaultMemberUniqueName="[Data].[GDP and other output measures].[All]" allUniqueName="[Data].[GDP and other output measures].[All]" dimensionUniqueName="[Data]" displayFolder="" count="0" unbalanced="0"/>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10"/>
        <fieldUsage x="11"/>
      </fieldsUsage>
    </cacheHierarchy>
    <cacheHierarchy uniqueName="[Dates].[Year]" caption="Year" attribute="1" defaultMemberUniqueName="[Dates].[Year].[All]" allUniqueName="[Dates].[Year].[All]" dimensionUniqueName="[Dates]" displayFolder="" count="2" unbalanced="0">
      <fieldsUsage count="2">
        <fieldUsage x="-1"/>
        <fieldUsage x="8"/>
      </fieldsUsage>
    </cacheHierarchy>
    <cacheHierarchy uniqueName="[Geography].[Blocs]" caption="Blocs" defaultMemberUniqueName="[Geography].[Blocs].[All]" allUniqueName="[Geography].[Blocs].[All]" dimensionUniqueName="[Geography]" displayFolder="" count="4" unbalanced="0">
      <fieldsUsage count="4">
        <fieldUsage x="-1"/>
        <fieldUsage x="1"/>
        <fieldUsage x="2"/>
        <fieldUsage x="3"/>
      </fieldsUsage>
    </cacheHierarchy>
    <cacheHierarchy uniqueName="[Geography].[GeoEconomic Region]" caption="GeoEconomic Region" defaultMemberUniqueName="[Geography].[GeoEconomic Region].[All]" allUniqueName="[Geography].[GeoEconomic Region].[All]" dimensionUniqueName="[Geography]" displayFolder="" count="0" unbalanced="0"/>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12"/>
        <fieldUsage x="13"/>
        <fieldUsage x="14"/>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0" unbalanced="0"/>
    <cacheHierarchy uniqueName="[Indicator Detail].[Units]" caption="Units" defaultMemberUniqueName="[Indicator Detail].[Units].[All]" allUniqueName="[Indicator Detail].[Units].[All]" dimensionUniqueName="[Indicator Detail]" displayFolder="" count="5" unbalanced="0">
      <fieldsUsage count="5">
        <fieldUsage x="-1"/>
        <fieldUsage x="4"/>
        <fieldUsage x="5"/>
        <fieldUsage x="6"/>
        <fieldUsage x="7"/>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oneField="1">
      <fieldsUsage count="1">
        <fieldUsage x="9"/>
      </fieldsUsage>
    </cacheHierarchy>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1.754030439814" backgroundQuery="1" createdVersion="6" refreshedVersion="6" minRefreshableVersion="3" recordCount="0" supportSubquery="1" supportAdvancedDrill="1" xr:uid="{FF8F0465-E5FE-41DA-9B77-394DB90C805A}">
  <cacheSource type="external" connectionId="1"/>
  <cacheFields count="16">
    <cacheField name="[Geography].[Blocs].[Major_Blocs]" caption="Major_Blocs" numFmtId="0" hierarchy="6" level="1">
      <sharedItems count="4">
        <s v="[Geography].[Blocs].[Major_Blocs].&amp;[China Mainland]" c="China Mainland"/>
        <s v="[Geography].[Blocs].[Major_Blocs].&amp;[North]" c="North"/>
        <s v="[Geography].[Blocs].[Major_Blocs].&amp;[South]" c="South"/>
        <s v="[Geography].[Blocs].[Major_Blocs].&amp;[Transitional]" u="1" c="Transitional"/>
      </sharedItems>
    </cacheField>
    <cacheField name="[Geography].[Blocs].[Country]" caption="Country" numFmtId="0" hierarchy="6" level="2">
      <sharedItems count="103">
        <s v="[Geography].[Blocs].[Country].&amp;[Andorra]" c="Andorra"/>
        <s v="[Geography].[Blocs].[Country].&amp;[Australia]" c="Australia"/>
        <s v="[Geography].[Blocs].[Country].&amp;[Austria]" c="Austria"/>
        <s v="[Geography].[Blocs].[Country].&amp;[Belgium]" c="Belgium"/>
        <s v="[Geography].[Blocs].[Country].&amp;[Canada]" c="Canada"/>
        <s v="[Geography].[Blocs].[Country].&amp;[Denmark]" c="Denmark"/>
        <s v="[Geography].[Blocs].[Country].&amp;[Finland]" c="Finland"/>
        <s v="[Geography].[Blocs].[Country].&amp;[France]" c="France"/>
        <s v="[Geography].[Blocs].[Country].&amp;[Germany]" c="Germany"/>
        <s v="[Geography].[Blocs].[Country].&amp;[Greece]" c="Greece"/>
        <s v="[Geography].[Blocs].[Country].&amp;[Iceland]" c="Iceland"/>
        <s v="[Geography].[Blocs].[Country].&amp;[Ireland]" c="Ireland"/>
        <s v="[Geography].[Blocs].[Country].&amp;[Israel]" c="Israel"/>
        <s v="[Geography].[Blocs].[Country].&amp;[Italy]" c="Italy"/>
        <s v="[Geography].[Blocs].[Country].&amp;[Japan]" c="Japan"/>
        <s v="[Geography].[Blocs].[Country].&amp;[Luxemburg]" c="Luxemburg"/>
        <s v="[Geography].[Blocs].[Country].&amp;[Malta]" c="Malta"/>
        <s v="[Geography].[Blocs].[Country].&amp;[Netherlands]" c="Netherlands"/>
        <s v="[Geography].[Blocs].[Country].&amp;[New Zealand]" c="New Zealand"/>
        <s v="[Geography].[Blocs].[Country].&amp;[Norway]" c="Norway"/>
        <s v="[Geography].[Blocs].[Country].&amp;[Portugal]" c="Portugal"/>
        <s v="[Geography].[Blocs].[Country].&amp;[Singapore]" c="Singapore"/>
        <s v="[Geography].[Blocs].[Country].&amp;[South Korea]" c="South Korea"/>
        <s v="[Geography].[Blocs].[Country].&amp;[Spain]" c="Spain"/>
        <s v="[Geography].[Blocs].[Country].&amp;[Sweden]" c="Sweden"/>
        <s v="[Geography].[Blocs].[Country].&amp;[Switzerland]" c="Switzerland"/>
        <s v="[Geography].[Blocs].[Country].&amp;[United Kingdom]" c="United Kingdom"/>
        <s v="[Geography].[Blocs].[Country].&amp;[United States]" c="United States"/>
        <s v="[Geography].[Blocs].[Country].&amp;[Algeria]" c="Algeria"/>
        <s v="[Geography].[Blocs].[Country].&amp;[Argentina]" c="Argentina"/>
        <s v="[Geography].[Blocs].[Country].&amp;[Bahamas]" c="Bahamas"/>
        <s v="[Geography].[Blocs].[Country].&amp;[Bangladesh]" c="Bangladesh"/>
        <s v="[Geography].[Blocs].[Country].&amp;[Belize]" c="Belize"/>
        <s v="[Geography].[Blocs].[Country].&amp;[Benin]" c="Benin"/>
        <s v="[Geography].[Blocs].[Country].&amp;[Bolivia]" c="Bolivia"/>
        <s v="[Geography].[Blocs].[Country].&amp;[Botswana]" c="Botswana"/>
        <s v="[Geography].[Blocs].[Country].&amp;[Brazil]" c="Brazil"/>
        <s v="[Geography].[Blocs].[Country].&amp;[Burkina Faso]" c="Burkina Faso"/>
        <s v="[Geography].[Blocs].[Country].&amp;[Burundi]" c="Burundi"/>
        <s v="[Geography].[Blocs].[Country].&amp;[Cameroon]" c="Cameroon"/>
        <s v="[Geography].[Blocs].[Country].&amp;[Central African Republic]" c="Central African Republic"/>
        <s v="[Geography].[Blocs].[Country].&amp;[Chad]" c="Chad"/>
        <s v="[Geography].[Blocs].[Country].&amp;[Chile]" c="Chile"/>
        <s v="[Geography].[Blocs].[Country].&amp;[Colombia]" c="Colombia"/>
        <s v="[Geography].[Blocs].[Country].&amp;[Congo DR]" c="Congo DR"/>
        <s v="[Geography].[Blocs].[Country].&amp;[Congo R]" c="Congo R"/>
        <s v="[Geography].[Blocs].[Country].&amp;[Costa Rica]" c="Costa Rica"/>
        <s v="[Geography].[Blocs].[Country].&amp;[Cote d'Ivoire]" c="Cote d'Ivoire"/>
        <s v="[Geography].[Blocs].[Country].&amp;[Dominican Republic]" c="Dominican Republic"/>
        <s v="[Geography].[Blocs].[Country].&amp;[Ecuador]" c="Ecuador"/>
        <s v="[Geography].[Blocs].[Country].&amp;[El Salvador]" c="El Salvador"/>
        <s v="[Geography].[Blocs].[Country].&amp;[Fiji]" c="Fiji"/>
        <s v="[Geography].[Blocs].[Country].&amp;[Gabon]" c="Gabon"/>
        <s v="[Geography].[Blocs].[Country].&amp;[Gambia]" c="Gambia"/>
        <s v="[Geography].[Blocs].[Country].&amp;[Ghana]" c="Ghana"/>
        <s v="[Geography].[Blocs].[Country].&amp;[Guatemala]" c="Guatemala"/>
        <s v="[Geography].[Blocs].[Country].&amp;[Guinea-Bissau]" c="Guinea-Bissau"/>
        <s v="[Geography].[Blocs].[Country].&amp;[Guyana]" c="Guyana"/>
        <s v="[Geography].[Blocs].[Country].&amp;[Haiti]" c="Haiti"/>
        <s v="[Geography].[Blocs].[Country].&amp;[Honduras]" c="Honduras"/>
        <s v="[Geography].[Blocs].[Country].&amp;[India]" c="India"/>
        <s v="[Geography].[Blocs].[Country].&amp;[Iraq]" c="Iraq"/>
        <s v="[Geography].[Blocs].[Country].&amp;[Jamaica]" c="Jamaica"/>
        <s v="[Geography].[Blocs].[Country].&amp;[Kenya]" c="Kenya"/>
        <s v="[Geography].[Blocs].[Country].&amp;[Kiribati]" c="Kiribati"/>
        <s v="[Geography].[Blocs].[Country].&amp;[Lesotho]" c="Lesotho"/>
        <s v="[Geography].[Blocs].[Country].&amp;[Madagascar]" c="Madagascar"/>
        <s v="[Geography].[Blocs].[Country].&amp;[Malawi]" c="Malawi"/>
        <s v="[Geography].[Blocs].[Country].&amp;[Malaysia]" c="Malaysia"/>
        <s v="[Geography].[Blocs].[Country].&amp;[Mali]" c="Mali"/>
        <s v="[Geography].[Blocs].[Country].&amp;[Mauritania]" c="Mauritania"/>
        <s v="[Geography].[Blocs].[Country].&amp;[Mexico]" c="Mexico"/>
        <s v="[Geography].[Blocs].[Country].&amp;[Morocco]" c="Morocco"/>
        <s v="[Geography].[Blocs].[Country].&amp;[Nepal]" c="Nepal"/>
        <s v="[Geography].[Blocs].[Country].&amp;[Nicaragua]" c="Nicaragua"/>
        <s v="[Geography].[Blocs].[Country].&amp;[Niger]" c="Niger"/>
        <s v="[Geography].[Blocs].[Country].&amp;[Nigeria]" c="Nigeria"/>
        <s v="[Geography].[Blocs].[Country].&amp;[Oman]" c="Oman"/>
        <s v="[Geography].[Blocs].[Country].&amp;[Pakistan]" c="Pakistan"/>
        <s v="[Geography].[Blocs].[Country].&amp;[Panama]" c="Panama"/>
        <s v="[Geography].[Blocs].[Country].&amp;[Papua New Guinea]" c="Papua New Guinea"/>
        <s v="[Geography].[Blocs].[Country].&amp;[Paraguay]" c="Paraguay"/>
        <s v="[Geography].[Blocs].[Country].&amp;[Peru]" c="Peru"/>
        <s v="[Geography].[Blocs].[Country].&amp;[Philippines]" c="Philippines"/>
        <s v="[Geography].[Blocs].[Country].&amp;[Puerto Rico]" c="Puerto Rico"/>
        <s v="[Geography].[Blocs].[Country].&amp;[Rwanda]" c="Rwanda"/>
        <s v="[Geography].[Blocs].[Country].&amp;[Saudi Arabia]" c="Saudi Arabia"/>
        <s v="[Geography].[Blocs].[Country].&amp;[Senegal]" c="Senegal"/>
        <s v="[Geography].[Blocs].[Country].&amp;[Seychelles]" c="Seychelles"/>
        <s v="[Geography].[Blocs].[Country].&amp;[Sierra Leone]" c="Sierra Leone"/>
        <s v="[Geography].[Blocs].[Country].&amp;[South Africa]" c="South Africa"/>
        <s v="[Geography].[Blocs].[Country].&amp;[Sri Lanka]" c="Sri Lanka"/>
        <s v="[Geography].[Blocs].[Country].&amp;[Sudan (Former)]" c="Sudan (Former)"/>
        <s v="[Geography].[Blocs].[Country].&amp;[Suriname]" c="Suriname"/>
        <s v="[Geography].[Blocs].[Country].&amp;[Swaziland]" c="Swaziland"/>
        <s v="[Geography].[Blocs].[Country].&amp;[Thailand]" c="Thailand"/>
        <s v="[Geography].[Blocs].[Country].&amp;[Togo]" c="Togo"/>
        <s v="[Geography].[Blocs].[Country].&amp;[Trinidad and Tobago]" c="Trinidad and Tobago"/>
        <s v="[Geography].[Blocs].[Country].&amp;[Tunisia]" c="Tunisia"/>
        <s v="[Geography].[Blocs].[Country].&amp;[Turkey]" c="Turkey"/>
        <s v="[Geography].[Blocs].[Country].&amp;[Uruguay]" c="Uruguay"/>
        <s v="[Geography].[Blocs].[Country].&amp;[Zambia]" c="Zambia"/>
        <s v="[Geography].[Blocs].[Country].&amp;[Zimbabwe]" c="Zimbabwe"/>
      </sharedItems>
    </cacheField>
    <cacheField name="[Geography].[Blocs].[Nation]" caption="Nation" numFmtId="0" hierarchy="6"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es].[Year].[Year]" caption="Year" numFmtId="0" hierarchy="5" level="1">
      <sharedItems count="48">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haredItems>
    </cacheField>
    <cacheField name="[Measures].[Item]" caption="Item" numFmtId="0" hierarchy="73" level="32767"/>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Data].[GDP and other output measures].[Output Definition]" caption="Output Definition" numFmtId="0" hierarchy="2" level="1">
      <sharedItems containsSemiMixedTypes="0" containsString="0"/>
    </cacheField>
    <cacheField name="[Indicator Detail].[Industrial Sector (Agriculture/Manufacturing/etc)].[Industrial Sector (Agriculture/Manufacturing/etc)]" caption="Industrial Sector (Agriculture/Manufacturing/etc)" numFmtId="0" hierarchy="11" level="1">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0" unbalanced="0"/>
    <cacheHierarchy uniqueName="[Data].[GDP and other output measures]" caption="GDP and other output measures" defaultMemberUniqueName="[Data].[GDP and other output measures].[All]" allUniqueName="[Data].[GDP and other output measures].[All]" dimensionUniqueName="[Data]" displayFolder="" count="2" unbalanced="0">
      <fieldsUsage count="2">
        <fieldUsage x="-1"/>
        <fieldUsage x="11"/>
      </fieldsUsage>
    </cacheHierarchy>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9"/>
        <fieldUsage x="10"/>
      </fieldsUsage>
    </cacheHierarchy>
    <cacheHierarchy uniqueName="[Dates].[Year]" caption="Year" attribute="1" defaultMemberUniqueName="[Dates].[Year].[All]" allUniqueName="[Dates].[Year].[All]" dimensionUniqueName="[Dates]" displayFolder="" count="2" unbalanced="0">
      <fieldsUsage count="2">
        <fieldUsage x="-1"/>
        <fieldUsage x="7"/>
      </fieldsUsage>
    </cacheHierarchy>
    <cacheHierarchy uniqueName="[Geography].[Blocs]" caption="Blocs" defaultMemberUniqueName="[Geography].[Blocs].[All]" allUniqueName="[Geography].[Blocs].[All]" dimensionUniqueName="[Geography]" displayFolder="" count="4" unbalanced="0">
      <fieldsUsage count="4">
        <fieldUsage x="-1"/>
        <fieldUsage x="0"/>
        <fieldUsage x="1"/>
        <fieldUsage x="2"/>
      </fieldsUsage>
    </cacheHierarchy>
    <cacheHierarchy uniqueName="[Geography].[GeoEconomic Region]" caption="GeoEconomic Region" defaultMemberUniqueName="[Geography].[GeoEconomic Region].[All]" allUniqueName="[Geography].[GeoEconomic Region].[All]" dimensionUniqueName="[Geography]" displayFolder="" count="0" unbalanced="0"/>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13"/>
        <fieldUsage x="14"/>
        <fieldUsage x="15"/>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2" unbalanced="0">
      <fieldsUsage count="2">
        <fieldUsage x="-1"/>
        <fieldUsage x="12"/>
      </fieldsUsage>
    </cacheHierarchy>
    <cacheHierarchy uniqueName="[Indicator Detail].[Units]" caption="Units" defaultMemberUniqueName="[Indicator Detail].[Units].[All]" allUniqueName="[Indicator Detail].[Units].[All]" dimensionUniqueName="[Indicator Detail]" displayFolder="" count="5" unbalanced="0">
      <fieldsUsage count="5">
        <fieldUsage x="-1"/>
        <fieldUsage x="3"/>
        <fieldUsage x="4"/>
        <fieldUsage x="5"/>
        <fieldUsage x="6"/>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oneField="1">
      <fieldsUsage count="1">
        <fieldUsage x="8"/>
      </fieldsUsage>
    </cacheHierarchy>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E30774-8BF9-4151-BD86-53108B6FADEB}" name="PivotTable1" cacheId="28"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A11:AZ116" firstHeaderRow="1" firstDataRow="2" firstDataCol="2" rowPageCount="4" colPageCount="1"/>
  <pivotFields count="15">
    <pivotField axis="axisPage" compact="0" allDrilled="1" outline="0" subtotalTop="0" showAll="0" dataSourceSort="1" defaultSubtotal="0"/>
    <pivotField axis="axisRow" compact="0" allDrilled="1" outline="0" subtotalTop="0" showAll="0" dataSourceSort="1" defaultSubtotal="0">
      <items count="4">
        <item s="1" c="1" x="0"/>
        <item s="1" c="1" x="1" d="1"/>
        <item s="1" c="1" x="2" d="1"/>
        <item x="3" d="1"/>
      </items>
    </pivotField>
    <pivotField axis="axisRow" compact="0" outline="0" subtotalTop="0" showAll="0" dataSourceSort="1" defaultSubtotal="0">
      <items count="103">
        <item c="1" x="0"/>
        <item c="1" x="1"/>
        <item c="1" x="2"/>
        <item c="1" x="3"/>
        <item c="1" x="4"/>
        <item c="1" x="5"/>
        <item c="1" x="6"/>
        <item c="1" x="7"/>
        <item c="1" x="8"/>
        <item c="1" x="9"/>
        <item c="1" x="10"/>
        <item c="1" x="11"/>
        <item c="1" x="12"/>
        <item c="1" x="13"/>
        <item c="1" x="14"/>
        <item c="1" x="15"/>
        <item c="1" x="16"/>
        <item c="1" x="17"/>
        <item c="1" x="18"/>
        <item c="1" x="19"/>
        <item c="1" x="20"/>
        <item c="1" x="21"/>
        <item c="1" x="22"/>
        <item c="1" x="23"/>
        <item c="1" x="24"/>
        <item c="1" x="25"/>
        <item c="1" x="26"/>
        <item c="1" x="27"/>
        <item c="1" x="28"/>
        <item c="1" x="29"/>
        <item c="1" x="30"/>
        <item c="1" x="31"/>
        <item c="1" x="32"/>
        <item c="1" x="33"/>
        <item c="1" x="34"/>
        <item c="1" x="35"/>
        <item c="1" x="36"/>
        <item c="1" x="37"/>
        <item c="1" x="38"/>
        <item c="1" x="39"/>
        <item c="1" x="40"/>
        <item c="1" x="41"/>
        <item c="1" x="42"/>
        <item c="1" x="43"/>
        <item c="1" x="44"/>
        <item c="1" x="45"/>
        <item c="1" x="46"/>
        <item c="1" x="47"/>
        <item c="1" x="48"/>
        <item c="1" x="49"/>
        <item c="1" x="50"/>
        <item c="1" x="51"/>
        <item c="1" x="52"/>
        <item c="1" x="53"/>
        <item c="1" x="54"/>
        <item c="1" x="55"/>
        <item c="1" x="56"/>
        <item c="1" x="57"/>
        <item c="1" x="58"/>
        <item c="1" x="59"/>
        <item c="1" x="60"/>
        <item c="1" x="61"/>
        <item c="1" x="62"/>
        <item c="1" x="63"/>
        <item c="1" x="64"/>
        <item c="1" x="65"/>
        <item c="1" x="66"/>
        <item c="1" x="67"/>
        <item c="1" x="68"/>
        <item c="1" x="69"/>
        <item c="1" x="70"/>
        <item c="1" x="71"/>
        <item c="1" x="72"/>
        <item c="1" x="73"/>
        <item c="1" x="74"/>
        <item c="1" x="75"/>
        <item c="1" x="76"/>
        <item c="1" x="77"/>
        <item c="1" x="78"/>
        <item c="1" x="79"/>
        <item c="1" x="80"/>
        <item c="1" x="81"/>
        <item c="1" x="82"/>
        <item c="1" x="83"/>
        <item c="1" x="84"/>
        <item c="1" x="85"/>
        <item c="1" x="86"/>
        <item c="1" x="87"/>
        <item c="1" x="88"/>
        <item c="1" x="89"/>
        <item c="1" x="90"/>
        <item c="1" x="91"/>
        <item c="1" x="92"/>
        <item c="1" x="93"/>
        <item c="1" x="94"/>
        <item c="1" x="95"/>
        <item c="1" x="96"/>
        <item c="1" x="97"/>
        <item c="1" x="98"/>
        <item c="1" x="99"/>
        <item c="1" x="100"/>
        <item c="1" x="101"/>
        <item c="1" x="102"/>
      </items>
    </pivotField>
    <pivotField axis="axisRow" compact="0" outline="0" subtotalTop="0" showAll="0" dataSourceSort="1" defaultSubtotal="0"/>
    <pivotField axis="axisPage" compact="0" allDrilled="1" outline="0" subtotalTop="0" showAll="0" dataSourceSort="1" defaultSubtotal="0"/>
    <pivotField axis="axisPage" compact="0" outline="0" subtotalTop="0" showAll="0" dataSourceSort="1" defaultSubtotal="0"/>
    <pivotField axis="axisPage" compact="0" outline="0" subtotalTop="0" showAll="0" dataSourceSort="1" defaultSubtotal="0"/>
    <pivotField axis="axisPage" compact="0" outline="0" subtotalTop="0" showAll="0" dataSourceSort="1" defaultSubtotal="0"/>
    <pivotField axis="axisCol" compact="0" allDrilled="1" outline="0" subtotalTop="0" showAll="0" dataSourceSort="1" defaultSubtotal="0" defaultAttributeDrillState="1">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pivotField>
    <pivotField dataField="1" compact="0" outline="0" subtotalTop="0" showAll="0" defaultSubtotal="0"/>
    <pivotField axis="axisPage" compact="0" allDrilled="1" outline="0" subtotalTop="0" showAll="0" dataSourceSort="1" defaultSubtotal="0"/>
    <pivotField axis="axisPage" compact="0" outline="0" subtotalTop="0" showAll="0" dataSourceSort="1" defaultSubtotal="0"/>
    <pivotField axis="axisPage" compact="0" allDrilled="1" outline="0" subtotalTop="0" showAll="0" dataSourceSort="1" defaultSubtotal="0"/>
    <pivotField axis="axisPage" compact="0" outline="0" subtotalTop="0" showAll="0" dataSourceSort="1" defaultSubtotal="0"/>
    <pivotField axis="axisPage" compact="0" outline="0" subtotalTop="0" showAll="0" dataSourceSort="1" defaultSubtotal="0"/>
  </pivotFields>
  <rowFields count="2">
    <field x="1"/>
    <field x="2"/>
  </rowFields>
  <rowItems count="104">
    <i>
      <x/>
    </i>
    <i>
      <x v="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x v="2"/>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rowItems>
  <colFields count="1">
    <field x="8"/>
  </colFields>
  <col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colItems>
  <pageFields count="4">
    <pageField fld="0" hier="1" name="[Data].[Demographics].[Population].&amp;[Total]" cap="Total"/>
    <pageField fld="4" hier="12" name="[Indicator Detail].[Units].[All]" cap="All"/>
    <pageField fld="10" hier="4" name="[Data].[Original Source Data].[Source].&amp;[WDI2020]" cap="WDI2020"/>
    <pageField fld="12" hier="9" name="[Geography].[WDI Availability].[wdi_availability].&amp;[From 1960]" cap="From 1960"/>
  </pageFields>
  <dataFields count="1">
    <dataField fld="9" baseField="0" baseItem="0"/>
  </dataFields>
  <pivotHierarchies count="76">
    <pivotHierarchy/>
    <pivotHierarchy/>
    <pivotHierarchy/>
    <pivotHierarchy/>
    <pivotHierarchy/>
    <pivotHierarchy/>
    <pivotHierarchy/>
    <pivotHierarchy/>
    <pivotHierarchy/>
    <pivotHierarchy multipleItemSelectionAllowed="1">
      <members count="8" level="1">
        <member name="[Geography].[WDI Availability].[wdi_availability].&amp;[From 1960]"/>
        <member name="[Geography].[WDI Availability].[wdi_availability].&amp;[From 1961]"/>
        <member name="[Geography].[WDI Availability].[wdi_availability].&amp;[From 1962]"/>
        <member name="[Geography].[WDI Availability].[wdi_availability].&amp;[From 1965]"/>
        <member name="[Geography].[WDI Availability].[wdi_availability].&amp;[From 1966]"/>
        <member name="[Geography].[WDI Availability].[wdi_availability].&amp;[From 1967]"/>
        <member name="[Geography].[WDI Availability].[wdi_availability].&amp;[From 1968]"/>
        <member name="[Geography].[WDI Availability].[wdi_availability].&amp;[From 1970]"/>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8" type="captionGreaterThanOrEqual" evalOrder="-1" id="4" stringValue1="1970">
      <autoFilter ref="A1">
        <filterColumn colId="0">
          <customFilters>
            <customFilter operator="greaterThanOrEqual" val="1970"/>
          </customFilters>
        </filterColumn>
      </autoFilter>
    </filter>
  </filters>
  <rowHierarchiesUsage count="1">
    <rowHierarchyUsage hierarchyUsage="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6CED83-E738-4D11-B0A7-1A42A441F9B8}" name="PivotTable1" cacheId="58"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fieldListSortAscending="1">
  <location ref="A11:AX116" firstHeaderRow="1" firstDataRow="2" firstDataCol="2" rowPageCount="5" colPageCount="1"/>
  <pivotFields count="16">
    <pivotField axis="axisRow" compact="0" allDrilled="1" outline="0" showAll="0" dataSourceSort="1" defaultSubtotal="0">
      <items count="4">
        <item s="1" c="1" x="0"/>
        <item s="1" c="1" x="1" d="1"/>
        <item c="1" x="2" d="1"/>
        <item x="3" d="1"/>
      </items>
    </pivotField>
    <pivotField axis="axisRow" compact="0" outline="0" showAll="0" dataSourceSort="1" defaultSubtotal="0">
      <items count="103">
        <item c="1" x="0"/>
        <item c="1" x="1"/>
        <item c="1" x="2"/>
        <item c="1" x="3"/>
        <item c="1" x="4"/>
        <item c="1" x="5"/>
        <item c="1" x="6"/>
        <item c="1" x="7"/>
        <item c="1" x="8"/>
        <item c="1" x="9"/>
        <item c="1" x="10"/>
        <item c="1" x="11"/>
        <item c="1" x="12"/>
        <item c="1" x="13"/>
        <item c="1" x="14"/>
        <item c="1" x="15"/>
        <item c="1" x="16"/>
        <item c="1" x="17"/>
        <item c="1" x="18"/>
        <item c="1" x="19"/>
        <item c="1" x="20"/>
        <item c="1" x="21"/>
        <item c="1" x="22"/>
        <item c="1" x="23"/>
        <item c="1" x="24"/>
        <item c="1" x="25"/>
        <item c="1" x="26"/>
        <item c="1" x="27"/>
        <item s="1" c="1" x="28"/>
        <item s="1" c="1" x="29"/>
        <item s="1" c="1" x="30"/>
        <item s="1" c="1" x="31"/>
        <item s="1" c="1" x="32"/>
        <item s="1" c="1" x="33"/>
        <item s="1" c="1" x="34"/>
        <item s="1" c="1" x="35"/>
        <item s="1" c="1" x="36"/>
        <item s="1" c="1" x="37"/>
        <item s="1" c="1" x="38"/>
        <item s="1" c="1" x="39"/>
        <item s="1" c="1" x="40"/>
        <item s="1" c="1" x="41"/>
        <item s="1" c="1" x="42"/>
        <item s="1" c="1" x="43"/>
        <item s="1" c="1" x="44"/>
        <item s="1" c="1" x="45"/>
        <item s="1" c="1" x="46"/>
        <item s="1" c="1" x="47"/>
        <item s="1" c="1" x="48"/>
        <item s="1" c="1" x="49"/>
        <item s="1" c="1" x="50"/>
        <item s="1" c="1" x="51"/>
        <item s="1" c="1" x="52"/>
        <item s="1" c="1" x="53"/>
        <item s="1" c="1" x="54"/>
        <item s="1" c="1" x="55"/>
        <item s="1" c="1" x="56"/>
        <item s="1" c="1" x="57"/>
        <item s="1" c="1" x="58"/>
        <item s="1" c="1" x="59"/>
        <item s="1" c="1" x="60"/>
        <item s="1" c="1" x="61"/>
        <item s="1" c="1" x="62"/>
        <item s="1" c="1" x="63"/>
        <item s="1" c="1" x="64"/>
        <item s="1" c="1" x="65"/>
        <item s="1" c="1" x="66"/>
        <item s="1" c="1" x="67"/>
        <item s="1" c="1" x="68"/>
        <item s="1" c="1" x="69"/>
        <item s="1" c="1" x="70"/>
        <item s="1" c="1" x="71"/>
        <item s="1" c="1" x="72"/>
        <item s="1" c="1" x="73"/>
        <item s="1" c="1" x="74"/>
        <item s="1" c="1" x="75"/>
        <item s="1" c="1" x="76"/>
        <item s="1" c="1" x="77"/>
        <item s="1" c="1" x="78"/>
        <item s="1" c="1" x="79"/>
        <item s="1" c="1" x="80"/>
        <item s="1" c="1" x="81"/>
        <item s="1" c="1" x="82"/>
        <item s="1" c="1" x="83"/>
        <item s="1" c="1" x="84"/>
        <item s="1" c="1" x="85"/>
        <item s="1" c="1" x="86"/>
        <item s="1" c="1" x="87"/>
        <item s="1" c="1" x="88"/>
        <item s="1" c="1" x="89"/>
        <item s="1" c="1" x="90"/>
        <item s="1" c="1" x="91"/>
        <item s="1" c="1" x="92"/>
        <item s="1" c="1" x="93"/>
        <item s="1" c="1" x="94"/>
        <item s="1" c="1" x="95"/>
        <item s="1" c="1" x="96"/>
        <item s="1" c="1" x="97"/>
        <item s="1" c="1" x="98"/>
        <item s="1" c="1" x="99"/>
        <item s="1" c="1" x="100"/>
        <item s="1" c="1" x="101"/>
        <item s="1" c="1" x="102"/>
      </items>
    </pivotField>
    <pivotField axis="axisRow" compact="0" outline="0" showAll="0" dataSourceSort="1" defaultSubtotal="0"/>
    <pivotField axis="axisPage" compact="0" allDrilled="1" outline="0" showAll="0" dataSourceSort="1" defaultSubtotal="0"/>
    <pivotField axis="axisPage" compact="0" outline="0" showAll="0" dataSourceSort="1" defaultSubtotal="0"/>
    <pivotField axis="axisPage" compact="0" outline="0" showAll="0" dataSourceSort="1" defaultSubtotal="0"/>
    <pivotField axis="axisPage" compact="0" outline="0" showAll="0" dataSourceSort="1" defaultSubtotal="0"/>
    <pivotField axis="axisCol" compact="0" allDrilled="1" outline="0" showAll="0" dataSourceSort="1" defaultSubtotal="0" defaultAttributeDrillState="1">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pivotField>
    <pivotField dataField="1" compact="0" outline="0" showAll="0" defaultSubtotal="0"/>
    <pivotField axis="axisPage" compact="0" allDrilled="1" outline="0" showAll="0" dataSourceSort="1" defaultSubtotal="0"/>
    <pivotField axis="axisPage" compact="0" outline="0" showAll="0" dataSourceSort="1" defaultSubtotal="0"/>
    <pivotField axis="axisPage" compact="0" allDrilled="1" outline="0" showAll="0" dataSourceSort="1" defaultSubtotal="0"/>
    <pivotField axis="axisPage" compact="0" allDrilled="1" outline="0" showAll="0" dataSourceSort="1" defaultSubtotal="0" defaultAttributeDrillState="1"/>
    <pivotField axis="axisPage" compact="0" allDrilled="1" outline="0" showAll="0" dataSourceSort="1" defaultSubtotal="0"/>
    <pivotField axis="axisPage" compact="0" outline="0" showAll="0" dataSourceSort="1" defaultSubtotal="0"/>
    <pivotField axis="axisPage" compact="0" outline="0" showAll="0" dataSourceSort="1" defaultSubtotal="0"/>
  </pivotFields>
  <rowFields count="2">
    <field x="0"/>
    <field x="1"/>
  </rowFields>
  <rowItems count="104">
    <i>
      <x/>
    </i>
    <i>
      <x v="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x v="2"/>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rowItems>
  <colFields count="1">
    <field x="7"/>
  </colFields>
  <colItems count="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colItems>
  <pageFields count="5">
    <pageField fld="3" hier="12" name="[Indicator Detail].[Units].[Measure Type (Stock/Flow/etc)].&amp;[Flow].&amp;[Money].&amp;[USD]" cap="USD"/>
    <pageField fld="9" hier="4" name="[Data].[Original Source Data].[Source].&amp;[UN2018]" cap="UN2018"/>
    <pageField fld="11" hier="2" name="[Data].[GDP and other output measures].[Output Definition].&amp;[Expenditure Approach]" cap="Expenditure Approach"/>
    <pageField fld="12" hier="11" name="[Indicator Detail].[Industrial Sector (Agriculture/Manufacturing/etc)].&amp;[Whole economy]" cap="Whole economy"/>
    <pageField fld="13" hier="9" name="[Geography].[WDI Availability].[wdi_availability].&amp;[From 1960]" cap="From 1960"/>
  </pageFields>
  <dataFields count="1">
    <dataField fld="8" baseField="0" baseItem="0"/>
  </dataFields>
  <pivotHierarchies count="76">
    <pivotHierarchy/>
    <pivotHierarchy/>
    <pivotHierarchy/>
    <pivotHierarchy/>
    <pivotHierarchy/>
    <pivotHierarchy/>
    <pivotHierarchy>
      <members count="2" level="1">
        <member name=""/>
        <member name=""/>
      </members>
      <members count="146" level="2">
        <member name=""/>
        <member name=""/>
        <member name="[Geography].[Blocs].[Country].&amp;[Guam]"/>
        <member name="[Geography].[Blocs].[Country].&amp;[Iran]"/>
        <member name=""/>
        <member name="[Geography].[Blocs].[Country].&amp;[Laos]"/>
        <member name=""/>
        <member name=""/>
        <member name=""/>
        <member name=""/>
        <member name="[Geography].[Blocs].[Country].&amp;[Aruba]"/>
        <member name=""/>
        <member name=""/>
        <member name="[Geography].[Blocs].[Country].&amp;[Egypt]"/>
        <member name=""/>
        <member name=""/>
        <member name=""/>
        <member name=""/>
        <member name=""/>
        <member name="[Geography].[Blocs].[Country].&amp;[Libya]"/>
        <member name="[Geography].[Blocs].[Country].&amp;[Nauru]"/>
        <member name=""/>
        <member name=""/>
        <member name="[Geography].[Blocs].[Country].&amp;[Palau]"/>
        <member name="[Geography].[Blocs].[Country].&amp;[Qatar]"/>
        <member name="[Geography].[Blocs].[Country].&amp;[Syria]"/>
        <member name="[Geography].[Blocs].[Country].&amp;[Tonga]"/>
        <member name="[Geography].[Blocs].[Country].&amp;[Yemen]"/>
        <member name="[Geography].[Blocs].[Country].&amp;[Angola]"/>
        <member name=""/>
        <member name="[Geography].[Blocs].[Country].&amp;[Bhutan]"/>
        <member name=""/>
        <member name="[Geography].[Blocs].[Country].&amp;[Brunei]"/>
        <member name=""/>
        <member name="[Geography].[Blocs].[Country].&amp;[Guinea]"/>
        <member name=""/>
        <member name="[Geography].[Blocs].[Country].&amp;[Jordan]"/>
        <member name="[Geography].[Blocs].[Country].&amp;[Kuwait]"/>
        <member name=""/>
        <member name=""/>
        <member name=""/>
        <member name=""/>
        <member name=""/>
        <member name="[Geography].[Blocs].[Country].&amp;[Tuvalu]"/>
        <member name="[Geography].[Blocs].[Country].&amp;[Uganda]"/>
        <member name=""/>
        <member name=""/>
        <member name="[Geography].[Blocs].[Country].&amp;[Antigua]"/>
        <member name=""/>
        <member name="[Geography].[Blocs].[Country].&amp;[Bahrain]"/>
        <member name="[Geography].[Blocs].[Country].&amp;[Bermuda]"/>
        <member name=""/>
        <member name=""/>
        <member name="[Geography].[Blocs].[Country].&amp;[Comoros]"/>
        <member name=""/>
        <member name="[Geography].[Blocs].[Country].&amp;[Curacao]"/>
        <member name=""/>
        <member name="[Geography].[Blocs].[Country].&amp;[Grenada]"/>
        <member name=""/>
        <member name="[Geography].[Blocs].[Country].&amp;[Lebanon]"/>
        <member name=""/>
        <member name="[Geography].[Blocs].[Country].&amp;[Liberia]"/>
        <member name=""/>
        <member name="[Geography].[Blocs].[Country].&amp;[Myanmar]"/>
        <member name="[Geography].[Blocs].[Country].&amp;[Namibia]"/>
        <member name=""/>
        <member name=""/>
        <member name="[Geography].[Blocs].[Country].&amp;[Somalia]"/>
        <member name=""/>
        <member name=""/>
        <member name="[Geography].[Blocs].[Country].&amp;[Vanuatu]"/>
        <member name="[Geography].[Blocs].[Country].&amp;[Anguilla]"/>
        <member name="[Geography].[Blocs].[Country].&amp;[Barbados]"/>
        <member name=""/>
        <member name="[Geography].[Blocs].[Country].&amp;[Cambodia]"/>
        <member name=""/>
        <member name=""/>
        <member name=""/>
        <member name="[Geography].[Blocs].[Country].&amp;[Djibouti]"/>
        <member name="[Geography].[Blocs].[Country].&amp;[Dominica]"/>
        <member name=""/>
        <member name=""/>
        <member name=""/>
        <member name="[Geography].[Blocs].[Country].&amp;[Maldives]"/>
        <member name="[Geography].[Blocs].[Country].&amp;[Mongolia]"/>
        <member name=""/>
        <member name=""/>
        <member name="[Geography].[Blocs].[Country].&amp;[Sao Tome]"/>
        <member name=""/>
        <member name="[Geography].[Blocs].[Country].&amp;[Tanzania]"/>
        <member name=""/>
        <member name=""/>
        <member name=""/>
        <member name=""/>
        <member name="[Geography].[Blocs].[Country].&amp;[Mauritius]"/>
        <member name="[Geography].[Blocs].[Country].&amp;[Melanesia]"/>
        <member name=""/>
        <member name="[Geography].[Blocs].[Country].&amp;[Polynesia]"/>
        <member name=""/>
        <member name="[Geography].[Blocs].[Country].&amp;[St. Lucia]"/>
        <member name=""/>
        <member name="[Geography].[Blocs].[Country].&amp;[Venezuela]"/>
        <member name=""/>
        <member name="[Geography].[Blocs].[Country].&amp;[Cabo Verde]"/>
        <member name=""/>
        <member name=""/>
        <member name=""/>
        <member name="[Geography].[Blocs].[Country].&amp;[Montserrat]"/>
        <member name="[Geography].[Blocs].[Country].&amp;[Mozambique]"/>
        <member name=""/>
        <member name="[Geography].[Blocs].[Country].&amp;[Afghanistan]"/>
        <member name=""/>
        <member name=""/>
        <member name=""/>
        <member name="[Geography].[Blocs].[Country].&amp;[St. Vincent]"/>
        <member name=""/>
        <member name=""/>
        <member name=""/>
        <member name="[Geography].[Blocs].[Country].&amp;[Small States]"/>
        <member name=""/>
        <member name=""/>
        <member name=""/>
        <member name="[Geography].[Blocs].[Country].&amp;[New Caledonia]"/>
        <member name="[Geography].[Blocs].[Country].&amp;[Western Samoa]"/>
        <member name="[Geography].[Blocs].[Country].&amp;[American Samoa]"/>
        <member name="[Geography].[Blocs].[Country].&amp;[Cayman Islands]"/>
        <member name=""/>
        <member name="[Geography].[Blocs].[Country].&amp;[Virgin Islands]"/>
        <member name="[Geography].[Blocs].[Country].&amp;[Solomon Islands]"/>
        <member name="[Geography].[Blocs].[Country].&amp;[French Polynesia]"/>
        <member name="[Geography].[Blocs].[Country].&amp;[Marshall Islands]"/>
        <member name=""/>
        <member name="[Geography].[Blocs].[Country].&amp;[Equatorial Guinea]"/>
        <member name="[Geography].[Blocs].[Country].&amp;[Ethiopia (Former)]"/>
        <member name=""/>
        <member name="[Geography].[Blocs].[Country].&amp;[Indonesia (Former)]"/>
        <member name="[Geography].[Blocs].[Country].&amp;[West Bank and Gaza]"/>
        <member name="[Geography].[Blocs].[Country].&amp;[St. Kitts and Nevis]"/>
        <member name=""/>
        <member name="[Geography].[Blocs].[Country].&amp;[United Arab Emirates]"/>
        <member name=""/>
        <member name="[Geography].[Blocs].[Country].&amp;[Northern Mariana Islands]"/>
        <member name="[Geography].[Blocs].[Country].&amp;[St. Martin (French part)]"/>
        <member name="[Geography].[Blocs].[Country].&amp;[Turks and Caicos Islands]"/>
        <member name="[Geography].[Blocs].[Country].&amp;[Sint Maarten (Dutch part)]"/>
        <member name="[Geography].[Blocs].[Country].&amp;[Micronesia Federated States]"/>
      </members>
    </pivotHierarchy>
    <pivotHierarchy/>
    <pivotHierarchy/>
    <pivotHierarchy multipleItemSelectionAllowed="1">
      <members count="8" level="1">
        <member name="[Geography].[WDI Availability].[wdi_availability].&amp;[From 1960]"/>
        <member name="[Geography].[WDI Availability].[wdi_availability].&amp;[From 1961]"/>
        <member name="[Geography].[WDI Availability].[wdi_availability].&amp;[From 1962]"/>
        <member name="[Geography].[WDI Availability].[wdi_availability].&amp;[From 1965]"/>
        <member name="[Geography].[WDI Availability].[wdi_availability].&amp;[From 1966]"/>
        <member name="[Geography].[WDI Availability].[wdi_availability].&amp;[From 1967]"/>
        <member name="[Geography].[WDI Availability].[wdi_availability].&amp;[From 1968]"/>
        <member name="[Geography].[WDI Availability].[wdi_availability].&amp;[From 1970]"/>
      </members>
    </pivotHierarchy>
    <pivotHierarchy/>
    <pivotHierarchy multipleItemSelectionAllowed="1">
      <members count="1" level="1">
        <member name="[Indicator Detail].[Industrial Sector (Agriculture/Manufacturing/etc)].&amp;[Whole economy]"/>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7" type="captionGreaterThanOrEqual" evalOrder="-1" id="4" stringValue1="1970">
      <autoFilter ref="A1">
        <filterColumn colId="0">
          <customFilters>
            <customFilter operator="greaterThanOrEqual" val="1970"/>
          </customFilters>
        </filterColumn>
      </autoFilter>
    </filter>
  </filters>
  <rowHierarchiesUsage count="1">
    <rowHierarchyUsage hierarchyUsage="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E4B6C-DD63-4587-81A5-138CE74F3FD5}">
  <sheetPr codeName="Sheet1"/>
  <dimension ref="B1:B30"/>
  <sheetViews>
    <sheetView workbookViewId="0">
      <selection activeCell="B6" sqref="B6"/>
    </sheetView>
  </sheetViews>
  <sheetFormatPr defaultRowHeight="14.25" x14ac:dyDescent="0.45"/>
  <cols>
    <col min="1" max="1" width="17.73046875" customWidth="1"/>
    <col min="2" max="2" width="153.6640625" customWidth="1"/>
    <col min="257" max="257" width="17.73046875" customWidth="1"/>
    <col min="258" max="258" width="153.6640625" customWidth="1"/>
    <col min="513" max="513" width="17.73046875" customWidth="1"/>
    <col min="514" max="514" width="153.6640625" customWidth="1"/>
    <col min="769" max="769" width="17.73046875" customWidth="1"/>
    <col min="770" max="770" width="153.6640625" customWidth="1"/>
    <col min="1025" max="1025" width="17.73046875" customWidth="1"/>
    <col min="1026" max="1026" width="153.6640625" customWidth="1"/>
    <col min="1281" max="1281" width="17.73046875" customWidth="1"/>
    <col min="1282" max="1282" width="153.6640625" customWidth="1"/>
    <col min="1537" max="1537" width="17.73046875" customWidth="1"/>
    <col min="1538" max="1538" width="153.6640625" customWidth="1"/>
    <col min="1793" max="1793" width="17.73046875" customWidth="1"/>
    <col min="1794" max="1794" width="153.6640625" customWidth="1"/>
    <col min="2049" max="2049" width="17.73046875" customWidth="1"/>
    <col min="2050" max="2050" width="153.6640625" customWidth="1"/>
    <col min="2305" max="2305" width="17.73046875" customWidth="1"/>
    <col min="2306" max="2306" width="153.6640625" customWidth="1"/>
    <col min="2561" max="2561" width="17.73046875" customWidth="1"/>
    <col min="2562" max="2562" width="153.6640625" customWidth="1"/>
    <col min="2817" max="2817" width="17.73046875" customWidth="1"/>
    <col min="2818" max="2818" width="153.6640625" customWidth="1"/>
    <col min="3073" max="3073" width="17.73046875" customWidth="1"/>
    <col min="3074" max="3074" width="153.6640625" customWidth="1"/>
    <col min="3329" max="3329" width="17.73046875" customWidth="1"/>
    <col min="3330" max="3330" width="153.6640625" customWidth="1"/>
    <col min="3585" max="3585" width="17.73046875" customWidth="1"/>
    <col min="3586" max="3586" width="153.6640625" customWidth="1"/>
    <col min="3841" max="3841" width="17.73046875" customWidth="1"/>
    <col min="3842" max="3842" width="153.6640625" customWidth="1"/>
    <col min="4097" max="4097" width="17.73046875" customWidth="1"/>
    <col min="4098" max="4098" width="153.6640625" customWidth="1"/>
    <col min="4353" max="4353" width="17.73046875" customWidth="1"/>
    <col min="4354" max="4354" width="153.6640625" customWidth="1"/>
    <col min="4609" max="4609" width="17.73046875" customWidth="1"/>
    <col min="4610" max="4610" width="153.6640625" customWidth="1"/>
    <col min="4865" max="4865" width="17.73046875" customWidth="1"/>
    <col min="4866" max="4866" width="153.6640625" customWidth="1"/>
    <col min="5121" max="5121" width="17.73046875" customWidth="1"/>
    <col min="5122" max="5122" width="153.6640625" customWidth="1"/>
    <col min="5377" max="5377" width="17.73046875" customWidth="1"/>
    <col min="5378" max="5378" width="153.6640625" customWidth="1"/>
    <col min="5633" max="5633" width="17.73046875" customWidth="1"/>
    <col min="5634" max="5634" width="153.6640625" customWidth="1"/>
    <col min="5889" max="5889" width="17.73046875" customWidth="1"/>
    <col min="5890" max="5890" width="153.6640625" customWidth="1"/>
    <col min="6145" max="6145" width="17.73046875" customWidth="1"/>
    <col min="6146" max="6146" width="153.6640625" customWidth="1"/>
    <col min="6401" max="6401" width="17.73046875" customWidth="1"/>
    <col min="6402" max="6402" width="153.6640625" customWidth="1"/>
    <col min="6657" max="6657" width="17.73046875" customWidth="1"/>
    <col min="6658" max="6658" width="153.6640625" customWidth="1"/>
    <col min="6913" max="6913" width="17.73046875" customWidth="1"/>
    <col min="6914" max="6914" width="153.6640625" customWidth="1"/>
    <col min="7169" max="7169" width="17.73046875" customWidth="1"/>
    <col min="7170" max="7170" width="153.6640625" customWidth="1"/>
    <col min="7425" max="7425" width="17.73046875" customWidth="1"/>
    <col min="7426" max="7426" width="153.6640625" customWidth="1"/>
    <col min="7681" max="7681" width="17.73046875" customWidth="1"/>
    <col min="7682" max="7682" width="153.6640625" customWidth="1"/>
    <col min="7937" max="7937" width="17.73046875" customWidth="1"/>
    <col min="7938" max="7938" width="153.6640625" customWidth="1"/>
    <col min="8193" max="8193" width="17.73046875" customWidth="1"/>
    <col min="8194" max="8194" width="153.6640625" customWidth="1"/>
    <col min="8449" max="8449" width="17.73046875" customWidth="1"/>
    <col min="8450" max="8450" width="153.6640625" customWidth="1"/>
    <col min="8705" max="8705" width="17.73046875" customWidth="1"/>
    <col min="8706" max="8706" width="153.6640625" customWidth="1"/>
    <col min="8961" max="8961" width="17.73046875" customWidth="1"/>
    <col min="8962" max="8962" width="153.6640625" customWidth="1"/>
    <col min="9217" max="9217" width="17.73046875" customWidth="1"/>
    <col min="9218" max="9218" width="153.6640625" customWidth="1"/>
    <col min="9473" max="9473" width="17.73046875" customWidth="1"/>
    <col min="9474" max="9474" width="153.6640625" customWidth="1"/>
    <col min="9729" max="9729" width="17.73046875" customWidth="1"/>
    <col min="9730" max="9730" width="153.6640625" customWidth="1"/>
    <col min="9985" max="9985" width="17.73046875" customWidth="1"/>
    <col min="9986" max="9986" width="153.6640625" customWidth="1"/>
    <col min="10241" max="10241" width="17.73046875" customWidth="1"/>
    <col min="10242" max="10242" width="153.6640625" customWidth="1"/>
    <col min="10497" max="10497" width="17.73046875" customWidth="1"/>
    <col min="10498" max="10498" width="153.6640625" customWidth="1"/>
    <col min="10753" max="10753" width="17.73046875" customWidth="1"/>
    <col min="10754" max="10754" width="153.6640625" customWidth="1"/>
    <col min="11009" max="11009" width="17.73046875" customWidth="1"/>
    <col min="11010" max="11010" width="153.6640625" customWidth="1"/>
    <col min="11265" max="11265" width="17.73046875" customWidth="1"/>
    <col min="11266" max="11266" width="153.6640625" customWidth="1"/>
    <col min="11521" max="11521" width="17.73046875" customWidth="1"/>
    <col min="11522" max="11522" width="153.6640625" customWidth="1"/>
    <col min="11777" max="11777" width="17.73046875" customWidth="1"/>
    <col min="11778" max="11778" width="153.6640625" customWidth="1"/>
    <col min="12033" max="12033" width="17.73046875" customWidth="1"/>
    <col min="12034" max="12034" width="153.6640625" customWidth="1"/>
    <col min="12289" max="12289" width="17.73046875" customWidth="1"/>
    <col min="12290" max="12290" width="153.6640625" customWidth="1"/>
    <col min="12545" max="12545" width="17.73046875" customWidth="1"/>
    <col min="12546" max="12546" width="153.6640625" customWidth="1"/>
    <col min="12801" max="12801" width="17.73046875" customWidth="1"/>
    <col min="12802" max="12802" width="153.6640625" customWidth="1"/>
    <col min="13057" max="13057" width="17.73046875" customWidth="1"/>
    <col min="13058" max="13058" width="153.6640625" customWidth="1"/>
    <col min="13313" max="13313" width="17.73046875" customWidth="1"/>
    <col min="13314" max="13314" width="153.6640625" customWidth="1"/>
    <col min="13569" max="13569" width="17.73046875" customWidth="1"/>
    <col min="13570" max="13570" width="153.6640625" customWidth="1"/>
    <col min="13825" max="13825" width="17.73046875" customWidth="1"/>
    <col min="13826" max="13826" width="153.6640625" customWidth="1"/>
    <col min="14081" max="14081" width="17.73046875" customWidth="1"/>
    <col min="14082" max="14082" width="153.6640625" customWidth="1"/>
    <col min="14337" max="14337" width="17.73046875" customWidth="1"/>
    <col min="14338" max="14338" width="153.6640625" customWidth="1"/>
    <col min="14593" max="14593" width="17.73046875" customWidth="1"/>
    <col min="14594" max="14594" width="153.6640625" customWidth="1"/>
    <col min="14849" max="14849" width="17.73046875" customWidth="1"/>
    <col min="14850" max="14850" width="153.6640625" customWidth="1"/>
    <col min="15105" max="15105" width="17.73046875" customWidth="1"/>
    <col min="15106" max="15106" width="153.6640625" customWidth="1"/>
    <col min="15361" max="15361" width="17.73046875" customWidth="1"/>
    <col min="15362" max="15362" width="153.6640625" customWidth="1"/>
    <col min="15617" max="15617" width="17.73046875" customWidth="1"/>
    <col min="15618" max="15618" width="153.6640625" customWidth="1"/>
    <col min="15873" max="15873" width="17.73046875" customWidth="1"/>
    <col min="15874" max="15874" width="153.6640625" customWidth="1"/>
    <col min="16129" max="16129" width="17.73046875" customWidth="1"/>
    <col min="16130" max="16130" width="153.6640625" customWidth="1"/>
  </cols>
  <sheetData>
    <row r="1" spans="2:2" ht="18" x14ac:dyDescent="0.55000000000000004">
      <c r="B1" s="1" t="s">
        <v>0</v>
      </c>
    </row>
    <row r="2" spans="2:2" ht="18" x14ac:dyDescent="0.55000000000000004">
      <c r="B2" s="1" t="s">
        <v>1</v>
      </c>
    </row>
    <row r="3" spans="2:2" ht="18" x14ac:dyDescent="0.55000000000000004">
      <c r="B3" s="1" t="s">
        <v>2</v>
      </c>
    </row>
    <row r="4" spans="2:2" ht="18" x14ac:dyDescent="0.55000000000000004">
      <c r="B4" s="2" t="s">
        <v>23</v>
      </c>
    </row>
    <row r="5" spans="2:2" ht="18" x14ac:dyDescent="0.55000000000000004">
      <c r="B5" s="3" t="s">
        <v>24</v>
      </c>
    </row>
    <row r="6" spans="2:2" x14ac:dyDescent="0.45">
      <c r="B6" s="4" t="s">
        <v>3</v>
      </c>
    </row>
    <row r="7" spans="2:2" x14ac:dyDescent="0.45">
      <c r="B7" s="4" t="s">
        <v>4</v>
      </c>
    </row>
    <row r="8" spans="2:2" x14ac:dyDescent="0.45">
      <c r="B8" s="4" t="s">
        <v>5</v>
      </c>
    </row>
    <row r="9" spans="2:2" ht="7.35" customHeight="1" x14ac:dyDescent="0.45">
      <c r="B9" s="4"/>
    </row>
    <row r="10" spans="2:2" x14ac:dyDescent="0.45">
      <c r="B10" s="5" t="s">
        <v>6</v>
      </c>
    </row>
    <row r="11" spans="2:2" x14ac:dyDescent="0.45">
      <c r="B11" s="4" t="s">
        <v>7</v>
      </c>
    </row>
    <row r="12" spans="2:2" x14ac:dyDescent="0.45">
      <c r="B12" s="5" t="s">
        <v>8</v>
      </c>
    </row>
    <row r="13" spans="2:2" ht="5.0999999999999996" customHeight="1" x14ac:dyDescent="0.45">
      <c r="B13" s="4" t="s">
        <v>9</v>
      </c>
    </row>
    <row r="14" spans="2:2" x14ac:dyDescent="0.45">
      <c r="B14" s="5" t="s">
        <v>10</v>
      </c>
    </row>
    <row r="15" spans="2:2" x14ac:dyDescent="0.45">
      <c r="B15" s="4" t="s">
        <v>11</v>
      </c>
    </row>
    <row r="16" spans="2:2" x14ac:dyDescent="0.45">
      <c r="B16" s="4" t="s">
        <v>12</v>
      </c>
    </row>
    <row r="17" spans="2:2" ht="4.3499999999999996" customHeight="1" x14ac:dyDescent="0.45">
      <c r="B17" s="6"/>
    </row>
    <row r="18" spans="2:2" x14ac:dyDescent="0.45">
      <c r="B18" s="4" t="s">
        <v>13</v>
      </c>
    </row>
    <row r="19" spans="2:2" ht="7.35" customHeight="1" x14ac:dyDescent="0.45">
      <c r="B19" s="4" t="s">
        <v>9</v>
      </c>
    </row>
    <row r="20" spans="2:2" x14ac:dyDescent="0.45">
      <c r="B20" s="5" t="s">
        <v>14</v>
      </c>
    </row>
    <row r="21" spans="2:2" ht="28.5" x14ac:dyDescent="0.45">
      <c r="B21" s="7" t="s">
        <v>15</v>
      </c>
    </row>
    <row r="22" spans="2:2" x14ac:dyDescent="0.45">
      <c r="B22" s="4" t="s">
        <v>16</v>
      </c>
    </row>
    <row r="23" spans="2:2" x14ac:dyDescent="0.45">
      <c r="B23" s="4" t="s">
        <v>17</v>
      </c>
    </row>
    <row r="24" spans="2:2" x14ac:dyDescent="0.45">
      <c r="B24" s="4" t="s">
        <v>18</v>
      </c>
    </row>
    <row r="25" spans="2:2" ht="4.3499999999999996" customHeight="1" x14ac:dyDescent="0.45">
      <c r="B25" s="4"/>
    </row>
    <row r="26" spans="2:2" x14ac:dyDescent="0.45">
      <c r="B26" s="5" t="s">
        <v>19</v>
      </c>
    </row>
    <row r="27" spans="2:2" ht="31.8" customHeight="1" x14ac:dyDescent="0.45">
      <c r="B27" s="7" t="s">
        <v>20</v>
      </c>
    </row>
    <row r="28" spans="2:2" ht="6" customHeight="1" x14ac:dyDescent="0.45">
      <c r="B28" s="4" t="s">
        <v>9</v>
      </c>
    </row>
    <row r="29" spans="2:2" ht="28.5" x14ac:dyDescent="0.45">
      <c r="B29" s="8" t="s">
        <v>21</v>
      </c>
    </row>
    <row r="30" spans="2:2" ht="28.5" x14ac:dyDescent="0.45">
      <c r="B30" s="7" t="s">
        <v>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I116"/>
  <sheetViews>
    <sheetView tabSelected="1" workbookViewId="0">
      <pane xSplit="2" ySplit="12" topLeftCell="AL13" activePane="bottomRight" state="frozen"/>
      <selection pane="topRight" activeCell="C1" sqref="C1"/>
      <selection pane="bottomLeft" activeCell="A9" sqref="A9"/>
      <selection pane="bottomRight" activeCell="AZ4" sqref="AZ4"/>
    </sheetView>
  </sheetViews>
  <sheetFormatPr defaultRowHeight="14.25" x14ac:dyDescent="0.45"/>
  <cols>
    <col min="1" max="1" width="27.06640625" bestFit="1" customWidth="1"/>
    <col min="2" max="2" width="21.59765625" bestFit="1" customWidth="1"/>
    <col min="3" max="52" width="13.3984375" bestFit="1" customWidth="1"/>
    <col min="53" max="61" width="15.86328125" bestFit="1" customWidth="1"/>
    <col min="62" max="62" width="11.73046875" bestFit="1" customWidth="1"/>
    <col min="63" max="63" width="8.73046875" bestFit="1" customWidth="1"/>
    <col min="64" max="64" width="11.73046875" bestFit="1" customWidth="1"/>
    <col min="65" max="75" width="11.59765625" bestFit="1" customWidth="1"/>
    <col min="76" max="77" width="11.73046875" bestFit="1" customWidth="1"/>
    <col min="78" max="81" width="11.59765625" bestFit="1" customWidth="1"/>
    <col min="82" max="91" width="11.73046875" bestFit="1" customWidth="1"/>
    <col min="92" max="110" width="11.59765625" bestFit="1" customWidth="1"/>
    <col min="111" max="146" width="11.73046875" bestFit="1" customWidth="1"/>
    <col min="147" max="149" width="11.59765625" bestFit="1" customWidth="1"/>
    <col min="150" max="153" width="11.73046875" bestFit="1" customWidth="1"/>
    <col min="154" max="155" width="11.59765625" bestFit="1" customWidth="1"/>
  </cols>
  <sheetData>
    <row r="1" spans="1:61" x14ac:dyDescent="0.45">
      <c r="B1" t="s">
        <v>175</v>
      </c>
      <c r="C1" s="11">
        <f>SUM(C42:C116)</f>
        <v>1348536991</v>
      </c>
      <c r="D1" s="11">
        <f t="shared" ref="D1:AZ1" si="0">SUM(D42:D116)</f>
        <v>1381512127</v>
      </c>
      <c r="E1" s="11">
        <f t="shared" si="0"/>
        <v>1415272829</v>
      </c>
      <c r="F1" s="11">
        <f t="shared" si="0"/>
        <v>1449912221</v>
      </c>
      <c r="G1" s="11">
        <f t="shared" si="0"/>
        <v>1485552889</v>
      </c>
      <c r="H1" s="11">
        <f t="shared" si="0"/>
        <v>1522285377</v>
      </c>
      <c r="I1" s="11">
        <f t="shared" si="0"/>
        <v>1560118064</v>
      </c>
      <c r="J1" s="11">
        <f t="shared" si="0"/>
        <v>1599031725</v>
      </c>
      <c r="K1" s="11">
        <f t="shared" si="0"/>
        <v>1639055489</v>
      </c>
      <c r="L1" s="11">
        <f t="shared" si="0"/>
        <v>1680219349</v>
      </c>
      <c r="M1" s="11">
        <f t="shared" si="0"/>
        <v>1722521956</v>
      </c>
      <c r="N1" s="11">
        <f t="shared" si="0"/>
        <v>1765953745</v>
      </c>
      <c r="O1" s="11">
        <f t="shared" si="0"/>
        <v>1810444439</v>
      </c>
      <c r="P1" s="11">
        <f t="shared" si="0"/>
        <v>1855847300</v>
      </c>
      <c r="Q1" s="11">
        <f t="shared" si="0"/>
        <v>1901974069</v>
      </c>
      <c r="R1" s="11">
        <f t="shared" si="0"/>
        <v>1948663494</v>
      </c>
      <c r="S1" s="11">
        <f t="shared" si="0"/>
        <v>1995864961</v>
      </c>
      <c r="T1" s="11">
        <f t="shared" si="0"/>
        <v>2043535857</v>
      </c>
      <c r="U1" s="11">
        <f t="shared" si="0"/>
        <v>2091523389</v>
      </c>
      <c r="V1" s="11">
        <f t="shared" si="0"/>
        <v>2139662698</v>
      </c>
      <c r="W1" s="11">
        <f t="shared" si="0"/>
        <v>2187833879</v>
      </c>
      <c r="X1" s="11">
        <f t="shared" si="0"/>
        <v>2235927086</v>
      </c>
      <c r="Y1" s="11">
        <f t="shared" si="0"/>
        <v>2283954535</v>
      </c>
      <c r="Z1" s="11">
        <f t="shared" si="0"/>
        <v>2332065412</v>
      </c>
      <c r="AA1" s="11">
        <f t="shared" si="0"/>
        <v>2380469264</v>
      </c>
      <c r="AB1" s="11">
        <f t="shared" si="0"/>
        <v>2429308012</v>
      </c>
      <c r="AC1" s="11">
        <f t="shared" si="0"/>
        <v>2478635095</v>
      </c>
      <c r="AD1" s="11">
        <f t="shared" si="0"/>
        <v>2528354982</v>
      </c>
      <c r="AE1" s="11">
        <f t="shared" si="0"/>
        <v>2578331690</v>
      </c>
      <c r="AF1" s="11">
        <f t="shared" si="0"/>
        <v>2628381129</v>
      </c>
      <c r="AG1" s="11">
        <f t="shared" si="0"/>
        <v>2678363921</v>
      </c>
      <c r="AH1" s="11">
        <f t="shared" si="0"/>
        <v>2728238927</v>
      </c>
      <c r="AI1" s="11">
        <f t="shared" si="0"/>
        <v>2778045625</v>
      </c>
      <c r="AJ1" s="11">
        <f t="shared" si="0"/>
        <v>2827822988</v>
      </c>
      <c r="AK1" s="11">
        <f t="shared" si="0"/>
        <v>2877661313</v>
      </c>
      <c r="AL1" s="11">
        <f t="shared" si="0"/>
        <v>2927621042</v>
      </c>
      <c r="AM1" s="11">
        <f t="shared" si="0"/>
        <v>2977695999</v>
      </c>
      <c r="AN1" s="11">
        <f t="shared" si="0"/>
        <v>3027885860</v>
      </c>
      <c r="AO1" s="11">
        <f t="shared" si="0"/>
        <v>3078263848</v>
      </c>
      <c r="AP1" s="11">
        <f t="shared" si="0"/>
        <v>3128907919</v>
      </c>
      <c r="AQ1" s="11">
        <f t="shared" si="0"/>
        <v>3179768730</v>
      </c>
      <c r="AR1" s="11">
        <f t="shared" si="0"/>
        <v>3231078164</v>
      </c>
      <c r="AS1" s="11">
        <f t="shared" si="0"/>
        <v>3282560798</v>
      </c>
      <c r="AT1" s="11">
        <f t="shared" si="0"/>
        <v>3334461849</v>
      </c>
      <c r="AU1" s="11">
        <f t="shared" si="0"/>
        <v>3386648556</v>
      </c>
      <c r="AV1" s="11">
        <f t="shared" si="0"/>
        <v>3439069637</v>
      </c>
      <c r="AW1" s="11">
        <f t="shared" si="0"/>
        <v>3491774140</v>
      </c>
      <c r="AX1" s="11">
        <f t="shared" si="0"/>
        <v>3544658773</v>
      </c>
      <c r="AY1" s="11">
        <f t="shared" si="0"/>
        <v>3597475156</v>
      </c>
      <c r="AZ1" s="11">
        <f t="shared" si="0"/>
        <v>3650173983</v>
      </c>
      <c r="BA1" s="11"/>
      <c r="BB1" s="11"/>
      <c r="BC1" s="11"/>
      <c r="BD1" s="11"/>
      <c r="BE1" s="11"/>
      <c r="BF1" s="11"/>
      <c r="BG1" s="11"/>
      <c r="BH1" s="11"/>
      <c r="BI1" s="11"/>
    </row>
    <row r="2" spans="1:61" x14ac:dyDescent="0.45">
      <c r="B2" t="s">
        <v>174</v>
      </c>
      <c r="C2" s="11">
        <f>SUM(C14:C41)</f>
        <v>735851375</v>
      </c>
      <c r="D2" s="11">
        <f t="shared" ref="D2:AZ2" si="1">SUM(D14:D41)</f>
        <v>743554795</v>
      </c>
      <c r="E2" s="11">
        <f t="shared" si="1"/>
        <v>750715039</v>
      </c>
      <c r="F2" s="11">
        <f t="shared" si="1"/>
        <v>756875205</v>
      </c>
      <c r="G2" s="11">
        <f t="shared" si="1"/>
        <v>764038240</v>
      </c>
      <c r="H2" s="11">
        <f t="shared" si="1"/>
        <v>770657375</v>
      </c>
      <c r="I2" s="11">
        <f t="shared" si="1"/>
        <v>775906593</v>
      </c>
      <c r="J2" s="11">
        <f t="shared" si="1"/>
        <v>781405677</v>
      </c>
      <c r="K2" s="11">
        <f t="shared" si="1"/>
        <v>787001495</v>
      </c>
      <c r="L2" s="11">
        <f t="shared" si="1"/>
        <v>792750940</v>
      </c>
      <c r="M2" s="11">
        <f t="shared" si="1"/>
        <v>798375862</v>
      </c>
      <c r="N2" s="11">
        <f t="shared" si="1"/>
        <v>803987124</v>
      </c>
      <c r="O2" s="11">
        <f t="shared" si="1"/>
        <v>809134076</v>
      </c>
      <c r="P2" s="11">
        <f t="shared" si="1"/>
        <v>813822613</v>
      </c>
      <c r="Q2" s="11">
        <f t="shared" si="1"/>
        <v>818200101</v>
      </c>
      <c r="R2" s="11">
        <f t="shared" si="1"/>
        <v>822641584</v>
      </c>
      <c r="S2" s="11">
        <f t="shared" si="1"/>
        <v>827418447</v>
      </c>
      <c r="T2" s="11">
        <f t="shared" si="1"/>
        <v>832240800</v>
      </c>
      <c r="U2" s="11">
        <f t="shared" si="1"/>
        <v>837299914</v>
      </c>
      <c r="V2" s="11">
        <f t="shared" si="1"/>
        <v>842999619</v>
      </c>
      <c r="W2" s="11">
        <f t="shared" si="1"/>
        <v>849304609</v>
      </c>
      <c r="X2" s="11">
        <f t="shared" si="1"/>
        <v>856377307</v>
      </c>
      <c r="Y2" s="11">
        <f t="shared" si="1"/>
        <v>863356560</v>
      </c>
      <c r="Z2" s="11">
        <f t="shared" si="1"/>
        <v>869922097</v>
      </c>
      <c r="AA2" s="11">
        <f t="shared" si="1"/>
        <v>876087526</v>
      </c>
      <c r="AB2" s="11">
        <f t="shared" si="1"/>
        <v>882161142</v>
      </c>
      <c r="AC2" s="11">
        <f t="shared" si="1"/>
        <v>888042246</v>
      </c>
      <c r="AD2" s="11">
        <f t="shared" si="1"/>
        <v>893875180</v>
      </c>
      <c r="AE2" s="11">
        <f t="shared" si="1"/>
        <v>899449516</v>
      </c>
      <c r="AF2" s="11">
        <f t="shared" si="1"/>
        <v>904992399</v>
      </c>
      <c r="AG2" s="11">
        <f t="shared" si="1"/>
        <v>910878659</v>
      </c>
      <c r="AH2" s="11">
        <f t="shared" si="1"/>
        <v>916870440</v>
      </c>
      <c r="AI2" s="11">
        <f t="shared" si="1"/>
        <v>922917048</v>
      </c>
      <c r="AJ2" s="11">
        <f t="shared" si="1"/>
        <v>928801764</v>
      </c>
      <c r="AK2" s="11">
        <f t="shared" si="1"/>
        <v>934815920</v>
      </c>
      <c r="AL2" s="11">
        <f t="shared" si="1"/>
        <v>940792077</v>
      </c>
      <c r="AM2" s="11">
        <f t="shared" si="1"/>
        <v>947137200</v>
      </c>
      <c r="AN2" s="11">
        <f t="shared" si="1"/>
        <v>953627884</v>
      </c>
      <c r="AO2" s="11">
        <f t="shared" si="1"/>
        <v>960533359</v>
      </c>
      <c r="AP2" s="11">
        <f t="shared" si="1"/>
        <v>966493752</v>
      </c>
      <c r="AQ2" s="11">
        <f t="shared" si="1"/>
        <v>971914811</v>
      </c>
      <c r="AR2" s="11">
        <f t="shared" si="1"/>
        <v>975314503</v>
      </c>
      <c r="AS2" s="11">
        <f t="shared" si="1"/>
        <v>980182914</v>
      </c>
      <c r="AT2" s="11">
        <f t="shared" si="1"/>
        <v>985293123</v>
      </c>
      <c r="AU2" s="11">
        <f t="shared" si="1"/>
        <v>990694868</v>
      </c>
      <c r="AV2" s="11">
        <f t="shared" si="1"/>
        <v>995941759</v>
      </c>
      <c r="AW2" s="11">
        <f t="shared" si="1"/>
        <v>1001255958</v>
      </c>
      <c r="AX2" s="11">
        <f t="shared" si="1"/>
        <v>1005818888</v>
      </c>
      <c r="AY2" s="11">
        <f t="shared" si="1"/>
        <v>1009993850</v>
      </c>
      <c r="AZ2" s="11">
        <f t="shared" si="1"/>
        <v>1013971460</v>
      </c>
      <c r="BA2" s="11"/>
      <c r="BB2" s="11"/>
      <c r="BC2" s="11"/>
      <c r="BD2" s="11"/>
      <c r="BE2" s="11"/>
      <c r="BF2" s="11"/>
      <c r="BG2" s="11"/>
      <c r="BH2" s="11"/>
      <c r="BI2" s="11"/>
    </row>
    <row r="3" spans="1:61" x14ac:dyDescent="0.45">
      <c r="B3" t="s">
        <v>182</v>
      </c>
      <c r="C3" s="11">
        <f>C13</f>
        <v>818315008</v>
      </c>
      <c r="D3" s="11">
        <f t="shared" ref="D3:AZ3" si="2">D13</f>
        <v>841105024</v>
      </c>
      <c r="E3" s="11">
        <f t="shared" si="2"/>
        <v>862030016</v>
      </c>
      <c r="F3" s="11">
        <f t="shared" si="2"/>
        <v>881939968</v>
      </c>
      <c r="G3" s="11">
        <f t="shared" si="2"/>
        <v>900350016</v>
      </c>
      <c r="H3" s="11">
        <f t="shared" si="2"/>
        <v>916395008</v>
      </c>
      <c r="I3" s="11">
        <f t="shared" si="2"/>
        <v>930684992</v>
      </c>
      <c r="J3" s="11">
        <f t="shared" si="2"/>
        <v>943454976</v>
      </c>
      <c r="K3" s="11">
        <f t="shared" si="2"/>
        <v>956164992</v>
      </c>
      <c r="L3" s="11">
        <f t="shared" si="2"/>
        <v>969004992</v>
      </c>
      <c r="M3" s="11">
        <f t="shared" si="2"/>
        <v>981235008</v>
      </c>
      <c r="N3" s="11">
        <f t="shared" si="2"/>
        <v>993884992</v>
      </c>
      <c r="O3" s="11">
        <f t="shared" si="2"/>
        <v>1008630016</v>
      </c>
      <c r="P3" s="11">
        <f t="shared" si="2"/>
        <v>1023310016</v>
      </c>
      <c r="Q3" s="11">
        <f t="shared" si="2"/>
        <v>1036825024</v>
      </c>
      <c r="R3" s="11">
        <f t="shared" si="2"/>
        <v>1051040000</v>
      </c>
      <c r="S3" s="11">
        <f t="shared" si="2"/>
        <v>1066790016</v>
      </c>
      <c r="T3" s="11">
        <f t="shared" si="2"/>
        <v>1084034944</v>
      </c>
      <c r="U3" s="11">
        <f t="shared" si="2"/>
        <v>1101629952</v>
      </c>
      <c r="V3" s="11">
        <f t="shared" si="2"/>
        <v>1118649984</v>
      </c>
      <c r="W3" s="11">
        <f t="shared" si="2"/>
        <v>1135185024</v>
      </c>
      <c r="X3" s="11">
        <f t="shared" si="2"/>
        <v>1150780032</v>
      </c>
      <c r="Y3" s="11">
        <f t="shared" si="2"/>
        <v>1164969984</v>
      </c>
      <c r="Z3" s="11">
        <f t="shared" si="2"/>
        <v>1178439936</v>
      </c>
      <c r="AA3" s="11">
        <f t="shared" si="2"/>
        <v>1191835008</v>
      </c>
      <c r="AB3" s="11">
        <f t="shared" si="2"/>
        <v>1204855040</v>
      </c>
      <c r="AC3" s="11">
        <f t="shared" si="2"/>
        <v>1217549952</v>
      </c>
      <c r="AD3" s="11">
        <f t="shared" si="2"/>
        <v>1230075008</v>
      </c>
      <c r="AE3" s="11">
        <f t="shared" si="2"/>
        <v>1241934976</v>
      </c>
      <c r="AF3" s="11">
        <f t="shared" si="2"/>
        <v>1252734976</v>
      </c>
      <c r="AG3" s="11">
        <f t="shared" si="2"/>
        <v>1262644992</v>
      </c>
      <c r="AH3" s="11">
        <f t="shared" si="2"/>
        <v>1271849984</v>
      </c>
      <c r="AI3" s="11">
        <f t="shared" si="2"/>
        <v>1280400000</v>
      </c>
      <c r="AJ3" s="11">
        <f t="shared" si="2"/>
        <v>1288400000</v>
      </c>
      <c r="AK3" s="11">
        <f t="shared" si="2"/>
        <v>1296075008</v>
      </c>
      <c r="AL3" s="11">
        <f t="shared" si="2"/>
        <v>1303719936</v>
      </c>
      <c r="AM3" s="11">
        <f t="shared" si="2"/>
        <v>1311020032</v>
      </c>
      <c r="AN3" s="11">
        <f t="shared" si="2"/>
        <v>1317885056</v>
      </c>
      <c r="AO3" s="11">
        <f t="shared" si="2"/>
        <v>1324654976</v>
      </c>
      <c r="AP3" s="11">
        <f t="shared" si="2"/>
        <v>1331260032</v>
      </c>
      <c r="AQ3" s="11">
        <f t="shared" si="2"/>
        <v>1337704960</v>
      </c>
      <c r="AR3" s="11">
        <f t="shared" si="2"/>
        <v>1344130048</v>
      </c>
      <c r="AS3" s="11">
        <f t="shared" si="2"/>
        <v>1350695040</v>
      </c>
      <c r="AT3" s="11">
        <f t="shared" si="2"/>
        <v>1357379968</v>
      </c>
      <c r="AU3" s="11">
        <f t="shared" si="2"/>
        <v>1364269952</v>
      </c>
      <c r="AV3" s="11">
        <f t="shared" si="2"/>
        <v>1371219968</v>
      </c>
      <c r="AW3" s="11">
        <f t="shared" si="2"/>
        <v>1378664960</v>
      </c>
      <c r="AX3" s="11">
        <f t="shared" si="2"/>
        <v>1386395008</v>
      </c>
      <c r="AY3" s="11">
        <f t="shared" si="2"/>
        <v>1392729984</v>
      </c>
      <c r="AZ3" s="11">
        <f t="shared" si="2"/>
        <v>1397714944</v>
      </c>
      <c r="BA3" s="11"/>
      <c r="BB3" s="11"/>
      <c r="BC3" s="11"/>
      <c r="BD3" s="11"/>
      <c r="BE3" s="11"/>
      <c r="BF3" s="11"/>
      <c r="BG3" s="11"/>
      <c r="BH3" s="11"/>
      <c r="BI3" s="11"/>
    </row>
    <row r="4" spans="1:61" x14ac:dyDescent="0.45">
      <c r="B4" t="s">
        <v>199</v>
      </c>
      <c r="C4" s="11">
        <f>SUM(C13:C116)</f>
        <v>2902703374</v>
      </c>
      <c r="D4" s="11">
        <f t="shared" ref="D4:AZ4" si="3">SUM(D13:D116)</f>
        <v>2966171946</v>
      </c>
      <c r="E4" s="11">
        <f t="shared" si="3"/>
        <v>3028017884</v>
      </c>
      <c r="F4" s="11">
        <f t="shared" si="3"/>
        <v>3088727394</v>
      </c>
      <c r="G4" s="11">
        <f t="shared" si="3"/>
        <v>3149941145</v>
      </c>
      <c r="H4" s="11">
        <f t="shared" si="3"/>
        <v>3209337760</v>
      </c>
      <c r="I4" s="11">
        <f t="shared" si="3"/>
        <v>3266709649</v>
      </c>
      <c r="J4" s="11">
        <f t="shared" si="3"/>
        <v>3323892378</v>
      </c>
      <c r="K4" s="11">
        <f t="shared" si="3"/>
        <v>3382221976</v>
      </c>
      <c r="L4" s="11">
        <f t="shared" si="3"/>
        <v>3441975281</v>
      </c>
      <c r="M4" s="11">
        <f t="shared" si="3"/>
        <v>3502132826</v>
      </c>
      <c r="N4" s="11">
        <f t="shared" si="3"/>
        <v>3563825861</v>
      </c>
      <c r="O4" s="11">
        <f t="shared" si="3"/>
        <v>3628208531</v>
      </c>
      <c r="P4" s="11">
        <f t="shared" si="3"/>
        <v>3692979929</v>
      </c>
      <c r="Q4" s="11">
        <f t="shared" si="3"/>
        <v>3756999194</v>
      </c>
      <c r="R4" s="11">
        <f t="shared" si="3"/>
        <v>3822345078</v>
      </c>
      <c r="S4" s="11">
        <f t="shared" si="3"/>
        <v>3890073424</v>
      </c>
      <c r="T4" s="11">
        <f t="shared" si="3"/>
        <v>3959811601</v>
      </c>
      <c r="U4" s="11">
        <f t="shared" si="3"/>
        <v>4030453255</v>
      </c>
      <c r="V4" s="11">
        <f t="shared" si="3"/>
        <v>4101312301</v>
      </c>
      <c r="W4" s="11">
        <f t="shared" si="3"/>
        <v>4172323512</v>
      </c>
      <c r="X4" s="11">
        <f t="shared" si="3"/>
        <v>4243084425</v>
      </c>
      <c r="Y4" s="11">
        <f t="shared" si="3"/>
        <v>4312281079</v>
      </c>
      <c r="Z4" s="11">
        <f t="shared" si="3"/>
        <v>4380427445</v>
      </c>
      <c r="AA4" s="11">
        <f t="shared" si="3"/>
        <v>4448391798</v>
      </c>
      <c r="AB4" s="11">
        <f t="shared" si="3"/>
        <v>4516324194</v>
      </c>
      <c r="AC4" s="11">
        <f t="shared" si="3"/>
        <v>4584227293</v>
      </c>
      <c r="AD4" s="11">
        <f t="shared" si="3"/>
        <v>4652305170</v>
      </c>
      <c r="AE4" s="11">
        <f t="shared" si="3"/>
        <v>4719716182</v>
      </c>
      <c r="AF4" s="11">
        <f t="shared" si="3"/>
        <v>4786108504</v>
      </c>
      <c r="AG4" s="11">
        <f t="shared" si="3"/>
        <v>4851887572</v>
      </c>
      <c r="AH4" s="11">
        <f t="shared" si="3"/>
        <v>4916959351</v>
      </c>
      <c r="AI4" s="11">
        <f t="shared" si="3"/>
        <v>4981362673</v>
      </c>
      <c r="AJ4" s="11">
        <f t="shared" si="3"/>
        <v>5045024752</v>
      </c>
      <c r="AK4" s="11">
        <f t="shared" si="3"/>
        <v>5108552241</v>
      </c>
      <c r="AL4" s="11">
        <f t="shared" si="3"/>
        <v>5172133055</v>
      </c>
      <c r="AM4" s="11">
        <f t="shared" si="3"/>
        <v>5235853231</v>
      </c>
      <c r="AN4" s="11">
        <f t="shared" si="3"/>
        <v>5299398800</v>
      </c>
      <c r="AO4" s="11">
        <f t="shared" si="3"/>
        <v>5363452183</v>
      </c>
      <c r="AP4" s="11">
        <f t="shared" si="3"/>
        <v>5426661703</v>
      </c>
      <c r="AQ4" s="11">
        <f t="shared" si="3"/>
        <v>5489388501</v>
      </c>
      <c r="AR4" s="11">
        <f t="shared" si="3"/>
        <v>5550522715</v>
      </c>
      <c r="AS4" s="11">
        <f t="shared" si="3"/>
        <v>5613438752</v>
      </c>
      <c r="AT4" s="11">
        <f t="shared" si="3"/>
        <v>5677134940</v>
      </c>
      <c r="AU4" s="11">
        <f t="shared" si="3"/>
        <v>5741613376</v>
      </c>
      <c r="AV4" s="11">
        <f t="shared" si="3"/>
        <v>5806231364</v>
      </c>
      <c r="AW4" s="11">
        <f t="shared" si="3"/>
        <v>5871695058</v>
      </c>
      <c r="AX4" s="11">
        <f t="shared" si="3"/>
        <v>5936872669</v>
      </c>
      <c r="AY4" s="11">
        <f t="shared" si="3"/>
        <v>6000198990</v>
      </c>
      <c r="AZ4" s="11">
        <f t="shared" si="3"/>
        <v>6061860387</v>
      </c>
      <c r="BA4" s="11"/>
      <c r="BB4" s="11"/>
      <c r="BC4" s="11"/>
      <c r="BD4" s="11"/>
      <c r="BE4" s="11"/>
      <c r="BF4" s="11"/>
      <c r="BG4" s="11"/>
      <c r="BH4" s="11"/>
      <c r="BI4" s="11"/>
    </row>
    <row r="5" spans="1:61" x14ac:dyDescent="0.45">
      <c r="C5" s="15">
        <f>SUM(C1:C3)</f>
        <v>2902703374</v>
      </c>
      <c r="D5" s="15">
        <f t="shared" ref="D5:AZ5" si="4">SUM(D1:D3)</f>
        <v>2966171946</v>
      </c>
      <c r="E5" s="15">
        <f t="shared" si="4"/>
        <v>3028017884</v>
      </c>
      <c r="F5" s="15">
        <f t="shared" si="4"/>
        <v>3088727394</v>
      </c>
      <c r="G5" s="15">
        <f t="shared" si="4"/>
        <v>3149941145</v>
      </c>
      <c r="H5" s="15">
        <f t="shared" si="4"/>
        <v>3209337760</v>
      </c>
      <c r="I5" s="15">
        <f t="shared" si="4"/>
        <v>3266709649</v>
      </c>
      <c r="J5" s="15">
        <f t="shared" si="4"/>
        <v>3323892378</v>
      </c>
      <c r="K5" s="15">
        <f t="shared" si="4"/>
        <v>3382221976</v>
      </c>
      <c r="L5" s="15">
        <f t="shared" si="4"/>
        <v>3441975281</v>
      </c>
      <c r="M5" s="15">
        <f t="shared" si="4"/>
        <v>3502132826</v>
      </c>
      <c r="N5" s="15">
        <f t="shared" si="4"/>
        <v>3563825861</v>
      </c>
      <c r="O5" s="15">
        <f t="shared" si="4"/>
        <v>3628208531</v>
      </c>
      <c r="P5" s="15">
        <f t="shared" si="4"/>
        <v>3692979929</v>
      </c>
      <c r="Q5" s="15">
        <f t="shared" si="4"/>
        <v>3756999194</v>
      </c>
      <c r="R5" s="15">
        <f t="shared" si="4"/>
        <v>3822345078</v>
      </c>
      <c r="S5" s="15">
        <f t="shared" si="4"/>
        <v>3890073424</v>
      </c>
      <c r="T5" s="15">
        <f t="shared" si="4"/>
        <v>3959811601</v>
      </c>
      <c r="U5" s="15">
        <f t="shared" si="4"/>
        <v>4030453255</v>
      </c>
      <c r="V5" s="15">
        <f t="shared" si="4"/>
        <v>4101312301</v>
      </c>
      <c r="W5" s="15">
        <f t="shared" si="4"/>
        <v>4172323512</v>
      </c>
      <c r="X5" s="15">
        <f t="shared" si="4"/>
        <v>4243084425</v>
      </c>
      <c r="Y5" s="15">
        <f t="shared" si="4"/>
        <v>4312281079</v>
      </c>
      <c r="Z5" s="15">
        <f t="shared" si="4"/>
        <v>4380427445</v>
      </c>
      <c r="AA5" s="15">
        <f t="shared" si="4"/>
        <v>4448391798</v>
      </c>
      <c r="AB5" s="15">
        <f t="shared" si="4"/>
        <v>4516324194</v>
      </c>
      <c r="AC5" s="15">
        <f t="shared" si="4"/>
        <v>4584227293</v>
      </c>
      <c r="AD5" s="15">
        <f t="shared" si="4"/>
        <v>4652305170</v>
      </c>
      <c r="AE5" s="15">
        <f t="shared" si="4"/>
        <v>4719716182</v>
      </c>
      <c r="AF5" s="15">
        <f t="shared" si="4"/>
        <v>4786108504</v>
      </c>
      <c r="AG5" s="15">
        <f t="shared" si="4"/>
        <v>4851887572</v>
      </c>
      <c r="AH5" s="15">
        <f t="shared" si="4"/>
        <v>4916959351</v>
      </c>
      <c r="AI5" s="15">
        <f t="shared" si="4"/>
        <v>4981362673</v>
      </c>
      <c r="AJ5" s="15">
        <f t="shared" si="4"/>
        <v>5045024752</v>
      </c>
      <c r="AK5" s="15">
        <f t="shared" si="4"/>
        <v>5108552241</v>
      </c>
      <c r="AL5" s="15">
        <f t="shared" si="4"/>
        <v>5172133055</v>
      </c>
      <c r="AM5" s="15">
        <f t="shared" si="4"/>
        <v>5235853231</v>
      </c>
      <c r="AN5" s="15">
        <f t="shared" si="4"/>
        <v>5299398800</v>
      </c>
      <c r="AO5" s="15">
        <f t="shared" si="4"/>
        <v>5363452183</v>
      </c>
      <c r="AP5" s="15">
        <f t="shared" si="4"/>
        <v>5426661703</v>
      </c>
      <c r="AQ5" s="15">
        <f t="shared" si="4"/>
        <v>5489388501</v>
      </c>
      <c r="AR5" s="15">
        <f t="shared" si="4"/>
        <v>5550522715</v>
      </c>
      <c r="AS5" s="15">
        <f t="shared" si="4"/>
        <v>5613438752</v>
      </c>
      <c r="AT5" s="15">
        <f t="shared" si="4"/>
        <v>5677134940</v>
      </c>
      <c r="AU5" s="15">
        <f t="shared" si="4"/>
        <v>5741613376</v>
      </c>
      <c r="AV5" s="15">
        <f t="shared" si="4"/>
        <v>5806231364</v>
      </c>
      <c r="AW5" s="15">
        <f t="shared" si="4"/>
        <v>5871695058</v>
      </c>
      <c r="AX5" s="15">
        <f t="shared" si="4"/>
        <v>5936872669</v>
      </c>
      <c r="AY5" s="15">
        <f t="shared" si="4"/>
        <v>6000198990</v>
      </c>
      <c r="AZ5" s="15">
        <f t="shared" si="4"/>
        <v>6061860387</v>
      </c>
      <c r="BA5" s="11"/>
      <c r="BB5" s="11"/>
      <c r="BC5" s="11"/>
      <c r="BD5" s="11"/>
      <c r="BE5" s="11"/>
      <c r="BF5" s="11"/>
      <c r="BG5" s="11"/>
      <c r="BH5" s="11"/>
      <c r="BI5" s="11"/>
    </row>
    <row r="6" spans="1:61" x14ac:dyDescent="0.45">
      <c r="A6" s="9" t="s">
        <v>25</v>
      </c>
      <c r="B6" t="s" vm="2">
        <v>84</v>
      </c>
    </row>
    <row r="7" spans="1:61" x14ac:dyDescent="0.45">
      <c r="A7" s="9" t="s">
        <v>30</v>
      </c>
      <c r="B7" t="s" vm="1">
        <v>26</v>
      </c>
    </row>
    <row r="8" spans="1:61" x14ac:dyDescent="0.45">
      <c r="A8" s="9" t="s">
        <v>86</v>
      </c>
      <c r="B8" t="s" vm="3">
        <v>85</v>
      </c>
      <c r="E8" s="11"/>
      <c r="F8" s="11"/>
      <c r="G8" s="11"/>
      <c r="H8" s="11"/>
      <c r="I8" s="11"/>
      <c r="J8" s="11"/>
      <c r="K8" s="11"/>
      <c r="L8" s="11"/>
      <c r="M8" s="11"/>
    </row>
    <row r="9" spans="1:61" x14ac:dyDescent="0.45">
      <c r="A9" s="9" t="s">
        <v>169</v>
      </c>
      <c r="B9" t="s" vm="2268">
        <v>170</v>
      </c>
    </row>
    <row r="11" spans="1:61" x14ac:dyDescent="0.45">
      <c r="A11" s="9" t="s">
        <v>82</v>
      </c>
      <c r="C11" s="9" t="s">
        <v>171</v>
      </c>
    </row>
    <row r="12" spans="1:61" x14ac:dyDescent="0.45">
      <c r="A12" s="9" t="s">
        <v>172</v>
      </c>
      <c r="B12" s="9" t="s">
        <v>173</v>
      </c>
      <c r="C12" t="s">
        <v>32</v>
      </c>
      <c r="D12" t="s">
        <v>33</v>
      </c>
      <c r="E12" t="s">
        <v>34</v>
      </c>
      <c r="F12" t="s">
        <v>35</v>
      </c>
      <c r="G12" t="s">
        <v>36</v>
      </c>
      <c r="H12" t="s">
        <v>37</v>
      </c>
      <c r="I12" t="s">
        <v>38</v>
      </c>
      <c r="J12" t="s">
        <v>39</v>
      </c>
      <c r="K12" t="s">
        <v>40</v>
      </c>
      <c r="L12" t="s">
        <v>41</v>
      </c>
      <c r="M12" t="s">
        <v>42</v>
      </c>
      <c r="N12" t="s">
        <v>43</v>
      </c>
      <c r="O12" t="s">
        <v>44</v>
      </c>
      <c r="P12" t="s">
        <v>45</v>
      </c>
      <c r="Q12" t="s">
        <v>46</v>
      </c>
      <c r="R12" t="s">
        <v>47</v>
      </c>
      <c r="S12" t="s">
        <v>48</v>
      </c>
      <c r="T12" t="s">
        <v>49</v>
      </c>
      <c r="U12" t="s">
        <v>50</v>
      </c>
      <c r="V12" t="s">
        <v>51</v>
      </c>
      <c r="W12" t="s">
        <v>52</v>
      </c>
      <c r="X12" t="s">
        <v>53</v>
      </c>
      <c r="Y12" t="s">
        <v>54</v>
      </c>
      <c r="Z12" t="s">
        <v>55</v>
      </c>
      <c r="AA12" t="s">
        <v>56</v>
      </c>
      <c r="AB12" t="s">
        <v>57</v>
      </c>
      <c r="AC12" t="s">
        <v>58</v>
      </c>
      <c r="AD12" t="s">
        <v>59</v>
      </c>
      <c r="AE12" t="s">
        <v>60</v>
      </c>
      <c r="AF12" t="s">
        <v>61</v>
      </c>
      <c r="AG12" t="s">
        <v>62</v>
      </c>
      <c r="AH12" t="s">
        <v>63</v>
      </c>
      <c r="AI12" t="s">
        <v>64</v>
      </c>
      <c r="AJ12" t="s">
        <v>65</v>
      </c>
      <c r="AK12" t="s">
        <v>66</v>
      </c>
      <c r="AL12" t="s">
        <v>67</v>
      </c>
      <c r="AM12" t="s">
        <v>68</v>
      </c>
      <c r="AN12" t="s">
        <v>69</v>
      </c>
      <c r="AO12" t="s">
        <v>70</v>
      </c>
      <c r="AP12" t="s">
        <v>71</v>
      </c>
      <c r="AQ12" t="s">
        <v>72</v>
      </c>
      <c r="AR12" t="s">
        <v>73</v>
      </c>
      <c r="AS12" t="s">
        <v>74</v>
      </c>
      <c r="AT12" t="s">
        <v>75</v>
      </c>
      <c r="AU12" t="s">
        <v>76</v>
      </c>
      <c r="AV12" t="s">
        <v>77</v>
      </c>
      <c r="AW12" t="s">
        <v>78</v>
      </c>
      <c r="AX12" t="s">
        <v>79</v>
      </c>
      <c r="AY12" t="s">
        <v>80</v>
      </c>
      <c r="AZ12" t="s">
        <v>81</v>
      </c>
    </row>
    <row r="13" spans="1:61" x14ac:dyDescent="0.45">
      <c r="A13" t="s">
        <v>27</v>
      </c>
      <c r="C13" s="10">
        <v>818315008</v>
      </c>
      <c r="D13" s="10">
        <v>841105024</v>
      </c>
      <c r="E13" s="10">
        <v>862030016</v>
      </c>
      <c r="F13" s="10">
        <v>881939968</v>
      </c>
      <c r="G13" s="10">
        <v>900350016</v>
      </c>
      <c r="H13" s="10">
        <v>916395008</v>
      </c>
      <c r="I13" s="10">
        <v>930684992</v>
      </c>
      <c r="J13" s="10">
        <v>943454976</v>
      </c>
      <c r="K13" s="10">
        <v>956164992</v>
      </c>
      <c r="L13" s="10">
        <v>969004992</v>
      </c>
      <c r="M13" s="10">
        <v>981235008</v>
      </c>
      <c r="N13" s="10">
        <v>993884992</v>
      </c>
      <c r="O13" s="10">
        <v>1008630016</v>
      </c>
      <c r="P13" s="10">
        <v>1023310016</v>
      </c>
      <c r="Q13" s="10">
        <v>1036825024</v>
      </c>
      <c r="R13" s="10">
        <v>1051040000</v>
      </c>
      <c r="S13" s="10">
        <v>1066790016</v>
      </c>
      <c r="T13" s="10">
        <v>1084034944</v>
      </c>
      <c r="U13" s="10">
        <v>1101629952</v>
      </c>
      <c r="V13" s="10">
        <v>1118649984</v>
      </c>
      <c r="W13" s="10">
        <v>1135185024</v>
      </c>
      <c r="X13" s="10">
        <v>1150780032</v>
      </c>
      <c r="Y13" s="10">
        <v>1164969984</v>
      </c>
      <c r="Z13" s="10">
        <v>1178439936</v>
      </c>
      <c r="AA13" s="10">
        <v>1191835008</v>
      </c>
      <c r="AB13" s="10">
        <v>1204855040</v>
      </c>
      <c r="AC13" s="10">
        <v>1217549952</v>
      </c>
      <c r="AD13" s="10">
        <v>1230075008</v>
      </c>
      <c r="AE13" s="10">
        <v>1241934976</v>
      </c>
      <c r="AF13" s="10">
        <v>1252734976</v>
      </c>
      <c r="AG13" s="10">
        <v>1262644992</v>
      </c>
      <c r="AH13" s="10">
        <v>1271849984</v>
      </c>
      <c r="AI13" s="10">
        <v>1280400000</v>
      </c>
      <c r="AJ13" s="10">
        <v>1288400000</v>
      </c>
      <c r="AK13" s="10">
        <v>1296075008</v>
      </c>
      <c r="AL13" s="10">
        <v>1303719936</v>
      </c>
      <c r="AM13" s="10">
        <v>1311020032</v>
      </c>
      <c r="AN13" s="10">
        <v>1317885056</v>
      </c>
      <c r="AO13" s="10">
        <v>1324654976</v>
      </c>
      <c r="AP13" s="10">
        <v>1331260032</v>
      </c>
      <c r="AQ13" s="10">
        <v>1337704960</v>
      </c>
      <c r="AR13" s="10">
        <v>1344130048</v>
      </c>
      <c r="AS13" s="10">
        <v>1350695040</v>
      </c>
      <c r="AT13" s="10">
        <v>1357379968</v>
      </c>
      <c r="AU13" s="10">
        <v>1364269952</v>
      </c>
      <c r="AV13" s="10">
        <v>1371219968</v>
      </c>
      <c r="AW13" s="10">
        <v>1378664960</v>
      </c>
      <c r="AX13" s="10">
        <v>1386395008</v>
      </c>
      <c r="AY13" s="10">
        <v>1392729984</v>
      </c>
      <c r="AZ13" s="10">
        <v>1397714944</v>
      </c>
    </row>
    <row r="14" spans="1:61" x14ac:dyDescent="0.45">
      <c r="A14" t="s">
        <v>28</v>
      </c>
      <c r="B14" t="s">
        <v>203</v>
      </c>
      <c r="C14" s="10">
        <v>24276</v>
      </c>
      <c r="D14" s="10">
        <v>25559</v>
      </c>
      <c r="E14" s="10">
        <v>26892</v>
      </c>
      <c r="F14" s="10">
        <v>28232</v>
      </c>
      <c r="G14" s="10">
        <v>29520</v>
      </c>
      <c r="H14" s="10">
        <v>30705</v>
      </c>
      <c r="I14" s="10">
        <v>31777</v>
      </c>
      <c r="J14" s="10">
        <v>32771</v>
      </c>
      <c r="K14" s="10">
        <v>33737</v>
      </c>
      <c r="L14" s="10">
        <v>34818</v>
      </c>
      <c r="M14" s="10">
        <v>36067</v>
      </c>
      <c r="N14" s="10">
        <v>37500</v>
      </c>
      <c r="O14" s="10">
        <v>39114</v>
      </c>
      <c r="P14" s="10">
        <v>40867</v>
      </c>
      <c r="Q14" s="10">
        <v>42706</v>
      </c>
      <c r="R14" s="10">
        <v>44600</v>
      </c>
      <c r="S14" s="10">
        <v>46517</v>
      </c>
      <c r="T14" s="10">
        <v>48455</v>
      </c>
      <c r="U14" s="10">
        <v>50434</v>
      </c>
      <c r="V14" s="10">
        <v>52448</v>
      </c>
      <c r="W14" s="10">
        <v>54509</v>
      </c>
      <c r="X14" s="10">
        <v>56671</v>
      </c>
      <c r="Y14" s="10">
        <v>58888</v>
      </c>
      <c r="Z14" s="10">
        <v>60971</v>
      </c>
      <c r="AA14" s="10">
        <v>62677</v>
      </c>
      <c r="AB14" s="10">
        <v>63850</v>
      </c>
      <c r="AC14" s="10">
        <v>64360</v>
      </c>
      <c r="AD14" s="10">
        <v>64327</v>
      </c>
      <c r="AE14" s="10">
        <v>64142</v>
      </c>
      <c r="AF14" s="10">
        <v>64370</v>
      </c>
      <c r="AG14" s="10">
        <v>65390</v>
      </c>
      <c r="AH14" s="10">
        <v>67341</v>
      </c>
      <c r="AI14" s="10">
        <v>70049</v>
      </c>
      <c r="AJ14" s="10">
        <v>73182</v>
      </c>
      <c r="AK14" s="10">
        <v>76244</v>
      </c>
      <c r="AL14" s="10">
        <v>78867</v>
      </c>
      <c r="AM14" s="10">
        <v>80993</v>
      </c>
      <c r="AN14" s="10">
        <v>82684</v>
      </c>
      <c r="AO14" s="10">
        <v>83862</v>
      </c>
      <c r="AP14" s="10">
        <v>84463</v>
      </c>
      <c r="AQ14" s="10">
        <v>84449</v>
      </c>
      <c r="AR14" s="10">
        <v>83747</v>
      </c>
      <c r="AS14" s="10">
        <v>82427</v>
      </c>
      <c r="AT14" s="10">
        <v>80774</v>
      </c>
      <c r="AU14" s="10">
        <v>79213</v>
      </c>
      <c r="AV14" s="10">
        <v>78011</v>
      </c>
      <c r="AW14" s="10">
        <v>77297</v>
      </c>
      <c r="AX14" s="10">
        <v>77001</v>
      </c>
      <c r="AY14" s="10">
        <v>77006</v>
      </c>
      <c r="AZ14" s="10">
        <v>77142</v>
      </c>
    </row>
    <row r="15" spans="1:61" x14ac:dyDescent="0.45">
      <c r="B15" t="s">
        <v>87</v>
      </c>
      <c r="C15" s="10">
        <v>12507000</v>
      </c>
      <c r="D15" s="10">
        <v>12937000</v>
      </c>
      <c r="E15" s="10">
        <v>13177000</v>
      </c>
      <c r="F15" s="10">
        <v>13380000</v>
      </c>
      <c r="G15" s="10">
        <v>13723000</v>
      </c>
      <c r="H15" s="10">
        <v>13893000</v>
      </c>
      <c r="I15" s="10">
        <v>14033000</v>
      </c>
      <c r="J15" s="10">
        <v>14192000</v>
      </c>
      <c r="K15" s="10">
        <v>14358000</v>
      </c>
      <c r="L15" s="10">
        <v>14514000</v>
      </c>
      <c r="M15" s="10">
        <v>14692000</v>
      </c>
      <c r="N15" s="10">
        <v>14927000</v>
      </c>
      <c r="O15" s="10">
        <v>15178000</v>
      </c>
      <c r="P15" s="10">
        <v>15369000</v>
      </c>
      <c r="Q15" s="10">
        <v>15544000</v>
      </c>
      <c r="R15" s="10">
        <v>15758000</v>
      </c>
      <c r="S15" s="10">
        <v>16018400</v>
      </c>
      <c r="T15" s="10">
        <v>16263900</v>
      </c>
      <c r="U15" s="10">
        <v>16532200</v>
      </c>
      <c r="V15" s="10">
        <v>16814400</v>
      </c>
      <c r="W15" s="10">
        <v>17065100</v>
      </c>
      <c r="X15" s="10">
        <v>17284000</v>
      </c>
      <c r="Y15" s="10">
        <v>17495000</v>
      </c>
      <c r="Z15" s="10">
        <v>17667000</v>
      </c>
      <c r="AA15" s="10">
        <v>17855000</v>
      </c>
      <c r="AB15" s="10">
        <v>18072000</v>
      </c>
      <c r="AC15" s="10">
        <v>18311000</v>
      </c>
      <c r="AD15" s="10">
        <v>18517000</v>
      </c>
      <c r="AE15" s="10">
        <v>18711000</v>
      </c>
      <c r="AF15" s="10">
        <v>18926000</v>
      </c>
      <c r="AG15" s="10">
        <v>19153000</v>
      </c>
      <c r="AH15" s="10">
        <v>19413000</v>
      </c>
      <c r="AI15" s="10">
        <v>19651400</v>
      </c>
      <c r="AJ15" s="10">
        <v>19895400</v>
      </c>
      <c r="AK15" s="10">
        <v>20127400</v>
      </c>
      <c r="AL15" s="10">
        <v>20394800</v>
      </c>
      <c r="AM15" s="10">
        <v>20697900</v>
      </c>
      <c r="AN15" s="10">
        <v>20827600</v>
      </c>
      <c r="AO15" s="10">
        <v>21249200</v>
      </c>
      <c r="AP15" s="10">
        <v>21691700</v>
      </c>
      <c r="AQ15" s="10">
        <v>22031750</v>
      </c>
      <c r="AR15" s="10">
        <v>22340024</v>
      </c>
      <c r="AS15" s="10">
        <v>22733464</v>
      </c>
      <c r="AT15" s="10">
        <v>23128128</v>
      </c>
      <c r="AU15" s="10">
        <v>23475686</v>
      </c>
      <c r="AV15" s="10">
        <v>23815996</v>
      </c>
      <c r="AW15" s="10">
        <v>24190908</v>
      </c>
      <c r="AX15" s="10">
        <v>24601860</v>
      </c>
      <c r="AY15" s="10">
        <v>24982688</v>
      </c>
      <c r="AZ15" s="10">
        <v>25364308</v>
      </c>
    </row>
    <row r="16" spans="1:61" x14ac:dyDescent="0.45">
      <c r="B16" t="s">
        <v>88</v>
      </c>
      <c r="C16" s="10">
        <v>7467086</v>
      </c>
      <c r="D16" s="10">
        <v>7500482</v>
      </c>
      <c r="E16" s="10">
        <v>7544201</v>
      </c>
      <c r="F16" s="10">
        <v>7586115</v>
      </c>
      <c r="G16" s="10">
        <v>7599038</v>
      </c>
      <c r="H16" s="10">
        <v>7578903</v>
      </c>
      <c r="I16" s="10">
        <v>7565525</v>
      </c>
      <c r="J16" s="10">
        <v>7568430</v>
      </c>
      <c r="K16" s="10">
        <v>7562305</v>
      </c>
      <c r="L16" s="10">
        <v>7549425</v>
      </c>
      <c r="M16" s="10">
        <v>7549433</v>
      </c>
      <c r="N16" s="10">
        <v>7568710</v>
      </c>
      <c r="O16" s="10">
        <v>7574140</v>
      </c>
      <c r="P16" s="10">
        <v>7561910</v>
      </c>
      <c r="Q16" s="10">
        <v>7561434</v>
      </c>
      <c r="R16" s="10">
        <v>7564985</v>
      </c>
      <c r="S16" s="10">
        <v>7569794</v>
      </c>
      <c r="T16" s="10">
        <v>7574586</v>
      </c>
      <c r="U16" s="10">
        <v>7585317</v>
      </c>
      <c r="V16" s="10">
        <v>7619567</v>
      </c>
      <c r="W16" s="10">
        <v>7677850</v>
      </c>
      <c r="X16" s="10">
        <v>7754891</v>
      </c>
      <c r="Y16" s="10">
        <v>7840709</v>
      </c>
      <c r="Z16" s="10">
        <v>7905633</v>
      </c>
      <c r="AA16" s="10">
        <v>7936118</v>
      </c>
      <c r="AB16" s="10">
        <v>7948278</v>
      </c>
      <c r="AC16" s="10">
        <v>7959017</v>
      </c>
      <c r="AD16" s="10">
        <v>7968041</v>
      </c>
      <c r="AE16" s="10">
        <v>7976789</v>
      </c>
      <c r="AF16" s="10">
        <v>7992324</v>
      </c>
      <c r="AG16" s="10">
        <v>8011566</v>
      </c>
      <c r="AH16" s="10">
        <v>8042293</v>
      </c>
      <c r="AI16" s="10">
        <v>8081957</v>
      </c>
      <c r="AJ16" s="10">
        <v>8121423</v>
      </c>
      <c r="AK16" s="10">
        <v>8171966</v>
      </c>
      <c r="AL16" s="10">
        <v>8227829</v>
      </c>
      <c r="AM16" s="10">
        <v>8268641</v>
      </c>
      <c r="AN16" s="10">
        <v>8295487</v>
      </c>
      <c r="AO16" s="10">
        <v>8321496</v>
      </c>
      <c r="AP16" s="10">
        <v>8343323</v>
      </c>
      <c r="AQ16" s="10">
        <v>8363404</v>
      </c>
      <c r="AR16" s="10">
        <v>8391643</v>
      </c>
      <c r="AS16" s="10">
        <v>8429991</v>
      </c>
      <c r="AT16" s="10">
        <v>8479823</v>
      </c>
      <c r="AU16" s="10">
        <v>8546356</v>
      </c>
      <c r="AV16" s="10">
        <v>8642699</v>
      </c>
      <c r="AW16" s="10">
        <v>8736668</v>
      </c>
      <c r="AX16" s="10">
        <v>8797566</v>
      </c>
      <c r="AY16" s="10">
        <v>8840521</v>
      </c>
      <c r="AZ16" s="10">
        <v>8877067</v>
      </c>
    </row>
    <row r="17" spans="2:52" x14ac:dyDescent="0.45">
      <c r="B17" t="s">
        <v>89</v>
      </c>
      <c r="C17" s="10">
        <v>9655549</v>
      </c>
      <c r="D17" s="10">
        <v>9673162</v>
      </c>
      <c r="E17" s="10">
        <v>9711115</v>
      </c>
      <c r="F17" s="10">
        <v>9741720</v>
      </c>
      <c r="G17" s="10">
        <v>9772419</v>
      </c>
      <c r="H17" s="10">
        <v>9800700</v>
      </c>
      <c r="I17" s="10">
        <v>9818227</v>
      </c>
      <c r="J17" s="10">
        <v>9830358</v>
      </c>
      <c r="K17" s="10">
        <v>9839534</v>
      </c>
      <c r="L17" s="10">
        <v>9848382</v>
      </c>
      <c r="M17" s="10">
        <v>9859242</v>
      </c>
      <c r="N17" s="10">
        <v>9858982</v>
      </c>
      <c r="O17" s="10">
        <v>9856303</v>
      </c>
      <c r="P17" s="10">
        <v>9855520</v>
      </c>
      <c r="Q17" s="10">
        <v>9855372</v>
      </c>
      <c r="R17" s="10">
        <v>9858308</v>
      </c>
      <c r="S17" s="10">
        <v>9861823</v>
      </c>
      <c r="T17" s="10">
        <v>9870234</v>
      </c>
      <c r="U17" s="10">
        <v>9901664</v>
      </c>
      <c r="V17" s="10">
        <v>9937697</v>
      </c>
      <c r="W17" s="10">
        <v>9967379</v>
      </c>
      <c r="X17" s="10">
        <v>10004486</v>
      </c>
      <c r="Y17" s="10">
        <v>10045158</v>
      </c>
      <c r="Z17" s="10">
        <v>10084475</v>
      </c>
      <c r="AA17" s="10">
        <v>10115603</v>
      </c>
      <c r="AB17" s="10">
        <v>10136811</v>
      </c>
      <c r="AC17" s="10">
        <v>10156637</v>
      </c>
      <c r="AD17" s="10">
        <v>10181245</v>
      </c>
      <c r="AE17" s="10">
        <v>10203008</v>
      </c>
      <c r="AF17" s="10">
        <v>10226419</v>
      </c>
      <c r="AG17" s="10">
        <v>10251250</v>
      </c>
      <c r="AH17" s="10">
        <v>10286570</v>
      </c>
      <c r="AI17" s="10">
        <v>10332785</v>
      </c>
      <c r="AJ17" s="10">
        <v>10376133</v>
      </c>
      <c r="AK17" s="10">
        <v>10421137</v>
      </c>
      <c r="AL17" s="10">
        <v>10478617</v>
      </c>
      <c r="AM17" s="10">
        <v>10547958</v>
      </c>
      <c r="AN17" s="10">
        <v>10625700</v>
      </c>
      <c r="AO17" s="10">
        <v>10709973</v>
      </c>
      <c r="AP17" s="10">
        <v>10796493</v>
      </c>
      <c r="AQ17" s="10">
        <v>10895586</v>
      </c>
      <c r="AR17" s="10">
        <v>11038264</v>
      </c>
      <c r="AS17" s="10">
        <v>11106932</v>
      </c>
      <c r="AT17" s="10">
        <v>11159407</v>
      </c>
      <c r="AU17" s="10">
        <v>11209057</v>
      </c>
      <c r="AV17" s="10">
        <v>11274196</v>
      </c>
      <c r="AW17" s="10">
        <v>11331422</v>
      </c>
      <c r="AX17" s="10">
        <v>11375158</v>
      </c>
      <c r="AY17" s="10">
        <v>11427054</v>
      </c>
      <c r="AZ17" s="10">
        <v>11484055</v>
      </c>
    </row>
    <row r="18" spans="2:52" x14ac:dyDescent="0.45">
      <c r="B18" t="s">
        <v>204</v>
      </c>
      <c r="C18" s="10">
        <v>21324000</v>
      </c>
      <c r="D18" s="10">
        <v>21962032</v>
      </c>
      <c r="E18" s="10">
        <v>22218464</v>
      </c>
      <c r="F18" s="10">
        <v>22491776</v>
      </c>
      <c r="G18" s="10">
        <v>22807968</v>
      </c>
      <c r="H18" s="10">
        <v>23143276</v>
      </c>
      <c r="I18" s="10">
        <v>23449808</v>
      </c>
      <c r="J18" s="10">
        <v>23725844</v>
      </c>
      <c r="K18" s="10">
        <v>23963204</v>
      </c>
      <c r="L18" s="10">
        <v>24201544</v>
      </c>
      <c r="M18" s="10">
        <v>24515668</v>
      </c>
      <c r="N18" s="10">
        <v>24819916</v>
      </c>
      <c r="O18" s="10">
        <v>25116942</v>
      </c>
      <c r="P18" s="10">
        <v>25366452</v>
      </c>
      <c r="Q18" s="10">
        <v>25607052</v>
      </c>
      <c r="R18" s="10">
        <v>25842116</v>
      </c>
      <c r="S18" s="10">
        <v>26100278</v>
      </c>
      <c r="T18" s="10">
        <v>26446600</v>
      </c>
      <c r="U18" s="10">
        <v>26791748</v>
      </c>
      <c r="V18" s="10">
        <v>27276780</v>
      </c>
      <c r="W18" s="10">
        <v>27691138</v>
      </c>
      <c r="X18" s="10">
        <v>28037420</v>
      </c>
      <c r="Y18" s="10">
        <v>28371264</v>
      </c>
      <c r="Z18" s="10">
        <v>28684764</v>
      </c>
      <c r="AA18" s="10">
        <v>29000664</v>
      </c>
      <c r="AB18" s="10">
        <v>29302312</v>
      </c>
      <c r="AC18" s="10">
        <v>29610218</v>
      </c>
      <c r="AD18" s="10">
        <v>29905948</v>
      </c>
      <c r="AE18" s="10">
        <v>30155172</v>
      </c>
      <c r="AF18" s="10">
        <v>30401286</v>
      </c>
      <c r="AG18" s="10">
        <v>30685730</v>
      </c>
      <c r="AH18" s="10">
        <v>31020902</v>
      </c>
      <c r="AI18" s="10">
        <v>31360080</v>
      </c>
      <c r="AJ18" s="10">
        <v>31644028</v>
      </c>
      <c r="AK18" s="10">
        <v>31940656</v>
      </c>
      <c r="AL18" s="10">
        <v>32243752</v>
      </c>
      <c r="AM18" s="10">
        <v>32571174</v>
      </c>
      <c r="AN18" s="10">
        <v>32889024</v>
      </c>
      <c r="AO18" s="10">
        <v>33247118</v>
      </c>
      <c r="AP18" s="10">
        <v>33628896</v>
      </c>
      <c r="AQ18" s="10">
        <v>34004888</v>
      </c>
      <c r="AR18" s="10">
        <v>34339328</v>
      </c>
      <c r="AS18" s="10">
        <v>34714224</v>
      </c>
      <c r="AT18" s="10">
        <v>35082952</v>
      </c>
      <c r="AU18" s="10">
        <v>35437436</v>
      </c>
      <c r="AV18" s="10">
        <v>35702908</v>
      </c>
      <c r="AW18" s="10">
        <v>36109488</v>
      </c>
      <c r="AX18" s="10">
        <v>36543320</v>
      </c>
      <c r="AY18" s="10">
        <v>37057764</v>
      </c>
      <c r="AZ18" s="10">
        <v>37589264</v>
      </c>
    </row>
    <row r="19" spans="2:52" x14ac:dyDescent="0.45">
      <c r="B19" t="s">
        <v>205</v>
      </c>
      <c r="C19" s="10">
        <v>4928757</v>
      </c>
      <c r="D19" s="10">
        <v>4963126</v>
      </c>
      <c r="E19" s="10">
        <v>4991596</v>
      </c>
      <c r="F19" s="10">
        <v>5021861</v>
      </c>
      <c r="G19" s="10">
        <v>5045297</v>
      </c>
      <c r="H19" s="10">
        <v>5059862</v>
      </c>
      <c r="I19" s="10">
        <v>5072596</v>
      </c>
      <c r="J19" s="10">
        <v>5088419</v>
      </c>
      <c r="K19" s="10">
        <v>5104248</v>
      </c>
      <c r="L19" s="10">
        <v>5116801</v>
      </c>
      <c r="M19" s="10">
        <v>5123027</v>
      </c>
      <c r="N19" s="10">
        <v>5121572</v>
      </c>
      <c r="O19" s="10">
        <v>5117810</v>
      </c>
      <c r="P19" s="10">
        <v>5114297</v>
      </c>
      <c r="Q19" s="10">
        <v>5111619</v>
      </c>
      <c r="R19" s="10">
        <v>5113691</v>
      </c>
      <c r="S19" s="10">
        <v>5120534</v>
      </c>
      <c r="T19" s="10">
        <v>5127024</v>
      </c>
      <c r="U19" s="10">
        <v>5129516</v>
      </c>
      <c r="V19" s="10">
        <v>5132594</v>
      </c>
      <c r="W19" s="10">
        <v>5140939</v>
      </c>
      <c r="X19" s="10">
        <v>5154298</v>
      </c>
      <c r="Y19" s="10">
        <v>5171370</v>
      </c>
      <c r="Z19" s="10">
        <v>5188628</v>
      </c>
      <c r="AA19" s="10">
        <v>5206180</v>
      </c>
      <c r="AB19" s="10">
        <v>5233373</v>
      </c>
      <c r="AC19" s="10">
        <v>5263074</v>
      </c>
      <c r="AD19" s="10">
        <v>5284991</v>
      </c>
      <c r="AE19" s="10">
        <v>5304219</v>
      </c>
      <c r="AF19" s="10">
        <v>5321799</v>
      </c>
      <c r="AG19" s="10">
        <v>5339616</v>
      </c>
      <c r="AH19" s="10">
        <v>5358783</v>
      </c>
      <c r="AI19" s="10">
        <v>5375931</v>
      </c>
      <c r="AJ19" s="10">
        <v>5390574</v>
      </c>
      <c r="AK19" s="10">
        <v>5404523</v>
      </c>
      <c r="AL19" s="10">
        <v>5419432</v>
      </c>
      <c r="AM19" s="10">
        <v>5437272</v>
      </c>
      <c r="AN19" s="10">
        <v>5461438</v>
      </c>
      <c r="AO19" s="10">
        <v>5493621</v>
      </c>
      <c r="AP19" s="10">
        <v>5523095</v>
      </c>
      <c r="AQ19" s="10">
        <v>5547683</v>
      </c>
      <c r="AR19" s="10">
        <v>5570572</v>
      </c>
      <c r="AS19" s="10">
        <v>5591572</v>
      </c>
      <c r="AT19" s="10">
        <v>5614932</v>
      </c>
      <c r="AU19" s="10">
        <v>5643475</v>
      </c>
      <c r="AV19" s="10">
        <v>5683483</v>
      </c>
      <c r="AW19" s="10">
        <v>5728010</v>
      </c>
      <c r="AX19" s="10">
        <v>5764980</v>
      </c>
      <c r="AY19" s="10">
        <v>5793636</v>
      </c>
      <c r="AZ19" s="10">
        <v>5818553</v>
      </c>
    </row>
    <row r="20" spans="2:52" x14ac:dyDescent="0.45">
      <c r="B20" t="s">
        <v>90</v>
      </c>
      <c r="C20" s="10">
        <v>4606307</v>
      </c>
      <c r="D20" s="10">
        <v>4612124</v>
      </c>
      <c r="E20" s="10">
        <v>4639657</v>
      </c>
      <c r="F20" s="10">
        <v>4666081</v>
      </c>
      <c r="G20" s="10">
        <v>4690574</v>
      </c>
      <c r="H20" s="10">
        <v>4711440</v>
      </c>
      <c r="I20" s="10">
        <v>4725664</v>
      </c>
      <c r="J20" s="10">
        <v>4738902</v>
      </c>
      <c r="K20" s="10">
        <v>4752528</v>
      </c>
      <c r="L20" s="10">
        <v>4764690</v>
      </c>
      <c r="M20" s="10">
        <v>4779535</v>
      </c>
      <c r="N20" s="10">
        <v>4799964</v>
      </c>
      <c r="O20" s="10">
        <v>4826933</v>
      </c>
      <c r="P20" s="10">
        <v>4855787</v>
      </c>
      <c r="Q20" s="10">
        <v>4881803</v>
      </c>
      <c r="R20" s="10">
        <v>4902206</v>
      </c>
      <c r="S20" s="10">
        <v>4918154</v>
      </c>
      <c r="T20" s="10">
        <v>4932123</v>
      </c>
      <c r="U20" s="10">
        <v>4946481</v>
      </c>
      <c r="V20" s="10">
        <v>4964371</v>
      </c>
      <c r="W20" s="10">
        <v>4986431</v>
      </c>
      <c r="X20" s="10">
        <v>5013740</v>
      </c>
      <c r="Y20" s="10">
        <v>5041992</v>
      </c>
      <c r="Z20" s="10">
        <v>5066447</v>
      </c>
      <c r="AA20" s="10">
        <v>5088333</v>
      </c>
      <c r="AB20" s="10">
        <v>5107790</v>
      </c>
      <c r="AC20" s="10">
        <v>5124573</v>
      </c>
      <c r="AD20" s="10">
        <v>5139835</v>
      </c>
      <c r="AE20" s="10">
        <v>5153498</v>
      </c>
      <c r="AF20" s="10">
        <v>5165474</v>
      </c>
      <c r="AG20" s="10">
        <v>5176209</v>
      </c>
      <c r="AH20" s="10">
        <v>5188008</v>
      </c>
      <c r="AI20" s="10">
        <v>5200598</v>
      </c>
      <c r="AJ20" s="10">
        <v>5213014</v>
      </c>
      <c r="AK20" s="10">
        <v>5228172</v>
      </c>
      <c r="AL20" s="10">
        <v>5246096</v>
      </c>
      <c r="AM20" s="10">
        <v>5266268</v>
      </c>
      <c r="AN20" s="10">
        <v>5288720</v>
      </c>
      <c r="AO20" s="10">
        <v>5313399</v>
      </c>
      <c r="AP20" s="10">
        <v>5338871</v>
      </c>
      <c r="AQ20" s="10">
        <v>5363352</v>
      </c>
      <c r="AR20" s="10">
        <v>5388272</v>
      </c>
      <c r="AS20" s="10">
        <v>5413971</v>
      </c>
      <c r="AT20" s="10">
        <v>5438972</v>
      </c>
      <c r="AU20" s="10">
        <v>5461512</v>
      </c>
      <c r="AV20" s="10">
        <v>5479531</v>
      </c>
      <c r="AW20" s="10">
        <v>5495303</v>
      </c>
      <c r="AX20" s="10">
        <v>5508214</v>
      </c>
      <c r="AY20" s="10">
        <v>5515525</v>
      </c>
      <c r="AZ20" s="10">
        <v>5520314</v>
      </c>
    </row>
    <row r="21" spans="2:52" x14ac:dyDescent="0.45">
      <c r="B21" t="s">
        <v>91</v>
      </c>
      <c r="C21" s="10">
        <v>51957736</v>
      </c>
      <c r="D21" s="10">
        <v>52371344</v>
      </c>
      <c r="E21" s="10">
        <v>52793136</v>
      </c>
      <c r="F21" s="10">
        <v>53207736</v>
      </c>
      <c r="G21" s="10">
        <v>53592232</v>
      </c>
      <c r="H21" s="10">
        <v>53931392</v>
      </c>
      <c r="I21" s="10">
        <v>54220024</v>
      </c>
      <c r="J21" s="10">
        <v>54467704</v>
      </c>
      <c r="K21" s="10">
        <v>54691852</v>
      </c>
      <c r="L21" s="10">
        <v>54917120</v>
      </c>
      <c r="M21" s="10">
        <v>55161528</v>
      </c>
      <c r="N21" s="10">
        <v>55430296</v>
      </c>
      <c r="O21" s="10">
        <v>55718932</v>
      </c>
      <c r="P21" s="10">
        <v>56023768</v>
      </c>
      <c r="Q21" s="10">
        <v>56337664</v>
      </c>
      <c r="R21" s="10">
        <v>56654696</v>
      </c>
      <c r="S21" s="10">
        <v>56976124</v>
      </c>
      <c r="T21" s="10">
        <v>57302664</v>
      </c>
      <c r="U21" s="10">
        <v>57627104</v>
      </c>
      <c r="V21" s="10">
        <v>57940212</v>
      </c>
      <c r="W21" s="10">
        <v>58235696</v>
      </c>
      <c r="X21" s="10">
        <v>58559312</v>
      </c>
      <c r="Y21" s="10">
        <v>58851216</v>
      </c>
      <c r="Z21" s="10">
        <v>59106768</v>
      </c>
      <c r="AA21" s="10">
        <v>59327192</v>
      </c>
      <c r="AB21" s="10">
        <v>59541900</v>
      </c>
      <c r="AC21" s="10">
        <v>59753100</v>
      </c>
      <c r="AD21" s="10">
        <v>59964852</v>
      </c>
      <c r="AE21" s="10">
        <v>60186288</v>
      </c>
      <c r="AF21" s="10">
        <v>60496720</v>
      </c>
      <c r="AG21" s="10">
        <v>60912500</v>
      </c>
      <c r="AH21" s="10">
        <v>61357432</v>
      </c>
      <c r="AI21" s="10">
        <v>61805268</v>
      </c>
      <c r="AJ21" s="10">
        <v>62244888</v>
      </c>
      <c r="AK21" s="10">
        <v>62704896</v>
      </c>
      <c r="AL21" s="10">
        <v>63179352</v>
      </c>
      <c r="AM21" s="10">
        <v>63621380</v>
      </c>
      <c r="AN21" s="10">
        <v>64016224</v>
      </c>
      <c r="AO21" s="10">
        <v>64374984</v>
      </c>
      <c r="AP21" s="10">
        <v>64707040</v>
      </c>
      <c r="AQ21" s="10">
        <v>65027508</v>
      </c>
      <c r="AR21" s="10">
        <v>65342780</v>
      </c>
      <c r="AS21" s="10">
        <v>65659808</v>
      </c>
      <c r="AT21" s="10">
        <v>65998688</v>
      </c>
      <c r="AU21" s="10">
        <v>66312068</v>
      </c>
      <c r="AV21" s="10">
        <v>66548272</v>
      </c>
      <c r="AW21" s="10">
        <v>66724104</v>
      </c>
      <c r="AX21" s="10">
        <v>66864380</v>
      </c>
      <c r="AY21" s="10">
        <v>66965912</v>
      </c>
      <c r="AZ21" s="10">
        <v>67059888</v>
      </c>
    </row>
    <row r="22" spans="2:52" x14ac:dyDescent="0.45">
      <c r="B22" t="s">
        <v>206</v>
      </c>
      <c r="C22" s="10">
        <v>78169288</v>
      </c>
      <c r="D22" s="10">
        <v>78312840</v>
      </c>
      <c r="E22" s="10">
        <v>78688448</v>
      </c>
      <c r="F22" s="10">
        <v>78936664</v>
      </c>
      <c r="G22" s="10">
        <v>78967432</v>
      </c>
      <c r="H22" s="10">
        <v>78673552</v>
      </c>
      <c r="I22" s="10">
        <v>78336952</v>
      </c>
      <c r="J22" s="10">
        <v>78159816</v>
      </c>
      <c r="K22" s="10">
        <v>78091824</v>
      </c>
      <c r="L22" s="10">
        <v>78126352</v>
      </c>
      <c r="M22" s="10">
        <v>78288576</v>
      </c>
      <c r="N22" s="10">
        <v>78407904</v>
      </c>
      <c r="O22" s="10">
        <v>78333368</v>
      </c>
      <c r="P22" s="10">
        <v>78128280</v>
      </c>
      <c r="Q22" s="10">
        <v>77858688</v>
      </c>
      <c r="R22" s="10">
        <v>77684872</v>
      </c>
      <c r="S22" s="10">
        <v>77720432</v>
      </c>
      <c r="T22" s="10">
        <v>77839920</v>
      </c>
      <c r="U22" s="10">
        <v>78144616</v>
      </c>
      <c r="V22" s="10">
        <v>78751280</v>
      </c>
      <c r="W22" s="10">
        <v>79433032</v>
      </c>
      <c r="X22" s="10">
        <v>80013896</v>
      </c>
      <c r="Y22" s="10">
        <v>80624600</v>
      </c>
      <c r="Z22" s="10">
        <v>81156360</v>
      </c>
      <c r="AA22" s="10">
        <v>81438352</v>
      </c>
      <c r="AB22" s="10">
        <v>81678048</v>
      </c>
      <c r="AC22" s="10">
        <v>81914832</v>
      </c>
      <c r="AD22" s="10">
        <v>82034768</v>
      </c>
      <c r="AE22" s="10">
        <v>82047192</v>
      </c>
      <c r="AF22" s="10">
        <v>82100240</v>
      </c>
      <c r="AG22" s="10">
        <v>82211504</v>
      </c>
      <c r="AH22" s="10">
        <v>82349928</v>
      </c>
      <c r="AI22" s="10">
        <v>82488496</v>
      </c>
      <c r="AJ22" s="10">
        <v>82534176</v>
      </c>
      <c r="AK22" s="10">
        <v>82516256</v>
      </c>
      <c r="AL22" s="10">
        <v>82469424</v>
      </c>
      <c r="AM22" s="10">
        <v>82376448</v>
      </c>
      <c r="AN22" s="10">
        <v>82266368</v>
      </c>
      <c r="AO22" s="10">
        <v>82110096</v>
      </c>
      <c r="AP22" s="10">
        <v>81902304</v>
      </c>
      <c r="AQ22" s="10">
        <v>81776928</v>
      </c>
      <c r="AR22" s="10">
        <v>80274984</v>
      </c>
      <c r="AS22" s="10">
        <v>80425824</v>
      </c>
      <c r="AT22" s="10">
        <v>80645608</v>
      </c>
      <c r="AU22" s="10">
        <v>80982496</v>
      </c>
      <c r="AV22" s="10">
        <v>81686608</v>
      </c>
      <c r="AW22" s="10">
        <v>82348672</v>
      </c>
      <c r="AX22" s="10">
        <v>82657000</v>
      </c>
      <c r="AY22" s="10">
        <v>82905784</v>
      </c>
      <c r="AZ22" s="10">
        <v>83132800</v>
      </c>
    </row>
    <row r="23" spans="2:52" x14ac:dyDescent="0.45">
      <c r="B23" t="s">
        <v>92</v>
      </c>
      <c r="C23" s="10">
        <v>8792806</v>
      </c>
      <c r="D23" s="10">
        <v>8831036</v>
      </c>
      <c r="E23" s="10">
        <v>8888628</v>
      </c>
      <c r="F23" s="10">
        <v>8929086</v>
      </c>
      <c r="G23" s="10">
        <v>8962022</v>
      </c>
      <c r="H23" s="10">
        <v>9046541</v>
      </c>
      <c r="I23" s="10">
        <v>9188150</v>
      </c>
      <c r="J23" s="10">
        <v>9308479</v>
      </c>
      <c r="K23" s="10">
        <v>9429959</v>
      </c>
      <c r="L23" s="10">
        <v>9548258</v>
      </c>
      <c r="M23" s="10">
        <v>9642505</v>
      </c>
      <c r="N23" s="10">
        <v>9729350</v>
      </c>
      <c r="O23" s="10">
        <v>9789513</v>
      </c>
      <c r="P23" s="10">
        <v>9846627</v>
      </c>
      <c r="Q23" s="10">
        <v>9895801</v>
      </c>
      <c r="R23" s="10">
        <v>9934300</v>
      </c>
      <c r="S23" s="10">
        <v>9967213</v>
      </c>
      <c r="T23" s="10">
        <v>10000595</v>
      </c>
      <c r="U23" s="10">
        <v>10036983</v>
      </c>
      <c r="V23" s="10">
        <v>10089498</v>
      </c>
      <c r="W23" s="10">
        <v>10196792</v>
      </c>
      <c r="X23" s="10">
        <v>10319927</v>
      </c>
      <c r="Y23" s="10">
        <v>10399061</v>
      </c>
      <c r="Z23" s="10">
        <v>10460415</v>
      </c>
      <c r="AA23" s="10">
        <v>10512922</v>
      </c>
      <c r="AB23" s="10">
        <v>10562153</v>
      </c>
      <c r="AC23" s="10">
        <v>10608800</v>
      </c>
      <c r="AD23" s="10">
        <v>10661259</v>
      </c>
      <c r="AE23" s="10">
        <v>10720509</v>
      </c>
      <c r="AF23" s="10">
        <v>10761698</v>
      </c>
      <c r="AG23" s="10">
        <v>10805808</v>
      </c>
      <c r="AH23" s="10">
        <v>10862132</v>
      </c>
      <c r="AI23" s="10">
        <v>10902022</v>
      </c>
      <c r="AJ23" s="10">
        <v>10928070</v>
      </c>
      <c r="AK23" s="10">
        <v>10955141</v>
      </c>
      <c r="AL23" s="10">
        <v>10987314</v>
      </c>
      <c r="AM23" s="10">
        <v>11020362</v>
      </c>
      <c r="AN23" s="10">
        <v>11048473</v>
      </c>
      <c r="AO23" s="10">
        <v>11077841</v>
      </c>
      <c r="AP23" s="10">
        <v>11107017</v>
      </c>
      <c r="AQ23" s="10">
        <v>11121341</v>
      </c>
      <c r="AR23" s="10">
        <v>11104899</v>
      </c>
      <c r="AS23" s="10">
        <v>11045011</v>
      </c>
      <c r="AT23" s="10">
        <v>10965211</v>
      </c>
      <c r="AU23" s="10">
        <v>10892413</v>
      </c>
      <c r="AV23" s="10">
        <v>10820883</v>
      </c>
      <c r="AW23" s="10">
        <v>10775971</v>
      </c>
      <c r="AX23" s="10">
        <v>10754679</v>
      </c>
      <c r="AY23" s="10">
        <v>10732882</v>
      </c>
      <c r="AZ23" s="10">
        <v>10716322</v>
      </c>
    </row>
    <row r="24" spans="2:52" x14ac:dyDescent="0.45">
      <c r="B24" t="s">
        <v>207</v>
      </c>
      <c r="C24" s="10">
        <v>204438</v>
      </c>
      <c r="D24" s="10">
        <v>206098</v>
      </c>
      <c r="E24" s="10">
        <v>209137</v>
      </c>
      <c r="F24" s="10">
        <v>212317</v>
      </c>
      <c r="G24" s="10">
        <v>215209</v>
      </c>
      <c r="H24" s="10">
        <v>217979</v>
      </c>
      <c r="I24" s="10">
        <v>220154</v>
      </c>
      <c r="J24" s="10">
        <v>221799</v>
      </c>
      <c r="K24" s="10">
        <v>223537</v>
      </c>
      <c r="L24" s="10">
        <v>225735</v>
      </c>
      <c r="M24" s="10">
        <v>228138</v>
      </c>
      <c r="N24" s="10">
        <v>230755</v>
      </c>
      <c r="O24" s="10">
        <v>233860</v>
      </c>
      <c r="P24" s="10">
        <v>236977</v>
      </c>
      <c r="Q24" s="10">
        <v>239511</v>
      </c>
      <c r="R24" s="10">
        <v>241405</v>
      </c>
      <c r="S24" s="10">
        <v>243180</v>
      </c>
      <c r="T24" s="10">
        <v>245859</v>
      </c>
      <c r="U24" s="10">
        <v>249740</v>
      </c>
      <c r="V24" s="10">
        <v>252852</v>
      </c>
      <c r="W24" s="10">
        <v>254826</v>
      </c>
      <c r="X24" s="10">
        <v>257797</v>
      </c>
      <c r="Y24" s="10">
        <v>261057</v>
      </c>
      <c r="Z24" s="10">
        <v>263725</v>
      </c>
      <c r="AA24" s="10">
        <v>266021</v>
      </c>
      <c r="AB24" s="10">
        <v>267468</v>
      </c>
      <c r="AC24" s="10">
        <v>268916</v>
      </c>
      <c r="AD24" s="10">
        <v>271128</v>
      </c>
      <c r="AE24" s="10">
        <v>274047</v>
      </c>
      <c r="AF24" s="10">
        <v>277381</v>
      </c>
      <c r="AG24" s="10">
        <v>281205</v>
      </c>
      <c r="AH24" s="10">
        <v>284968</v>
      </c>
      <c r="AI24" s="10">
        <v>287523</v>
      </c>
      <c r="AJ24" s="10">
        <v>289521</v>
      </c>
      <c r="AK24" s="10">
        <v>292074</v>
      </c>
      <c r="AL24" s="10">
        <v>296734</v>
      </c>
      <c r="AM24" s="10">
        <v>303782</v>
      </c>
      <c r="AN24" s="10">
        <v>311566</v>
      </c>
      <c r="AO24" s="10">
        <v>317414</v>
      </c>
      <c r="AP24" s="10">
        <v>318499</v>
      </c>
      <c r="AQ24" s="10">
        <v>318041</v>
      </c>
      <c r="AR24" s="10">
        <v>319014</v>
      </c>
      <c r="AS24" s="10">
        <v>320716</v>
      </c>
      <c r="AT24" s="10">
        <v>323764</v>
      </c>
      <c r="AU24" s="10">
        <v>327386</v>
      </c>
      <c r="AV24" s="10">
        <v>330815</v>
      </c>
      <c r="AW24" s="10">
        <v>335439</v>
      </c>
      <c r="AX24" s="10">
        <v>343400</v>
      </c>
      <c r="AY24" s="10">
        <v>352721</v>
      </c>
      <c r="AZ24" s="10">
        <v>361313</v>
      </c>
    </row>
    <row r="25" spans="2:52" x14ac:dyDescent="0.45">
      <c r="B25" t="s">
        <v>208</v>
      </c>
      <c r="C25" s="10">
        <v>2957250</v>
      </c>
      <c r="D25" s="10">
        <v>2992050</v>
      </c>
      <c r="E25" s="10">
        <v>3036850</v>
      </c>
      <c r="F25" s="10">
        <v>3085950</v>
      </c>
      <c r="G25" s="10">
        <v>3137500</v>
      </c>
      <c r="H25" s="10">
        <v>3189550</v>
      </c>
      <c r="I25" s="10">
        <v>3238050</v>
      </c>
      <c r="J25" s="10">
        <v>3282200</v>
      </c>
      <c r="K25" s="10">
        <v>3329100</v>
      </c>
      <c r="L25" s="10">
        <v>3373750</v>
      </c>
      <c r="M25" s="10">
        <v>3412800</v>
      </c>
      <c r="N25" s="10">
        <v>3453000</v>
      </c>
      <c r="O25" s="10">
        <v>3485800</v>
      </c>
      <c r="P25" s="10">
        <v>3510600</v>
      </c>
      <c r="Q25" s="10">
        <v>3532423</v>
      </c>
      <c r="R25" s="10">
        <v>3538082</v>
      </c>
      <c r="S25" s="10">
        <v>3539690</v>
      </c>
      <c r="T25" s="10">
        <v>3540057</v>
      </c>
      <c r="U25" s="10">
        <v>3524949</v>
      </c>
      <c r="V25" s="10">
        <v>3511009</v>
      </c>
      <c r="W25" s="10">
        <v>3513974</v>
      </c>
      <c r="X25" s="10">
        <v>3534235</v>
      </c>
      <c r="Y25" s="10">
        <v>3558430</v>
      </c>
      <c r="Z25" s="10">
        <v>3576261</v>
      </c>
      <c r="AA25" s="10">
        <v>3590386</v>
      </c>
      <c r="AB25" s="10">
        <v>3608841</v>
      </c>
      <c r="AC25" s="10">
        <v>3637510</v>
      </c>
      <c r="AD25" s="10">
        <v>3674171</v>
      </c>
      <c r="AE25" s="10">
        <v>3712696</v>
      </c>
      <c r="AF25" s="10">
        <v>3754786</v>
      </c>
      <c r="AG25" s="10">
        <v>3805174</v>
      </c>
      <c r="AH25" s="10">
        <v>3866243</v>
      </c>
      <c r="AI25" s="10">
        <v>3931947</v>
      </c>
      <c r="AJ25" s="10">
        <v>3996521</v>
      </c>
      <c r="AK25" s="10">
        <v>4070262</v>
      </c>
      <c r="AL25" s="10">
        <v>4159914</v>
      </c>
      <c r="AM25" s="10">
        <v>4273591</v>
      </c>
      <c r="AN25" s="10">
        <v>4398942</v>
      </c>
      <c r="AO25" s="10">
        <v>4489544</v>
      </c>
      <c r="AP25" s="10">
        <v>4535375</v>
      </c>
      <c r="AQ25" s="10">
        <v>4560155</v>
      </c>
      <c r="AR25" s="10">
        <v>4580084</v>
      </c>
      <c r="AS25" s="10">
        <v>4599533</v>
      </c>
      <c r="AT25" s="10">
        <v>4623816</v>
      </c>
      <c r="AU25" s="10">
        <v>4657740</v>
      </c>
      <c r="AV25" s="10">
        <v>4701957</v>
      </c>
      <c r="AW25" s="10">
        <v>4755335</v>
      </c>
      <c r="AX25" s="10">
        <v>4807388</v>
      </c>
      <c r="AY25" s="10">
        <v>4867316</v>
      </c>
      <c r="AZ25" s="10">
        <v>4941444</v>
      </c>
    </row>
    <row r="26" spans="2:52" x14ac:dyDescent="0.45">
      <c r="B26" t="s">
        <v>93</v>
      </c>
      <c r="C26" s="10">
        <v>2974000</v>
      </c>
      <c r="D26" s="10">
        <v>3069000</v>
      </c>
      <c r="E26" s="10">
        <v>3148000</v>
      </c>
      <c r="F26" s="10">
        <v>3278000</v>
      </c>
      <c r="G26" s="10">
        <v>3377000</v>
      </c>
      <c r="H26" s="10">
        <v>3455000</v>
      </c>
      <c r="I26" s="10">
        <v>3533000</v>
      </c>
      <c r="J26" s="10">
        <v>3613000</v>
      </c>
      <c r="K26" s="10">
        <v>3690000</v>
      </c>
      <c r="L26" s="10">
        <v>3786000</v>
      </c>
      <c r="M26" s="10">
        <v>3878000</v>
      </c>
      <c r="N26" s="10">
        <v>3956000</v>
      </c>
      <c r="O26" s="10">
        <v>4031000</v>
      </c>
      <c r="P26" s="10">
        <v>4105000</v>
      </c>
      <c r="Q26" s="10">
        <v>4159000</v>
      </c>
      <c r="R26" s="10">
        <v>4233000</v>
      </c>
      <c r="S26" s="10">
        <v>4299000</v>
      </c>
      <c r="T26" s="10">
        <v>4369000</v>
      </c>
      <c r="U26" s="10">
        <v>4442000</v>
      </c>
      <c r="V26" s="10">
        <v>4518000</v>
      </c>
      <c r="W26" s="10">
        <v>4660000</v>
      </c>
      <c r="X26" s="10">
        <v>4949000</v>
      </c>
      <c r="Y26" s="10">
        <v>5123000</v>
      </c>
      <c r="Z26" s="10">
        <v>5261000</v>
      </c>
      <c r="AA26" s="10">
        <v>5399000</v>
      </c>
      <c r="AB26" s="10">
        <v>5545000</v>
      </c>
      <c r="AC26" s="10">
        <v>5692000</v>
      </c>
      <c r="AD26" s="10">
        <v>5836000</v>
      </c>
      <c r="AE26" s="10">
        <v>5971000</v>
      </c>
      <c r="AF26" s="10">
        <v>6125000</v>
      </c>
      <c r="AG26" s="10">
        <v>6289000</v>
      </c>
      <c r="AH26" s="10">
        <v>6439000</v>
      </c>
      <c r="AI26" s="10">
        <v>6570000</v>
      </c>
      <c r="AJ26" s="10">
        <v>6689700</v>
      </c>
      <c r="AK26" s="10">
        <v>6809000</v>
      </c>
      <c r="AL26" s="10">
        <v>6930100</v>
      </c>
      <c r="AM26" s="10">
        <v>7053700</v>
      </c>
      <c r="AN26" s="10">
        <v>7180100</v>
      </c>
      <c r="AO26" s="10">
        <v>7308800</v>
      </c>
      <c r="AP26" s="10">
        <v>7485600</v>
      </c>
      <c r="AQ26" s="10">
        <v>7623600</v>
      </c>
      <c r="AR26" s="10">
        <v>7765800</v>
      </c>
      <c r="AS26" s="10">
        <v>7910500</v>
      </c>
      <c r="AT26" s="10">
        <v>8059500</v>
      </c>
      <c r="AU26" s="10">
        <v>8215700</v>
      </c>
      <c r="AV26" s="10">
        <v>8380100</v>
      </c>
      <c r="AW26" s="10">
        <v>8546000</v>
      </c>
      <c r="AX26" s="10">
        <v>8713300</v>
      </c>
      <c r="AY26" s="10">
        <v>8882800</v>
      </c>
      <c r="AZ26" s="10">
        <v>9053300</v>
      </c>
    </row>
    <row r="27" spans="2:52" x14ac:dyDescent="0.45">
      <c r="B27" t="s">
        <v>94</v>
      </c>
      <c r="C27" s="10">
        <v>53821848</v>
      </c>
      <c r="D27" s="10">
        <v>54073488</v>
      </c>
      <c r="E27" s="10">
        <v>54381344</v>
      </c>
      <c r="F27" s="10">
        <v>54751408</v>
      </c>
      <c r="G27" s="10">
        <v>55110868</v>
      </c>
      <c r="H27" s="10">
        <v>55441000</v>
      </c>
      <c r="I27" s="10">
        <v>55718260</v>
      </c>
      <c r="J27" s="10">
        <v>55955412</v>
      </c>
      <c r="K27" s="10">
        <v>56155144</v>
      </c>
      <c r="L27" s="10">
        <v>56317748</v>
      </c>
      <c r="M27" s="10">
        <v>56433884</v>
      </c>
      <c r="N27" s="10">
        <v>56501676</v>
      </c>
      <c r="O27" s="10">
        <v>56543548</v>
      </c>
      <c r="P27" s="10">
        <v>56564072</v>
      </c>
      <c r="Q27" s="10">
        <v>56576720</v>
      </c>
      <c r="R27" s="10">
        <v>56593072</v>
      </c>
      <c r="S27" s="10">
        <v>56596156</v>
      </c>
      <c r="T27" s="10">
        <v>56601932</v>
      </c>
      <c r="U27" s="10">
        <v>56629288</v>
      </c>
      <c r="V27" s="10">
        <v>56671780</v>
      </c>
      <c r="W27" s="10">
        <v>56719240</v>
      </c>
      <c r="X27" s="10">
        <v>56758520</v>
      </c>
      <c r="Y27" s="10">
        <v>56797088</v>
      </c>
      <c r="Z27" s="10">
        <v>56831820</v>
      </c>
      <c r="AA27" s="10">
        <v>56843400</v>
      </c>
      <c r="AB27" s="10">
        <v>56844304</v>
      </c>
      <c r="AC27" s="10">
        <v>56860280</v>
      </c>
      <c r="AD27" s="10">
        <v>56890372</v>
      </c>
      <c r="AE27" s="10">
        <v>56906744</v>
      </c>
      <c r="AF27" s="10">
        <v>56916316</v>
      </c>
      <c r="AG27" s="10">
        <v>56942108</v>
      </c>
      <c r="AH27" s="10">
        <v>56974100</v>
      </c>
      <c r="AI27" s="10">
        <v>57059008</v>
      </c>
      <c r="AJ27" s="10">
        <v>57313204</v>
      </c>
      <c r="AK27" s="10">
        <v>57685328</v>
      </c>
      <c r="AL27" s="10">
        <v>57969484</v>
      </c>
      <c r="AM27" s="10">
        <v>58143980</v>
      </c>
      <c r="AN27" s="10">
        <v>58438312</v>
      </c>
      <c r="AO27" s="10">
        <v>58826732</v>
      </c>
      <c r="AP27" s="10">
        <v>59095364</v>
      </c>
      <c r="AQ27" s="10">
        <v>59277416</v>
      </c>
      <c r="AR27" s="10">
        <v>59379448</v>
      </c>
      <c r="AS27" s="10">
        <v>59539716</v>
      </c>
      <c r="AT27" s="10">
        <v>60233948</v>
      </c>
      <c r="AU27" s="10">
        <v>60789140</v>
      </c>
      <c r="AV27" s="10">
        <v>60730584</v>
      </c>
      <c r="AW27" s="10">
        <v>60627496</v>
      </c>
      <c r="AX27" s="10">
        <v>60536708</v>
      </c>
      <c r="AY27" s="10">
        <v>60421760</v>
      </c>
      <c r="AZ27" s="10">
        <v>60297396</v>
      </c>
    </row>
    <row r="28" spans="2:52" x14ac:dyDescent="0.45">
      <c r="B28" t="s">
        <v>95</v>
      </c>
      <c r="C28" s="10">
        <v>104345000</v>
      </c>
      <c r="D28" s="10">
        <v>105697000</v>
      </c>
      <c r="E28" s="10">
        <v>107188000</v>
      </c>
      <c r="F28" s="10">
        <v>108079000</v>
      </c>
      <c r="G28" s="10">
        <v>110162000</v>
      </c>
      <c r="H28" s="10">
        <v>111940000</v>
      </c>
      <c r="I28" s="10">
        <v>112771000</v>
      </c>
      <c r="J28" s="10">
        <v>113863000</v>
      </c>
      <c r="K28" s="10">
        <v>114898000</v>
      </c>
      <c r="L28" s="10">
        <v>115870000</v>
      </c>
      <c r="M28" s="10">
        <v>116782000</v>
      </c>
      <c r="N28" s="10">
        <v>117648000</v>
      </c>
      <c r="O28" s="10">
        <v>118449000</v>
      </c>
      <c r="P28" s="10">
        <v>119259000</v>
      </c>
      <c r="Q28" s="10">
        <v>120018000</v>
      </c>
      <c r="R28" s="10">
        <v>120754000</v>
      </c>
      <c r="S28" s="10">
        <v>121492000</v>
      </c>
      <c r="T28" s="10">
        <v>122091000</v>
      </c>
      <c r="U28" s="10">
        <v>122613000</v>
      </c>
      <c r="V28" s="10">
        <v>123116000</v>
      </c>
      <c r="W28" s="10">
        <v>123537000</v>
      </c>
      <c r="X28" s="10">
        <v>123921000</v>
      </c>
      <c r="Y28" s="10">
        <v>124229000</v>
      </c>
      <c r="Z28" s="10">
        <v>124536000</v>
      </c>
      <c r="AA28" s="10">
        <v>124961000</v>
      </c>
      <c r="AB28" s="10">
        <v>125439000</v>
      </c>
      <c r="AC28" s="10">
        <v>125757000</v>
      </c>
      <c r="AD28" s="10">
        <v>126057000</v>
      </c>
      <c r="AE28" s="10">
        <v>126400000</v>
      </c>
      <c r="AF28" s="10">
        <v>126631000</v>
      </c>
      <c r="AG28" s="10">
        <v>126843000</v>
      </c>
      <c r="AH28" s="10">
        <v>127149000</v>
      </c>
      <c r="AI28" s="10">
        <v>127445000</v>
      </c>
      <c r="AJ28" s="10">
        <v>127718000</v>
      </c>
      <c r="AK28" s="10">
        <v>127761000</v>
      </c>
      <c r="AL28" s="10">
        <v>127773000</v>
      </c>
      <c r="AM28" s="10">
        <v>127854000</v>
      </c>
      <c r="AN28" s="10">
        <v>128001000</v>
      </c>
      <c r="AO28" s="10">
        <v>128063000</v>
      </c>
      <c r="AP28" s="10">
        <v>128047000</v>
      </c>
      <c r="AQ28" s="10">
        <v>128070000</v>
      </c>
      <c r="AR28" s="10">
        <v>127833000</v>
      </c>
      <c r="AS28" s="10">
        <v>127629000</v>
      </c>
      <c r="AT28" s="10">
        <v>127445000</v>
      </c>
      <c r="AU28" s="10">
        <v>127276000</v>
      </c>
      <c r="AV28" s="10">
        <v>127141000</v>
      </c>
      <c r="AW28" s="10">
        <v>126994512</v>
      </c>
      <c r="AX28" s="10">
        <v>126785800</v>
      </c>
      <c r="AY28" s="10">
        <v>126529104</v>
      </c>
      <c r="AZ28" s="10">
        <v>126264928</v>
      </c>
    </row>
    <row r="29" spans="2:52" x14ac:dyDescent="0.45">
      <c r="B29" t="s">
        <v>96</v>
      </c>
      <c r="C29" s="10">
        <v>339171</v>
      </c>
      <c r="D29" s="10">
        <v>342421</v>
      </c>
      <c r="E29" s="10">
        <v>346600</v>
      </c>
      <c r="F29" s="10">
        <v>350450</v>
      </c>
      <c r="G29" s="10">
        <v>355050</v>
      </c>
      <c r="H29" s="10">
        <v>358950</v>
      </c>
      <c r="I29" s="10">
        <v>360731</v>
      </c>
      <c r="J29" s="10">
        <v>361358</v>
      </c>
      <c r="K29" s="10">
        <v>362007</v>
      </c>
      <c r="L29" s="10">
        <v>362856</v>
      </c>
      <c r="M29" s="10">
        <v>364150</v>
      </c>
      <c r="N29" s="10">
        <v>365225</v>
      </c>
      <c r="O29" s="10">
        <v>365525</v>
      </c>
      <c r="P29" s="10">
        <v>365622</v>
      </c>
      <c r="Q29" s="10">
        <v>365998</v>
      </c>
      <c r="R29" s="10">
        <v>366706</v>
      </c>
      <c r="S29" s="10">
        <v>368355</v>
      </c>
      <c r="T29" s="10">
        <v>370750</v>
      </c>
      <c r="U29" s="10">
        <v>373450</v>
      </c>
      <c r="V29" s="10">
        <v>377100</v>
      </c>
      <c r="W29" s="10">
        <v>381850</v>
      </c>
      <c r="X29" s="10">
        <v>387000</v>
      </c>
      <c r="Y29" s="10">
        <v>392175</v>
      </c>
      <c r="Z29" s="10">
        <v>397475</v>
      </c>
      <c r="AA29" s="10">
        <v>402925</v>
      </c>
      <c r="AB29" s="10">
        <v>408625</v>
      </c>
      <c r="AC29" s="10">
        <v>414225</v>
      </c>
      <c r="AD29" s="10">
        <v>419450</v>
      </c>
      <c r="AE29" s="10">
        <v>424700</v>
      </c>
      <c r="AF29" s="10">
        <v>430475</v>
      </c>
      <c r="AG29" s="10">
        <v>436300</v>
      </c>
      <c r="AH29" s="10">
        <v>441525</v>
      </c>
      <c r="AI29" s="10">
        <v>446175</v>
      </c>
      <c r="AJ29" s="10">
        <v>451630</v>
      </c>
      <c r="AK29" s="10">
        <v>458095</v>
      </c>
      <c r="AL29" s="10">
        <v>465158</v>
      </c>
      <c r="AM29" s="10">
        <v>472637</v>
      </c>
      <c r="AN29" s="10">
        <v>479993</v>
      </c>
      <c r="AO29" s="10">
        <v>488650</v>
      </c>
      <c r="AP29" s="10">
        <v>497783</v>
      </c>
      <c r="AQ29" s="10">
        <v>506953</v>
      </c>
      <c r="AR29" s="10">
        <v>518347</v>
      </c>
      <c r="AS29" s="10">
        <v>530946</v>
      </c>
      <c r="AT29" s="10">
        <v>543360</v>
      </c>
      <c r="AU29" s="10">
        <v>556319</v>
      </c>
      <c r="AV29" s="10">
        <v>569604</v>
      </c>
      <c r="AW29" s="10">
        <v>582014</v>
      </c>
      <c r="AX29" s="10">
        <v>596336</v>
      </c>
      <c r="AY29" s="10">
        <v>607950</v>
      </c>
      <c r="AZ29" s="10">
        <v>619896</v>
      </c>
    </row>
    <row r="30" spans="2:52" x14ac:dyDescent="0.45">
      <c r="B30" t="s">
        <v>209</v>
      </c>
      <c r="C30" s="10">
        <v>302650</v>
      </c>
      <c r="D30" s="10">
        <v>302700</v>
      </c>
      <c r="E30" s="10">
        <v>302450</v>
      </c>
      <c r="F30" s="10">
        <v>302200</v>
      </c>
      <c r="G30" s="10">
        <v>301996</v>
      </c>
      <c r="H30" s="10">
        <v>304222</v>
      </c>
      <c r="I30" s="10">
        <v>305774</v>
      </c>
      <c r="J30" s="10">
        <v>306970</v>
      </c>
      <c r="K30" s="10">
        <v>310182</v>
      </c>
      <c r="L30" s="10">
        <v>313342</v>
      </c>
      <c r="M30" s="10">
        <v>316645</v>
      </c>
      <c r="N30" s="10">
        <v>318982</v>
      </c>
      <c r="O30" s="10">
        <v>325898</v>
      </c>
      <c r="P30" s="10">
        <v>330524</v>
      </c>
      <c r="Q30" s="10">
        <v>330593</v>
      </c>
      <c r="R30" s="10">
        <v>336452</v>
      </c>
      <c r="S30" s="10">
        <v>342121</v>
      </c>
      <c r="T30" s="10">
        <v>344485</v>
      </c>
      <c r="U30" s="10">
        <v>347325</v>
      </c>
      <c r="V30" s="10">
        <v>350722</v>
      </c>
      <c r="W30" s="10">
        <v>354170</v>
      </c>
      <c r="X30" s="10">
        <v>363845</v>
      </c>
      <c r="Y30" s="10">
        <v>367618</v>
      </c>
      <c r="Z30" s="10">
        <v>371308</v>
      </c>
      <c r="AA30" s="10">
        <v>374797</v>
      </c>
      <c r="AB30" s="10">
        <v>377419</v>
      </c>
      <c r="AC30" s="10">
        <v>379905</v>
      </c>
      <c r="AD30" s="10">
        <v>382791</v>
      </c>
      <c r="AE30" s="10">
        <v>385287</v>
      </c>
      <c r="AF30" s="10">
        <v>387578</v>
      </c>
      <c r="AG30" s="10">
        <v>390087</v>
      </c>
      <c r="AH30" s="10">
        <v>393028</v>
      </c>
      <c r="AI30" s="10">
        <v>395969</v>
      </c>
      <c r="AJ30" s="10">
        <v>398582</v>
      </c>
      <c r="AK30" s="10">
        <v>401268</v>
      </c>
      <c r="AL30" s="10">
        <v>403834</v>
      </c>
      <c r="AM30" s="10">
        <v>405308</v>
      </c>
      <c r="AN30" s="10">
        <v>406724</v>
      </c>
      <c r="AO30" s="10">
        <v>409379</v>
      </c>
      <c r="AP30" s="10">
        <v>412477</v>
      </c>
      <c r="AQ30" s="10">
        <v>414508</v>
      </c>
      <c r="AR30" s="10">
        <v>416268</v>
      </c>
      <c r="AS30" s="10">
        <v>420028</v>
      </c>
      <c r="AT30" s="10">
        <v>425967</v>
      </c>
      <c r="AU30" s="10">
        <v>434558</v>
      </c>
      <c r="AV30" s="10">
        <v>445053</v>
      </c>
      <c r="AW30" s="10">
        <v>455356</v>
      </c>
      <c r="AX30" s="10">
        <v>467999</v>
      </c>
      <c r="AY30" s="10">
        <v>484630</v>
      </c>
      <c r="AZ30" s="10">
        <v>502653</v>
      </c>
    </row>
    <row r="31" spans="2:52" x14ac:dyDescent="0.45">
      <c r="B31" t="s">
        <v>97</v>
      </c>
      <c r="C31" s="10">
        <v>13038526</v>
      </c>
      <c r="D31" s="10">
        <v>13194497</v>
      </c>
      <c r="E31" s="10">
        <v>13328593</v>
      </c>
      <c r="F31" s="10">
        <v>13439322</v>
      </c>
      <c r="G31" s="10">
        <v>13545056</v>
      </c>
      <c r="H31" s="10">
        <v>13666335</v>
      </c>
      <c r="I31" s="10">
        <v>13774037</v>
      </c>
      <c r="J31" s="10">
        <v>13856185</v>
      </c>
      <c r="K31" s="10">
        <v>13941700</v>
      </c>
      <c r="L31" s="10">
        <v>14038270</v>
      </c>
      <c r="M31" s="10">
        <v>14149800</v>
      </c>
      <c r="N31" s="10">
        <v>14247208</v>
      </c>
      <c r="O31" s="10">
        <v>14312690</v>
      </c>
      <c r="P31" s="10">
        <v>14367070</v>
      </c>
      <c r="Q31" s="10">
        <v>14424211</v>
      </c>
      <c r="R31" s="10">
        <v>14491632</v>
      </c>
      <c r="S31" s="10">
        <v>14572278</v>
      </c>
      <c r="T31" s="10">
        <v>14665037</v>
      </c>
      <c r="U31" s="10">
        <v>14760094</v>
      </c>
      <c r="V31" s="10">
        <v>14848907</v>
      </c>
      <c r="W31" s="10">
        <v>14951510</v>
      </c>
      <c r="X31" s="10">
        <v>15069798</v>
      </c>
      <c r="Y31" s="10">
        <v>15184166</v>
      </c>
      <c r="Z31" s="10">
        <v>15290368</v>
      </c>
      <c r="AA31" s="10">
        <v>15382838</v>
      </c>
      <c r="AB31" s="10">
        <v>15459006</v>
      </c>
      <c r="AC31" s="10">
        <v>15530498</v>
      </c>
      <c r="AD31" s="10">
        <v>15610650</v>
      </c>
      <c r="AE31" s="10">
        <v>15707209</v>
      </c>
      <c r="AF31" s="10">
        <v>15812088</v>
      </c>
      <c r="AG31" s="10">
        <v>15925513</v>
      </c>
      <c r="AH31" s="10">
        <v>16046180</v>
      </c>
      <c r="AI31" s="10">
        <v>16148929</v>
      </c>
      <c r="AJ31" s="10">
        <v>16225302</v>
      </c>
      <c r="AK31" s="10">
        <v>16281779</v>
      </c>
      <c r="AL31" s="10">
        <v>16319868</v>
      </c>
      <c r="AM31" s="10">
        <v>16346101</v>
      </c>
      <c r="AN31" s="10">
        <v>16381696</v>
      </c>
      <c r="AO31" s="10">
        <v>16445593</v>
      </c>
      <c r="AP31" s="10">
        <v>16530388</v>
      </c>
      <c r="AQ31" s="10">
        <v>16615394</v>
      </c>
      <c r="AR31" s="10">
        <v>16693074</v>
      </c>
      <c r="AS31" s="10">
        <v>16754962</v>
      </c>
      <c r="AT31" s="10">
        <v>16804432</v>
      </c>
      <c r="AU31" s="10">
        <v>16865008</v>
      </c>
      <c r="AV31" s="10">
        <v>16939924</v>
      </c>
      <c r="AW31" s="10">
        <v>17030314</v>
      </c>
      <c r="AX31" s="10">
        <v>17131296</v>
      </c>
      <c r="AY31" s="10">
        <v>17231624</v>
      </c>
      <c r="AZ31" s="10">
        <v>17332850</v>
      </c>
    </row>
    <row r="32" spans="2:52" x14ac:dyDescent="0.45">
      <c r="B32" t="s">
        <v>210</v>
      </c>
      <c r="C32" s="10">
        <v>2810700</v>
      </c>
      <c r="D32" s="10">
        <v>2853000</v>
      </c>
      <c r="E32" s="10">
        <v>2903900</v>
      </c>
      <c r="F32" s="10">
        <v>2961300</v>
      </c>
      <c r="G32" s="10">
        <v>3023700</v>
      </c>
      <c r="H32" s="10">
        <v>3083100</v>
      </c>
      <c r="I32" s="10">
        <v>3110500</v>
      </c>
      <c r="J32" s="10">
        <v>3120200</v>
      </c>
      <c r="K32" s="10">
        <v>3121200</v>
      </c>
      <c r="L32" s="10">
        <v>3109000</v>
      </c>
      <c r="M32" s="10">
        <v>3112900</v>
      </c>
      <c r="N32" s="10">
        <v>3124900</v>
      </c>
      <c r="O32" s="10">
        <v>3156100</v>
      </c>
      <c r="P32" s="10">
        <v>3199300</v>
      </c>
      <c r="Q32" s="10">
        <v>3227100</v>
      </c>
      <c r="R32" s="10">
        <v>3247100</v>
      </c>
      <c r="S32" s="10">
        <v>3246300</v>
      </c>
      <c r="T32" s="10">
        <v>3274400</v>
      </c>
      <c r="U32" s="10">
        <v>3283400</v>
      </c>
      <c r="V32" s="10">
        <v>3299200</v>
      </c>
      <c r="W32" s="10">
        <v>3329800</v>
      </c>
      <c r="X32" s="10">
        <v>3495100</v>
      </c>
      <c r="Y32" s="10">
        <v>3531700</v>
      </c>
      <c r="Z32" s="10">
        <v>3572200</v>
      </c>
      <c r="AA32" s="10">
        <v>3620000</v>
      </c>
      <c r="AB32" s="10">
        <v>3673400</v>
      </c>
      <c r="AC32" s="10">
        <v>3732000</v>
      </c>
      <c r="AD32" s="10">
        <v>3781300</v>
      </c>
      <c r="AE32" s="10">
        <v>3815000</v>
      </c>
      <c r="AF32" s="10">
        <v>3835100</v>
      </c>
      <c r="AG32" s="10">
        <v>3857700</v>
      </c>
      <c r="AH32" s="10">
        <v>3880500</v>
      </c>
      <c r="AI32" s="10">
        <v>3948500</v>
      </c>
      <c r="AJ32" s="10">
        <v>4027200</v>
      </c>
      <c r="AK32" s="10">
        <v>4087500</v>
      </c>
      <c r="AL32" s="10">
        <v>4133900</v>
      </c>
      <c r="AM32" s="10">
        <v>4184600</v>
      </c>
      <c r="AN32" s="10">
        <v>4223800</v>
      </c>
      <c r="AO32" s="10">
        <v>4259800</v>
      </c>
      <c r="AP32" s="10">
        <v>4302600</v>
      </c>
      <c r="AQ32" s="10">
        <v>4350700</v>
      </c>
      <c r="AR32" s="10">
        <v>4384000</v>
      </c>
      <c r="AS32" s="10">
        <v>4408100</v>
      </c>
      <c r="AT32" s="10">
        <v>4442100</v>
      </c>
      <c r="AU32" s="10">
        <v>4509700</v>
      </c>
      <c r="AV32" s="10">
        <v>4595700</v>
      </c>
      <c r="AW32" s="10">
        <v>4693200</v>
      </c>
      <c r="AX32" s="10">
        <v>4793900</v>
      </c>
      <c r="AY32" s="10">
        <v>4841000</v>
      </c>
      <c r="AZ32" s="10">
        <v>4917000</v>
      </c>
    </row>
    <row r="33" spans="1:52" x14ac:dyDescent="0.45">
      <c r="B33" t="s">
        <v>98</v>
      </c>
      <c r="C33" s="10">
        <v>3875763</v>
      </c>
      <c r="D33" s="10">
        <v>3903039</v>
      </c>
      <c r="E33" s="10">
        <v>3933004</v>
      </c>
      <c r="F33" s="10">
        <v>3960612</v>
      </c>
      <c r="G33" s="10">
        <v>3985258</v>
      </c>
      <c r="H33" s="10">
        <v>4007313</v>
      </c>
      <c r="I33" s="10">
        <v>4026152</v>
      </c>
      <c r="J33" s="10">
        <v>4043205</v>
      </c>
      <c r="K33" s="10">
        <v>4058671</v>
      </c>
      <c r="L33" s="10">
        <v>4072517</v>
      </c>
      <c r="M33" s="10">
        <v>4085620</v>
      </c>
      <c r="N33" s="10">
        <v>4099702</v>
      </c>
      <c r="O33" s="10">
        <v>4114787</v>
      </c>
      <c r="P33" s="10">
        <v>4128432</v>
      </c>
      <c r="Q33" s="10">
        <v>4140099</v>
      </c>
      <c r="R33" s="10">
        <v>4152516</v>
      </c>
      <c r="S33" s="10">
        <v>4167354</v>
      </c>
      <c r="T33" s="10">
        <v>4186905</v>
      </c>
      <c r="U33" s="10">
        <v>4209488</v>
      </c>
      <c r="V33" s="10">
        <v>4226901</v>
      </c>
      <c r="W33" s="10">
        <v>4241473</v>
      </c>
      <c r="X33" s="10">
        <v>4261732</v>
      </c>
      <c r="Y33" s="10">
        <v>4286401</v>
      </c>
      <c r="Z33" s="10">
        <v>4311991</v>
      </c>
      <c r="AA33" s="10">
        <v>4336613</v>
      </c>
      <c r="AB33" s="10">
        <v>4359184</v>
      </c>
      <c r="AC33" s="10">
        <v>4381336</v>
      </c>
      <c r="AD33" s="10">
        <v>4405157</v>
      </c>
      <c r="AE33" s="10">
        <v>4431464</v>
      </c>
      <c r="AF33" s="10">
        <v>4461913</v>
      </c>
      <c r="AG33" s="10">
        <v>4490967</v>
      </c>
      <c r="AH33" s="10">
        <v>4513751</v>
      </c>
      <c r="AI33" s="10">
        <v>4538159</v>
      </c>
      <c r="AJ33" s="10">
        <v>4564855</v>
      </c>
      <c r="AK33" s="10">
        <v>4591910</v>
      </c>
      <c r="AL33" s="10">
        <v>4623291</v>
      </c>
      <c r="AM33" s="10">
        <v>4660677</v>
      </c>
      <c r="AN33" s="10">
        <v>4709153</v>
      </c>
      <c r="AO33" s="10">
        <v>4768212</v>
      </c>
      <c r="AP33" s="10">
        <v>4828726</v>
      </c>
      <c r="AQ33" s="10">
        <v>4889252</v>
      </c>
      <c r="AR33" s="10">
        <v>4953088</v>
      </c>
      <c r="AS33" s="10">
        <v>5018573</v>
      </c>
      <c r="AT33" s="10">
        <v>5079623</v>
      </c>
      <c r="AU33" s="10">
        <v>5137232</v>
      </c>
      <c r="AV33" s="10">
        <v>5188607</v>
      </c>
      <c r="AW33" s="10">
        <v>5234519</v>
      </c>
      <c r="AX33" s="10">
        <v>5276968</v>
      </c>
      <c r="AY33" s="10">
        <v>5311916</v>
      </c>
      <c r="AZ33" s="10">
        <v>5347896</v>
      </c>
    </row>
    <row r="34" spans="1:52" x14ac:dyDescent="0.45">
      <c r="B34" t="s">
        <v>99</v>
      </c>
      <c r="C34" s="10">
        <v>8680431</v>
      </c>
      <c r="D34" s="10">
        <v>8643756</v>
      </c>
      <c r="E34" s="10">
        <v>8630430</v>
      </c>
      <c r="F34" s="10">
        <v>8633100</v>
      </c>
      <c r="G34" s="10">
        <v>8754365</v>
      </c>
      <c r="H34" s="10">
        <v>9093470</v>
      </c>
      <c r="I34" s="10">
        <v>9355810</v>
      </c>
      <c r="J34" s="10">
        <v>9455675</v>
      </c>
      <c r="K34" s="10">
        <v>9558250</v>
      </c>
      <c r="L34" s="10">
        <v>9661265</v>
      </c>
      <c r="M34" s="10">
        <v>9766312</v>
      </c>
      <c r="N34" s="10">
        <v>9851362</v>
      </c>
      <c r="O34" s="10">
        <v>9911771</v>
      </c>
      <c r="P34" s="10">
        <v>9957865</v>
      </c>
      <c r="Q34" s="10">
        <v>9996232</v>
      </c>
      <c r="R34" s="10">
        <v>10023613</v>
      </c>
      <c r="S34" s="10">
        <v>10032734</v>
      </c>
      <c r="T34" s="10">
        <v>10030031</v>
      </c>
      <c r="U34" s="10">
        <v>10019610</v>
      </c>
      <c r="V34" s="10">
        <v>10005000</v>
      </c>
      <c r="W34" s="10">
        <v>9983218</v>
      </c>
      <c r="X34" s="10">
        <v>9960235</v>
      </c>
      <c r="Y34" s="10">
        <v>9952494</v>
      </c>
      <c r="Z34" s="10">
        <v>9964675</v>
      </c>
      <c r="AA34" s="10">
        <v>9991525</v>
      </c>
      <c r="AB34" s="10">
        <v>10026176</v>
      </c>
      <c r="AC34" s="10">
        <v>10063945</v>
      </c>
      <c r="AD34" s="10">
        <v>10108977</v>
      </c>
      <c r="AE34" s="10">
        <v>10160196</v>
      </c>
      <c r="AF34" s="10">
        <v>10217828</v>
      </c>
      <c r="AG34" s="10">
        <v>10289898</v>
      </c>
      <c r="AH34" s="10">
        <v>10362722</v>
      </c>
      <c r="AI34" s="10">
        <v>10419631</v>
      </c>
      <c r="AJ34" s="10">
        <v>10458821</v>
      </c>
      <c r="AK34" s="10">
        <v>10483861</v>
      </c>
      <c r="AL34" s="10">
        <v>10503330</v>
      </c>
      <c r="AM34" s="10">
        <v>10522288</v>
      </c>
      <c r="AN34" s="10">
        <v>10542964</v>
      </c>
      <c r="AO34" s="10">
        <v>10558177</v>
      </c>
      <c r="AP34" s="10">
        <v>10568247</v>
      </c>
      <c r="AQ34" s="10">
        <v>10573100</v>
      </c>
      <c r="AR34" s="10">
        <v>10557560</v>
      </c>
      <c r="AS34" s="10">
        <v>10514844</v>
      </c>
      <c r="AT34" s="10">
        <v>10457295</v>
      </c>
      <c r="AU34" s="10">
        <v>10401062</v>
      </c>
      <c r="AV34" s="10">
        <v>10358076</v>
      </c>
      <c r="AW34" s="10">
        <v>10325452</v>
      </c>
      <c r="AX34" s="10">
        <v>10300300</v>
      </c>
      <c r="AY34" s="10">
        <v>10283822</v>
      </c>
      <c r="AZ34" s="10">
        <v>10269417</v>
      </c>
    </row>
    <row r="35" spans="1:52" x14ac:dyDescent="0.45">
      <c r="B35" t="s">
        <v>100</v>
      </c>
      <c r="C35" s="10">
        <v>2074507</v>
      </c>
      <c r="D35" s="10">
        <v>2112900</v>
      </c>
      <c r="E35" s="10">
        <v>2152400</v>
      </c>
      <c r="F35" s="10">
        <v>2193000</v>
      </c>
      <c r="G35" s="10">
        <v>2229800</v>
      </c>
      <c r="H35" s="10">
        <v>2262600</v>
      </c>
      <c r="I35" s="10">
        <v>2293300</v>
      </c>
      <c r="J35" s="10">
        <v>2325300</v>
      </c>
      <c r="K35" s="10">
        <v>2353600</v>
      </c>
      <c r="L35" s="10">
        <v>2383500</v>
      </c>
      <c r="M35" s="10">
        <v>2413945</v>
      </c>
      <c r="N35" s="10">
        <v>2532835</v>
      </c>
      <c r="O35" s="10">
        <v>2646466</v>
      </c>
      <c r="P35" s="10">
        <v>2681061</v>
      </c>
      <c r="Q35" s="10">
        <v>2732221</v>
      </c>
      <c r="R35" s="10">
        <v>2735957</v>
      </c>
      <c r="S35" s="10">
        <v>2733373</v>
      </c>
      <c r="T35" s="10">
        <v>2774789</v>
      </c>
      <c r="U35" s="10">
        <v>2846108</v>
      </c>
      <c r="V35" s="10">
        <v>2930901</v>
      </c>
      <c r="W35" s="10">
        <v>3047132</v>
      </c>
      <c r="X35" s="10">
        <v>3135083</v>
      </c>
      <c r="Y35" s="10">
        <v>3230698</v>
      </c>
      <c r="Z35" s="10">
        <v>3313471</v>
      </c>
      <c r="AA35" s="10">
        <v>3419048</v>
      </c>
      <c r="AB35" s="10">
        <v>3524506</v>
      </c>
      <c r="AC35" s="10">
        <v>3670704</v>
      </c>
      <c r="AD35" s="10">
        <v>3796038</v>
      </c>
      <c r="AE35" s="10">
        <v>3927213</v>
      </c>
      <c r="AF35" s="10">
        <v>3958723</v>
      </c>
      <c r="AG35" s="10">
        <v>4027887</v>
      </c>
      <c r="AH35" s="10">
        <v>4138012</v>
      </c>
      <c r="AI35" s="10">
        <v>4175950</v>
      </c>
      <c r="AJ35" s="10">
        <v>4114826</v>
      </c>
      <c r="AK35" s="10">
        <v>4166664</v>
      </c>
      <c r="AL35" s="10">
        <v>4265762</v>
      </c>
      <c r="AM35" s="10">
        <v>4401365</v>
      </c>
      <c r="AN35" s="10">
        <v>4588599</v>
      </c>
      <c r="AO35" s="10">
        <v>4839396</v>
      </c>
      <c r="AP35" s="10">
        <v>4987573</v>
      </c>
      <c r="AQ35" s="10">
        <v>5076732</v>
      </c>
      <c r="AR35" s="10">
        <v>5183688</v>
      </c>
      <c r="AS35" s="10">
        <v>5312437</v>
      </c>
      <c r="AT35" s="10">
        <v>5399162</v>
      </c>
      <c r="AU35" s="10">
        <v>5469724</v>
      </c>
      <c r="AV35" s="10">
        <v>5535002</v>
      </c>
      <c r="AW35" s="10">
        <v>5607283</v>
      </c>
      <c r="AX35" s="10">
        <v>5612253</v>
      </c>
      <c r="AY35" s="10">
        <v>5638676</v>
      </c>
      <c r="AZ35" s="10">
        <v>5703569</v>
      </c>
    </row>
    <row r="36" spans="1:52" x14ac:dyDescent="0.45">
      <c r="B36" t="s">
        <v>101</v>
      </c>
      <c r="C36" s="10">
        <v>32240828</v>
      </c>
      <c r="D36" s="10">
        <v>32882704</v>
      </c>
      <c r="E36" s="10">
        <v>33505406</v>
      </c>
      <c r="F36" s="10">
        <v>34103148</v>
      </c>
      <c r="G36" s="10">
        <v>34692264</v>
      </c>
      <c r="H36" s="10">
        <v>35280724</v>
      </c>
      <c r="I36" s="10">
        <v>35848524</v>
      </c>
      <c r="J36" s="10">
        <v>36411796</v>
      </c>
      <c r="K36" s="10">
        <v>36969184</v>
      </c>
      <c r="L36" s="10">
        <v>37534236</v>
      </c>
      <c r="M36" s="10">
        <v>38123776</v>
      </c>
      <c r="N36" s="10">
        <v>38723248</v>
      </c>
      <c r="O36" s="10">
        <v>39326352</v>
      </c>
      <c r="P36" s="10">
        <v>39910404</v>
      </c>
      <c r="Q36" s="10">
        <v>40405956</v>
      </c>
      <c r="R36" s="10">
        <v>40805744</v>
      </c>
      <c r="S36" s="10">
        <v>41213672</v>
      </c>
      <c r="T36" s="10">
        <v>41621688</v>
      </c>
      <c r="U36" s="10">
        <v>42031248</v>
      </c>
      <c r="V36" s="10">
        <v>42449040</v>
      </c>
      <c r="W36" s="10">
        <v>42869284</v>
      </c>
      <c r="X36" s="10">
        <v>43295704</v>
      </c>
      <c r="Y36" s="10">
        <v>43747960</v>
      </c>
      <c r="Z36" s="10">
        <v>44194628</v>
      </c>
      <c r="AA36" s="10">
        <v>44641540</v>
      </c>
      <c r="AB36" s="10">
        <v>45092992</v>
      </c>
      <c r="AC36" s="10">
        <v>45524680</v>
      </c>
      <c r="AD36" s="10">
        <v>45953580</v>
      </c>
      <c r="AE36" s="10">
        <v>46286504</v>
      </c>
      <c r="AF36" s="10">
        <v>46616676</v>
      </c>
      <c r="AG36" s="10">
        <v>47008112</v>
      </c>
      <c r="AH36" s="10">
        <v>47370164</v>
      </c>
      <c r="AI36" s="10">
        <v>47644736</v>
      </c>
      <c r="AJ36" s="10">
        <v>47892328</v>
      </c>
      <c r="AK36" s="10">
        <v>48082520</v>
      </c>
      <c r="AL36" s="10">
        <v>48184560</v>
      </c>
      <c r="AM36" s="10">
        <v>48438292</v>
      </c>
      <c r="AN36" s="10">
        <v>48683640</v>
      </c>
      <c r="AO36" s="10">
        <v>49054708</v>
      </c>
      <c r="AP36" s="10">
        <v>49307836</v>
      </c>
      <c r="AQ36" s="10">
        <v>49554112</v>
      </c>
      <c r="AR36" s="10">
        <v>49936640</v>
      </c>
      <c r="AS36" s="10">
        <v>50199852</v>
      </c>
      <c r="AT36" s="10">
        <v>50428892</v>
      </c>
      <c r="AU36" s="10">
        <v>50746660</v>
      </c>
      <c r="AV36" s="10">
        <v>51014948</v>
      </c>
      <c r="AW36" s="10">
        <v>51217804</v>
      </c>
      <c r="AX36" s="10">
        <v>51361912</v>
      </c>
      <c r="AY36" s="10">
        <v>51606632</v>
      </c>
      <c r="AZ36" s="10">
        <v>51709096</v>
      </c>
    </row>
    <row r="37" spans="1:52" x14ac:dyDescent="0.45">
      <c r="B37" t="s">
        <v>102</v>
      </c>
      <c r="C37" s="10">
        <v>33814532</v>
      </c>
      <c r="D37" s="10">
        <v>34224488</v>
      </c>
      <c r="E37" s="10">
        <v>34604468</v>
      </c>
      <c r="F37" s="10">
        <v>34988948</v>
      </c>
      <c r="G37" s="10">
        <v>35373336</v>
      </c>
      <c r="H37" s="10">
        <v>35757900</v>
      </c>
      <c r="I37" s="10">
        <v>36137812</v>
      </c>
      <c r="J37" s="10">
        <v>36511640</v>
      </c>
      <c r="K37" s="10">
        <v>36864896</v>
      </c>
      <c r="L37" s="10">
        <v>37191328</v>
      </c>
      <c r="M37" s="10">
        <v>37491164</v>
      </c>
      <c r="N37" s="10">
        <v>37758632</v>
      </c>
      <c r="O37" s="10">
        <v>37986012</v>
      </c>
      <c r="P37" s="10">
        <v>38171524</v>
      </c>
      <c r="Q37" s="10">
        <v>38330364</v>
      </c>
      <c r="R37" s="10">
        <v>38469512</v>
      </c>
      <c r="S37" s="10">
        <v>38584624</v>
      </c>
      <c r="T37" s="10">
        <v>38684816</v>
      </c>
      <c r="U37" s="10">
        <v>38766940</v>
      </c>
      <c r="V37" s="10">
        <v>38827764</v>
      </c>
      <c r="W37" s="10">
        <v>38867320</v>
      </c>
      <c r="X37" s="10">
        <v>38966376</v>
      </c>
      <c r="Y37" s="10">
        <v>39157684</v>
      </c>
      <c r="Z37" s="10">
        <v>39361264</v>
      </c>
      <c r="AA37" s="10">
        <v>39549108</v>
      </c>
      <c r="AB37" s="10">
        <v>39724048</v>
      </c>
      <c r="AC37" s="10">
        <v>39889852</v>
      </c>
      <c r="AD37" s="10">
        <v>40057388</v>
      </c>
      <c r="AE37" s="10">
        <v>40223508</v>
      </c>
      <c r="AF37" s="10">
        <v>40386876</v>
      </c>
      <c r="AG37" s="10">
        <v>40567864</v>
      </c>
      <c r="AH37" s="10">
        <v>40850412</v>
      </c>
      <c r="AI37" s="10">
        <v>41431560</v>
      </c>
      <c r="AJ37" s="10">
        <v>42187644</v>
      </c>
      <c r="AK37" s="10">
        <v>42921896</v>
      </c>
      <c r="AL37" s="10">
        <v>43653156</v>
      </c>
      <c r="AM37" s="10">
        <v>44397320</v>
      </c>
      <c r="AN37" s="10">
        <v>45226804</v>
      </c>
      <c r="AO37" s="10">
        <v>45954104</v>
      </c>
      <c r="AP37" s="10">
        <v>46362944</v>
      </c>
      <c r="AQ37" s="10">
        <v>46576896</v>
      </c>
      <c r="AR37" s="10">
        <v>46742696</v>
      </c>
      <c r="AS37" s="10">
        <v>46773056</v>
      </c>
      <c r="AT37" s="10">
        <v>46620044</v>
      </c>
      <c r="AU37" s="10">
        <v>46480880</v>
      </c>
      <c r="AV37" s="10">
        <v>46444832</v>
      </c>
      <c r="AW37" s="10">
        <v>46484064</v>
      </c>
      <c r="AX37" s="10">
        <v>46593236</v>
      </c>
      <c r="AY37" s="10">
        <v>46797752</v>
      </c>
      <c r="AZ37" s="10">
        <v>47076780</v>
      </c>
    </row>
    <row r="38" spans="1:52" x14ac:dyDescent="0.45">
      <c r="B38" t="s">
        <v>103</v>
      </c>
      <c r="C38" s="10">
        <v>8042801</v>
      </c>
      <c r="D38" s="10">
        <v>8098334</v>
      </c>
      <c r="E38" s="10">
        <v>8122300</v>
      </c>
      <c r="F38" s="10">
        <v>8136312</v>
      </c>
      <c r="G38" s="10">
        <v>8159955</v>
      </c>
      <c r="H38" s="10">
        <v>8192437</v>
      </c>
      <c r="I38" s="10">
        <v>8222286</v>
      </c>
      <c r="J38" s="10">
        <v>8251540</v>
      </c>
      <c r="K38" s="10">
        <v>8275599</v>
      </c>
      <c r="L38" s="10">
        <v>8293678</v>
      </c>
      <c r="M38" s="10">
        <v>8310531</v>
      </c>
      <c r="N38" s="10">
        <v>8320503</v>
      </c>
      <c r="O38" s="10">
        <v>8325263</v>
      </c>
      <c r="P38" s="10">
        <v>8329033</v>
      </c>
      <c r="Q38" s="10">
        <v>8336605</v>
      </c>
      <c r="R38" s="10">
        <v>8350386</v>
      </c>
      <c r="S38" s="10">
        <v>8369829</v>
      </c>
      <c r="T38" s="10">
        <v>8397804</v>
      </c>
      <c r="U38" s="10">
        <v>8436489</v>
      </c>
      <c r="V38" s="10">
        <v>8492964</v>
      </c>
      <c r="W38" s="10">
        <v>8558835</v>
      </c>
      <c r="X38" s="10">
        <v>8617375</v>
      </c>
      <c r="Y38" s="10">
        <v>8668067</v>
      </c>
      <c r="Z38" s="10">
        <v>8718561</v>
      </c>
      <c r="AA38" s="10">
        <v>8780745</v>
      </c>
      <c r="AB38" s="10">
        <v>8826939</v>
      </c>
      <c r="AC38" s="10">
        <v>8840998</v>
      </c>
      <c r="AD38" s="10">
        <v>8846062</v>
      </c>
      <c r="AE38" s="10">
        <v>8850974</v>
      </c>
      <c r="AF38" s="10">
        <v>8857874</v>
      </c>
      <c r="AG38" s="10">
        <v>8872109</v>
      </c>
      <c r="AH38" s="10">
        <v>8895960</v>
      </c>
      <c r="AI38" s="10">
        <v>8924958</v>
      </c>
      <c r="AJ38" s="10">
        <v>8958229</v>
      </c>
      <c r="AK38" s="10">
        <v>8993531</v>
      </c>
      <c r="AL38" s="10">
        <v>9029572</v>
      </c>
      <c r="AM38" s="10">
        <v>9080505</v>
      </c>
      <c r="AN38" s="10">
        <v>9148092</v>
      </c>
      <c r="AO38" s="10">
        <v>9219637</v>
      </c>
      <c r="AP38" s="10">
        <v>9298515</v>
      </c>
      <c r="AQ38" s="10">
        <v>9378126</v>
      </c>
      <c r="AR38" s="10">
        <v>9449213</v>
      </c>
      <c r="AS38" s="10">
        <v>9519374</v>
      </c>
      <c r="AT38" s="10">
        <v>9600379</v>
      </c>
      <c r="AU38" s="10">
        <v>9696110</v>
      </c>
      <c r="AV38" s="10">
        <v>9799186</v>
      </c>
      <c r="AW38" s="10">
        <v>9923085</v>
      </c>
      <c r="AX38" s="10">
        <v>10057698</v>
      </c>
      <c r="AY38" s="10">
        <v>10175214</v>
      </c>
      <c r="AZ38" s="10">
        <v>10285453</v>
      </c>
    </row>
    <row r="39" spans="1:52" x14ac:dyDescent="0.45">
      <c r="B39" t="s">
        <v>211</v>
      </c>
      <c r="C39" s="10">
        <v>6180877</v>
      </c>
      <c r="D39" s="10">
        <v>6213399</v>
      </c>
      <c r="E39" s="10">
        <v>6260956</v>
      </c>
      <c r="F39" s="10">
        <v>6307347</v>
      </c>
      <c r="G39" s="10">
        <v>6341405</v>
      </c>
      <c r="H39" s="10">
        <v>6338632</v>
      </c>
      <c r="I39" s="10">
        <v>6302504</v>
      </c>
      <c r="J39" s="10">
        <v>6281174</v>
      </c>
      <c r="K39" s="10">
        <v>6281738</v>
      </c>
      <c r="L39" s="10">
        <v>6294365</v>
      </c>
      <c r="M39" s="10">
        <v>6319408</v>
      </c>
      <c r="N39" s="10">
        <v>6354074</v>
      </c>
      <c r="O39" s="10">
        <v>6391309</v>
      </c>
      <c r="P39" s="10">
        <v>6418773</v>
      </c>
      <c r="Q39" s="10">
        <v>6441865</v>
      </c>
      <c r="R39" s="10">
        <v>6470365</v>
      </c>
      <c r="S39" s="10">
        <v>6504124</v>
      </c>
      <c r="T39" s="10">
        <v>6545106</v>
      </c>
      <c r="U39" s="10">
        <v>6593386</v>
      </c>
      <c r="V39" s="10">
        <v>6646912</v>
      </c>
      <c r="W39" s="10">
        <v>6715519</v>
      </c>
      <c r="X39" s="10">
        <v>6799978</v>
      </c>
      <c r="Y39" s="10">
        <v>6875364</v>
      </c>
      <c r="Z39" s="10">
        <v>6938265</v>
      </c>
      <c r="AA39" s="10">
        <v>6993795</v>
      </c>
      <c r="AB39" s="10">
        <v>7040687</v>
      </c>
      <c r="AC39" s="10">
        <v>7071850</v>
      </c>
      <c r="AD39" s="10">
        <v>7088906</v>
      </c>
      <c r="AE39" s="10">
        <v>7110001</v>
      </c>
      <c r="AF39" s="10">
        <v>7143991</v>
      </c>
      <c r="AG39" s="10">
        <v>7184250</v>
      </c>
      <c r="AH39" s="10">
        <v>7229854</v>
      </c>
      <c r="AI39" s="10">
        <v>7284753</v>
      </c>
      <c r="AJ39" s="10">
        <v>7339001</v>
      </c>
      <c r="AK39" s="10">
        <v>7389625</v>
      </c>
      <c r="AL39" s="10">
        <v>7437115</v>
      </c>
      <c r="AM39" s="10">
        <v>7483934</v>
      </c>
      <c r="AN39" s="10">
        <v>7551117</v>
      </c>
      <c r="AO39" s="10">
        <v>7647675</v>
      </c>
      <c r="AP39" s="10">
        <v>7743831</v>
      </c>
      <c r="AQ39" s="10">
        <v>7824909</v>
      </c>
      <c r="AR39" s="10">
        <v>7912398</v>
      </c>
      <c r="AS39" s="10">
        <v>7996861</v>
      </c>
      <c r="AT39" s="10">
        <v>8089346</v>
      </c>
      <c r="AU39" s="10">
        <v>8188649</v>
      </c>
      <c r="AV39" s="10">
        <v>8282396</v>
      </c>
      <c r="AW39" s="10">
        <v>8373338</v>
      </c>
      <c r="AX39" s="10">
        <v>8451840</v>
      </c>
      <c r="AY39" s="10">
        <v>8514329</v>
      </c>
      <c r="AZ39" s="10">
        <v>8574832</v>
      </c>
    </row>
    <row r="40" spans="1:52" x14ac:dyDescent="0.45">
      <c r="B40" t="s">
        <v>104</v>
      </c>
      <c r="C40" s="10">
        <v>55663248</v>
      </c>
      <c r="D40" s="10">
        <v>55896224</v>
      </c>
      <c r="E40" s="10">
        <v>56086064</v>
      </c>
      <c r="F40" s="10">
        <v>56194528</v>
      </c>
      <c r="G40" s="10">
        <v>56229976</v>
      </c>
      <c r="H40" s="10">
        <v>56225800</v>
      </c>
      <c r="I40" s="10">
        <v>56211968</v>
      </c>
      <c r="J40" s="10">
        <v>56193492</v>
      </c>
      <c r="K40" s="10">
        <v>56196504</v>
      </c>
      <c r="L40" s="10">
        <v>56246952</v>
      </c>
      <c r="M40" s="10">
        <v>56314216</v>
      </c>
      <c r="N40" s="10">
        <v>56333828</v>
      </c>
      <c r="O40" s="10">
        <v>56313640</v>
      </c>
      <c r="P40" s="10">
        <v>56332848</v>
      </c>
      <c r="Q40" s="10">
        <v>56422072</v>
      </c>
      <c r="R40" s="10">
        <v>56550268</v>
      </c>
      <c r="S40" s="10">
        <v>56681396</v>
      </c>
      <c r="T40" s="10">
        <v>56802048</v>
      </c>
      <c r="U40" s="10">
        <v>56928328</v>
      </c>
      <c r="V40" s="10">
        <v>57076712</v>
      </c>
      <c r="W40" s="10">
        <v>57247584</v>
      </c>
      <c r="X40" s="10">
        <v>57424896</v>
      </c>
      <c r="Y40" s="10">
        <v>57580400</v>
      </c>
      <c r="Z40" s="10">
        <v>57718616</v>
      </c>
      <c r="AA40" s="10">
        <v>57865744</v>
      </c>
      <c r="AB40" s="10">
        <v>58019032</v>
      </c>
      <c r="AC40" s="10">
        <v>58166952</v>
      </c>
      <c r="AD40" s="10">
        <v>58316952</v>
      </c>
      <c r="AE40" s="10">
        <v>58487140</v>
      </c>
      <c r="AF40" s="10">
        <v>58682464</v>
      </c>
      <c r="AG40" s="10">
        <v>58892512</v>
      </c>
      <c r="AH40" s="10">
        <v>59119672</v>
      </c>
      <c r="AI40" s="10">
        <v>59370480</v>
      </c>
      <c r="AJ40" s="10">
        <v>59647576</v>
      </c>
      <c r="AK40" s="10">
        <v>59987904</v>
      </c>
      <c r="AL40" s="10">
        <v>60401208</v>
      </c>
      <c r="AM40" s="10">
        <v>60846820</v>
      </c>
      <c r="AN40" s="10">
        <v>61322464</v>
      </c>
      <c r="AO40" s="10">
        <v>61806996</v>
      </c>
      <c r="AP40" s="10">
        <v>62276272</v>
      </c>
      <c r="AQ40" s="10">
        <v>62766364</v>
      </c>
      <c r="AR40" s="10">
        <v>63258808</v>
      </c>
      <c r="AS40" s="10">
        <v>63700216</v>
      </c>
      <c r="AT40" s="10">
        <v>64128272</v>
      </c>
      <c r="AU40" s="10">
        <v>64602296</v>
      </c>
      <c r="AV40" s="10">
        <v>65116220</v>
      </c>
      <c r="AW40" s="10">
        <v>65611592</v>
      </c>
      <c r="AX40" s="10">
        <v>66058860</v>
      </c>
      <c r="AY40" s="10">
        <v>66460344</v>
      </c>
      <c r="AZ40" s="10">
        <v>66834404</v>
      </c>
    </row>
    <row r="41" spans="1:52" x14ac:dyDescent="0.45">
      <c r="B41" t="s">
        <v>105</v>
      </c>
      <c r="C41" s="10">
        <v>205052000</v>
      </c>
      <c r="D41" s="10">
        <v>207660992</v>
      </c>
      <c r="E41" s="10">
        <v>209896000</v>
      </c>
      <c r="F41" s="10">
        <v>211908992</v>
      </c>
      <c r="G41" s="10">
        <v>213854000</v>
      </c>
      <c r="H41" s="10">
        <v>215972992</v>
      </c>
      <c r="I41" s="10">
        <v>218035008</v>
      </c>
      <c r="J41" s="10">
        <v>220239008</v>
      </c>
      <c r="K41" s="10">
        <v>222584992</v>
      </c>
      <c r="L41" s="10">
        <v>225055008</v>
      </c>
      <c r="M41" s="10">
        <v>227224992</v>
      </c>
      <c r="N41" s="10">
        <v>229466000</v>
      </c>
      <c r="O41" s="10">
        <v>231664000</v>
      </c>
      <c r="P41" s="10">
        <v>233792000</v>
      </c>
      <c r="Q41" s="10">
        <v>235824992</v>
      </c>
      <c r="R41" s="10">
        <v>237924000</v>
      </c>
      <c r="S41" s="10">
        <v>240132992</v>
      </c>
      <c r="T41" s="10">
        <v>242288992</v>
      </c>
      <c r="U41" s="10">
        <v>244499008</v>
      </c>
      <c r="V41" s="10">
        <v>246819008</v>
      </c>
      <c r="W41" s="10">
        <v>249623008</v>
      </c>
      <c r="X41" s="10">
        <v>252980992</v>
      </c>
      <c r="Y41" s="10">
        <v>256514000</v>
      </c>
      <c r="Z41" s="10">
        <v>259919008</v>
      </c>
      <c r="AA41" s="10">
        <v>263126000</v>
      </c>
      <c r="AB41" s="10">
        <v>266278000</v>
      </c>
      <c r="AC41" s="10">
        <v>269393984</v>
      </c>
      <c r="AD41" s="10">
        <v>272656992</v>
      </c>
      <c r="AE41" s="10">
        <v>275854016</v>
      </c>
      <c r="AF41" s="10">
        <v>279040000</v>
      </c>
      <c r="AG41" s="10">
        <v>282162400</v>
      </c>
      <c r="AH41" s="10">
        <v>284968960</v>
      </c>
      <c r="AI41" s="10">
        <v>287625184</v>
      </c>
      <c r="AJ41" s="10">
        <v>290107936</v>
      </c>
      <c r="AK41" s="10">
        <v>292805312</v>
      </c>
      <c r="AL41" s="10">
        <v>295516608</v>
      </c>
      <c r="AM41" s="10">
        <v>298379904</v>
      </c>
      <c r="AN41" s="10">
        <v>301231200</v>
      </c>
      <c r="AO41" s="10">
        <v>304093952</v>
      </c>
      <c r="AP41" s="10">
        <v>306771520</v>
      </c>
      <c r="AQ41" s="10">
        <v>309321664</v>
      </c>
      <c r="AR41" s="10">
        <v>311556864</v>
      </c>
      <c r="AS41" s="10">
        <v>313830976</v>
      </c>
      <c r="AT41" s="10">
        <v>315993728</v>
      </c>
      <c r="AU41" s="10">
        <v>318300992</v>
      </c>
      <c r="AV41" s="10">
        <v>320635168</v>
      </c>
      <c r="AW41" s="10">
        <v>322941312</v>
      </c>
      <c r="AX41" s="10">
        <v>324985536</v>
      </c>
      <c r="AY41" s="10">
        <v>326687488</v>
      </c>
      <c r="AZ41" s="10">
        <v>328239520</v>
      </c>
    </row>
    <row r="42" spans="1:52" x14ac:dyDescent="0.45">
      <c r="A42" t="s">
        <v>29</v>
      </c>
      <c r="B42" t="s">
        <v>212</v>
      </c>
      <c r="C42" s="10">
        <v>14464985</v>
      </c>
      <c r="D42" s="10">
        <v>14872250</v>
      </c>
      <c r="E42" s="10">
        <v>15285990</v>
      </c>
      <c r="F42" s="10">
        <v>15709825</v>
      </c>
      <c r="G42" s="10">
        <v>16149025</v>
      </c>
      <c r="H42" s="10">
        <v>16607707</v>
      </c>
      <c r="I42" s="10">
        <v>17085800</v>
      </c>
      <c r="J42" s="10">
        <v>17582904</v>
      </c>
      <c r="K42" s="10">
        <v>18102266</v>
      </c>
      <c r="L42" s="10">
        <v>18647816</v>
      </c>
      <c r="M42" s="10">
        <v>19221664</v>
      </c>
      <c r="N42" s="10">
        <v>19824300</v>
      </c>
      <c r="O42" s="10">
        <v>20452902</v>
      </c>
      <c r="P42" s="10">
        <v>21101876</v>
      </c>
      <c r="Q42" s="10">
        <v>21763576</v>
      </c>
      <c r="R42" s="10">
        <v>22431502</v>
      </c>
      <c r="S42" s="10">
        <v>23102388</v>
      </c>
      <c r="T42" s="10">
        <v>23774284</v>
      </c>
      <c r="U42" s="10">
        <v>24443468</v>
      </c>
      <c r="V42" s="10">
        <v>25106190</v>
      </c>
      <c r="W42" s="10">
        <v>25758868</v>
      </c>
      <c r="X42" s="10">
        <v>26400480</v>
      </c>
      <c r="Y42" s="10">
        <v>27028326</v>
      </c>
      <c r="Z42" s="10">
        <v>27635516</v>
      </c>
      <c r="AA42" s="10">
        <v>28213774</v>
      </c>
      <c r="AB42" s="10">
        <v>28757784</v>
      </c>
      <c r="AC42" s="10">
        <v>29266404</v>
      </c>
      <c r="AD42" s="10">
        <v>29742980</v>
      </c>
      <c r="AE42" s="10">
        <v>30192754</v>
      </c>
      <c r="AF42" s="10">
        <v>30623406</v>
      </c>
      <c r="AG42" s="10">
        <v>31042236</v>
      </c>
      <c r="AH42" s="10">
        <v>31451514</v>
      </c>
      <c r="AI42" s="10">
        <v>31855108</v>
      </c>
      <c r="AJ42" s="10">
        <v>32264156</v>
      </c>
      <c r="AK42" s="10">
        <v>32692164</v>
      </c>
      <c r="AL42" s="10">
        <v>33149724</v>
      </c>
      <c r="AM42" s="10">
        <v>33641000</v>
      </c>
      <c r="AN42" s="10">
        <v>34166972</v>
      </c>
      <c r="AO42" s="10">
        <v>34730608</v>
      </c>
      <c r="AP42" s="10">
        <v>35333880</v>
      </c>
      <c r="AQ42" s="10">
        <v>35977456</v>
      </c>
      <c r="AR42" s="10">
        <v>36661444</v>
      </c>
      <c r="AS42" s="10">
        <v>37383888</v>
      </c>
      <c r="AT42" s="10">
        <v>38140132</v>
      </c>
      <c r="AU42" s="10">
        <v>38923688</v>
      </c>
      <c r="AV42" s="10">
        <v>39728024</v>
      </c>
      <c r="AW42" s="10">
        <v>40551404</v>
      </c>
      <c r="AX42" s="10">
        <v>41389200</v>
      </c>
      <c r="AY42" s="10">
        <v>42228428</v>
      </c>
      <c r="AZ42" s="10">
        <v>43053056</v>
      </c>
    </row>
    <row r="43" spans="1:52" x14ac:dyDescent="0.45">
      <c r="B43" t="s">
        <v>213</v>
      </c>
      <c r="C43" s="10">
        <v>23880560</v>
      </c>
      <c r="D43" s="10">
        <v>24259560</v>
      </c>
      <c r="E43" s="10">
        <v>24653176</v>
      </c>
      <c r="F43" s="10">
        <v>25056478</v>
      </c>
      <c r="G43" s="10">
        <v>25462302</v>
      </c>
      <c r="H43" s="10">
        <v>25865776</v>
      </c>
      <c r="I43" s="10">
        <v>26264680</v>
      </c>
      <c r="J43" s="10">
        <v>26661398</v>
      </c>
      <c r="K43" s="10">
        <v>27061048</v>
      </c>
      <c r="L43" s="10">
        <v>27471036</v>
      </c>
      <c r="M43" s="10">
        <v>27896528</v>
      </c>
      <c r="N43" s="10">
        <v>28338516</v>
      </c>
      <c r="O43" s="10">
        <v>28794548</v>
      </c>
      <c r="P43" s="10">
        <v>29262048</v>
      </c>
      <c r="Q43" s="10">
        <v>29737092</v>
      </c>
      <c r="R43" s="10">
        <v>30216280</v>
      </c>
      <c r="S43" s="10">
        <v>30698964</v>
      </c>
      <c r="T43" s="10">
        <v>31184416</v>
      </c>
      <c r="U43" s="10">
        <v>31668948</v>
      </c>
      <c r="V43" s="10">
        <v>32148134</v>
      </c>
      <c r="W43" s="10">
        <v>32618652</v>
      </c>
      <c r="X43" s="10">
        <v>33079000</v>
      </c>
      <c r="Y43" s="10">
        <v>33529326</v>
      </c>
      <c r="Z43" s="10">
        <v>33970112</v>
      </c>
      <c r="AA43" s="10">
        <v>34402672</v>
      </c>
      <c r="AB43" s="10">
        <v>34828168</v>
      </c>
      <c r="AC43" s="10">
        <v>35246376</v>
      </c>
      <c r="AD43" s="10">
        <v>35657428</v>
      </c>
      <c r="AE43" s="10">
        <v>36063460</v>
      </c>
      <c r="AF43" s="10">
        <v>36467216</v>
      </c>
      <c r="AG43" s="10">
        <v>36870788</v>
      </c>
      <c r="AH43" s="10">
        <v>37275652</v>
      </c>
      <c r="AI43" s="10">
        <v>37681748</v>
      </c>
      <c r="AJ43" s="10">
        <v>38087868</v>
      </c>
      <c r="AK43" s="10">
        <v>38491972</v>
      </c>
      <c r="AL43" s="10">
        <v>38892932</v>
      </c>
      <c r="AM43" s="10">
        <v>39289880</v>
      </c>
      <c r="AN43" s="10">
        <v>39684296</v>
      </c>
      <c r="AO43" s="10">
        <v>40080160</v>
      </c>
      <c r="AP43" s="10">
        <v>40482788</v>
      </c>
      <c r="AQ43" s="10">
        <v>40788452</v>
      </c>
      <c r="AR43" s="10">
        <v>41261488</v>
      </c>
      <c r="AS43" s="10">
        <v>41733272</v>
      </c>
      <c r="AT43" s="10">
        <v>42202936</v>
      </c>
      <c r="AU43" s="10">
        <v>42669500</v>
      </c>
      <c r="AV43" s="10">
        <v>43131968</v>
      </c>
      <c r="AW43" s="10">
        <v>43590368</v>
      </c>
      <c r="AX43" s="10">
        <v>44044812</v>
      </c>
      <c r="AY43" s="10">
        <v>44494504</v>
      </c>
      <c r="AZ43" s="10">
        <v>44938712</v>
      </c>
    </row>
    <row r="44" spans="1:52" x14ac:dyDescent="0.45">
      <c r="B44" t="s">
        <v>106</v>
      </c>
      <c r="C44" s="10">
        <v>169377</v>
      </c>
      <c r="D44" s="10">
        <v>173889</v>
      </c>
      <c r="E44" s="10">
        <v>177866</v>
      </c>
      <c r="F44" s="10">
        <v>181517</v>
      </c>
      <c r="G44" s="10">
        <v>185120</v>
      </c>
      <c r="H44" s="10">
        <v>188896</v>
      </c>
      <c r="I44" s="10">
        <v>192909</v>
      </c>
      <c r="J44" s="10">
        <v>197101</v>
      </c>
      <c r="K44" s="10">
        <v>201478</v>
      </c>
      <c r="L44" s="10">
        <v>205984</v>
      </c>
      <c r="M44" s="10">
        <v>210591</v>
      </c>
      <c r="N44" s="10">
        <v>215326</v>
      </c>
      <c r="O44" s="10">
        <v>220184</v>
      </c>
      <c r="P44" s="10">
        <v>225084</v>
      </c>
      <c r="Q44" s="10">
        <v>229923</v>
      </c>
      <c r="R44" s="10">
        <v>234578</v>
      </c>
      <c r="S44" s="10">
        <v>239017</v>
      </c>
      <c r="T44" s="10">
        <v>243271</v>
      </c>
      <c r="U44" s="10">
        <v>247451</v>
      </c>
      <c r="V44" s="10">
        <v>251733</v>
      </c>
      <c r="W44" s="10">
        <v>256223</v>
      </c>
      <c r="X44" s="10">
        <v>261008</v>
      </c>
      <c r="Y44" s="10">
        <v>266029</v>
      </c>
      <c r="Z44" s="10">
        <v>271069</v>
      </c>
      <c r="AA44" s="10">
        <v>275846</v>
      </c>
      <c r="AB44" s="10">
        <v>280184</v>
      </c>
      <c r="AC44" s="10">
        <v>283978</v>
      </c>
      <c r="AD44" s="10">
        <v>287358</v>
      </c>
      <c r="AE44" s="10">
        <v>290597</v>
      </c>
      <c r="AF44" s="10">
        <v>294062</v>
      </c>
      <c r="AG44" s="10">
        <v>298051</v>
      </c>
      <c r="AH44" s="10">
        <v>302618</v>
      </c>
      <c r="AI44" s="10">
        <v>307660</v>
      </c>
      <c r="AJ44" s="10">
        <v>313129</v>
      </c>
      <c r="AK44" s="10">
        <v>318894</v>
      </c>
      <c r="AL44" s="10">
        <v>324859</v>
      </c>
      <c r="AM44" s="10">
        <v>331033</v>
      </c>
      <c r="AN44" s="10">
        <v>337389</v>
      </c>
      <c r="AO44" s="10">
        <v>343681</v>
      </c>
      <c r="AP44" s="10">
        <v>349604</v>
      </c>
      <c r="AQ44" s="10">
        <v>354942</v>
      </c>
      <c r="AR44" s="10">
        <v>359577</v>
      </c>
      <c r="AS44" s="10">
        <v>363584</v>
      </c>
      <c r="AT44" s="10">
        <v>367168</v>
      </c>
      <c r="AU44" s="10">
        <v>370633</v>
      </c>
      <c r="AV44" s="10">
        <v>374206</v>
      </c>
      <c r="AW44" s="10">
        <v>377931</v>
      </c>
      <c r="AX44" s="10">
        <v>381761</v>
      </c>
      <c r="AY44" s="10">
        <v>385640</v>
      </c>
      <c r="AZ44" s="10">
        <v>389482</v>
      </c>
    </row>
    <row r="45" spans="1:52" x14ac:dyDescent="0.45">
      <c r="B45" t="s">
        <v>107</v>
      </c>
      <c r="C45" s="10">
        <v>64232480</v>
      </c>
      <c r="D45" s="10">
        <v>65531632</v>
      </c>
      <c r="E45" s="10">
        <v>66625704</v>
      </c>
      <c r="F45" s="10">
        <v>67637528</v>
      </c>
      <c r="G45" s="10">
        <v>68742232</v>
      </c>
      <c r="H45" s="10">
        <v>70066304</v>
      </c>
      <c r="I45" s="10">
        <v>71652384</v>
      </c>
      <c r="J45" s="10">
        <v>73463584</v>
      </c>
      <c r="K45" s="10">
        <v>75450032</v>
      </c>
      <c r="L45" s="10">
        <v>77529048</v>
      </c>
      <c r="M45" s="10">
        <v>79639488</v>
      </c>
      <c r="N45" s="10">
        <v>81767512</v>
      </c>
      <c r="O45" s="10">
        <v>83932128</v>
      </c>
      <c r="P45" s="10">
        <v>86142496</v>
      </c>
      <c r="Q45" s="10">
        <v>88416520</v>
      </c>
      <c r="R45" s="10">
        <v>90764184</v>
      </c>
      <c r="S45" s="10">
        <v>93187600</v>
      </c>
      <c r="T45" s="10">
        <v>95671160</v>
      </c>
      <c r="U45" s="10">
        <v>98186352</v>
      </c>
      <c r="V45" s="10">
        <v>100695496</v>
      </c>
      <c r="W45" s="10">
        <v>103171952</v>
      </c>
      <c r="X45" s="10">
        <v>105599128</v>
      </c>
      <c r="Y45" s="10">
        <v>107983704</v>
      </c>
      <c r="Z45" s="10">
        <v>110350640</v>
      </c>
      <c r="AA45" s="10">
        <v>112737680</v>
      </c>
      <c r="AB45" s="10">
        <v>115169928</v>
      </c>
      <c r="AC45" s="10">
        <v>117649936</v>
      </c>
      <c r="AD45" s="10">
        <v>120160560</v>
      </c>
      <c r="AE45" s="10">
        <v>122682816</v>
      </c>
      <c r="AF45" s="10">
        <v>125189648</v>
      </c>
      <c r="AG45" s="10">
        <v>127657856</v>
      </c>
      <c r="AH45" s="10">
        <v>130088704</v>
      </c>
      <c r="AI45" s="10">
        <v>132478088</v>
      </c>
      <c r="AJ45" s="10">
        <v>134791600</v>
      </c>
      <c r="AK45" s="10">
        <v>136986432</v>
      </c>
      <c r="AL45" s="10">
        <v>139035504</v>
      </c>
      <c r="AM45" s="10">
        <v>140921168</v>
      </c>
      <c r="AN45" s="10">
        <v>142660384</v>
      </c>
      <c r="AO45" s="10">
        <v>144304160</v>
      </c>
      <c r="AP45" s="10">
        <v>145924800</v>
      </c>
      <c r="AQ45" s="10">
        <v>147575424</v>
      </c>
      <c r="AR45" s="10">
        <v>149273776</v>
      </c>
      <c r="AS45" s="10">
        <v>151007808</v>
      </c>
      <c r="AT45" s="10">
        <v>152764672</v>
      </c>
      <c r="AU45" s="10">
        <v>154520160</v>
      </c>
      <c r="AV45" s="10">
        <v>156256272</v>
      </c>
      <c r="AW45" s="10">
        <v>157970848</v>
      </c>
      <c r="AX45" s="10">
        <v>159670592</v>
      </c>
      <c r="AY45" s="10">
        <v>161356032</v>
      </c>
      <c r="AZ45" s="10">
        <v>163046160</v>
      </c>
    </row>
    <row r="46" spans="1:52" x14ac:dyDescent="0.45">
      <c r="B46" t="s">
        <v>108</v>
      </c>
      <c r="C46" s="10">
        <v>122182</v>
      </c>
      <c r="D46" s="10">
        <v>124793</v>
      </c>
      <c r="E46" s="10">
        <v>127150</v>
      </c>
      <c r="F46" s="10">
        <v>129294</v>
      </c>
      <c r="G46" s="10">
        <v>131307</v>
      </c>
      <c r="H46" s="10">
        <v>133260</v>
      </c>
      <c r="I46" s="10">
        <v>135147</v>
      </c>
      <c r="J46" s="10">
        <v>136989</v>
      </c>
      <c r="K46" s="10">
        <v>138965</v>
      </c>
      <c r="L46" s="10">
        <v>141305</v>
      </c>
      <c r="M46" s="10">
        <v>144155</v>
      </c>
      <c r="N46" s="10">
        <v>147566</v>
      </c>
      <c r="O46" s="10">
        <v>151500</v>
      </c>
      <c r="P46" s="10">
        <v>155822</v>
      </c>
      <c r="Q46" s="10">
        <v>160347</v>
      </c>
      <c r="R46" s="10">
        <v>164921</v>
      </c>
      <c r="S46" s="10">
        <v>169568</v>
      </c>
      <c r="T46" s="10">
        <v>174320</v>
      </c>
      <c r="U46" s="10">
        <v>179028</v>
      </c>
      <c r="V46" s="10">
        <v>183469</v>
      </c>
      <c r="W46" s="10">
        <v>187552</v>
      </c>
      <c r="X46" s="10">
        <v>191128</v>
      </c>
      <c r="Y46" s="10">
        <v>194324</v>
      </c>
      <c r="Z46" s="10">
        <v>197622</v>
      </c>
      <c r="AA46" s="10">
        <v>201680</v>
      </c>
      <c r="AB46" s="10">
        <v>206963</v>
      </c>
      <c r="AC46" s="10">
        <v>213664</v>
      </c>
      <c r="AD46" s="10">
        <v>221580</v>
      </c>
      <c r="AE46" s="10">
        <v>230244</v>
      </c>
      <c r="AF46" s="10">
        <v>238988</v>
      </c>
      <c r="AG46" s="10">
        <v>247315</v>
      </c>
      <c r="AH46" s="10">
        <v>255063</v>
      </c>
      <c r="AI46" s="10">
        <v>262378</v>
      </c>
      <c r="AJ46" s="10">
        <v>269425</v>
      </c>
      <c r="AK46" s="10">
        <v>276504</v>
      </c>
      <c r="AL46" s="10">
        <v>283800</v>
      </c>
      <c r="AM46" s="10">
        <v>291329</v>
      </c>
      <c r="AN46" s="10">
        <v>299025</v>
      </c>
      <c r="AO46" s="10">
        <v>306823</v>
      </c>
      <c r="AP46" s="10">
        <v>314655</v>
      </c>
      <c r="AQ46" s="10">
        <v>322464</v>
      </c>
      <c r="AR46" s="10">
        <v>330237</v>
      </c>
      <c r="AS46" s="10">
        <v>338000</v>
      </c>
      <c r="AT46" s="10">
        <v>345715</v>
      </c>
      <c r="AU46" s="10">
        <v>353366</v>
      </c>
      <c r="AV46" s="10">
        <v>360933</v>
      </c>
      <c r="AW46" s="10">
        <v>368400</v>
      </c>
      <c r="AX46" s="10">
        <v>375769</v>
      </c>
      <c r="AY46" s="10">
        <v>383071</v>
      </c>
      <c r="AZ46" s="10">
        <v>390353</v>
      </c>
    </row>
    <row r="47" spans="1:52" x14ac:dyDescent="0.45">
      <c r="B47" t="s">
        <v>109</v>
      </c>
      <c r="C47" s="10">
        <v>2912340</v>
      </c>
      <c r="D47" s="10">
        <v>2976572</v>
      </c>
      <c r="E47" s="10">
        <v>3043567</v>
      </c>
      <c r="F47" s="10">
        <v>3113675</v>
      </c>
      <c r="G47" s="10">
        <v>3187412</v>
      </c>
      <c r="H47" s="10">
        <v>3265165</v>
      </c>
      <c r="I47" s="10">
        <v>3347173</v>
      </c>
      <c r="J47" s="10">
        <v>3433439</v>
      </c>
      <c r="K47" s="10">
        <v>3523938</v>
      </c>
      <c r="L47" s="10">
        <v>3618526</v>
      </c>
      <c r="M47" s="10">
        <v>3717165</v>
      </c>
      <c r="N47" s="10">
        <v>3820128</v>
      </c>
      <c r="O47" s="10">
        <v>3927714</v>
      </c>
      <c r="P47" s="10">
        <v>4039949</v>
      </c>
      <c r="Q47" s="10">
        <v>4156819</v>
      </c>
      <c r="R47" s="10">
        <v>4278501</v>
      </c>
      <c r="S47" s="10">
        <v>4404506</v>
      </c>
      <c r="T47" s="10">
        <v>4535263</v>
      </c>
      <c r="U47" s="10">
        <v>4672852</v>
      </c>
      <c r="V47" s="10">
        <v>4820016</v>
      </c>
      <c r="W47" s="10">
        <v>4978496</v>
      </c>
      <c r="X47" s="10">
        <v>5149499</v>
      </c>
      <c r="Y47" s="10">
        <v>5331803</v>
      </c>
      <c r="Z47" s="10">
        <v>5521763</v>
      </c>
      <c r="AA47" s="10">
        <v>5714220</v>
      </c>
      <c r="AB47" s="10">
        <v>5905558</v>
      </c>
      <c r="AC47" s="10">
        <v>6094259</v>
      </c>
      <c r="AD47" s="10">
        <v>6281639</v>
      </c>
      <c r="AE47" s="10">
        <v>6470265</v>
      </c>
      <c r="AF47" s="10">
        <v>6664098</v>
      </c>
      <c r="AG47" s="10">
        <v>6865951</v>
      </c>
      <c r="AH47" s="10">
        <v>7076733</v>
      </c>
      <c r="AI47" s="10">
        <v>7295394</v>
      </c>
      <c r="AJ47" s="10">
        <v>7520555</v>
      </c>
      <c r="AK47" s="10">
        <v>7750004</v>
      </c>
      <c r="AL47" s="10">
        <v>7982225</v>
      </c>
      <c r="AM47" s="10">
        <v>8216897</v>
      </c>
      <c r="AN47" s="10">
        <v>8454793</v>
      </c>
      <c r="AO47" s="10">
        <v>8696921</v>
      </c>
      <c r="AP47" s="10">
        <v>8944708</v>
      </c>
      <c r="AQ47" s="10">
        <v>9199259</v>
      </c>
      <c r="AR47" s="10">
        <v>9460830</v>
      </c>
      <c r="AS47" s="10">
        <v>9729248</v>
      </c>
      <c r="AT47" s="10">
        <v>10004588</v>
      </c>
      <c r="AU47" s="10">
        <v>10286842</v>
      </c>
      <c r="AV47" s="10">
        <v>10575952</v>
      </c>
      <c r="AW47" s="10">
        <v>10872067</v>
      </c>
      <c r="AX47" s="10">
        <v>11175204</v>
      </c>
      <c r="AY47" s="10">
        <v>11485048</v>
      </c>
      <c r="AZ47" s="10">
        <v>11801151</v>
      </c>
    </row>
    <row r="48" spans="1:52" x14ac:dyDescent="0.45">
      <c r="B48" t="s">
        <v>110</v>
      </c>
      <c r="C48" s="10">
        <v>4484004</v>
      </c>
      <c r="D48" s="10">
        <v>4581740</v>
      </c>
      <c r="E48" s="10">
        <v>4682390</v>
      </c>
      <c r="F48" s="10">
        <v>4785923</v>
      </c>
      <c r="G48" s="10">
        <v>4892293</v>
      </c>
      <c r="H48" s="10">
        <v>5001419</v>
      </c>
      <c r="I48" s="10">
        <v>5113456</v>
      </c>
      <c r="J48" s="10">
        <v>5228252</v>
      </c>
      <c r="K48" s="10">
        <v>5344939</v>
      </c>
      <c r="L48" s="10">
        <v>5462419</v>
      </c>
      <c r="M48" s="10">
        <v>5579935</v>
      </c>
      <c r="N48" s="10">
        <v>5697096</v>
      </c>
      <c r="O48" s="10">
        <v>5814345</v>
      </c>
      <c r="P48" s="10">
        <v>5932810</v>
      </c>
      <c r="Q48" s="10">
        <v>6054123</v>
      </c>
      <c r="R48" s="10">
        <v>6179460</v>
      </c>
      <c r="S48" s="10">
        <v>6309130</v>
      </c>
      <c r="T48" s="10">
        <v>6442831</v>
      </c>
      <c r="U48" s="10">
        <v>6580312</v>
      </c>
      <c r="V48" s="10">
        <v>6721115</v>
      </c>
      <c r="W48" s="10">
        <v>6864842</v>
      </c>
      <c r="X48" s="10">
        <v>7011453</v>
      </c>
      <c r="Y48" s="10">
        <v>7160920</v>
      </c>
      <c r="Z48" s="10">
        <v>7312850</v>
      </c>
      <c r="AA48" s="10">
        <v>7466793</v>
      </c>
      <c r="AB48" s="10">
        <v>7622338</v>
      </c>
      <c r="AC48" s="10">
        <v>7779267</v>
      </c>
      <c r="AD48" s="10">
        <v>7937458</v>
      </c>
      <c r="AE48" s="10">
        <v>8096761</v>
      </c>
      <c r="AF48" s="10">
        <v>8257066</v>
      </c>
      <c r="AG48" s="10">
        <v>8418264</v>
      </c>
      <c r="AH48" s="10">
        <v>8580235</v>
      </c>
      <c r="AI48" s="10">
        <v>8742814</v>
      </c>
      <c r="AJ48" s="10">
        <v>8905823</v>
      </c>
      <c r="AK48" s="10">
        <v>9069039</v>
      </c>
      <c r="AL48" s="10">
        <v>9232306</v>
      </c>
      <c r="AM48" s="10">
        <v>9395446</v>
      </c>
      <c r="AN48" s="10">
        <v>9558439</v>
      </c>
      <c r="AO48" s="10">
        <v>9721454</v>
      </c>
      <c r="AP48" s="10">
        <v>9884781</v>
      </c>
      <c r="AQ48" s="10">
        <v>10048590</v>
      </c>
      <c r="AR48" s="10">
        <v>10212954</v>
      </c>
      <c r="AS48" s="10">
        <v>10377676</v>
      </c>
      <c r="AT48" s="10">
        <v>10542376</v>
      </c>
      <c r="AU48" s="10">
        <v>10706517</v>
      </c>
      <c r="AV48" s="10">
        <v>10869730</v>
      </c>
      <c r="AW48" s="10">
        <v>11031813</v>
      </c>
      <c r="AX48" s="10">
        <v>11192854</v>
      </c>
      <c r="AY48" s="10">
        <v>11353142</v>
      </c>
      <c r="AZ48" s="10">
        <v>11513100</v>
      </c>
    </row>
    <row r="49" spans="2:52" x14ac:dyDescent="0.45">
      <c r="B49" t="s">
        <v>111</v>
      </c>
      <c r="C49" s="10">
        <v>627715</v>
      </c>
      <c r="D49" s="10">
        <v>646347</v>
      </c>
      <c r="E49" s="10">
        <v>667092</v>
      </c>
      <c r="F49" s="10">
        <v>689912</v>
      </c>
      <c r="G49" s="10">
        <v>714712</v>
      </c>
      <c r="H49" s="10">
        <v>741355</v>
      </c>
      <c r="I49" s="10">
        <v>769979</v>
      </c>
      <c r="J49" s="10">
        <v>800529</v>
      </c>
      <c r="K49" s="10">
        <v>832467</v>
      </c>
      <c r="L49" s="10">
        <v>865075</v>
      </c>
      <c r="M49" s="10">
        <v>897868</v>
      </c>
      <c r="N49" s="10">
        <v>930408</v>
      </c>
      <c r="O49" s="10">
        <v>962875</v>
      </c>
      <c r="P49" s="10">
        <v>996130</v>
      </c>
      <c r="Q49" s="10">
        <v>1031439</v>
      </c>
      <c r="R49" s="10">
        <v>1069582</v>
      </c>
      <c r="S49" s="10">
        <v>1110943</v>
      </c>
      <c r="T49" s="10">
        <v>1154906</v>
      </c>
      <c r="U49" s="10">
        <v>1200067</v>
      </c>
      <c r="V49" s="10">
        <v>1244484</v>
      </c>
      <c r="W49" s="10">
        <v>1286756</v>
      </c>
      <c r="X49" s="10">
        <v>1326322</v>
      </c>
      <c r="Y49" s="10">
        <v>1363554</v>
      </c>
      <c r="Z49" s="10">
        <v>1399110</v>
      </c>
      <c r="AA49" s="10">
        <v>1434059</v>
      </c>
      <c r="AB49" s="10">
        <v>1469174</v>
      </c>
      <c r="AC49" s="10">
        <v>1504730</v>
      </c>
      <c r="AD49" s="10">
        <v>1540425</v>
      </c>
      <c r="AE49" s="10">
        <v>1575824</v>
      </c>
      <c r="AF49" s="10">
        <v>1610264</v>
      </c>
      <c r="AG49" s="10">
        <v>1643334</v>
      </c>
      <c r="AH49" s="10">
        <v>1674678</v>
      </c>
      <c r="AI49" s="10">
        <v>1704642</v>
      </c>
      <c r="AJ49" s="10">
        <v>1734398</v>
      </c>
      <c r="AK49" s="10">
        <v>1765527</v>
      </c>
      <c r="AL49" s="10">
        <v>1799078</v>
      </c>
      <c r="AM49" s="10">
        <v>1835908</v>
      </c>
      <c r="AN49" s="10">
        <v>1875459</v>
      </c>
      <c r="AO49" s="10">
        <v>1915639</v>
      </c>
      <c r="AP49" s="10">
        <v>1953498</v>
      </c>
      <c r="AQ49" s="10">
        <v>1987105</v>
      </c>
      <c r="AR49" s="10">
        <v>2015402</v>
      </c>
      <c r="AS49" s="10">
        <v>2039551</v>
      </c>
      <c r="AT49" s="10">
        <v>2062536</v>
      </c>
      <c r="AU49" s="10">
        <v>2088614</v>
      </c>
      <c r="AV49" s="10">
        <v>2120716</v>
      </c>
      <c r="AW49" s="10">
        <v>2159944</v>
      </c>
      <c r="AX49" s="10">
        <v>2205128</v>
      </c>
      <c r="AY49" s="10">
        <v>2254126</v>
      </c>
      <c r="AZ49" s="10">
        <v>2303697</v>
      </c>
    </row>
    <row r="50" spans="2:52" x14ac:dyDescent="0.45">
      <c r="B50" t="s">
        <v>112</v>
      </c>
      <c r="C50" s="10">
        <v>95113264</v>
      </c>
      <c r="D50" s="10">
        <v>97482920</v>
      </c>
      <c r="E50" s="10">
        <v>99859384</v>
      </c>
      <c r="F50" s="10">
        <v>102259496</v>
      </c>
      <c r="G50" s="10">
        <v>104706200</v>
      </c>
      <c r="H50" s="10">
        <v>107216208</v>
      </c>
      <c r="I50" s="10">
        <v>109790936</v>
      </c>
      <c r="J50" s="10">
        <v>112425392</v>
      </c>
      <c r="K50" s="10">
        <v>115121152</v>
      </c>
      <c r="L50" s="10">
        <v>117878408</v>
      </c>
      <c r="M50" s="10">
        <v>120694008</v>
      </c>
      <c r="N50" s="10">
        <v>123570328</v>
      </c>
      <c r="O50" s="10">
        <v>126498312</v>
      </c>
      <c r="P50" s="10">
        <v>129448816</v>
      </c>
      <c r="Q50" s="10">
        <v>132383568</v>
      </c>
      <c r="R50" s="10">
        <v>135274080</v>
      </c>
      <c r="S50" s="10">
        <v>138108912</v>
      </c>
      <c r="T50" s="10">
        <v>140891600</v>
      </c>
      <c r="U50" s="10">
        <v>143627504</v>
      </c>
      <c r="V50" s="10">
        <v>146328304</v>
      </c>
      <c r="W50" s="10">
        <v>149003216</v>
      </c>
      <c r="X50" s="10">
        <v>151648016</v>
      </c>
      <c r="Y50" s="10">
        <v>154259376</v>
      </c>
      <c r="Z50" s="10">
        <v>156849072</v>
      </c>
      <c r="AA50" s="10">
        <v>159432720</v>
      </c>
      <c r="AB50" s="10">
        <v>162019904</v>
      </c>
      <c r="AC50" s="10">
        <v>164614688</v>
      </c>
      <c r="AD50" s="10">
        <v>167209040</v>
      </c>
      <c r="AE50" s="10">
        <v>169785248</v>
      </c>
      <c r="AF50" s="10">
        <v>172318672</v>
      </c>
      <c r="AG50" s="10">
        <v>174790336</v>
      </c>
      <c r="AH50" s="10">
        <v>177196048</v>
      </c>
      <c r="AI50" s="10">
        <v>179537520</v>
      </c>
      <c r="AJ50" s="10">
        <v>181809248</v>
      </c>
      <c r="AK50" s="10">
        <v>184006480</v>
      </c>
      <c r="AL50" s="10">
        <v>186127104</v>
      </c>
      <c r="AM50" s="10">
        <v>188167360</v>
      </c>
      <c r="AN50" s="10">
        <v>190130448</v>
      </c>
      <c r="AO50" s="10">
        <v>192030368</v>
      </c>
      <c r="AP50" s="10">
        <v>193886512</v>
      </c>
      <c r="AQ50" s="10">
        <v>195713632</v>
      </c>
      <c r="AR50" s="10">
        <v>197514528</v>
      </c>
      <c r="AS50" s="10">
        <v>199287296</v>
      </c>
      <c r="AT50" s="10">
        <v>201035904</v>
      </c>
      <c r="AU50" s="10">
        <v>202763728</v>
      </c>
      <c r="AV50" s="10">
        <v>204471776</v>
      </c>
      <c r="AW50" s="10">
        <v>206163056</v>
      </c>
      <c r="AX50" s="10">
        <v>207833824</v>
      </c>
      <c r="AY50" s="10">
        <v>209469328</v>
      </c>
      <c r="AZ50" s="10">
        <v>211049520</v>
      </c>
    </row>
    <row r="51" spans="2:52" x14ac:dyDescent="0.45">
      <c r="B51" t="s">
        <v>113</v>
      </c>
      <c r="C51" s="10">
        <v>5624600</v>
      </c>
      <c r="D51" s="10">
        <v>5723381</v>
      </c>
      <c r="E51" s="10">
        <v>5825173</v>
      </c>
      <c r="F51" s="10">
        <v>5930483</v>
      </c>
      <c r="G51" s="10">
        <v>6040041</v>
      </c>
      <c r="H51" s="10">
        <v>6154545</v>
      </c>
      <c r="I51" s="10">
        <v>6274037</v>
      </c>
      <c r="J51" s="10">
        <v>6398935</v>
      </c>
      <c r="K51" s="10">
        <v>6530819</v>
      </c>
      <c r="L51" s="10">
        <v>6671656</v>
      </c>
      <c r="M51" s="10">
        <v>6822843</v>
      </c>
      <c r="N51" s="10">
        <v>6985160</v>
      </c>
      <c r="O51" s="10">
        <v>7158255</v>
      </c>
      <c r="P51" s="10">
        <v>7340905</v>
      </c>
      <c r="Q51" s="10">
        <v>7531242</v>
      </c>
      <c r="R51" s="10">
        <v>7727907</v>
      </c>
      <c r="S51" s="10">
        <v>7930694</v>
      </c>
      <c r="T51" s="10">
        <v>8140073</v>
      </c>
      <c r="U51" s="10">
        <v>8356305</v>
      </c>
      <c r="V51" s="10">
        <v>8579823</v>
      </c>
      <c r="W51" s="10">
        <v>8811034</v>
      </c>
      <c r="X51" s="10">
        <v>9050084</v>
      </c>
      <c r="Y51" s="10">
        <v>9297113</v>
      </c>
      <c r="Z51" s="10">
        <v>9552476</v>
      </c>
      <c r="AA51" s="10">
        <v>9816588</v>
      </c>
      <c r="AB51" s="10">
        <v>10089878</v>
      </c>
      <c r="AC51" s="10">
        <v>10372745</v>
      </c>
      <c r="AD51" s="10">
        <v>10665546</v>
      </c>
      <c r="AE51" s="10">
        <v>10968724</v>
      </c>
      <c r="AF51" s="10">
        <v>11282701</v>
      </c>
      <c r="AG51" s="10">
        <v>11607942</v>
      </c>
      <c r="AH51" s="10">
        <v>11944587</v>
      </c>
      <c r="AI51" s="10">
        <v>12293100</v>
      </c>
      <c r="AJ51" s="10">
        <v>12654621</v>
      </c>
      <c r="AK51" s="10">
        <v>13030569</v>
      </c>
      <c r="AL51" s="10">
        <v>13421930</v>
      </c>
      <c r="AM51" s="10">
        <v>13829176</v>
      </c>
      <c r="AN51" s="10">
        <v>14252021</v>
      </c>
      <c r="AO51" s="10">
        <v>14689725</v>
      </c>
      <c r="AP51" s="10">
        <v>15141098</v>
      </c>
      <c r="AQ51" s="10">
        <v>15605217</v>
      </c>
      <c r="AR51" s="10">
        <v>16081911</v>
      </c>
      <c r="AS51" s="10">
        <v>16571246</v>
      </c>
      <c r="AT51" s="10">
        <v>17072776</v>
      </c>
      <c r="AU51" s="10">
        <v>17586016</v>
      </c>
      <c r="AV51" s="10">
        <v>18110624</v>
      </c>
      <c r="AW51" s="10">
        <v>18646378</v>
      </c>
      <c r="AX51" s="10">
        <v>19193284</v>
      </c>
      <c r="AY51" s="10">
        <v>19751536</v>
      </c>
      <c r="AZ51" s="10">
        <v>20321378</v>
      </c>
    </row>
    <row r="52" spans="2:52" x14ac:dyDescent="0.45">
      <c r="B52" t="s">
        <v>114</v>
      </c>
      <c r="C52" s="10">
        <v>3479074</v>
      </c>
      <c r="D52" s="10">
        <v>3529997</v>
      </c>
      <c r="E52" s="10">
        <v>3569666</v>
      </c>
      <c r="F52" s="10">
        <v>3605126</v>
      </c>
      <c r="G52" s="10">
        <v>3646431</v>
      </c>
      <c r="H52" s="10">
        <v>3700880</v>
      </c>
      <c r="I52" s="10">
        <v>3770871</v>
      </c>
      <c r="J52" s="10">
        <v>3854445</v>
      </c>
      <c r="K52" s="10">
        <v>3949266</v>
      </c>
      <c r="L52" s="10">
        <v>4051234</v>
      </c>
      <c r="M52" s="10">
        <v>4157298</v>
      </c>
      <c r="N52" s="10">
        <v>4266520</v>
      </c>
      <c r="O52" s="10">
        <v>4379724</v>
      </c>
      <c r="P52" s="10">
        <v>4497533</v>
      </c>
      <c r="Q52" s="10">
        <v>4621103</v>
      </c>
      <c r="R52" s="10">
        <v>4750837</v>
      </c>
      <c r="S52" s="10">
        <v>4886743</v>
      </c>
      <c r="T52" s="10">
        <v>5027138</v>
      </c>
      <c r="U52" s="10">
        <v>5168698</v>
      </c>
      <c r="V52" s="10">
        <v>5307069</v>
      </c>
      <c r="W52" s="10">
        <v>5438957</v>
      </c>
      <c r="X52" s="10">
        <v>5564926</v>
      </c>
      <c r="Y52" s="10">
        <v>5685565</v>
      </c>
      <c r="Z52" s="10">
        <v>5798053</v>
      </c>
      <c r="AA52" s="10">
        <v>5898967</v>
      </c>
      <c r="AB52" s="10">
        <v>5987043</v>
      </c>
      <c r="AC52" s="10">
        <v>6060111</v>
      </c>
      <c r="AD52" s="10">
        <v>6122130</v>
      </c>
      <c r="AE52" s="10">
        <v>6185562</v>
      </c>
      <c r="AF52" s="10">
        <v>6267124</v>
      </c>
      <c r="AG52" s="10">
        <v>6378871</v>
      </c>
      <c r="AH52" s="10">
        <v>6525545</v>
      </c>
      <c r="AI52" s="10">
        <v>6704113</v>
      </c>
      <c r="AJ52" s="10">
        <v>6909154</v>
      </c>
      <c r="AK52" s="10">
        <v>7131693</v>
      </c>
      <c r="AL52" s="10">
        <v>7364862</v>
      </c>
      <c r="AM52" s="10">
        <v>7607849</v>
      </c>
      <c r="AN52" s="10">
        <v>7862214</v>
      </c>
      <c r="AO52" s="10">
        <v>8126102</v>
      </c>
      <c r="AP52" s="10">
        <v>8397668</v>
      </c>
      <c r="AQ52" s="10">
        <v>8675602</v>
      </c>
      <c r="AR52" s="10">
        <v>8958406</v>
      </c>
      <c r="AS52" s="10">
        <v>9245988</v>
      </c>
      <c r="AT52" s="10">
        <v>9540289</v>
      </c>
      <c r="AU52" s="10">
        <v>9844297</v>
      </c>
      <c r="AV52" s="10">
        <v>10160030</v>
      </c>
      <c r="AW52" s="10">
        <v>10487998</v>
      </c>
      <c r="AX52" s="10">
        <v>10827024</v>
      </c>
      <c r="AY52" s="10">
        <v>11175378</v>
      </c>
      <c r="AZ52" s="10">
        <v>11530580</v>
      </c>
    </row>
    <row r="53" spans="2:52" x14ac:dyDescent="0.45">
      <c r="B53" t="s">
        <v>115</v>
      </c>
      <c r="C53" s="10">
        <v>6519762</v>
      </c>
      <c r="D53" s="10">
        <v>6689662</v>
      </c>
      <c r="E53" s="10">
        <v>6867178</v>
      </c>
      <c r="F53" s="10">
        <v>7052849</v>
      </c>
      <c r="G53" s="10">
        <v>7247287</v>
      </c>
      <c r="H53" s="10">
        <v>7451054</v>
      </c>
      <c r="I53" s="10">
        <v>7664406</v>
      </c>
      <c r="J53" s="10">
        <v>7887560</v>
      </c>
      <c r="K53" s="10">
        <v>8121084</v>
      </c>
      <c r="L53" s="10">
        <v>8365567</v>
      </c>
      <c r="M53" s="10">
        <v>8621406</v>
      </c>
      <c r="N53" s="10">
        <v>8888535</v>
      </c>
      <c r="O53" s="10">
        <v>9166816</v>
      </c>
      <c r="P53" s="10">
        <v>9456494</v>
      </c>
      <c r="Q53" s="10">
        <v>9757841</v>
      </c>
      <c r="R53" s="10">
        <v>10070806</v>
      </c>
      <c r="S53" s="10">
        <v>10395480</v>
      </c>
      <c r="T53" s="10">
        <v>10731064</v>
      </c>
      <c r="U53" s="10">
        <v>11075422</v>
      </c>
      <c r="V53" s="10">
        <v>11425800</v>
      </c>
      <c r="W53" s="10">
        <v>11780088</v>
      </c>
      <c r="X53" s="10">
        <v>12137912</v>
      </c>
      <c r="Y53" s="10">
        <v>12499499</v>
      </c>
      <c r="Z53" s="10">
        <v>12864090</v>
      </c>
      <c r="AA53" s="10">
        <v>13230984</v>
      </c>
      <c r="AB53" s="10">
        <v>13599988</v>
      </c>
      <c r="AC53" s="10">
        <v>13970813</v>
      </c>
      <c r="AD53" s="10">
        <v>14344449</v>
      </c>
      <c r="AE53" s="10">
        <v>14723768</v>
      </c>
      <c r="AF53" s="10">
        <v>15112592</v>
      </c>
      <c r="AG53" s="10">
        <v>15513945</v>
      </c>
      <c r="AH53" s="10">
        <v>15928910</v>
      </c>
      <c r="AI53" s="10">
        <v>16357602</v>
      </c>
      <c r="AJ53" s="10">
        <v>16800864</v>
      </c>
      <c r="AK53" s="10">
        <v>17259322</v>
      </c>
      <c r="AL53" s="10">
        <v>17733410</v>
      </c>
      <c r="AM53" s="10">
        <v>18223674</v>
      </c>
      <c r="AN53" s="10">
        <v>18730282</v>
      </c>
      <c r="AO53" s="10">
        <v>19252666</v>
      </c>
      <c r="AP53" s="10">
        <v>19789920</v>
      </c>
      <c r="AQ53" s="10">
        <v>20341240</v>
      </c>
      <c r="AR53" s="10">
        <v>20906388</v>
      </c>
      <c r="AS53" s="10">
        <v>21485266</v>
      </c>
      <c r="AT53" s="10">
        <v>22077298</v>
      </c>
      <c r="AU53" s="10">
        <v>22681858</v>
      </c>
      <c r="AV53" s="10">
        <v>23298368</v>
      </c>
      <c r="AW53" s="10">
        <v>23926540</v>
      </c>
      <c r="AX53" s="10">
        <v>24566044</v>
      </c>
      <c r="AY53" s="10">
        <v>25216236</v>
      </c>
      <c r="AZ53" s="10">
        <v>25876380</v>
      </c>
    </row>
    <row r="54" spans="2:52" x14ac:dyDescent="0.45">
      <c r="B54" t="s">
        <v>116</v>
      </c>
      <c r="C54" s="10">
        <v>1811144</v>
      </c>
      <c r="D54" s="10">
        <v>1840518</v>
      </c>
      <c r="E54" s="10">
        <v>1867782</v>
      </c>
      <c r="F54" s="10">
        <v>1894853</v>
      </c>
      <c r="G54" s="10">
        <v>1924388</v>
      </c>
      <c r="H54" s="10">
        <v>1958367</v>
      </c>
      <c r="I54" s="10">
        <v>1997014</v>
      </c>
      <c r="J54" s="10">
        <v>2039919</v>
      </c>
      <c r="K54" s="10">
        <v>2087663</v>
      </c>
      <c r="L54" s="10">
        <v>2140777</v>
      </c>
      <c r="M54" s="10">
        <v>2199356</v>
      </c>
      <c r="N54" s="10">
        <v>2264442</v>
      </c>
      <c r="O54" s="10">
        <v>2335333</v>
      </c>
      <c r="P54" s="10">
        <v>2408317</v>
      </c>
      <c r="Q54" s="10">
        <v>2478382</v>
      </c>
      <c r="R54" s="10">
        <v>2542169</v>
      </c>
      <c r="S54" s="10">
        <v>2597761</v>
      </c>
      <c r="T54" s="10">
        <v>2646840</v>
      </c>
      <c r="U54" s="10">
        <v>2693973</v>
      </c>
      <c r="V54" s="10">
        <v>2745734</v>
      </c>
      <c r="W54" s="10">
        <v>2806734</v>
      </c>
      <c r="X54" s="10">
        <v>2878509</v>
      </c>
      <c r="Y54" s="10">
        <v>2959236</v>
      </c>
      <c r="Z54" s="10">
        <v>3046149</v>
      </c>
      <c r="AA54" s="10">
        <v>3135015</v>
      </c>
      <c r="AB54" s="10">
        <v>3222656</v>
      </c>
      <c r="AC54" s="10">
        <v>3308233</v>
      </c>
      <c r="AD54" s="10">
        <v>3392436</v>
      </c>
      <c r="AE54" s="10">
        <v>3475492</v>
      </c>
      <c r="AF54" s="10">
        <v>3558014</v>
      </c>
      <c r="AG54" s="10">
        <v>3640427</v>
      </c>
      <c r="AH54" s="10">
        <v>3722018</v>
      </c>
      <c r="AI54" s="10">
        <v>3802128</v>
      </c>
      <c r="AJ54" s="10">
        <v>3881181</v>
      </c>
      <c r="AK54" s="10">
        <v>3959875</v>
      </c>
      <c r="AL54" s="10">
        <v>4038382</v>
      </c>
      <c r="AM54" s="10">
        <v>4118069</v>
      </c>
      <c r="AN54" s="10">
        <v>4198010</v>
      </c>
      <c r="AO54" s="10">
        <v>4273366</v>
      </c>
      <c r="AP54" s="10">
        <v>4337625</v>
      </c>
      <c r="AQ54" s="10">
        <v>4386768</v>
      </c>
      <c r="AR54" s="10">
        <v>4418636</v>
      </c>
      <c r="AS54" s="10">
        <v>4436415</v>
      </c>
      <c r="AT54" s="10">
        <v>4447942</v>
      </c>
      <c r="AU54" s="10">
        <v>4464175</v>
      </c>
      <c r="AV54" s="10">
        <v>4493170</v>
      </c>
      <c r="AW54" s="10">
        <v>4537687</v>
      </c>
      <c r="AX54" s="10">
        <v>4596028</v>
      </c>
      <c r="AY54" s="10">
        <v>4666377</v>
      </c>
      <c r="AZ54" s="10">
        <v>4745185</v>
      </c>
    </row>
    <row r="55" spans="2:52" x14ac:dyDescent="0.45">
      <c r="B55" t="s">
        <v>117</v>
      </c>
      <c r="C55" s="10">
        <v>3643604</v>
      </c>
      <c r="D55" s="10">
        <v>3726189</v>
      </c>
      <c r="E55" s="10">
        <v>3815260</v>
      </c>
      <c r="F55" s="10">
        <v>3907889</v>
      </c>
      <c r="G55" s="10">
        <v>3999921</v>
      </c>
      <c r="H55" s="10">
        <v>4088564</v>
      </c>
      <c r="I55" s="10">
        <v>4173135</v>
      </c>
      <c r="J55" s="10">
        <v>4255248</v>
      </c>
      <c r="K55" s="10">
        <v>4337291</v>
      </c>
      <c r="L55" s="10">
        <v>4422745</v>
      </c>
      <c r="M55" s="10">
        <v>4514430</v>
      </c>
      <c r="N55" s="10">
        <v>4612849</v>
      </c>
      <c r="O55" s="10">
        <v>4718162</v>
      </c>
      <c r="P55" s="10">
        <v>4832321</v>
      </c>
      <c r="Q55" s="10">
        <v>4957558</v>
      </c>
      <c r="R55" s="10">
        <v>5095401</v>
      </c>
      <c r="S55" s="10">
        <v>5247283</v>
      </c>
      <c r="T55" s="10">
        <v>5412847</v>
      </c>
      <c r="U55" s="10">
        <v>5589626</v>
      </c>
      <c r="V55" s="10">
        <v>5773920</v>
      </c>
      <c r="W55" s="10">
        <v>5963252</v>
      </c>
      <c r="X55" s="10">
        <v>6157079</v>
      </c>
      <c r="Y55" s="10">
        <v>6356748</v>
      </c>
      <c r="Z55" s="10">
        <v>6563922</v>
      </c>
      <c r="AA55" s="10">
        <v>6781053</v>
      </c>
      <c r="AB55" s="10">
        <v>7010145</v>
      </c>
      <c r="AC55" s="10">
        <v>7250975</v>
      </c>
      <c r="AD55" s="10">
        <v>7503493</v>
      </c>
      <c r="AE55" s="10">
        <v>7770048</v>
      </c>
      <c r="AF55" s="10">
        <v>8053536</v>
      </c>
      <c r="AG55" s="10">
        <v>8355654</v>
      </c>
      <c r="AH55" s="10">
        <v>8678051</v>
      </c>
      <c r="AI55" s="10">
        <v>9019233</v>
      </c>
      <c r="AJ55" s="10">
        <v>9373916</v>
      </c>
      <c r="AK55" s="10">
        <v>9734767</v>
      </c>
      <c r="AL55" s="10">
        <v>10096633</v>
      </c>
      <c r="AM55" s="10">
        <v>10457124</v>
      </c>
      <c r="AN55" s="10">
        <v>10818024</v>
      </c>
      <c r="AO55" s="10">
        <v>11183588</v>
      </c>
      <c r="AP55" s="10">
        <v>11560147</v>
      </c>
      <c r="AQ55" s="10">
        <v>11952136</v>
      </c>
      <c r="AR55" s="10">
        <v>12360989</v>
      </c>
      <c r="AS55" s="10">
        <v>12784750</v>
      </c>
      <c r="AT55" s="10">
        <v>13220424</v>
      </c>
      <c r="AU55" s="10">
        <v>13663559</v>
      </c>
      <c r="AV55" s="10">
        <v>14110975</v>
      </c>
      <c r="AW55" s="10">
        <v>14561666</v>
      </c>
      <c r="AX55" s="10">
        <v>15016773</v>
      </c>
      <c r="AY55" s="10">
        <v>15477751</v>
      </c>
      <c r="AZ55" s="10">
        <v>15946876</v>
      </c>
    </row>
    <row r="56" spans="2:52" x14ac:dyDescent="0.45">
      <c r="B56" t="s">
        <v>118</v>
      </c>
      <c r="C56" s="10">
        <v>9783134</v>
      </c>
      <c r="D56" s="10">
        <v>9942727</v>
      </c>
      <c r="E56" s="10">
        <v>10103674</v>
      </c>
      <c r="F56" s="10">
        <v>10265829</v>
      </c>
      <c r="G56" s="10">
        <v>10428798</v>
      </c>
      <c r="H56" s="10">
        <v>10592307</v>
      </c>
      <c r="I56" s="10">
        <v>10756878</v>
      </c>
      <c r="J56" s="10">
        <v>10922779</v>
      </c>
      <c r="K56" s="10">
        <v>11089165</v>
      </c>
      <c r="L56" s="10">
        <v>11254877</v>
      </c>
      <c r="M56" s="10">
        <v>11419348</v>
      </c>
      <c r="N56" s="10">
        <v>11582014</v>
      </c>
      <c r="O56" s="10">
        <v>11743911</v>
      </c>
      <c r="P56" s="10">
        <v>11907960</v>
      </c>
      <c r="Q56" s="10">
        <v>12078135</v>
      </c>
      <c r="R56" s="10">
        <v>12257236</v>
      </c>
      <c r="S56" s="10">
        <v>12445823</v>
      </c>
      <c r="T56" s="10">
        <v>12642924</v>
      </c>
      <c r="U56" s="10">
        <v>12847708</v>
      </c>
      <c r="V56" s="10">
        <v>13058758</v>
      </c>
      <c r="W56" s="10">
        <v>13274623</v>
      </c>
      <c r="X56" s="10">
        <v>13495258</v>
      </c>
      <c r="Y56" s="10">
        <v>13719819</v>
      </c>
      <c r="Z56" s="10">
        <v>13944937</v>
      </c>
      <c r="AA56" s="10">
        <v>14166340</v>
      </c>
      <c r="AB56" s="10">
        <v>14380866</v>
      </c>
      <c r="AC56" s="10">
        <v>14587370</v>
      </c>
      <c r="AD56" s="10">
        <v>14786220</v>
      </c>
      <c r="AE56" s="10">
        <v>14977733</v>
      </c>
      <c r="AF56" s="10">
        <v>15162800</v>
      </c>
      <c r="AG56" s="10">
        <v>15342353</v>
      </c>
      <c r="AH56" s="10">
        <v>15516113</v>
      </c>
      <c r="AI56" s="10">
        <v>15684409</v>
      </c>
      <c r="AJ56" s="10">
        <v>15849652</v>
      </c>
      <c r="AK56" s="10">
        <v>16014971</v>
      </c>
      <c r="AL56" s="10">
        <v>16182721</v>
      </c>
      <c r="AM56" s="10">
        <v>16354504</v>
      </c>
      <c r="AN56" s="10">
        <v>16530195</v>
      </c>
      <c r="AO56" s="10">
        <v>16708258</v>
      </c>
      <c r="AP56" s="10">
        <v>16886186</v>
      </c>
      <c r="AQ56" s="10">
        <v>17062536</v>
      </c>
      <c r="AR56" s="10">
        <v>17233576</v>
      </c>
      <c r="AS56" s="10">
        <v>17400348</v>
      </c>
      <c r="AT56" s="10">
        <v>17571508</v>
      </c>
      <c r="AU56" s="10">
        <v>17758960</v>
      </c>
      <c r="AV56" s="10">
        <v>17969352</v>
      </c>
      <c r="AW56" s="10">
        <v>18209068</v>
      </c>
      <c r="AX56" s="10">
        <v>18470440</v>
      </c>
      <c r="AY56" s="10">
        <v>18729160</v>
      </c>
      <c r="AZ56" s="10">
        <v>18952038</v>
      </c>
    </row>
    <row r="57" spans="2:52" x14ac:dyDescent="0.45">
      <c r="B57" t="s">
        <v>119</v>
      </c>
      <c r="C57" s="10">
        <v>21480064</v>
      </c>
      <c r="D57" s="10">
        <v>22003980</v>
      </c>
      <c r="E57" s="10">
        <v>22516424</v>
      </c>
      <c r="F57" s="10">
        <v>23024516</v>
      </c>
      <c r="G57" s="10">
        <v>23538386</v>
      </c>
      <c r="H57" s="10">
        <v>24065508</v>
      </c>
      <c r="I57" s="10">
        <v>24608112</v>
      </c>
      <c r="J57" s="10">
        <v>25164544</v>
      </c>
      <c r="K57" s="10">
        <v>25733672</v>
      </c>
      <c r="L57" s="10">
        <v>26312994</v>
      </c>
      <c r="M57" s="10">
        <v>26900506</v>
      </c>
      <c r="N57" s="10">
        <v>27496616</v>
      </c>
      <c r="O57" s="10">
        <v>28101820</v>
      </c>
      <c r="P57" s="10">
        <v>28714190</v>
      </c>
      <c r="Q57" s="10">
        <v>29331238</v>
      </c>
      <c r="R57" s="10">
        <v>29951200</v>
      </c>
      <c r="S57" s="10">
        <v>30572478</v>
      </c>
      <c r="T57" s="10">
        <v>31195412</v>
      </c>
      <c r="U57" s="10">
        <v>31822524</v>
      </c>
      <c r="V57" s="10">
        <v>32457500</v>
      </c>
      <c r="W57" s="10">
        <v>33102576</v>
      </c>
      <c r="X57" s="10">
        <v>33758336</v>
      </c>
      <c r="Y57" s="10">
        <v>34422568</v>
      </c>
      <c r="Z57" s="10">
        <v>35091276</v>
      </c>
      <c r="AA57" s="10">
        <v>35758980</v>
      </c>
      <c r="AB57" s="10">
        <v>36421440</v>
      </c>
      <c r="AC57" s="10">
        <v>37076388</v>
      </c>
      <c r="AD57" s="10">
        <v>37723800</v>
      </c>
      <c r="AE57" s="10">
        <v>38364308</v>
      </c>
      <c r="AF57" s="10">
        <v>38999472</v>
      </c>
      <c r="AG57" s="10">
        <v>39629968</v>
      </c>
      <c r="AH57" s="10">
        <v>40255968</v>
      </c>
      <c r="AI57" s="10">
        <v>40875360</v>
      </c>
      <c r="AJ57" s="10">
        <v>41483868</v>
      </c>
      <c r="AK57" s="10">
        <v>42075956</v>
      </c>
      <c r="AL57" s="10">
        <v>42647724</v>
      </c>
      <c r="AM57" s="10">
        <v>43200896</v>
      </c>
      <c r="AN57" s="10">
        <v>43737516</v>
      </c>
      <c r="AO57" s="10">
        <v>44254976</v>
      </c>
      <c r="AP57" s="10">
        <v>44750056</v>
      </c>
      <c r="AQ57" s="10">
        <v>45222700</v>
      </c>
      <c r="AR57" s="10">
        <v>45663100</v>
      </c>
      <c r="AS57" s="10">
        <v>46076848</v>
      </c>
      <c r="AT57" s="10">
        <v>46497268</v>
      </c>
      <c r="AU57" s="10">
        <v>46969208</v>
      </c>
      <c r="AV57" s="10">
        <v>47520668</v>
      </c>
      <c r="AW57" s="10">
        <v>48171392</v>
      </c>
      <c r="AX57" s="10">
        <v>48901064</v>
      </c>
      <c r="AY57" s="10">
        <v>49648684</v>
      </c>
      <c r="AZ57" s="10">
        <v>50339444</v>
      </c>
    </row>
    <row r="58" spans="2:52" x14ac:dyDescent="0.45">
      <c r="B58" t="s">
        <v>120</v>
      </c>
      <c r="C58" s="10">
        <v>20011036</v>
      </c>
      <c r="D58" s="10">
        <v>20564068</v>
      </c>
      <c r="E58" s="10">
        <v>21121364</v>
      </c>
      <c r="F58" s="10">
        <v>21690444</v>
      </c>
      <c r="G58" s="10">
        <v>22282136</v>
      </c>
      <c r="H58" s="10">
        <v>22903580</v>
      </c>
      <c r="I58" s="10">
        <v>23560464</v>
      </c>
      <c r="J58" s="10">
        <v>24249130</v>
      </c>
      <c r="K58" s="10">
        <v>24956384</v>
      </c>
      <c r="L58" s="10">
        <v>25663592</v>
      </c>
      <c r="M58" s="10">
        <v>26358908</v>
      </c>
      <c r="N58" s="10">
        <v>27040322</v>
      </c>
      <c r="O58" s="10">
        <v>27717292</v>
      </c>
      <c r="P58" s="10">
        <v>28403852</v>
      </c>
      <c r="Q58" s="10">
        <v>29119672</v>
      </c>
      <c r="R58" s="10">
        <v>29881228</v>
      </c>
      <c r="S58" s="10">
        <v>30683868</v>
      </c>
      <c r="T58" s="10">
        <v>31528708</v>
      </c>
      <c r="U58" s="10">
        <v>32443780</v>
      </c>
      <c r="V58" s="10">
        <v>33464764</v>
      </c>
      <c r="W58" s="10">
        <v>34612024</v>
      </c>
      <c r="X58" s="10">
        <v>35908244</v>
      </c>
      <c r="Y58" s="10">
        <v>37333912</v>
      </c>
      <c r="Z58" s="10">
        <v>38815832</v>
      </c>
      <c r="AA58" s="10">
        <v>40252976</v>
      </c>
      <c r="AB58" s="10">
        <v>41576232</v>
      </c>
      <c r="AC58" s="10">
        <v>42757244</v>
      </c>
      <c r="AD58" s="10">
        <v>43827180</v>
      </c>
      <c r="AE58" s="10">
        <v>44849968</v>
      </c>
      <c r="AF58" s="10">
        <v>45919612</v>
      </c>
      <c r="AG58" s="10">
        <v>47105824</v>
      </c>
      <c r="AH58" s="10">
        <v>48428544</v>
      </c>
      <c r="AI58" s="10">
        <v>49871664</v>
      </c>
      <c r="AJ58" s="10">
        <v>51425580</v>
      </c>
      <c r="AK58" s="10">
        <v>53068880</v>
      </c>
      <c r="AL58" s="10">
        <v>54785904</v>
      </c>
      <c r="AM58" s="10">
        <v>56578036</v>
      </c>
      <c r="AN58" s="10">
        <v>58453684</v>
      </c>
      <c r="AO58" s="10">
        <v>60411196</v>
      </c>
      <c r="AP58" s="10">
        <v>62448576</v>
      </c>
      <c r="AQ58" s="10">
        <v>64563856</v>
      </c>
      <c r="AR58" s="10">
        <v>66755152</v>
      </c>
      <c r="AS58" s="10">
        <v>69020744</v>
      </c>
      <c r="AT58" s="10">
        <v>71358808</v>
      </c>
      <c r="AU58" s="10">
        <v>73767448</v>
      </c>
      <c r="AV58" s="10">
        <v>76244544</v>
      </c>
      <c r="AW58" s="10">
        <v>78789128</v>
      </c>
      <c r="AX58" s="10">
        <v>81398768</v>
      </c>
      <c r="AY58" s="10">
        <v>84068088</v>
      </c>
      <c r="AZ58" s="10">
        <v>86790568</v>
      </c>
    </row>
    <row r="59" spans="2:52" x14ac:dyDescent="0.45">
      <c r="B59" t="s">
        <v>121</v>
      </c>
      <c r="C59" s="10">
        <v>1326885</v>
      </c>
      <c r="D59" s="10">
        <v>1365899</v>
      </c>
      <c r="E59" s="10">
        <v>1406522</v>
      </c>
      <c r="F59" s="10">
        <v>1448637</v>
      </c>
      <c r="G59" s="10">
        <v>1492055</v>
      </c>
      <c r="H59" s="10">
        <v>1536654</v>
      </c>
      <c r="I59" s="10">
        <v>1582358</v>
      </c>
      <c r="J59" s="10">
        <v>1629209</v>
      </c>
      <c r="K59" s="10">
        <v>1677332</v>
      </c>
      <c r="L59" s="10">
        <v>1726866</v>
      </c>
      <c r="M59" s="10">
        <v>1777934</v>
      </c>
      <c r="N59" s="10">
        <v>1830632</v>
      </c>
      <c r="O59" s="10">
        <v>1884875</v>
      </c>
      <c r="P59" s="10">
        <v>1940443</v>
      </c>
      <c r="Q59" s="10">
        <v>1996995</v>
      </c>
      <c r="R59" s="10">
        <v>2054312</v>
      </c>
      <c r="S59" s="10">
        <v>2112361</v>
      </c>
      <c r="T59" s="10">
        <v>2171321</v>
      </c>
      <c r="U59" s="10">
        <v>2231465</v>
      </c>
      <c r="V59" s="10">
        <v>2293166</v>
      </c>
      <c r="W59" s="10">
        <v>2356737</v>
      </c>
      <c r="X59" s="10">
        <v>2422305</v>
      </c>
      <c r="Y59" s="10">
        <v>2489952</v>
      </c>
      <c r="Z59" s="10">
        <v>2559873</v>
      </c>
      <c r="AA59" s="10">
        <v>2632345</v>
      </c>
      <c r="AB59" s="10">
        <v>2707537</v>
      </c>
      <c r="AC59" s="10">
        <v>2785810</v>
      </c>
      <c r="AD59" s="10">
        <v>2867280</v>
      </c>
      <c r="AE59" s="10">
        <v>2951647</v>
      </c>
      <c r="AF59" s="10">
        <v>3038433</v>
      </c>
      <c r="AG59" s="10">
        <v>3127411</v>
      </c>
      <c r="AH59" s="10">
        <v>3217933</v>
      </c>
      <c r="AI59" s="10">
        <v>3310387</v>
      </c>
      <c r="AJ59" s="10">
        <v>3406922</v>
      </c>
      <c r="AK59" s="10">
        <v>3510468</v>
      </c>
      <c r="AL59" s="10">
        <v>3622775</v>
      </c>
      <c r="AM59" s="10">
        <v>3745141</v>
      </c>
      <c r="AN59" s="10">
        <v>3876119</v>
      </c>
      <c r="AO59" s="10">
        <v>4011486</v>
      </c>
      <c r="AP59" s="10">
        <v>4145391</v>
      </c>
      <c r="AQ59" s="10">
        <v>4273731</v>
      </c>
      <c r="AR59" s="10">
        <v>4394844</v>
      </c>
      <c r="AS59" s="10">
        <v>4510198</v>
      </c>
      <c r="AT59" s="10">
        <v>4622761</v>
      </c>
      <c r="AU59" s="10">
        <v>4736974</v>
      </c>
      <c r="AV59" s="10">
        <v>4856095</v>
      </c>
      <c r="AW59" s="10">
        <v>4980999</v>
      </c>
      <c r="AX59" s="10">
        <v>5110702</v>
      </c>
      <c r="AY59" s="10">
        <v>5244363</v>
      </c>
      <c r="AZ59" s="10">
        <v>5380508</v>
      </c>
    </row>
    <row r="60" spans="2:52" x14ac:dyDescent="0.45">
      <c r="B60" t="s">
        <v>122</v>
      </c>
      <c r="C60" s="10">
        <v>1847394</v>
      </c>
      <c r="D60" s="10">
        <v>1896077</v>
      </c>
      <c r="E60" s="10">
        <v>1944169</v>
      </c>
      <c r="F60" s="10">
        <v>1992514</v>
      </c>
      <c r="G60" s="10">
        <v>2042241</v>
      </c>
      <c r="H60" s="10">
        <v>2094188</v>
      </c>
      <c r="I60" s="10">
        <v>2148677</v>
      </c>
      <c r="J60" s="10">
        <v>2205615</v>
      </c>
      <c r="K60" s="10">
        <v>2264946</v>
      </c>
      <c r="L60" s="10">
        <v>2326464</v>
      </c>
      <c r="M60" s="10">
        <v>2389977</v>
      </c>
      <c r="N60" s="10">
        <v>2455588</v>
      </c>
      <c r="O60" s="10">
        <v>2523354</v>
      </c>
      <c r="P60" s="10">
        <v>2593020</v>
      </c>
      <c r="Q60" s="10">
        <v>2664223</v>
      </c>
      <c r="R60" s="10">
        <v>2736712</v>
      </c>
      <c r="S60" s="10">
        <v>2810242</v>
      </c>
      <c r="T60" s="10">
        <v>2884851</v>
      </c>
      <c r="U60" s="10">
        <v>2960929</v>
      </c>
      <c r="V60" s="10">
        <v>3039013</v>
      </c>
      <c r="W60" s="10">
        <v>3119433</v>
      </c>
      <c r="X60" s="10">
        <v>3202085</v>
      </c>
      <c r="Y60" s="10">
        <v>3286520</v>
      </c>
      <c r="Z60" s="10">
        <v>3372298</v>
      </c>
      <c r="AA60" s="10">
        <v>3458834</v>
      </c>
      <c r="AB60" s="10">
        <v>3545534</v>
      </c>
      <c r="AC60" s="10">
        <v>3632362</v>
      </c>
      <c r="AD60" s="10">
        <v>3718949</v>
      </c>
      <c r="AE60" s="10">
        <v>3803887</v>
      </c>
      <c r="AF60" s="10">
        <v>3885430</v>
      </c>
      <c r="AG60" s="10">
        <v>3962372</v>
      </c>
      <c r="AH60" s="10">
        <v>4034074</v>
      </c>
      <c r="AI60" s="10">
        <v>4100925</v>
      </c>
      <c r="AJ60" s="10">
        <v>4164053</v>
      </c>
      <c r="AK60" s="10">
        <v>4225155</v>
      </c>
      <c r="AL60" s="10">
        <v>4285502</v>
      </c>
      <c r="AM60" s="10">
        <v>4345412</v>
      </c>
      <c r="AN60" s="10">
        <v>4404628</v>
      </c>
      <c r="AO60" s="10">
        <v>4463125</v>
      </c>
      <c r="AP60" s="10">
        <v>4520740</v>
      </c>
      <c r="AQ60" s="10">
        <v>4577378</v>
      </c>
      <c r="AR60" s="10">
        <v>4633086</v>
      </c>
      <c r="AS60" s="10">
        <v>4688000</v>
      </c>
      <c r="AT60" s="10">
        <v>4742107</v>
      </c>
      <c r="AU60" s="10">
        <v>4795396</v>
      </c>
      <c r="AV60" s="10">
        <v>4847804</v>
      </c>
      <c r="AW60" s="10">
        <v>4899345</v>
      </c>
      <c r="AX60" s="10">
        <v>4949954</v>
      </c>
      <c r="AY60" s="10">
        <v>4999441</v>
      </c>
      <c r="AZ60" s="10">
        <v>5047561</v>
      </c>
    </row>
    <row r="61" spans="2:52" x14ac:dyDescent="0.45">
      <c r="B61" t="s">
        <v>123</v>
      </c>
      <c r="C61" s="10">
        <v>5102064</v>
      </c>
      <c r="D61" s="10">
        <v>5328744</v>
      </c>
      <c r="E61" s="10">
        <v>5576038</v>
      </c>
      <c r="F61" s="10">
        <v>5841506</v>
      </c>
      <c r="G61" s="10">
        <v>6121285</v>
      </c>
      <c r="H61" s="10">
        <v>6412403</v>
      </c>
      <c r="I61" s="10">
        <v>6713950</v>
      </c>
      <c r="J61" s="10">
        <v>7026496</v>
      </c>
      <c r="K61" s="10">
        <v>7350270</v>
      </c>
      <c r="L61" s="10">
        <v>7685918</v>
      </c>
      <c r="M61" s="10">
        <v>8033650</v>
      </c>
      <c r="N61" s="10">
        <v>8393691</v>
      </c>
      <c r="O61" s="10">
        <v>8764989</v>
      </c>
      <c r="P61" s="10">
        <v>9144931</v>
      </c>
      <c r="Q61" s="10">
        <v>9530107</v>
      </c>
      <c r="R61" s="10">
        <v>9918196</v>
      </c>
      <c r="S61" s="10">
        <v>10307281</v>
      </c>
      <c r="T61" s="10">
        <v>10698194</v>
      </c>
      <c r="U61" s="10">
        <v>11094748</v>
      </c>
      <c r="V61" s="10">
        <v>11502449</v>
      </c>
      <c r="W61" s="10">
        <v>11924877</v>
      </c>
      <c r="X61" s="10">
        <v>12362407</v>
      </c>
      <c r="Y61" s="10">
        <v>12812421</v>
      </c>
      <c r="Z61" s="10">
        <v>13271643</v>
      </c>
      <c r="AA61" s="10">
        <v>13735433</v>
      </c>
      <c r="AB61" s="10">
        <v>14199762</v>
      </c>
      <c r="AC61" s="10">
        <v>14665127</v>
      </c>
      <c r="AD61" s="10">
        <v>15130663</v>
      </c>
      <c r="AE61" s="10">
        <v>15589414</v>
      </c>
      <c r="AF61" s="10">
        <v>16032573</v>
      </c>
      <c r="AG61" s="10">
        <v>16454668</v>
      </c>
      <c r="AH61" s="10">
        <v>16853026</v>
      </c>
      <c r="AI61" s="10">
        <v>17231540</v>
      </c>
      <c r="AJ61" s="10">
        <v>17599610</v>
      </c>
      <c r="AK61" s="10">
        <v>17970494</v>
      </c>
      <c r="AL61" s="10">
        <v>18354514</v>
      </c>
      <c r="AM61" s="10">
        <v>18754916</v>
      </c>
      <c r="AN61" s="10">
        <v>19171236</v>
      </c>
      <c r="AO61" s="10">
        <v>19605568</v>
      </c>
      <c r="AP61" s="10">
        <v>20059148</v>
      </c>
      <c r="AQ61" s="10">
        <v>20532950</v>
      </c>
      <c r="AR61" s="10">
        <v>21028656</v>
      </c>
      <c r="AS61" s="10">
        <v>21547188</v>
      </c>
      <c r="AT61" s="10">
        <v>22087504</v>
      </c>
      <c r="AU61" s="10">
        <v>22647684</v>
      </c>
      <c r="AV61" s="10">
        <v>23226144</v>
      </c>
      <c r="AW61" s="10">
        <v>23822714</v>
      </c>
      <c r="AX61" s="10">
        <v>24437468</v>
      </c>
      <c r="AY61" s="10">
        <v>25069228</v>
      </c>
      <c r="AZ61" s="10">
        <v>25716544</v>
      </c>
    </row>
    <row r="62" spans="2:52" x14ac:dyDescent="0.45">
      <c r="B62" t="s">
        <v>124</v>
      </c>
      <c r="C62" s="10">
        <v>4499720</v>
      </c>
      <c r="D62" s="10">
        <v>4627210</v>
      </c>
      <c r="E62" s="10">
        <v>4755459</v>
      </c>
      <c r="F62" s="10">
        <v>4884461</v>
      </c>
      <c r="G62" s="10">
        <v>5014189</v>
      </c>
      <c r="H62" s="10">
        <v>5144637</v>
      </c>
      <c r="I62" s="10">
        <v>5275770</v>
      </c>
      <c r="J62" s="10">
        <v>5407500</v>
      </c>
      <c r="K62" s="10">
        <v>5539590</v>
      </c>
      <c r="L62" s="10">
        <v>5671797</v>
      </c>
      <c r="M62" s="10">
        <v>5803927</v>
      </c>
      <c r="N62" s="10">
        <v>5935909</v>
      </c>
      <c r="O62" s="10">
        <v>6067770</v>
      </c>
      <c r="P62" s="10">
        <v>6199661</v>
      </c>
      <c r="Q62" s="10">
        <v>6331764</v>
      </c>
      <c r="R62" s="10">
        <v>6464229</v>
      </c>
      <c r="S62" s="10">
        <v>6596962</v>
      </c>
      <c r="T62" s="10">
        <v>6729933</v>
      </c>
      <c r="U62" s="10">
        <v>6863441</v>
      </c>
      <c r="V62" s="10">
        <v>6997888</v>
      </c>
      <c r="W62" s="10">
        <v>7133494</v>
      </c>
      <c r="X62" s="10">
        <v>7270409</v>
      </c>
      <c r="Y62" s="10">
        <v>7408342</v>
      </c>
      <c r="Z62" s="10">
        <v>7546463</v>
      </c>
      <c r="AA62" s="10">
        <v>7683707</v>
      </c>
      <c r="AB62" s="10">
        <v>7819247</v>
      </c>
      <c r="AC62" s="10">
        <v>7952763</v>
      </c>
      <c r="AD62" s="10">
        <v>8084407</v>
      </c>
      <c r="AE62" s="10">
        <v>8214426</v>
      </c>
      <c r="AF62" s="10">
        <v>8343283</v>
      </c>
      <c r="AG62" s="10">
        <v>8471321</v>
      </c>
      <c r="AH62" s="10">
        <v>8598601</v>
      </c>
      <c r="AI62" s="10">
        <v>8724975</v>
      </c>
      <c r="AJ62" s="10">
        <v>8850317</v>
      </c>
      <c r="AK62" s="10">
        <v>8974444</v>
      </c>
      <c r="AL62" s="10">
        <v>9097257</v>
      </c>
      <c r="AM62" s="10">
        <v>9218686</v>
      </c>
      <c r="AN62" s="10">
        <v>9338861</v>
      </c>
      <c r="AO62" s="10">
        <v>9458075</v>
      </c>
      <c r="AP62" s="10">
        <v>9576737</v>
      </c>
      <c r="AQ62" s="10">
        <v>9695121</v>
      </c>
      <c r="AR62" s="10">
        <v>9813210</v>
      </c>
      <c r="AS62" s="10">
        <v>9930911</v>
      </c>
      <c r="AT62" s="10">
        <v>10048224</v>
      </c>
      <c r="AU62" s="10">
        <v>10165178</v>
      </c>
      <c r="AV62" s="10">
        <v>10281680</v>
      </c>
      <c r="AW62" s="10">
        <v>10397743</v>
      </c>
      <c r="AX62" s="10">
        <v>10513131</v>
      </c>
      <c r="AY62" s="10">
        <v>10627165</v>
      </c>
      <c r="AZ62" s="10">
        <v>10738958</v>
      </c>
    </row>
    <row r="63" spans="2:52" x14ac:dyDescent="0.45">
      <c r="B63" t="s">
        <v>125</v>
      </c>
      <c r="C63" s="10">
        <v>6069376</v>
      </c>
      <c r="D63" s="10">
        <v>6247418</v>
      </c>
      <c r="E63" s="10">
        <v>6429379</v>
      </c>
      <c r="F63" s="10">
        <v>6614843</v>
      </c>
      <c r="G63" s="10">
        <v>6803280</v>
      </c>
      <c r="H63" s="10">
        <v>6994334</v>
      </c>
      <c r="I63" s="10">
        <v>7187787</v>
      </c>
      <c r="J63" s="10">
        <v>7383724</v>
      </c>
      <c r="K63" s="10">
        <v>7582353</v>
      </c>
      <c r="L63" s="10">
        <v>7784072</v>
      </c>
      <c r="M63" s="10">
        <v>7989186</v>
      </c>
      <c r="N63" s="10">
        <v>8197652</v>
      </c>
      <c r="O63" s="10">
        <v>8409397</v>
      </c>
      <c r="P63" s="10">
        <v>8624594</v>
      </c>
      <c r="Q63" s="10">
        <v>8843462</v>
      </c>
      <c r="R63" s="10">
        <v>9066109</v>
      </c>
      <c r="S63" s="10">
        <v>9292474</v>
      </c>
      <c r="T63" s="10">
        <v>9522360</v>
      </c>
      <c r="U63" s="10">
        <v>9755579</v>
      </c>
      <c r="V63" s="10">
        <v>9991870</v>
      </c>
      <c r="W63" s="10">
        <v>10230934</v>
      </c>
      <c r="X63" s="10">
        <v>10472475</v>
      </c>
      <c r="Y63" s="10">
        <v>10716129</v>
      </c>
      <c r="Z63" s="10">
        <v>10961466</v>
      </c>
      <c r="AA63" s="10">
        <v>11208001</v>
      </c>
      <c r="AB63" s="10">
        <v>11455204</v>
      </c>
      <c r="AC63" s="10">
        <v>11703174</v>
      </c>
      <c r="AD63" s="10">
        <v>11951452</v>
      </c>
      <c r="AE63" s="10">
        <v>12198449</v>
      </c>
      <c r="AF63" s="10">
        <v>12442115</v>
      </c>
      <c r="AG63" s="10">
        <v>12681123</v>
      </c>
      <c r="AH63" s="10">
        <v>12914667</v>
      </c>
      <c r="AI63" s="10">
        <v>13143465</v>
      </c>
      <c r="AJ63" s="10">
        <v>13369678</v>
      </c>
      <c r="AK63" s="10">
        <v>13596388</v>
      </c>
      <c r="AL63" s="10">
        <v>13825847</v>
      </c>
      <c r="AM63" s="10">
        <v>14059384</v>
      </c>
      <c r="AN63" s="10">
        <v>14296557</v>
      </c>
      <c r="AO63" s="10">
        <v>14535739</v>
      </c>
      <c r="AP63" s="10">
        <v>14774424</v>
      </c>
      <c r="AQ63" s="10">
        <v>15011117</v>
      </c>
      <c r="AR63" s="10">
        <v>15243883</v>
      </c>
      <c r="AS63" s="10">
        <v>15474102</v>
      </c>
      <c r="AT63" s="10">
        <v>15707474</v>
      </c>
      <c r="AU63" s="10">
        <v>15951838</v>
      </c>
      <c r="AV63" s="10">
        <v>16212020</v>
      </c>
      <c r="AW63" s="10">
        <v>16491115</v>
      </c>
      <c r="AX63" s="10">
        <v>16785360</v>
      </c>
      <c r="AY63" s="10">
        <v>17084356</v>
      </c>
      <c r="AZ63" s="10">
        <v>17373662</v>
      </c>
    </row>
    <row r="64" spans="2:52" x14ac:dyDescent="0.45">
      <c r="B64" t="s">
        <v>214</v>
      </c>
      <c r="C64" s="10">
        <v>3673068</v>
      </c>
      <c r="D64" s="10">
        <v>3770059</v>
      </c>
      <c r="E64" s="10">
        <v>3867309</v>
      </c>
      <c r="F64" s="10">
        <v>3964270</v>
      </c>
      <c r="G64" s="10">
        <v>4060260</v>
      </c>
      <c r="H64" s="10">
        <v>4154692</v>
      </c>
      <c r="I64" s="10">
        <v>4247502</v>
      </c>
      <c r="J64" s="10">
        <v>4338458</v>
      </c>
      <c r="K64" s="10">
        <v>4426675</v>
      </c>
      <c r="L64" s="10">
        <v>4511129</v>
      </c>
      <c r="M64" s="10">
        <v>4591134</v>
      </c>
      <c r="N64" s="10">
        <v>4666364</v>
      </c>
      <c r="O64" s="10">
        <v>4737257</v>
      </c>
      <c r="P64" s="10">
        <v>4804935</v>
      </c>
      <c r="Q64" s="10">
        <v>4871035</v>
      </c>
      <c r="R64" s="10">
        <v>4936807</v>
      </c>
      <c r="S64" s="10">
        <v>5002336</v>
      </c>
      <c r="T64" s="10">
        <v>5067537</v>
      </c>
      <c r="U64" s="10">
        <v>5133274</v>
      </c>
      <c r="V64" s="10">
        <v>5200602</v>
      </c>
      <c r="W64" s="10">
        <v>5270079</v>
      </c>
      <c r="X64" s="10">
        <v>5342198</v>
      </c>
      <c r="Y64" s="10">
        <v>5416323</v>
      </c>
      <c r="Z64" s="10">
        <v>5490477</v>
      </c>
      <c r="AA64" s="10">
        <v>5561919</v>
      </c>
      <c r="AB64" s="10">
        <v>5628600</v>
      </c>
      <c r="AC64" s="10">
        <v>5689938</v>
      </c>
      <c r="AD64" s="10">
        <v>5746284</v>
      </c>
      <c r="AE64" s="10">
        <v>5797765</v>
      </c>
      <c r="AF64" s="10">
        <v>5844846</v>
      </c>
      <c r="AG64" s="10">
        <v>5887936</v>
      </c>
      <c r="AH64" s="10">
        <v>5927006</v>
      </c>
      <c r="AI64" s="10">
        <v>5962136</v>
      </c>
      <c r="AJ64" s="10">
        <v>5994077</v>
      </c>
      <c r="AK64" s="10">
        <v>6023797</v>
      </c>
      <c r="AL64" s="10">
        <v>6052123</v>
      </c>
      <c r="AM64" s="10">
        <v>6079399</v>
      </c>
      <c r="AN64" s="10">
        <v>6105810</v>
      </c>
      <c r="AO64" s="10">
        <v>6131764</v>
      </c>
      <c r="AP64" s="10">
        <v>6157686</v>
      </c>
      <c r="AQ64" s="10">
        <v>6183875</v>
      </c>
      <c r="AR64" s="10">
        <v>6210568</v>
      </c>
      <c r="AS64" s="10">
        <v>6237923</v>
      </c>
      <c r="AT64" s="10">
        <v>6266070</v>
      </c>
      <c r="AU64" s="10">
        <v>6295128</v>
      </c>
      <c r="AV64" s="10">
        <v>6325124</v>
      </c>
      <c r="AW64" s="10">
        <v>6356143</v>
      </c>
      <c r="AX64" s="10">
        <v>6388122</v>
      </c>
      <c r="AY64" s="10">
        <v>6420744</v>
      </c>
      <c r="AZ64" s="10">
        <v>6453553</v>
      </c>
    </row>
    <row r="65" spans="2:52" x14ac:dyDescent="0.45">
      <c r="B65" t="s">
        <v>126</v>
      </c>
      <c r="C65" s="10">
        <v>520562</v>
      </c>
      <c r="D65" s="10">
        <v>531635</v>
      </c>
      <c r="E65" s="10">
        <v>542844</v>
      </c>
      <c r="F65" s="10">
        <v>554138</v>
      </c>
      <c r="G65" s="10">
        <v>565415</v>
      </c>
      <c r="H65" s="10">
        <v>576626</v>
      </c>
      <c r="I65" s="10">
        <v>587557</v>
      </c>
      <c r="J65" s="10">
        <v>598296</v>
      </c>
      <c r="K65" s="10">
        <v>609383</v>
      </c>
      <c r="L65" s="10">
        <v>621585</v>
      </c>
      <c r="M65" s="10">
        <v>635307</v>
      </c>
      <c r="N65" s="10">
        <v>651021</v>
      </c>
      <c r="O65" s="10">
        <v>668280</v>
      </c>
      <c r="P65" s="10">
        <v>685497</v>
      </c>
      <c r="Q65" s="10">
        <v>700483</v>
      </c>
      <c r="R65" s="10">
        <v>711775</v>
      </c>
      <c r="S65" s="10">
        <v>718639</v>
      </c>
      <c r="T65" s="10">
        <v>721783</v>
      </c>
      <c r="U65" s="10">
        <v>722930</v>
      </c>
      <c r="V65" s="10">
        <v>724594</v>
      </c>
      <c r="W65" s="10">
        <v>728573</v>
      </c>
      <c r="X65" s="10">
        <v>735401</v>
      </c>
      <c r="Y65" s="10">
        <v>744469</v>
      </c>
      <c r="Z65" s="10">
        <v>754963</v>
      </c>
      <c r="AA65" s="10">
        <v>765609</v>
      </c>
      <c r="AB65" s="10">
        <v>775425</v>
      </c>
      <c r="AC65" s="10">
        <v>784386</v>
      </c>
      <c r="AD65" s="10">
        <v>792736</v>
      </c>
      <c r="AE65" s="10">
        <v>800157</v>
      </c>
      <c r="AF65" s="10">
        <v>806303</v>
      </c>
      <c r="AG65" s="10">
        <v>811006</v>
      </c>
      <c r="AH65" s="10">
        <v>813925</v>
      </c>
      <c r="AI65" s="10">
        <v>815257</v>
      </c>
      <c r="AJ65" s="10">
        <v>816076</v>
      </c>
      <c r="AK65" s="10">
        <v>817860</v>
      </c>
      <c r="AL65" s="10">
        <v>821604</v>
      </c>
      <c r="AM65" s="10">
        <v>827870</v>
      </c>
      <c r="AN65" s="10">
        <v>836190</v>
      </c>
      <c r="AO65" s="10">
        <v>845361</v>
      </c>
      <c r="AP65" s="10">
        <v>853637</v>
      </c>
      <c r="AQ65" s="10">
        <v>859818</v>
      </c>
      <c r="AR65" s="10">
        <v>863449</v>
      </c>
      <c r="AS65" s="10">
        <v>865069</v>
      </c>
      <c r="AT65" s="10">
        <v>865608</v>
      </c>
      <c r="AU65" s="10">
        <v>866453</v>
      </c>
      <c r="AV65" s="10">
        <v>868627</v>
      </c>
      <c r="AW65" s="10">
        <v>872399</v>
      </c>
      <c r="AX65" s="10">
        <v>877459</v>
      </c>
      <c r="AY65" s="10">
        <v>883483</v>
      </c>
      <c r="AZ65" s="10">
        <v>889953</v>
      </c>
    </row>
    <row r="66" spans="2:52" x14ac:dyDescent="0.45">
      <c r="B66" t="s">
        <v>127</v>
      </c>
      <c r="C66" s="10">
        <v>589314</v>
      </c>
      <c r="D66" s="10">
        <v>600613</v>
      </c>
      <c r="E66" s="10">
        <v>611704</v>
      </c>
      <c r="F66" s="10">
        <v>622920</v>
      </c>
      <c r="G66" s="10">
        <v>634742</v>
      </c>
      <c r="H66" s="10">
        <v>647536</v>
      </c>
      <c r="I66" s="10">
        <v>661402</v>
      </c>
      <c r="J66" s="10">
        <v>676255</v>
      </c>
      <c r="K66" s="10">
        <v>692077</v>
      </c>
      <c r="L66" s="10">
        <v>708788</v>
      </c>
      <c r="M66" s="10">
        <v>726328</v>
      </c>
      <c r="N66" s="10">
        <v>744696</v>
      </c>
      <c r="O66" s="10">
        <v>763930</v>
      </c>
      <c r="P66" s="10">
        <v>784061</v>
      </c>
      <c r="Q66" s="10">
        <v>805115</v>
      </c>
      <c r="R66" s="10">
        <v>827108</v>
      </c>
      <c r="S66" s="10">
        <v>850048</v>
      </c>
      <c r="T66" s="10">
        <v>873867</v>
      </c>
      <c r="U66" s="10">
        <v>898469</v>
      </c>
      <c r="V66" s="10">
        <v>923711</v>
      </c>
      <c r="W66" s="10">
        <v>949488</v>
      </c>
      <c r="X66" s="10">
        <v>975783</v>
      </c>
      <c r="Y66" s="10">
        <v>1002579</v>
      </c>
      <c r="Z66" s="10">
        <v>1029778</v>
      </c>
      <c r="AA66" s="10">
        <v>1057255</v>
      </c>
      <c r="AB66" s="10">
        <v>1084946</v>
      </c>
      <c r="AC66" s="10">
        <v>1112955</v>
      </c>
      <c r="AD66" s="10">
        <v>1141338</v>
      </c>
      <c r="AE66" s="10">
        <v>1170061</v>
      </c>
      <c r="AF66" s="10">
        <v>1199052</v>
      </c>
      <c r="AG66" s="10">
        <v>1228360</v>
      </c>
      <c r="AH66" s="10">
        <v>1258003</v>
      </c>
      <c r="AI66" s="10">
        <v>1288315</v>
      </c>
      <c r="AJ66" s="10">
        <v>1319953</v>
      </c>
      <c r="AK66" s="10">
        <v>1353795</v>
      </c>
      <c r="AL66" s="10">
        <v>1390549</v>
      </c>
      <c r="AM66" s="10">
        <v>1430152</v>
      </c>
      <c r="AN66" s="10">
        <v>1472575</v>
      </c>
      <c r="AO66" s="10">
        <v>1518540</v>
      </c>
      <c r="AP66" s="10">
        <v>1568928</v>
      </c>
      <c r="AQ66" s="10">
        <v>1624140</v>
      </c>
      <c r="AR66" s="10">
        <v>1684635</v>
      </c>
      <c r="AS66" s="10">
        <v>1749682</v>
      </c>
      <c r="AT66" s="10">
        <v>1817071</v>
      </c>
      <c r="AU66" s="10">
        <v>1883800</v>
      </c>
      <c r="AV66" s="10">
        <v>1947686</v>
      </c>
      <c r="AW66" s="10">
        <v>2007873</v>
      </c>
      <c r="AX66" s="10">
        <v>2064823</v>
      </c>
      <c r="AY66" s="10">
        <v>2119275</v>
      </c>
      <c r="AZ66" s="10">
        <v>2172579</v>
      </c>
    </row>
    <row r="67" spans="2:52" x14ac:dyDescent="0.45">
      <c r="B67" t="s">
        <v>215</v>
      </c>
      <c r="C67" s="10">
        <v>464410</v>
      </c>
      <c r="D67" s="10">
        <v>478116</v>
      </c>
      <c r="E67" s="10">
        <v>492426</v>
      </c>
      <c r="F67" s="10">
        <v>507432</v>
      </c>
      <c r="G67" s="10">
        <v>523251</v>
      </c>
      <c r="H67" s="10">
        <v>539979</v>
      </c>
      <c r="I67" s="10">
        <v>557805</v>
      </c>
      <c r="J67" s="10">
        <v>576757</v>
      </c>
      <c r="K67" s="10">
        <v>596536</v>
      </c>
      <c r="L67" s="10">
        <v>616768</v>
      </c>
      <c r="M67" s="10">
        <v>637246</v>
      </c>
      <c r="N67" s="10">
        <v>657579</v>
      </c>
      <c r="O67" s="10">
        <v>678113</v>
      </c>
      <c r="P67" s="10">
        <v>700199</v>
      </c>
      <c r="Q67" s="10">
        <v>725694</v>
      </c>
      <c r="R67" s="10">
        <v>755787</v>
      </c>
      <c r="S67" s="10">
        <v>791147</v>
      </c>
      <c r="T67" s="10">
        <v>831023</v>
      </c>
      <c r="U67" s="10">
        <v>873444</v>
      </c>
      <c r="V67" s="10">
        <v>915635</v>
      </c>
      <c r="W67" s="10">
        <v>955593</v>
      </c>
      <c r="X67" s="10">
        <v>992673</v>
      </c>
      <c r="Y67" s="10">
        <v>1027475</v>
      </c>
      <c r="Z67" s="10">
        <v>1060862</v>
      </c>
      <c r="AA67" s="10">
        <v>1094212</v>
      </c>
      <c r="AB67" s="10">
        <v>1128575</v>
      </c>
      <c r="AC67" s="10">
        <v>1164091</v>
      </c>
      <c r="AD67" s="10">
        <v>1200526</v>
      </c>
      <c r="AE67" s="10">
        <v>1238125</v>
      </c>
      <c r="AF67" s="10">
        <v>1277133</v>
      </c>
      <c r="AG67" s="10">
        <v>1317703</v>
      </c>
      <c r="AH67" s="10">
        <v>1360074</v>
      </c>
      <c r="AI67" s="10">
        <v>1404261</v>
      </c>
      <c r="AJ67" s="10">
        <v>1449925</v>
      </c>
      <c r="AK67" s="10">
        <v>1496527</v>
      </c>
      <c r="AL67" s="10">
        <v>1543741</v>
      </c>
      <c r="AM67" s="10">
        <v>1591445</v>
      </c>
      <c r="AN67" s="10">
        <v>1639848</v>
      </c>
      <c r="AO67" s="10">
        <v>1689285</v>
      </c>
      <c r="AP67" s="10">
        <v>1740279</v>
      </c>
      <c r="AQ67" s="10">
        <v>1793196</v>
      </c>
      <c r="AR67" s="10">
        <v>1848147</v>
      </c>
      <c r="AS67" s="10">
        <v>1905011</v>
      </c>
      <c r="AT67" s="10">
        <v>1963711</v>
      </c>
      <c r="AU67" s="10">
        <v>2024042</v>
      </c>
      <c r="AV67" s="10">
        <v>2085860</v>
      </c>
      <c r="AW67" s="10">
        <v>2149139</v>
      </c>
      <c r="AX67" s="10">
        <v>2213894</v>
      </c>
      <c r="AY67" s="10">
        <v>2280102</v>
      </c>
      <c r="AZ67" s="10">
        <v>2347706</v>
      </c>
    </row>
    <row r="68" spans="2:52" x14ac:dyDescent="0.45">
      <c r="B68" t="s">
        <v>128</v>
      </c>
      <c r="C68" s="10">
        <v>8735495</v>
      </c>
      <c r="D68" s="10">
        <v>8973244</v>
      </c>
      <c r="E68" s="10">
        <v>9229631</v>
      </c>
      <c r="F68" s="10">
        <v>9493556</v>
      </c>
      <c r="G68" s="10">
        <v>9749104</v>
      </c>
      <c r="H68" s="10">
        <v>9985946</v>
      </c>
      <c r="I68" s="10">
        <v>10199165</v>
      </c>
      <c r="J68" s="10">
        <v>10395452</v>
      </c>
      <c r="K68" s="10">
        <v>10590261</v>
      </c>
      <c r="L68" s="10">
        <v>10805314</v>
      </c>
      <c r="M68" s="10">
        <v>11056116</v>
      </c>
      <c r="N68" s="10">
        <v>11348289</v>
      </c>
      <c r="O68" s="10">
        <v>11676823</v>
      </c>
      <c r="P68" s="10">
        <v>12033575</v>
      </c>
      <c r="Q68" s="10">
        <v>12405660</v>
      </c>
      <c r="R68" s="10">
        <v>12783613</v>
      </c>
      <c r="S68" s="10">
        <v>13164837</v>
      </c>
      <c r="T68" s="10">
        <v>13552021</v>
      </c>
      <c r="U68" s="10">
        <v>13947042</v>
      </c>
      <c r="V68" s="10">
        <v>14353410</v>
      </c>
      <c r="W68" s="10">
        <v>14773277</v>
      </c>
      <c r="X68" s="10">
        <v>15207367</v>
      </c>
      <c r="Y68" s="10">
        <v>15653336</v>
      </c>
      <c r="Z68" s="10">
        <v>16106765</v>
      </c>
      <c r="AA68" s="10">
        <v>16561674</v>
      </c>
      <c r="AB68" s="10">
        <v>17014056</v>
      </c>
      <c r="AC68" s="10">
        <v>17462496</v>
      </c>
      <c r="AD68" s="10">
        <v>17908984</v>
      </c>
      <c r="AE68" s="10">
        <v>18357156</v>
      </c>
      <c r="AF68" s="10">
        <v>18812360</v>
      </c>
      <c r="AG68" s="10">
        <v>19278856</v>
      </c>
      <c r="AH68" s="10">
        <v>19756928</v>
      </c>
      <c r="AI68" s="10">
        <v>20246380</v>
      </c>
      <c r="AJ68" s="10">
        <v>20750300</v>
      </c>
      <c r="AK68" s="10">
        <v>21272324</v>
      </c>
      <c r="AL68" s="10">
        <v>21814642</v>
      </c>
      <c r="AM68" s="10">
        <v>22379056</v>
      </c>
      <c r="AN68" s="10">
        <v>22963946</v>
      </c>
      <c r="AO68" s="10">
        <v>23563824</v>
      </c>
      <c r="AP68" s="10">
        <v>24170940</v>
      </c>
      <c r="AQ68" s="10">
        <v>24779620</v>
      </c>
      <c r="AR68" s="10">
        <v>25387710</v>
      </c>
      <c r="AS68" s="10">
        <v>25996448</v>
      </c>
      <c r="AT68" s="10">
        <v>26607642</v>
      </c>
      <c r="AU68" s="10">
        <v>27224472</v>
      </c>
      <c r="AV68" s="10">
        <v>27849204</v>
      </c>
      <c r="AW68" s="10">
        <v>28481946</v>
      </c>
      <c r="AX68" s="10">
        <v>29121472</v>
      </c>
      <c r="AY68" s="10">
        <v>29767108</v>
      </c>
      <c r="AZ68" s="10">
        <v>30417856</v>
      </c>
    </row>
    <row r="69" spans="2:52" x14ac:dyDescent="0.45">
      <c r="B69" t="s">
        <v>129</v>
      </c>
      <c r="C69" s="10">
        <v>5455197</v>
      </c>
      <c r="D69" s="10">
        <v>5589563</v>
      </c>
      <c r="E69" s="10">
        <v>5723759</v>
      </c>
      <c r="F69" s="10">
        <v>5858466</v>
      </c>
      <c r="G69" s="10">
        <v>5994300</v>
      </c>
      <c r="H69" s="10">
        <v>6131151</v>
      </c>
      <c r="I69" s="10">
        <v>6269983</v>
      </c>
      <c r="J69" s="10">
        <v>6412667</v>
      </c>
      <c r="K69" s="10">
        <v>6561919</v>
      </c>
      <c r="L69" s="10">
        <v>6720582</v>
      </c>
      <c r="M69" s="10">
        <v>6890346</v>
      </c>
      <c r="N69" s="10">
        <v>7071186</v>
      </c>
      <c r="O69" s="10">
        <v>7262658</v>
      </c>
      <c r="P69" s="10">
        <v>7462585</v>
      </c>
      <c r="Q69" s="10">
        <v>7669863</v>
      </c>
      <c r="R69" s="10">
        <v>7884034</v>
      </c>
      <c r="S69" s="10">
        <v>8104921</v>
      </c>
      <c r="T69" s="10">
        <v>8332446</v>
      </c>
      <c r="U69" s="10">
        <v>8566331</v>
      </c>
      <c r="V69" s="10">
        <v>8805995</v>
      </c>
      <c r="W69" s="10">
        <v>9050115</v>
      </c>
      <c r="X69" s="10">
        <v>9296814</v>
      </c>
      <c r="Y69" s="10">
        <v>9544055</v>
      </c>
      <c r="Z69" s="10">
        <v>9790619</v>
      </c>
      <c r="AA69" s="10">
        <v>10037522</v>
      </c>
      <c r="AB69" s="10">
        <v>10286786</v>
      </c>
      <c r="AC69" s="10">
        <v>10536942</v>
      </c>
      <c r="AD69" s="10">
        <v>10788362</v>
      </c>
      <c r="AE69" s="10">
        <v>11046215</v>
      </c>
      <c r="AF69" s="10">
        <v>11311078</v>
      </c>
      <c r="AG69" s="10">
        <v>11589761</v>
      </c>
      <c r="AH69" s="10">
        <v>11871565</v>
      </c>
      <c r="AI69" s="10">
        <v>12147518</v>
      </c>
      <c r="AJ69" s="10">
        <v>12415334</v>
      </c>
      <c r="AK69" s="10">
        <v>12682108</v>
      </c>
      <c r="AL69" s="10">
        <v>12948292</v>
      </c>
      <c r="AM69" s="10">
        <v>13213330</v>
      </c>
      <c r="AN69" s="10">
        <v>13477017</v>
      </c>
      <c r="AO69" s="10">
        <v>13739299</v>
      </c>
      <c r="AP69" s="10">
        <v>14000190</v>
      </c>
      <c r="AQ69" s="10">
        <v>14259687</v>
      </c>
      <c r="AR69" s="10">
        <v>14521515</v>
      </c>
      <c r="AS69" s="10">
        <v>14781942</v>
      </c>
      <c r="AT69" s="10">
        <v>15043981</v>
      </c>
      <c r="AU69" s="10">
        <v>15306316</v>
      </c>
      <c r="AV69" s="10">
        <v>15567419</v>
      </c>
      <c r="AW69" s="10">
        <v>15827690</v>
      </c>
      <c r="AX69" s="10">
        <v>16087418</v>
      </c>
      <c r="AY69" s="10">
        <v>16346950</v>
      </c>
      <c r="AZ69" s="10">
        <v>16604026</v>
      </c>
    </row>
    <row r="70" spans="2:52" x14ac:dyDescent="0.45">
      <c r="B70" t="s">
        <v>216</v>
      </c>
      <c r="C70" s="10">
        <v>704939</v>
      </c>
      <c r="D70" s="10">
        <v>718364</v>
      </c>
      <c r="E70" s="10">
        <v>732523</v>
      </c>
      <c r="F70" s="10">
        <v>746173</v>
      </c>
      <c r="G70" s="10">
        <v>757674</v>
      </c>
      <c r="H70" s="10">
        <v>765989</v>
      </c>
      <c r="I70" s="10">
        <v>770421</v>
      </c>
      <c r="J70" s="10">
        <v>771737</v>
      </c>
      <c r="K70" s="10">
        <v>772142</v>
      </c>
      <c r="L70" s="10">
        <v>774726</v>
      </c>
      <c r="M70" s="10">
        <v>781677</v>
      </c>
      <c r="N70" s="10">
        <v>793806</v>
      </c>
      <c r="O70" s="10">
        <v>810405</v>
      </c>
      <c r="P70" s="10">
        <v>830207</v>
      </c>
      <c r="Q70" s="10">
        <v>851276</v>
      </c>
      <c r="R70" s="10">
        <v>872163</v>
      </c>
      <c r="S70" s="10">
        <v>892522</v>
      </c>
      <c r="T70" s="10">
        <v>912754</v>
      </c>
      <c r="U70" s="10">
        <v>933045</v>
      </c>
      <c r="V70" s="10">
        <v>953790</v>
      </c>
      <c r="W70" s="10">
        <v>975261</v>
      </c>
      <c r="X70" s="10">
        <v>997522</v>
      </c>
      <c r="Y70" s="10">
        <v>1020350</v>
      </c>
      <c r="Z70" s="10">
        <v>1043423</v>
      </c>
      <c r="AA70" s="10">
        <v>1066346</v>
      </c>
      <c r="AB70" s="10">
        <v>1088854</v>
      </c>
      <c r="AC70" s="10">
        <v>1110833</v>
      </c>
      <c r="AD70" s="10">
        <v>1132510</v>
      </c>
      <c r="AE70" s="10">
        <v>1154371</v>
      </c>
      <c r="AF70" s="10">
        <v>1177131</v>
      </c>
      <c r="AG70" s="10">
        <v>1201301</v>
      </c>
      <c r="AH70" s="10">
        <v>1227106</v>
      </c>
      <c r="AI70" s="10">
        <v>1254453</v>
      </c>
      <c r="AJ70" s="10">
        <v>1283305</v>
      </c>
      <c r="AK70" s="10">
        <v>1313492</v>
      </c>
      <c r="AL70" s="10">
        <v>1344930</v>
      </c>
      <c r="AM70" s="10">
        <v>1377581</v>
      </c>
      <c r="AN70" s="10">
        <v>1411543</v>
      </c>
      <c r="AO70" s="10">
        <v>1446936</v>
      </c>
      <c r="AP70" s="10">
        <v>1483921</v>
      </c>
      <c r="AQ70" s="10">
        <v>1522599</v>
      </c>
      <c r="AR70" s="10">
        <v>1562989</v>
      </c>
      <c r="AS70" s="10">
        <v>1604979</v>
      </c>
      <c r="AT70" s="10">
        <v>1648257</v>
      </c>
      <c r="AU70" s="10">
        <v>1692439</v>
      </c>
      <c r="AV70" s="10">
        <v>1737202</v>
      </c>
      <c r="AW70" s="10">
        <v>1782437</v>
      </c>
      <c r="AX70" s="10">
        <v>1828146</v>
      </c>
      <c r="AY70" s="10">
        <v>1874309</v>
      </c>
      <c r="AZ70" s="10">
        <v>1920922</v>
      </c>
    </row>
    <row r="71" spans="2:52" x14ac:dyDescent="0.45">
      <c r="B71" t="s">
        <v>130</v>
      </c>
      <c r="C71" s="10">
        <v>704934</v>
      </c>
      <c r="D71" s="10">
        <v>713684</v>
      </c>
      <c r="E71" s="10">
        <v>721948</v>
      </c>
      <c r="F71" s="10">
        <v>729916</v>
      </c>
      <c r="G71" s="10">
        <v>737847</v>
      </c>
      <c r="H71" s="10">
        <v>745841</v>
      </c>
      <c r="I71" s="10">
        <v>754101</v>
      </c>
      <c r="J71" s="10">
        <v>762424</v>
      </c>
      <c r="K71" s="10">
        <v>770125</v>
      </c>
      <c r="L71" s="10">
        <v>776254</v>
      </c>
      <c r="M71" s="10">
        <v>780153</v>
      </c>
      <c r="N71" s="10">
        <v>781732</v>
      </c>
      <c r="O71" s="10">
        <v>781246</v>
      </c>
      <c r="P71" s="10">
        <v>778948</v>
      </c>
      <c r="Q71" s="10">
        <v>775219</v>
      </c>
      <c r="R71" s="10">
        <v>770435</v>
      </c>
      <c r="S71" s="10">
        <v>764446</v>
      </c>
      <c r="T71" s="10">
        <v>757448</v>
      </c>
      <c r="U71" s="10">
        <v>750639</v>
      </c>
      <c r="V71" s="10">
        <v>745585</v>
      </c>
      <c r="W71" s="10">
        <v>743309</v>
      </c>
      <c r="X71" s="10">
        <v>744474</v>
      </c>
      <c r="Y71" s="10">
        <v>748602</v>
      </c>
      <c r="Z71" s="10">
        <v>754144</v>
      </c>
      <c r="AA71" s="10">
        <v>758896</v>
      </c>
      <c r="AB71" s="10">
        <v>761291</v>
      </c>
      <c r="AC71" s="10">
        <v>760795</v>
      </c>
      <c r="AD71" s="10">
        <v>757970</v>
      </c>
      <c r="AE71" s="10">
        <v>753778</v>
      </c>
      <c r="AF71" s="10">
        <v>749674</v>
      </c>
      <c r="AG71" s="10">
        <v>746715</v>
      </c>
      <c r="AH71" s="10">
        <v>745206</v>
      </c>
      <c r="AI71" s="10">
        <v>744789</v>
      </c>
      <c r="AJ71" s="10">
        <v>745143</v>
      </c>
      <c r="AK71" s="10">
        <v>745737</v>
      </c>
      <c r="AL71" s="10">
        <v>746163</v>
      </c>
      <c r="AM71" s="10">
        <v>746343</v>
      </c>
      <c r="AN71" s="10">
        <v>746474</v>
      </c>
      <c r="AO71" s="10">
        <v>746817</v>
      </c>
      <c r="AP71" s="10">
        <v>747718</v>
      </c>
      <c r="AQ71" s="10">
        <v>749436</v>
      </c>
      <c r="AR71" s="10">
        <v>752028</v>
      </c>
      <c r="AS71" s="10">
        <v>755399</v>
      </c>
      <c r="AT71" s="10">
        <v>759285</v>
      </c>
      <c r="AU71" s="10">
        <v>763380</v>
      </c>
      <c r="AV71" s="10">
        <v>767432</v>
      </c>
      <c r="AW71" s="10">
        <v>771366</v>
      </c>
      <c r="AX71" s="10">
        <v>775221</v>
      </c>
      <c r="AY71" s="10">
        <v>779004</v>
      </c>
      <c r="AZ71" s="10">
        <v>782766</v>
      </c>
    </row>
    <row r="72" spans="2:52" x14ac:dyDescent="0.45">
      <c r="B72" t="s">
        <v>131</v>
      </c>
      <c r="C72" s="10">
        <v>4676230</v>
      </c>
      <c r="D72" s="10">
        <v>4757182</v>
      </c>
      <c r="E72" s="10">
        <v>4837332</v>
      </c>
      <c r="F72" s="10">
        <v>4918625</v>
      </c>
      <c r="G72" s="10">
        <v>5003710</v>
      </c>
      <c r="H72" s="10">
        <v>5094577</v>
      </c>
      <c r="I72" s="10">
        <v>5191632</v>
      </c>
      <c r="J72" s="10">
        <v>5294619</v>
      </c>
      <c r="K72" s="10">
        <v>5404019</v>
      </c>
      <c r="L72" s="10">
        <v>5520187</v>
      </c>
      <c r="M72" s="10">
        <v>5643173</v>
      </c>
      <c r="N72" s="10">
        <v>5773366</v>
      </c>
      <c r="O72" s="10">
        <v>5910227</v>
      </c>
      <c r="P72" s="10">
        <v>6051622</v>
      </c>
      <c r="Q72" s="10">
        <v>6194687</v>
      </c>
      <c r="R72" s="10">
        <v>6337273</v>
      </c>
      <c r="S72" s="10">
        <v>6478541</v>
      </c>
      <c r="T72" s="10">
        <v>6618744</v>
      </c>
      <c r="U72" s="10">
        <v>6758223</v>
      </c>
      <c r="V72" s="10">
        <v>6897755</v>
      </c>
      <c r="W72" s="10">
        <v>7037917</v>
      </c>
      <c r="X72" s="10">
        <v>7178607</v>
      </c>
      <c r="Y72" s="10">
        <v>7319493</v>
      </c>
      <c r="Z72" s="10">
        <v>7460689</v>
      </c>
      <c r="AA72" s="10">
        <v>7602320</v>
      </c>
      <c r="AB72" s="10">
        <v>7744503</v>
      </c>
      <c r="AC72" s="10">
        <v>7887304</v>
      </c>
      <c r="AD72" s="10">
        <v>8030726</v>
      </c>
      <c r="AE72" s="10">
        <v>8174680</v>
      </c>
      <c r="AF72" s="10">
        <v>8319057</v>
      </c>
      <c r="AG72" s="10">
        <v>8463806</v>
      </c>
      <c r="AH72" s="10">
        <v>8608819</v>
      </c>
      <c r="AI72" s="10">
        <v>8754150</v>
      </c>
      <c r="AJ72" s="10">
        <v>8900104</v>
      </c>
      <c r="AK72" s="10">
        <v>9047077</v>
      </c>
      <c r="AL72" s="10">
        <v>9195288</v>
      </c>
      <c r="AM72" s="10">
        <v>9344785</v>
      </c>
      <c r="AN72" s="10">
        <v>9495328</v>
      </c>
      <c r="AO72" s="10">
        <v>9646580</v>
      </c>
      <c r="AP72" s="10">
        <v>9798046</v>
      </c>
      <c r="AQ72" s="10">
        <v>9949322</v>
      </c>
      <c r="AR72" s="10">
        <v>10100320</v>
      </c>
      <c r="AS72" s="10">
        <v>10250930</v>
      </c>
      <c r="AT72" s="10">
        <v>10400673</v>
      </c>
      <c r="AU72" s="10">
        <v>10549008</v>
      </c>
      <c r="AV72" s="10">
        <v>10695542</v>
      </c>
      <c r="AW72" s="10">
        <v>10839970</v>
      </c>
      <c r="AX72" s="10">
        <v>10982366</v>
      </c>
      <c r="AY72" s="10">
        <v>11123176</v>
      </c>
      <c r="AZ72" s="10">
        <v>11263077</v>
      </c>
    </row>
    <row r="73" spans="2:52" x14ac:dyDescent="0.45">
      <c r="B73" t="s">
        <v>132</v>
      </c>
      <c r="C73" s="10">
        <v>2716654</v>
      </c>
      <c r="D73" s="10">
        <v>2798123</v>
      </c>
      <c r="E73" s="10">
        <v>2882113</v>
      </c>
      <c r="F73" s="10">
        <v>2968989</v>
      </c>
      <c r="G73" s="10">
        <v>3059239</v>
      </c>
      <c r="H73" s="10">
        <v>3153253</v>
      </c>
      <c r="I73" s="10">
        <v>3251145</v>
      </c>
      <c r="J73" s="10">
        <v>3352825</v>
      </c>
      <c r="K73" s="10">
        <v>3458095</v>
      </c>
      <c r="L73" s="10">
        <v>3566654</v>
      </c>
      <c r="M73" s="10">
        <v>3678279</v>
      </c>
      <c r="N73" s="10">
        <v>3792919</v>
      </c>
      <c r="O73" s="10">
        <v>3910640</v>
      </c>
      <c r="P73" s="10">
        <v>4031325</v>
      </c>
      <c r="Q73" s="10">
        <v>4154860</v>
      </c>
      <c r="R73" s="10">
        <v>4281161</v>
      </c>
      <c r="S73" s="10">
        <v>4410269</v>
      </c>
      <c r="T73" s="10">
        <v>4542214</v>
      </c>
      <c r="U73" s="10">
        <v>4677024</v>
      </c>
      <c r="V73" s="10">
        <v>4814702</v>
      </c>
      <c r="W73" s="10">
        <v>4955303</v>
      </c>
      <c r="X73" s="10">
        <v>5098591</v>
      </c>
      <c r="Y73" s="10">
        <v>5244678</v>
      </c>
      <c r="Z73" s="10">
        <v>5394412</v>
      </c>
      <c r="AA73" s="10">
        <v>5548960</v>
      </c>
      <c r="AB73" s="10">
        <v>5709014</v>
      </c>
      <c r="AC73" s="10">
        <v>5874809</v>
      </c>
      <c r="AD73" s="10">
        <v>6045699</v>
      </c>
      <c r="AE73" s="10">
        <v>6220406</v>
      </c>
      <c r="AF73" s="10">
        <v>6397151</v>
      </c>
      <c r="AG73" s="10">
        <v>6574509</v>
      </c>
      <c r="AH73" s="10">
        <v>6751912</v>
      </c>
      <c r="AI73" s="10">
        <v>6929265</v>
      </c>
      <c r="AJ73" s="10">
        <v>7106319</v>
      </c>
      <c r="AK73" s="10">
        <v>7282953</v>
      </c>
      <c r="AL73" s="10">
        <v>7458985</v>
      </c>
      <c r="AM73" s="10">
        <v>7634298</v>
      </c>
      <c r="AN73" s="10">
        <v>7808518</v>
      </c>
      <c r="AO73" s="10">
        <v>7980955</v>
      </c>
      <c r="AP73" s="10">
        <v>8150775</v>
      </c>
      <c r="AQ73" s="10">
        <v>8317470</v>
      </c>
      <c r="AR73" s="10">
        <v>8480671</v>
      </c>
      <c r="AS73" s="10">
        <v>8640691</v>
      </c>
      <c r="AT73" s="10">
        <v>8798521</v>
      </c>
      <c r="AU73" s="10">
        <v>8955589</v>
      </c>
      <c r="AV73" s="10">
        <v>9112916</v>
      </c>
      <c r="AW73" s="10">
        <v>9270795</v>
      </c>
      <c r="AX73" s="10">
        <v>9429013</v>
      </c>
      <c r="AY73" s="10">
        <v>9587522</v>
      </c>
      <c r="AZ73" s="10">
        <v>9746117</v>
      </c>
    </row>
    <row r="74" spans="2:52" x14ac:dyDescent="0.45">
      <c r="B74" t="s">
        <v>133</v>
      </c>
      <c r="C74" s="10">
        <v>555189760</v>
      </c>
      <c r="D74" s="10">
        <v>567868032</v>
      </c>
      <c r="E74" s="10">
        <v>581087232</v>
      </c>
      <c r="F74" s="10">
        <v>594770112</v>
      </c>
      <c r="G74" s="10">
        <v>608802624</v>
      </c>
      <c r="H74" s="10">
        <v>623102912</v>
      </c>
      <c r="I74" s="10">
        <v>637630080</v>
      </c>
      <c r="J74" s="10">
        <v>652408768</v>
      </c>
      <c r="K74" s="10">
        <v>667499776</v>
      </c>
      <c r="L74" s="10">
        <v>682995328</v>
      </c>
      <c r="M74" s="10">
        <v>698952832</v>
      </c>
      <c r="N74" s="10">
        <v>715385024</v>
      </c>
      <c r="O74" s="10">
        <v>732239488</v>
      </c>
      <c r="P74" s="10">
        <v>749428928</v>
      </c>
      <c r="Q74" s="10">
        <v>766833408</v>
      </c>
      <c r="R74" s="10">
        <v>784360000</v>
      </c>
      <c r="S74" s="10">
        <v>801975232</v>
      </c>
      <c r="T74" s="10">
        <v>819682112</v>
      </c>
      <c r="U74" s="10">
        <v>837468928</v>
      </c>
      <c r="V74" s="10">
        <v>855334656</v>
      </c>
      <c r="W74" s="10">
        <v>873277824</v>
      </c>
      <c r="X74" s="10">
        <v>891273216</v>
      </c>
      <c r="Y74" s="10">
        <v>909307008</v>
      </c>
      <c r="Z74" s="10">
        <v>927403840</v>
      </c>
      <c r="AA74" s="10">
        <v>945601856</v>
      </c>
      <c r="AB74" s="10">
        <v>963922560</v>
      </c>
      <c r="AC74" s="10">
        <v>982365248</v>
      </c>
      <c r="AD74" s="10">
        <v>1000900032</v>
      </c>
      <c r="AE74" s="10">
        <v>1019483584</v>
      </c>
      <c r="AF74" s="10">
        <v>1038058176</v>
      </c>
      <c r="AG74" s="10">
        <v>1056575552</v>
      </c>
      <c r="AH74" s="10">
        <v>1075000064</v>
      </c>
      <c r="AI74" s="10">
        <v>1093317248</v>
      </c>
      <c r="AJ74" s="10">
        <v>1111523200</v>
      </c>
      <c r="AK74" s="10">
        <v>1129623424</v>
      </c>
      <c r="AL74" s="10">
        <v>1147609984</v>
      </c>
      <c r="AM74" s="10">
        <v>1165486336</v>
      </c>
      <c r="AN74" s="10">
        <v>1183209472</v>
      </c>
      <c r="AO74" s="10">
        <v>1200669824</v>
      </c>
      <c r="AP74" s="10">
        <v>1217726208</v>
      </c>
      <c r="AQ74" s="10">
        <v>1234281216</v>
      </c>
      <c r="AR74" s="10">
        <v>1250288768</v>
      </c>
      <c r="AS74" s="10">
        <v>1265782784</v>
      </c>
      <c r="AT74" s="10">
        <v>1280846080</v>
      </c>
      <c r="AU74" s="10">
        <v>1295604224</v>
      </c>
      <c r="AV74" s="10">
        <v>1310152448</v>
      </c>
      <c r="AW74" s="10">
        <v>1324509568</v>
      </c>
      <c r="AX74" s="10">
        <v>1338658816</v>
      </c>
      <c r="AY74" s="10">
        <v>1352617344</v>
      </c>
      <c r="AZ74" s="10">
        <v>1366417792</v>
      </c>
    </row>
    <row r="75" spans="2:52" x14ac:dyDescent="0.45">
      <c r="B75" t="s">
        <v>217</v>
      </c>
      <c r="C75" s="10">
        <v>9917983</v>
      </c>
      <c r="D75" s="10">
        <v>10255850</v>
      </c>
      <c r="E75" s="10">
        <v>10599668</v>
      </c>
      <c r="F75" s="10">
        <v>10950888</v>
      </c>
      <c r="G75" s="10">
        <v>11312062</v>
      </c>
      <c r="H75" s="10">
        <v>11684590</v>
      </c>
      <c r="I75" s="10">
        <v>12068676</v>
      </c>
      <c r="J75" s="10">
        <v>12462070</v>
      </c>
      <c r="K75" s="10">
        <v>12860680</v>
      </c>
      <c r="L75" s="10">
        <v>13259113</v>
      </c>
      <c r="M75" s="10">
        <v>13653354</v>
      </c>
      <c r="N75" s="10">
        <v>14044117</v>
      </c>
      <c r="O75" s="10">
        <v>14432468</v>
      </c>
      <c r="P75" s="10">
        <v>14815656</v>
      </c>
      <c r="Q75" s="10">
        <v>15190393</v>
      </c>
      <c r="R75" s="10">
        <v>15555800</v>
      </c>
      <c r="S75" s="10">
        <v>15909762</v>
      </c>
      <c r="T75" s="10">
        <v>16257070</v>
      </c>
      <c r="U75" s="10">
        <v>16612322</v>
      </c>
      <c r="V75" s="10">
        <v>16994948</v>
      </c>
      <c r="W75" s="10">
        <v>17419112</v>
      </c>
      <c r="X75" s="10">
        <v>17889460</v>
      </c>
      <c r="Y75" s="10">
        <v>18402734</v>
      </c>
      <c r="Z75" s="10">
        <v>18955084</v>
      </c>
      <c r="AA75" s="10">
        <v>19539340</v>
      </c>
      <c r="AB75" s="10">
        <v>20149338</v>
      </c>
      <c r="AC75" s="10">
        <v>20783072</v>
      </c>
      <c r="AD75" s="10">
        <v>21439574</v>
      </c>
      <c r="AE75" s="10">
        <v>22114324</v>
      </c>
      <c r="AF75" s="10">
        <v>22802064</v>
      </c>
      <c r="AG75" s="10">
        <v>23497584</v>
      </c>
      <c r="AH75" s="10">
        <v>24208180</v>
      </c>
      <c r="AI75" s="10">
        <v>24931920</v>
      </c>
      <c r="AJ75" s="10">
        <v>25644500</v>
      </c>
      <c r="AK75" s="10">
        <v>26313838</v>
      </c>
      <c r="AL75" s="10">
        <v>26922284</v>
      </c>
      <c r="AM75" s="10">
        <v>27448124</v>
      </c>
      <c r="AN75" s="10">
        <v>27911248</v>
      </c>
      <c r="AO75" s="10">
        <v>28385746</v>
      </c>
      <c r="AP75" s="10">
        <v>28973162</v>
      </c>
      <c r="AQ75" s="10">
        <v>29741976</v>
      </c>
      <c r="AR75" s="10">
        <v>30725300</v>
      </c>
      <c r="AS75" s="10">
        <v>31890012</v>
      </c>
      <c r="AT75" s="10">
        <v>33157050</v>
      </c>
      <c r="AU75" s="10">
        <v>34411952</v>
      </c>
      <c r="AV75" s="10">
        <v>35572260</v>
      </c>
      <c r="AW75" s="10">
        <v>36610632</v>
      </c>
      <c r="AX75" s="10">
        <v>37552780</v>
      </c>
      <c r="AY75" s="10">
        <v>38433600</v>
      </c>
      <c r="AZ75" s="10">
        <v>39309784</v>
      </c>
    </row>
    <row r="76" spans="2:52" x14ac:dyDescent="0.45">
      <c r="B76" t="s">
        <v>218</v>
      </c>
      <c r="C76" s="10">
        <v>1875642</v>
      </c>
      <c r="D76" s="10">
        <v>1904276</v>
      </c>
      <c r="E76" s="10">
        <v>1935100</v>
      </c>
      <c r="F76" s="10">
        <v>1966974</v>
      </c>
      <c r="G76" s="10">
        <v>1998309</v>
      </c>
      <c r="H76" s="10">
        <v>2028016</v>
      </c>
      <c r="I76" s="10">
        <v>2055365</v>
      </c>
      <c r="J76" s="10">
        <v>2080831</v>
      </c>
      <c r="K76" s="10">
        <v>2105907</v>
      </c>
      <c r="L76" s="10">
        <v>2132785</v>
      </c>
      <c r="M76" s="10">
        <v>2162846</v>
      </c>
      <c r="N76" s="10">
        <v>2196921</v>
      </c>
      <c r="O76" s="10">
        <v>2234057</v>
      </c>
      <c r="P76" s="10">
        <v>2271736</v>
      </c>
      <c r="Q76" s="10">
        <v>2306366</v>
      </c>
      <c r="R76" s="10">
        <v>2335510</v>
      </c>
      <c r="S76" s="10">
        <v>2358161</v>
      </c>
      <c r="T76" s="10">
        <v>2375393</v>
      </c>
      <c r="U76" s="10">
        <v>2389411</v>
      </c>
      <c r="V76" s="10">
        <v>2403464</v>
      </c>
      <c r="W76" s="10">
        <v>2419906</v>
      </c>
      <c r="X76" s="10">
        <v>2439334</v>
      </c>
      <c r="Y76" s="10">
        <v>2461049</v>
      </c>
      <c r="Z76" s="10">
        <v>2484581</v>
      </c>
      <c r="AA76" s="10">
        <v>2509043</v>
      </c>
      <c r="AB76" s="10">
        <v>2533711</v>
      </c>
      <c r="AC76" s="10">
        <v>2558637</v>
      </c>
      <c r="AD76" s="10">
        <v>2583916</v>
      </c>
      <c r="AE76" s="10">
        <v>2608873</v>
      </c>
      <c r="AF76" s="10">
        <v>2632675</v>
      </c>
      <c r="AG76" s="10">
        <v>2654701</v>
      </c>
      <c r="AH76" s="10">
        <v>2674702</v>
      </c>
      <c r="AI76" s="10">
        <v>2692845</v>
      </c>
      <c r="AJ76" s="10">
        <v>2709437</v>
      </c>
      <c r="AK76" s="10">
        <v>2725015</v>
      </c>
      <c r="AL76" s="10">
        <v>2740003</v>
      </c>
      <c r="AM76" s="10">
        <v>2754407</v>
      </c>
      <c r="AN76" s="10">
        <v>2768227</v>
      </c>
      <c r="AO76" s="10">
        <v>2781876</v>
      </c>
      <c r="AP76" s="10">
        <v>2795837</v>
      </c>
      <c r="AQ76" s="10">
        <v>2810460</v>
      </c>
      <c r="AR76" s="10">
        <v>2825929</v>
      </c>
      <c r="AS76" s="10">
        <v>2842132</v>
      </c>
      <c r="AT76" s="10">
        <v>2858709</v>
      </c>
      <c r="AU76" s="10">
        <v>2875136</v>
      </c>
      <c r="AV76" s="10">
        <v>2891021</v>
      </c>
      <c r="AW76" s="10">
        <v>2906238</v>
      </c>
      <c r="AX76" s="10">
        <v>2920853</v>
      </c>
      <c r="AY76" s="10">
        <v>2934855</v>
      </c>
      <c r="AZ76" s="10">
        <v>2948279</v>
      </c>
    </row>
    <row r="77" spans="2:52" x14ac:dyDescent="0.45">
      <c r="B77" t="s">
        <v>134</v>
      </c>
      <c r="C77" s="10">
        <v>11301394</v>
      </c>
      <c r="D77" s="10">
        <v>11713048</v>
      </c>
      <c r="E77" s="10">
        <v>12146068</v>
      </c>
      <c r="F77" s="10">
        <v>12600797</v>
      </c>
      <c r="G77" s="10">
        <v>13077341</v>
      </c>
      <c r="H77" s="10">
        <v>13575907</v>
      </c>
      <c r="I77" s="10">
        <v>14096263</v>
      </c>
      <c r="J77" s="10">
        <v>14638890</v>
      </c>
      <c r="K77" s="10">
        <v>15205374</v>
      </c>
      <c r="L77" s="10">
        <v>15797776</v>
      </c>
      <c r="M77" s="10">
        <v>16417197</v>
      </c>
      <c r="N77" s="10">
        <v>17063876</v>
      </c>
      <c r="O77" s="10">
        <v>17736326</v>
      </c>
      <c r="P77" s="10">
        <v>18431760</v>
      </c>
      <c r="Q77" s="10">
        <v>19146400</v>
      </c>
      <c r="R77" s="10">
        <v>19877084</v>
      </c>
      <c r="S77" s="10">
        <v>20622560</v>
      </c>
      <c r="T77" s="10">
        <v>21382112</v>
      </c>
      <c r="U77" s="10">
        <v>22153676</v>
      </c>
      <c r="V77" s="10">
        <v>22935092</v>
      </c>
      <c r="W77" s="10">
        <v>23724580</v>
      </c>
      <c r="X77" s="10">
        <v>24521704</v>
      </c>
      <c r="Y77" s="10">
        <v>25326078</v>
      </c>
      <c r="Z77" s="10">
        <v>26136216</v>
      </c>
      <c r="AA77" s="10">
        <v>26950512</v>
      </c>
      <c r="AB77" s="10">
        <v>27768296</v>
      </c>
      <c r="AC77" s="10">
        <v>28589452</v>
      </c>
      <c r="AD77" s="10">
        <v>29415660</v>
      </c>
      <c r="AE77" s="10">
        <v>30250488</v>
      </c>
      <c r="AF77" s="10">
        <v>31098756</v>
      </c>
      <c r="AG77" s="10">
        <v>31964556</v>
      </c>
      <c r="AH77" s="10">
        <v>32848564</v>
      </c>
      <c r="AI77" s="10">
        <v>33751740</v>
      </c>
      <c r="AJ77" s="10">
        <v>34678780</v>
      </c>
      <c r="AK77" s="10">
        <v>35635272</v>
      </c>
      <c r="AL77" s="10">
        <v>36624896</v>
      </c>
      <c r="AM77" s="10">
        <v>37649032</v>
      </c>
      <c r="AN77" s="10">
        <v>38705932</v>
      </c>
      <c r="AO77" s="10">
        <v>39791980</v>
      </c>
      <c r="AP77" s="10">
        <v>40901792</v>
      </c>
      <c r="AQ77" s="10">
        <v>42030676</v>
      </c>
      <c r="AR77" s="10">
        <v>43178256</v>
      </c>
      <c r="AS77" s="10">
        <v>44343408</v>
      </c>
      <c r="AT77" s="10">
        <v>45519888</v>
      </c>
      <c r="AU77" s="10">
        <v>46699980</v>
      </c>
      <c r="AV77" s="10">
        <v>47878336</v>
      </c>
      <c r="AW77" s="10">
        <v>49051688</v>
      </c>
      <c r="AX77" s="10">
        <v>50221472</v>
      </c>
      <c r="AY77" s="10">
        <v>51393008</v>
      </c>
      <c r="AZ77" s="10">
        <v>52573972</v>
      </c>
    </row>
    <row r="78" spans="2:52" x14ac:dyDescent="0.45">
      <c r="B78" t="s">
        <v>219</v>
      </c>
      <c r="C78" s="10">
        <v>51151</v>
      </c>
      <c r="D78" s="10">
        <v>51980</v>
      </c>
      <c r="E78" s="10">
        <v>52780</v>
      </c>
      <c r="F78" s="10">
        <v>53553</v>
      </c>
      <c r="G78" s="10">
        <v>54333</v>
      </c>
      <c r="H78" s="10">
        <v>55114</v>
      </c>
      <c r="I78" s="10">
        <v>55924</v>
      </c>
      <c r="J78" s="10">
        <v>56764</v>
      </c>
      <c r="K78" s="10">
        <v>57618</v>
      </c>
      <c r="L78" s="10">
        <v>58461</v>
      </c>
      <c r="M78" s="10">
        <v>59301</v>
      </c>
      <c r="N78" s="10">
        <v>60104</v>
      </c>
      <c r="O78" s="10">
        <v>60887</v>
      </c>
      <c r="P78" s="10">
        <v>61733</v>
      </c>
      <c r="Q78" s="10">
        <v>62744</v>
      </c>
      <c r="R78" s="10">
        <v>63986</v>
      </c>
      <c r="S78" s="10">
        <v>65505</v>
      </c>
      <c r="T78" s="10">
        <v>67248</v>
      </c>
      <c r="U78" s="10">
        <v>69089</v>
      </c>
      <c r="V78" s="10">
        <v>70853</v>
      </c>
      <c r="W78" s="10">
        <v>72400</v>
      </c>
      <c r="X78" s="10">
        <v>73692</v>
      </c>
      <c r="Y78" s="10">
        <v>74766</v>
      </c>
      <c r="Z78" s="10">
        <v>75716</v>
      </c>
      <c r="AA78" s="10">
        <v>76670</v>
      </c>
      <c r="AB78" s="10">
        <v>77723</v>
      </c>
      <c r="AC78" s="10">
        <v>78903</v>
      </c>
      <c r="AD78" s="10">
        <v>80187</v>
      </c>
      <c r="AE78" s="10">
        <v>81556</v>
      </c>
      <c r="AF78" s="10">
        <v>82972</v>
      </c>
      <c r="AG78" s="10">
        <v>84396</v>
      </c>
      <c r="AH78" s="10">
        <v>85849</v>
      </c>
      <c r="AI78" s="10">
        <v>87305</v>
      </c>
      <c r="AJ78" s="10">
        <v>88835</v>
      </c>
      <c r="AK78" s="10">
        <v>90499</v>
      </c>
      <c r="AL78" s="10">
        <v>92325</v>
      </c>
      <c r="AM78" s="10">
        <v>94343</v>
      </c>
      <c r="AN78" s="10">
        <v>96527</v>
      </c>
      <c r="AO78" s="10">
        <v>98761</v>
      </c>
      <c r="AP78" s="10">
        <v>100930</v>
      </c>
      <c r="AQ78" s="10">
        <v>102927</v>
      </c>
      <c r="AR78" s="10">
        <v>104728</v>
      </c>
      <c r="AS78" s="10">
        <v>106370</v>
      </c>
      <c r="AT78" s="10">
        <v>107890</v>
      </c>
      <c r="AU78" s="10">
        <v>109391</v>
      </c>
      <c r="AV78" s="10">
        <v>110930</v>
      </c>
      <c r="AW78" s="10">
        <v>112524</v>
      </c>
      <c r="AX78" s="10">
        <v>114158</v>
      </c>
      <c r="AY78" s="10">
        <v>115847</v>
      </c>
      <c r="AZ78" s="10">
        <v>117606</v>
      </c>
    </row>
    <row r="79" spans="2:52" x14ac:dyDescent="0.45">
      <c r="B79" t="s">
        <v>135</v>
      </c>
      <c r="C79" s="10">
        <v>1028926</v>
      </c>
      <c r="D79" s="10">
        <v>1052614</v>
      </c>
      <c r="E79" s="10">
        <v>1077095</v>
      </c>
      <c r="F79" s="10">
        <v>1102878</v>
      </c>
      <c r="G79" s="10">
        <v>1130635</v>
      </c>
      <c r="H79" s="10">
        <v>1160792</v>
      </c>
      <c r="I79" s="10">
        <v>1193521</v>
      </c>
      <c r="J79" s="10">
        <v>1228536</v>
      </c>
      <c r="K79" s="10">
        <v>1265202</v>
      </c>
      <c r="L79" s="10">
        <v>1302667</v>
      </c>
      <c r="M79" s="10">
        <v>1340255</v>
      </c>
      <c r="N79" s="10">
        <v>1377799</v>
      </c>
      <c r="O79" s="10">
        <v>1415367</v>
      </c>
      <c r="P79" s="10">
        <v>1452728</v>
      </c>
      <c r="Q79" s="10">
        <v>1489691</v>
      </c>
      <c r="R79" s="10">
        <v>1526131</v>
      </c>
      <c r="S79" s="10">
        <v>1561692</v>
      </c>
      <c r="T79" s="10">
        <v>1596394</v>
      </c>
      <c r="U79" s="10">
        <v>1630996</v>
      </c>
      <c r="V79" s="10">
        <v>1666563</v>
      </c>
      <c r="W79" s="10">
        <v>1703747</v>
      </c>
      <c r="X79" s="10">
        <v>1742539</v>
      </c>
      <c r="Y79" s="10">
        <v>1782285</v>
      </c>
      <c r="Z79" s="10">
        <v>1822236</v>
      </c>
      <c r="AA79" s="10">
        <v>1861324</v>
      </c>
      <c r="AB79" s="10">
        <v>1898598</v>
      </c>
      <c r="AC79" s="10">
        <v>1934291</v>
      </c>
      <c r="AD79" s="10">
        <v>1968044</v>
      </c>
      <c r="AE79" s="10">
        <v>1997516</v>
      </c>
      <c r="AF79" s="10">
        <v>2019731</v>
      </c>
      <c r="AG79" s="10">
        <v>2032804</v>
      </c>
      <c r="AH79" s="10">
        <v>2035740</v>
      </c>
      <c r="AI79" s="10">
        <v>2029829</v>
      </c>
      <c r="AJ79" s="10">
        <v>2018348</v>
      </c>
      <c r="AK79" s="10">
        <v>2005940</v>
      </c>
      <c r="AL79" s="10">
        <v>1996114</v>
      </c>
      <c r="AM79" s="10">
        <v>1989939</v>
      </c>
      <c r="AN79" s="10">
        <v>1986922</v>
      </c>
      <c r="AO79" s="10">
        <v>1987129</v>
      </c>
      <c r="AP79" s="10">
        <v>1990131</v>
      </c>
      <c r="AQ79" s="10">
        <v>1995581</v>
      </c>
      <c r="AR79" s="10">
        <v>2003787</v>
      </c>
      <c r="AS79" s="10">
        <v>2014990</v>
      </c>
      <c r="AT79" s="10">
        <v>2028519</v>
      </c>
      <c r="AU79" s="10">
        <v>2043437</v>
      </c>
      <c r="AV79" s="10">
        <v>2059021</v>
      </c>
      <c r="AW79" s="10">
        <v>2075001</v>
      </c>
      <c r="AX79" s="10">
        <v>2091412</v>
      </c>
      <c r="AY79" s="10">
        <v>2108132</v>
      </c>
      <c r="AZ79" s="10">
        <v>2125268</v>
      </c>
    </row>
    <row r="80" spans="2:52" x14ac:dyDescent="0.45">
      <c r="B80" t="s">
        <v>136</v>
      </c>
      <c r="C80" s="10">
        <v>6576305</v>
      </c>
      <c r="D80" s="10">
        <v>6757850</v>
      </c>
      <c r="E80" s="10">
        <v>6946620</v>
      </c>
      <c r="F80" s="10">
        <v>7142627</v>
      </c>
      <c r="G80" s="10">
        <v>7345780</v>
      </c>
      <c r="H80" s="10">
        <v>7556026</v>
      </c>
      <c r="I80" s="10">
        <v>7773449</v>
      </c>
      <c r="J80" s="10">
        <v>7998164</v>
      </c>
      <c r="K80" s="10">
        <v>8230218</v>
      </c>
      <c r="L80" s="10">
        <v>8469672</v>
      </c>
      <c r="M80" s="10">
        <v>8716553</v>
      </c>
      <c r="N80" s="10">
        <v>8971345</v>
      </c>
      <c r="O80" s="10">
        <v>9234129</v>
      </c>
      <c r="P80" s="10">
        <v>9504281</v>
      </c>
      <c r="Q80" s="10">
        <v>9780872</v>
      </c>
      <c r="R80" s="10">
        <v>10063495</v>
      </c>
      <c r="S80" s="10">
        <v>10352120</v>
      </c>
      <c r="T80" s="10">
        <v>10647754</v>
      </c>
      <c r="U80" s="10">
        <v>10952395</v>
      </c>
      <c r="V80" s="10">
        <v>11268658</v>
      </c>
      <c r="W80" s="10">
        <v>11598633</v>
      </c>
      <c r="X80" s="10">
        <v>11942819</v>
      </c>
      <c r="Y80" s="10">
        <v>12301336</v>
      </c>
      <c r="Z80" s="10">
        <v>12675460</v>
      </c>
      <c r="AA80" s="10">
        <v>13066543</v>
      </c>
      <c r="AB80" s="10">
        <v>13475400</v>
      </c>
      <c r="AC80" s="10">
        <v>13902688</v>
      </c>
      <c r="AD80" s="10">
        <v>14347854</v>
      </c>
      <c r="AE80" s="10">
        <v>14808791</v>
      </c>
      <c r="AF80" s="10">
        <v>15282521</v>
      </c>
      <c r="AG80" s="10">
        <v>15766806</v>
      </c>
      <c r="AH80" s="10">
        <v>16260932</v>
      </c>
      <c r="AI80" s="10">
        <v>16765117</v>
      </c>
      <c r="AJ80" s="10">
        <v>17279140</v>
      </c>
      <c r="AK80" s="10">
        <v>17802996</v>
      </c>
      <c r="AL80" s="10">
        <v>18336724</v>
      </c>
      <c r="AM80" s="10">
        <v>18880268</v>
      </c>
      <c r="AN80" s="10">
        <v>19433530</v>
      </c>
      <c r="AO80" s="10">
        <v>19996472</v>
      </c>
      <c r="AP80" s="10">
        <v>20569116</v>
      </c>
      <c r="AQ80" s="10">
        <v>21151640</v>
      </c>
      <c r="AR80" s="10">
        <v>21743968</v>
      </c>
      <c r="AS80" s="10">
        <v>22346640</v>
      </c>
      <c r="AT80" s="10">
        <v>22961252</v>
      </c>
      <c r="AU80" s="10">
        <v>23589888</v>
      </c>
      <c r="AV80" s="10">
        <v>24234088</v>
      </c>
      <c r="AW80" s="10">
        <v>24894380</v>
      </c>
      <c r="AX80" s="10">
        <v>25570540</v>
      </c>
      <c r="AY80" s="10">
        <v>26262368</v>
      </c>
      <c r="AZ80" s="10">
        <v>26969308</v>
      </c>
    </row>
    <row r="81" spans="2:52" x14ac:dyDescent="0.45">
      <c r="B81" t="s">
        <v>137</v>
      </c>
      <c r="C81" s="10">
        <v>4703782</v>
      </c>
      <c r="D81" s="10">
        <v>4829090</v>
      </c>
      <c r="E81" s="10">
        <v>4958549</v>
      </c>
      <c r="F81" s="10">
        <v>5093363</v>
      </c>
      <c r="G81" s="10">
        <v>5235073</v>
      </c>
      <c r="H81" s="10">
        <v>5384795</v>
      </c>
      <c r="I81" s="10">
        <v>5545651</v>
      </c>
      <c r="J81" s="10">
        <v>5717953</v>
      </c>
      <c r="K81" s="10">
        <v>5896865</v>
      </c>
      <c r="L81" s="10">
        <v>6075495</v>
      </c>
      <c r="M81" s="10">
        <v>6250440</v>
      </c>
      <c r="N81" s="10">
        <v>6412384</v>
      </c>
      <c r="O81" s="10">
        <v>6565985</v>
      </c>
      <c r="P81" s="10">
        <v>6737924</v>
      </c>
      <c r="Q81" s="10">
        <v>6964607</v>
      </c>
      <c r="R81" s="10">
        <v>7268267</v>
      </c>
      <c r="S81" s="10">
        <v>7666391</v>
      </c>
      <c r="T81" s="10">
        <v>8141146</v>
      </c>
      <c r="U81" s="10">
        <v>8636690</v>
      </c>
      <c r="V81" s="10">
        <v>9075572</v>
      </c>
      <c r="W81" s="10">
        <v>9404500</v>
      </c>
      <c r="X81" s="10">
        <v>9600355</v>
      </c>
      <c r="Y81" s="10">
        <v>9685973</v>
      </c>
      <c r="Z81" s="10">
        <v>9710331</v>
      </c>
      <c r="AA81" s="10">
        <v>9745690</v>
      </c>
      <c r="AB81" s="10">
        <v>9844415</v>
      </c>
      <c r="AC81" s="10">
        <v>10022789</v>
      </c>
      <c r="AD81" s="10">
        <v>10264906</v>
      </c>
      <c r="AE81" s="10">
        <v>10552338</v>
      </c>
      <c r="AF81" s="10">
        <v>10854322</v>
      </c>
      <c r="AG81" s="10">
        <v>11148758</v>
      </c>
      <c r="AH81" s="10">
        <v>11432000</v>
      </c>
      <c r="AI81" s="10">
        <v>11713664</v>
      </c>
      <c r="AJ81" s="10">
        <v>12000181</v>
      </c>
      <c r="AK81" s="10">
        <v>12301838</v>
      </c>
      <c r="AL81" s="10">
        <v>12625952</v>
      </c>
      <c r="AM81" s="10">
        <v>12973699</v>
      </c>
      <c r="AN81" s="10">
        <v>13341806</v>
      </c>
      <c r="AO81" s="10">
        <v>13727890</v>
      </c>
      <c r="AP81" s="10">
        <v>14128155</v>
      </c>
      <c r="AQ81" s="10">
        <v>14539612</v>
      </c>
      <c r="AR81" s="10">
        <v>14962112</v>
      </c>
      <c r="AS81" s="10">
        <v>15396005</v>
      </c>
      <c r="AT81" s="10">
        <v>15839269</v>
      </c>
      <c r="AU81" s="10">
        <v>16289540</v>
      </c>
      <c r="AV81" s="10">
        <v>16745303</v>
      </c>
      <c r="AW81" s="10">
        <v>17205288</v>
      </c>
      <c r="AX81" s="10">
        <v>17670260</v>
      </c>
      <c r="AY81" s="10">
        <v>18143316</v>
      </c>
      <c r="AZ81" s="10">
        <v>18628748</v>
      </c>
    </row>
    <row r="82" spans="2:52" x14ac:dyDescent="0.45">
      <c r="B82" t="s">
        <v>138</v>
      </c>
      <c r="C82" s="10">
        <v>10804131</v>
      </c>
      <c r="D82" s="10">
        <v>11062433</v>
      </c>
      <c r="E82" s="10">
        <v>11324277</v>
      </c>
      <c r="F82" s="10">
        <v>11592638</v>
      </c>
      <c r="G82" s="10">
        <v>11871104</v>
      </c>
      <c r="H82" s="10">
        <v>12162187</v>
      </c>
      <c r="I82" s="10">
        <v>12468689</v>
      </c>
      <c r="J82" s="10">
        <v>12790312</v>
      </c>
      <c r="K82" s="10">
        <v>13122839</v>
      </c>
      <c r="L82" s="10">
        <v>13460031</v>
      </c>
      <c r="M82" s="10">
        <v>13798085</v>
      </c>
      <c r="N82" s="10">
        <v>14134058</v>
      </c>
      <c r="O82" s="10">
        <v>14471211</v>
      </c>
      <c r="P82" s="10">
        <v>14819424</v>
      </c>
      <c r="Q82" s="10">
        <v>15192298</v>
      </c>
      <c r="R82" s="10">
        <v>15598927</v>
      </c>
      <c r="S82" s="10">
        <v>16043731</v>
      </c>
      <c r="T82" s="10">
        <v>16522000</v>
      </c>
      <c r="U82" s="10">
        <v>17022464</v>
      </c>
      <c r="V82" s="10">
        <v>17528960</v>
      </c>
      <c r="W82" s="10">
        <v>18029824</v>
      </c>
      <c r="X82" s="10">
        <v>18519936</v>
      </c>
      <c r="Y82" s="10">
        <v>19002656</v>
      </c>
      <c r="Z82" s="10">
        <v>19484898</v>
      </c>
      <c r="AA82" s="10">
        <v>19977500</v>
      </c>
      <c r="AB82" s="10">
        <v>20487608</v>
      </c>
      <c r="AC82" s="10">
        <v>21017612</v>
      </c>
      <c r="AD82" s="10">
        <v>21562792</v>
      </c>
      <c r="AE82" s="10">
        <v>22114654</v>
      </c>
      <c r="AF82" s="10">
        <v>22661298</v>
      </c>
      <c r="AG82" s="10">
        <v>23194256</v>
      </c>
      <c r="AH82" s="10">
        <v>23709120</v>
      </c>
      <c r="AI82" s="10">
        <v>24208392</v>
      </c>
      <c r="AJ82" s="10">
        <v>24698820</v>
      </c>
      <c r="AK82" s="10">
        <v>25190652</v>
      </c>
      <c r="AL82" s="10">
        <v>25690612</v>
      </c>
      <c r="AM82" s="10">
        <v>26201960</v>
      </c>
      <c r="AN82" s="10">
        <v>26720370</v>
      </c>
      <c r="AO82" s="10">
        <v>27236006</v>
      </c>
      <c r="AP82" s="10">
        <v>27735040</v>
      </c>
      <c r="AQ82" s="10">
        <v>28208036</v>
      </c>
      <c r="AR82" s="10">
        <v>28650956</v>
      </c>
      <c r="AS82" s="10">
        <v>29068160</v>
      </c>
      <c r="AT82" s="10">
        <v>29468872</v>
      </c>
      <c r="AU82" s="10">
        <v>29866560</v>
      </c>
      <c r="AV82" s="10">
        <v>30270962</v>
      </c>
      <c r="AW82" s="10">
        <v>30684804</v>
      </c>
      <c r="AX82" s="10">
        <v>31105028</v>
      </c>
      <c r="AY82" s="10">
        <v>31528584</v>
      </c>
      <c r="AZ82" s="10">
        <v>31949776</v>
      </c>
    </row>
    <row r="83" spans="2:52" x14ac:dyDescent="0.45">
      <c r="B83" t="s">
        <v>220</v>
      </c>
      <c r="C83" s="10">
        <v>5949045</v>
      </c>
      <c r="D83" s="10">
        <v>6044530</v>
      </c>
      <c r="E83" s="10">
        <v>6147458</v>
      </c>
      <c r="F83" s="10">
        <v>6256187</v>
      </c>
      <c r="G83" s="10">
        <v>6368348</v>
      </c>
      <c r="H83" s="10">
        <v>6482278</v>
      </c>
      <c r="I83" s="10">
        <v>6596728</v>
      </c>
      <c r="J83" s="10">
        <v>6712267</v>
      </c>
      <c r="K83" s="10">
        <v>6831085</v>
      </c>
      <c r="L83" s="10">
        <v>6956402</v>
      </c>
      <c r="M83" s="10">
        <v>7090126</v>
      </c>
      <c r="N83" s="10">
        <v>7234728</v>
      </c>
      <c r="O83" s="10">
        <v>7388668</v>
      </c>
      <c r="P83" s="10">
        <v>7545166</v>
      </c>
      <c r="Q83" s="10">
        <v>7694855</v>
      </c>
      <c r="R83" s="10">
        <v>7831889</v>
      </c>
      <c r="S83" s="10">
        <v>7952865</v>
      </c>
      <c r="T83" s="10">
        <v>8062219</v>
      </c>
      <c r="U83" s="10">
        <v>8171522</v>
      </c>
      <c r="V83" s="10">
        <v>8296915</v>
      </c>
      <c r="W83" s="10">
        <v>8449913</v>
      </c>
      <c r="X83" s="10">
        <v>8635527</v>
      </c>
      <c r="Y83" s="10">
        <v>8850334</v>
      </c>
      <c r="Z83" s="10">
        <v>9087176</v>
      </c>
      <c r="AA83" s="10">
        <v>9334880</v>
      </c>
      <c r="AB83" s="10">
        <v>9585653</v>
      </c>
      <c r="AC83" s="10">
        <v>9837571</v>
      </c>
      <c r="AD83" s="10">
        <v>10094368</v>
      </c>
      <c r="AE83" s="10">
        <v>10360561</v>
      </c>
      <c r="AF83" s="10">
        <v>10642936</v>
      </c>
      <c r="AG83" s="10">
        <v>10946445</v>
      </c>
      <c r="AH83" s="10">
        <v>11271600</v>
      </c>
      <c r="AI83" s="10">
        <v>11616887</v>
      </c>
      <c r="AJ83" s="10">
        <v>11982695</v>
      </c>
      <c r="AK83" s="10">
        <v>12369070</v>
      </c>
      <c r="AL83" s="10">
        <v>12775516</v>
      </c>
      <c r="AM83" s="10">
        <v>13203378</v>
      </c>
      <c r="AN83" s="10">
        <v>13651464</v>
      </c>
      <c r="AO83" s="10">
        <v>14113577</v>
      </c>
      <c r="AP83" s="10">
        <v>14581429</v>
      </c>
      <c r="AQ83" s="10">
        <v>15049353</v>
      </c>
      <c r="AR83" s="10">
        <v>15514591</v>
      </c>
      <c r="AS83" s="10">
        <v>15979499</v>
      </c>
      <c r="AT83" s="10">
        <v>16449864</v>
      </c>
      <c r="AU83" s="10">
        <v>16934220</v>
      </c>
      <c r="AV83" s="10">
        <v>17438778</v>
      </c>
      <c r="AW83" s="10">
        <v>17965428</v>
      </c>
      <c r="AX83" s="10">
        <v>18512394</v>
      </c>
      <c r="AY83" s="10">
        <v>19077690</v>
      </c>
      <c r="AZ83" s="10">
        <v>19658032</v>
      </c>
    </row>
    <row r="84" spans="2:52" x14ac:dyDescent="0.45">
      <c r="B84" t="s">
        <v>139</v>
      </c>
      <c r="C84" s="10">
        <v>1146780</v>
      </c>
      <c r="D84" s="10">
        <v>1181674</v>
      </c>
      <c r="E84" s="10">
        <v>1217446</v>
      </c>
      <c r="F84" s="10">
        <v>1254157</v>
      </c>
      <c r="G84" s="10">
        <v>1291855</v>
      </c>
      <c r="H84" s="10">
        <v>1330598</v>
      </c>
      <c r="I84" s="10">
        <v>1370357</v>
      </c>
      <c r="J84" s="10">
        <v>1411140</v>
      </c>
      <c r="K84" s="10">
        <v>1453032</v>
      </c>
      <c r="L84" s="10">
        <v>1496185</v>
      </c>
      <c r="M84" s="10">
        <v>1540640</v>
      </c>
      <c r="N84" s="10">
        <v>1586493</v>
      </c>
      <c r="O84" s="10">
        <v>1633652</v>
      </c>
      <c r="P84" s="10">
        <v>1681863</v>
      </c>
      <c r="Q84" s="10">
        <v>1730738</v>
      </c>
      <c r="R84" s="10">
        <v>1780030</v>
      </c>
      <c r="S84" s="10">
        <v>1829675</v>
      </c>
      <c r="T84" s="10">
        <v>1879763</v>
      </c>
      <c r="U84" s="10">
        <v>1930433</v>
      </c>
      <c r="V84" s="10">
        <v>1981899</v>
      </c>
      <c r="W84" s="10">
        <v>2034346</v>
      </c>
      <c r="X84" s="10">
        <v>2087912</v>
      </c>
      <c r="Y84" s="10">
        <v>2142645</v>
      </c>
      <c r="Z84" s="10">
        <v>2198532</v>
      </c>
      <c r="AA84" s="10">
        <v>2255516</v>
      </c>
      <c r="AB84" s="10">
        <v>2313630</v>
      </c>
      <c r="AC84" s="10">
        <v>2372901</v>
      </c>
      <c r="AD84" s="10">
        <v>2433563</v>
      </c>
      <c r="AE84" s="10">
        <v>2496216</v>
      </c>
      <c r="AF84" s="10">
        <v>2561585</v>
      </c>
      <c r="AG84" s="10">
        <v>2630219</v>
      </c>
      <c r="AH84" s="10">
        <v>2702400</v>
      </c>
      <c r="AI84" s="10">
        <v>2778099</v>
      </c>
      <c r="AJ84" s="10">
        <v>2857148</v>
      </c>
      <c r="AK84" s="10">
        <v>2939247</v>
      </c>
      <c r="AL84" s="10">
        <v>3024194</v>
      </c>
      <c r="AM84" s="10">
        <v>3111906</v>
      </c>
      <c r="AN84" s="10">
        <v>3202517</v>
      </c>
      <c r="AO84" s="10">
        <v>3296238</v>
      </c>
      <c r="AP84" s="10">
        <v>3393409</v>
      </c>
      <c r="AQ84" s="10">
        <v>3494195</v>
      </c>
      <c r="AR84" s="10">
        <v>3598648</v>
      </c>
      <c r="AS84" s="10">
        <v>3706554</v>
      </c>
      <c r="AT84" s="10">
        <v>3817494</v>
      </c>
      <c r="AU84" s="10">
        <v>3930896</v>
      </c>
      <c r="AV84" s="10">
        <v>4046301</v>
      </c>
      <c r="AW84" s="10">
        <v>4163534</v>
      </c>
      <c r="AX84" s="10">
        <v>4282574</v>
      </c>
      <c r="AY84" s="10">
        <v>4403319</v>
      </c>
      <c r="AZ84" s="10">
        <v>4525696</v>
      </c>
    </row>
    <row r="85" spans="2:52" x14ac:dyDescent="0.45">
      <c r="B85" t="s">
        <v>140</v>
      </c>
      <c r="C85" s="10">
        <v>51493564</v>
      </c>
      <c r="D85" s="10">
        <v>53076372</v>
      </c>
      <c r="E85" s="10">
        <v>54689944</v>
      </c>
      <c r="F85" s="10">
        <v>56324304</v>
      </c>
      <c r="G85" s="10">
        <v>57966804</v>
      </c>
      <c r="H85" s="10">
        <v>59607952</v>
      </c>
      <c r="I85" s="10">
        <v>61242192</v>
      </c>
      <c r="J85" s="10">
        <v>62869904</v>
      </c>
      <c r="K85" s="10">
        <v>64494868</v>
      </c>
      <c r="L85" s="10">
        <v>66123896</v>
      </c>
      <c r="M85" s="10">
        <v>67761376</v>
      </c>
      <c r="N85" s="10">
        <v>69407624</v>
      </c>
      <c r="O85" s="10">
        <v>71058656</v>
      </c>
      <c r="P85" s="10">
        <v>72709296</v>
      </c>
      <c r="Q85" s="10">
        <v>74352632</v>
      </c>
      <c r="R85" s="10">
        <v>75983488</v>
      </c>
      <c r="S85" s="10">
        <v>77599096</v>
      </c>
      <c r="T85" s="10">
        <v>79200080</v>
      </c>
      <c r="U85" s="10">
        <v>80788720</v>
      </c>
      <c r="V85" s="10">
        <v>82368928</v>
      </c>
      <c r="W85" s="10">
        <v>83943136</v>
      </c>
      <c r="X85" s="10">
        <v>85512624</v>
      </c>
      <c r="Y85" s="10">
        <v>87075136</v>
      </c>
      <c r="Z85" s="10">
        <v>88625440</v>
      </c>
      <c r="AA85" s="10">
        <v>90156400</v>
      </c>
      <c r="AB85" s="10">
        <v>91663288</v>
      </c>
      <c r="AC85" s="10">
        <v>93147040</v>
      </c>
      <c r="AD85" s="10">
        <v>94611000</v>
      </c>
      <c r="AE85" s="10">
        <v>96056320</v>
      </c>
      <c r="AF85" s="10">
        <v>97484832</v>
      </c>
      <c r="AG85" s="10">
        <v>98899848</v>
      </c>
      <c r="AH85" s="10">
        <v>100298152</v>
      </c>
      <c r="AI85" s="10">
        <v>101684760</v>
      </c>
      <c r="AJ85" s="10">
        <v>103081024</v>
      </c>
      <c r="AK85" s="10">
        <v>104514928</v>
      </c>
      <c r="AL85" s="10">
        <v>106005200</v>
      </c>
      <c r="AM85" s="10">
        <v>107560152</v>
      </c>
      <c r="AN85" s="10">
        <v>109170504</v>
      </c>
      <c r="AO85" s="10">
        <v>110815272</v>
      </c>
      <c r="AP85" s="10">
        <v>112463888</v>
      </c>
      <c r="AQ85" s="10">
        <v>114092960</v>
      </c>
      <c r="AR85" s="10">
        <v>115695472</v>
      </c>
      <c r="AS85" s="10">
        <v>117274152</v>
      </c>
      <c r="AT85" s="10">
        <v>118827160</v>
      </c>
      <c r="AU85" s="10">
        <v>120355128</v>
      </c>
      <c r="AV85" s="10">
        <v>121858256</v>
      </c>
      <c r="AW85" s="10">
        <v>123333376</v>
      </c>
      <c r="AX85" s="10">
        <v>124777328</v>
      </c>
      <c r="AY85" s="10">
        <v>126190784</v>
      </c>
      <c r="AZ85" s="10">
        <v>127575528</v>
      </c>
    </row>
    <row r="86" spans="2:52" x14ac:dyDescent="0.45">
      <c r="B86" t="s">
        <v>221</v>
      </c>
      <c r="C86" s="10">
        <v>16004731</v>
      </c>
      <c r="D86" s="10">
        <v>16350881</v>
      </c>
      <c r="E86" s="10">
        <v>16696891</v>
      </c>
      <c r="F86" s="10">
        <v>17048518</v>
      </c>
      <c r="G86" s="10">
        <v>17413144</v>
      </c>
      <c r="H86" s="10">
        <v>17796164</v>
      </c>
      <c r="I86" s="10">
        <v>18198844</v>
      </c>
      <c r="J86" s="10">
        <v>18620092</v>
      </c>
      <c r="K86" s="10">
        <v>19059770</v>
      </c>
      <c r="L86" s="10">
        <v>19516942</v>
      </c>
      <c r="M86" s="10">
        <v>19990012</v>
      </c>
      <c r="N86" s="10">
        <v>20479716</v>
      </c>
      <c r="O86" s="10">
        <v>20984008</v>
      </c>
      <c r="P86" s="10">
        <v>21495086</v>
      </c>
      <c r="Q86" s="10">
        <v>22002644</v>
      </c>
      <c r="R86" s="10">
        <v>22499110</v>
      </c>
      <c r="S86" s="10">
        <v>22980336</v>
      </c>
      <c r="T86" s="10">
        <v>23447252</v>
      </c>
      <c r="U86" s="10">
        <v>23903592</v>
      </c>
      <c r="V86" s="10">
        <v>24355620</v>
      </c>
      <c r="W86" s="10">
        <v>24807462</v>
      </c>
      <c r="X86" s="10">
        <v>25260404</v>
      </c>
      <c r="Y86" s="10">
        <v>25711406</v>
      </c>
      <c r="Z86" s="10">
        <v>26155204</v>
      </c>
      <c r="AA86" s="10">
        <v>26584478</v>
      </c>
      <c r="AB86" s="10">
        <v>26994250</v>
      </c>
      <c r="AC86" s="10">
        <v>27383472</v>
      </c>
      <c r="AD86" s="10">
        <v>27754572</v>
      </c>
      <c r="AE86" s="10">
        <v>28110444</v>
      </c>
      <c r="AF86" s="10">
        <v>28455508</v>
      </c>
      <c r="AG86" s="10">
        <v>28793680</v>
      </c>
      <c r="AH86" s="10">
        <v>29126330</v>
      </c>
      <c r="AI86" s="10">
        <v>29454768</v>
      </c>
      <c r="AJ86" s="10">
        <v>29782884</v>
      </c>
      <c r="AK86" s="10">
        <v>30115214</v>
      </c>
      <c r="AL86" s="10">
        <v>30455560</v>
      </c>
      <c r="AM86" s="10">
        <v>30804684</v>
      </c>
      <c r="AN86" s="10">
        <v>31163672</v>
      </c>
      <c r="AO86" s="10">
        <v>31536812</v>
      </c>
      <c r="AP86" s="10">
        <v>31929088</v>
      </c>
      <c r="AQ86" s="10">
        <v>32343388</v>
      </c>
      <c r="AR86" s="10">
        <v>32781850</v>
      </c>
      <c r="AS86" s="10">
        <v>33241898</v>
      </c>
      <c r="AT86" s="10">
        <v>33715692</v>
      </c>
      <c r="AU86" s="10">
        <v>34192348</v>
      </c>
      <c r="AV86" s="10">
        <v>34663604</v>
      </c>
      <c r="AW86" s="10">
        <v>35126296</v>
      </c>
      <c r="AX86" s="10">
        <v>35581296</v>
      </c>
      <c r="AY86" s="10">
        <v>36029136</v>
      </c>
      <c r="AZ86" s="10">
        <v>36471768</v>
      </c>
    </row>
    <row r="87" spans="2:52" x14ac:dyDescent="0.45">
      <c r="B87" t="s">
        <v>141</v>
      </c>
      <c r="C87" s="10">
        <v>12074626</v>
      </c>
      <c r="D87" s="10">
        <v>12323982</v>
      </c>
      <c r="E87" s="10">
        <v>12583140</v>
      </c>
      <c r="F87" s="10">
        <v>12852206</v>
      </c>
      <c r="G87" s="10">
        <v>13131260</v>
      </c>
      <c r="H87" s="10">
        <v>13420369</v>
      </c>
      <c r="I87" s="10">
        <v>13719471</v>
      </c>
      <c r="J87" s="10">
        <v>14028536</v>
      </c>
      <c r="K87" s="10">
        <v>14347641</v>
      </c>
      <c r="L87" s="10">
        <v>14676929</v>
      </c>
      <c r="M87" s="10">
        <v>15016402</v>
      </c>
      <c r="N87" s="10">
        <v>15367230</v>
      </c>
      <c r="O87" s="10">
        <v>15729431</v>
      </c>
      <c r="P87" s="10">
        <v>16100617</v>
      </c>
      <c r="Q87" s="10">
        <v>16477473</v>
      </c>
      <c r="R87" s="10">
        <v>16858310</v>
      </c>
      <c r="S87" s="10">
        <v>17239672</v>
      </c>
      <c r="T87" s="10">
        <v>17623692</v>
      </c>
      <c r="U87" s="10">
        <v>18020752</v>
      </c>
      <c r="V87" s="10">
        <v>18445028</v>
      </c>
      <c r="W87" s="10">
        <v>18905478</v>
      </c>
      <c r="X87" s="10">
        <v>19405504</v>
      </c>
      <c r="Y87" s="10">
        <v>19938320</v>
      </c>
      <c r="Z87" s="10">
        <v>20489976</v>
      </c>
      <c r="AA87" s="10">
        <v>21040904</v>
      </c>
      <c r="AB87" s="10">
        <v>21576072</v>
      </c>
      <c r="AC87" s="10">
        <v>22090352</v>
      </c>
      <c r="AD87" s="10">
        <v>22584776</v>
      </c>
      <c r="AE87" s="10">
        <v>23057884</v>
      </c>
      <c r="AF87" s="10">
        <v>23509964</v>
      </c>
      <c r="AG87" s="10">
        <v>23941110</v>
      </c>
      <c r="AH87" s="10">
        <v>24347106</v>
      </c>
      <c r="AI87" s="10">
        <v>24725628</v>
      </c>
      <c r="AJ87" s="10">
        <v>25080872</v>
      </c>
      <c r="AK87" s="10">
        <v>25419344</v>
      </c>
      <c r="AL87" s="10">
        <v>25744500</v>
      </c>
      <c r="AM87" s="10">
        <v>26066692</v>
      </c>
      <c r="AN87" s="10">
        <v>26382580</v>
      </c>
      <c r="AO87" s="10">
        <v>26666576</v>
      </c>
      <c r="AP87" s="10">
        <v>26883536</v>
      </c>
      <c r="AQ87" s="10">
        <v>27013212</v>
      </c>
      <c r="AR87" s="10">
        <v>27041436</v>
      </c>
      <c r="AS87" s="10">
        <v>26989862</v>
      </c>
      <c r="AT87" s="10">
        <v>26917906</v>
      </c>
      <c r="AU87" s="10">
        <v>26906926</v>
      </c>
      <c r="AV87" s="10">
        <v>27015032</v>
      </c>
      <c r="AW87" s="10">
        <v>27261132</v>
      </c>
      <c r="AX87" s="10">
        <v>27627124</v>
      </c>
      <c r="AY87" s="10">
        <v>28087872</v>
      </c>
      <c r="AZ87" s="10">
        <v>28608710</v>
      </c>
    </row>
    <row r="88" spans="2:52" x14ac:dyDescent="0.45">
      <c r="B88" t="s">
        <v>142</v>
      </c>
      <c r="C88" s="10">
        <v>2406513</v>
      </c>
      <c r="D88" s="10">
        <v>2481341</v>
      </c>
      <c r="E88" s="10">
        <v>2558699</v>
      </c>
      <c r="F88" s="10">
        <v>2638699</v>
      </c>
      <c r="G88" s="10">
        <v>2721415</v>
      </c>
      <c r="H88" s="10">
        <v>2806857</v>
      </c>
      <c r="I88" s="10">
        <v>2894972</v>
      </c>
      <c r="J88" s="10">
        <v>2985489</v>
      </c>
      <c r="K88" s="10">
        <v>3077866</v>
      </c>
      <c r="L88" s="10">
        <v>3171408</v>
      </c>
      <c r="M88" s="10">
        <v>3265519</v>
      </c>
      <c r="N88" s="10">
        <v>3360140</v>
      </c>
      <c r="O88" s="10">
        <v>3455123</v>
      </c>
      <c r="P88" s="10">
        <v>3549711</v>
      </c>
      <c r="Q88" s="10">
        <v>3642976</v>
      </c>
      <c r="R88" s="10">
        <v>3734341</v>
      </c>
      <c r="S88" s="10">
        <v>3823130</v>
      </c>
      <c r="T88" s="10">
        <v>3909671</v>
      </c>
      <c r="U88" s="10">
        <v>3995533</v>
      </c>
      <c r="V88" s="10">
        <v>4082958</v>
      </c>
      <c r="W88" s="10">
        <v>4173434</v>
      </c>
      <c r="X88" s="10">
        <v>4267568</v>
      </c>
      <c r="Y88" s="10">
        <v>4364512</v>
      </c>
      <c r="Z88" s="10">
        <v>4462497</v>
      </c>
      <c r="AA88" s="10">
        <v>4559006</v>
      </c>
      <c r="AB88" s="10">
        <v>4652185</v>
      </c>
      <c r="AC88" s="10">
        <v>4741578</v>
      </c>
      <c r="AD88" s="10">
        <v>4827661</v>
      </c>
      <c r="AE88" s="10">
        <v>4910647</v>
      </c>
      <c r="AF88" s="10">
        <v>4991040</v>
      </c>
      <c r="AG88" s="10">
        <v>5069302</v>
      </c>
      <c r="AH88" s="10">
        <v>5145366</v>
      </c>
      <c r="AI88" s="10">
        <v>5219328</v>
      </c>
      <c r="AJ88" s="10">
        <v>5292118</v>
      </c>
      <c r="AK88" s="10">
        <v>5364935</v>
      </c>
      <c r="AL88" s="10">
        <v>5438690</v>
      </c>
      <c r="AM88" s="10">
        <v>5513763</v>
      </c>
      <c r="AN88" s="10">
        <v>5590055</v>
      </c>
      <c r="AO88" s="10">
        <v>5667432</v>
      </c>
      <c r="AP88" s="10">
        <v>5745526</v>
      </c>
      <c r="AQ88" s="10">
        <v>5824065</v>
      </c>
      <c r="AR88" s="10">
        <v>5903039</v>
      </c>
      <c r="AS88" s="10">
        <v>5982526</v>
      </c>
      <c r="AT88" s="10">
        <v>6062454</v>
      </c>
      <c r="AU88" s="10">
        <v>6142733</v>
      </c>
      <c r="AV88" s="10">
        <v>6223240</v>
      </c>
      <c r="AW88" s="10">
        <v>6303974</v>
      </c>
      <c r="AX88" s="10">
        <v>6384855</v>
      </c>
      <c r="AY88" s="10">
        <v>6465513</v>
      </c>
      <c r="AZ88" s="10">
        <v>6545502</v>
      </c>
    </row>
    <row r="89" spans="2:52" x14ac:dyDescent="0.45">
      <c r="B89" t="s">
        <v>143</v>
      </c>
      <c r="C89" s="10">
        <v>4510644</v>
      </c>
      <c r="D89" s="10">
        <v>4637988</v>
      </c>
      <c r="E89" s="10">
        <v>4768227</v>
      </c>
      <c r="F89" s="10">
        <v>4902151</v>
      </c>
      <c r="G89" s="10">
        <v>5040798</v>
      </c>
      <c r="H89" s="10">
        <v>5184941</v>
      </c>
      <c r="I89" s="10">
        <v>5335085</v>
      </c>
      <c r="J89" s="10">
        <v>5491153</v>
      </c>
      <c r="K89" s="10">
        <v>5652652</v>
      </c>
      <c r="L89" s="10">
        <v>5818763</v>
      </c>
      <c r="M89" s="10">
        <v>5989004</v>
      </c>
      <c r="N89" s="10">
        <v>6163705</v>
      </c>
      <c r="O89" s="10">
        <v>6343523</v>
      </c>
      <c r="P89" s="10">
        <v>6528641</v>
      </c>
      <c r="Q89" s="10">
        <v>6719309</v>
      </c>
      <c r="R89" s="10">
        <v>6915997</v>
      </c>
      <c r="S89" s="10">
        <v>7118883</v>
      </c>
      <c r="T89" s="10">
        <v>7328943</v>
      </c>
      <c r="U89" s="10">
        <v>7548433</v>
      </c>
      <c r="V89" s="10">
        <v>7780245</v>
      </c>
      <c r="W89" s="10">
        <v>8026591</v>
      </c>
      <c r="X89" s="10">
        <v>8288735</v>
      </c>
      <c r="Y89" s="10">
        <v>8566770</v>
      </c>
      <c r="Z89" s="10">
        <v>8860287</v>
      </c>
      <c r="AA89" s="10">
        <v>9168312</v>
      </c>
      <c r="AB89" s="10">
        <v>9490288</v>
      </c>
      <c r="AC89" s="10">
        <v>9826598</v>
      </c>
      <c r="AD89" s="10">
        <v>10178201</v>
      </c>
      <c r="AE89" s="10">
        <v>10545716</v>
      </c>
      <c r="AF89" s="10">
        <v>10929918</v>
      </c>
      <c r="AG89" s="10">
        <v>11331557</v>
      </c>
      <c r="AH89" s="10">
        <v>11751365</v>
      </c>
      <c r="AI89" s="10">
        <v>12189983</v>
      </c>
      <c r="AJ89" s="10">
        <v>12647984</v>
      </c>
      <c r="AK89" s="10">
        <v>13125916</v>
      </c>
      <c r="AL89" s="10">
        <v>13624467</v>
      </c>
      <c r="AM89" s="10">
        <v>14143971</v>
      </c>
      <c r="AN89" s="10">
        <v>14685399</v>
      </c>
      <c r="AO89" s="10">
        <v>15250908</v>
      </c>
      <c r="AP89" s="10">
        <v>15843133</v>
      </c>
      <c r="AQ89" s="10">
        <v>16464025</v>
      </c>
      <c r="AR89" s="10">
        <v>17114760</v>
      </c>
      <c r="AS89" s="10">
        <v>17795192</v>
      </c>
      <c r="AT89" s="10">
        <v>18504256</v>
      </c>
      <c r="AU89" s="10">
        <v>19240156</v>
      </c>
      <c r="AV89" s="10">
        <v>20001664</v>
      </c>
      <c r="AW89" s="10">
        <v>20788838</v>
      </c>
      <c r="AX89" s="10">
        <v>21602472</v>
      </c>
      <c r="AY89" s="10">
        <v>22442948</v>
      </c>
      <c r="AZ89" s="10">
        <v>23310716</v>
      </c>
    </row>
    <row r="90" spans="2:52" x14ac:dyDescent="0.45">
      <c r="B90" t="s">
        <v>144</v>
      </c>
      <c r="C90" s="10">
        <v>55982144</v>
      </c>
      <c r="D90" s="10">
        <v>57296984</v>
      </c>
      <c r="E90" s="10">
        <v>58665808</v>
      </c>
      <c r="F90" s="10">
        <v>60114624</v>
      </c>
      <c r="G90" s="10">
        <v>61677176</v>
      </c>
      <c r="H90" s="10">
        <v>63374296</v>
      </c>
      <c r="I90" s="10">
        <v>65221376</v>
      </c>
      <c r="J90" s="10">
        <v>67203128</v>
      </c>
      <c r="K90" s="10">
        <v>69271920</v>
      </c>
      <c r="L90" s="10">
        <v>71361128</v>
      </c>
      <c r="M90" s="10">
        <v>73423632</v>
      </c>
      <c r="N90" s="10">
        <v>75440504</v>
      </c>
      <c r="O90" s="10">
        <v>77427544</v>
      </c>
      <c r="P90" s="10">
        <v>79414840</v>
      </c>
      <c r="Q90" s="10">
        <v>81448752</v>
      </c>
      <c r="R90" s="10">
        <v>83562784</v>
      </c>
      <c r="S90" s="10">
        <v>85766400</v>
      </c>
      <c r="T90" s="10">
        <v>88048032</v>
      </c>
      <c r="U90" s="10">
        <v>90395272</v>
      </c>
      <c r="V90" s="10">
        <v>92788024</v>
      </c>
      <c r="W90" s="10">
        <v>95212448</v>
      </c>
      <c r="X90" s="10">
        <v>97667632</v>
      </c>
      <c r="Y90" s="10">
        <v>100161712</v>
      </c>
      <c r="Z90" s="10">
        <v>102700752</v>
      </c>
      <c r="AA90" s="10">
        <v>105293696</v>
      </c>
      <c r="AB90" s="10">
        <v>107948336</v>
      </c>
      <c r="AC90" s="10">
        <v>110668792</v>
      </c>
      <c r="AD90" s="10">
        <v>113457664</v>
      </c>
      <c r="AE90" s="10">
        <v>116319760</v>
      </c>
      <c r="AF90" s="10">
        <v>119260064</v>
      </c>
      <c r="AG90" s="10">
        <v>122283848</v>
      </c>
      <c r="AH90" s="10">
        <v>125394048</v>
      </c>
      <c r="AI90" s="10">
        <v>128596080</v>
      </c>
      <c r="AJ90" s="10">
        <v>131900632</v>
      </c>
      <c r="AK90" s="10">
        <v>135320416</v>
      </c>
      <c r="AL90" s="10">
        <v>138865024</v>
      </c>
      <c r="AM90" s="10">
        <v>142538304</v>
      </c>
      <c r="AN90" s="10">
        <v>146339984</v>
      </c>
      <c r="AO90" s="10">
        <v>150269616</v>
      </c>
      <c r="AP90" s="10">
        <v>154324928</v>
      </c>
      <c r="AQ90" s="10">
        <v>158503200</v>
      </c>
      <c r="AR90" s="10">
        <v>162805072</v>
      </c>
      <c r="AS90" s="10">
        <v>167228768</v>
      </c>
      <c r="AT90" s="10">
        <v>171765776</v>
      </c>
      <c r="AU90" s="10">
        <v>176404896</v>
      </c>
      <c r="AV90" s="10">
        <v>181137440</v>
      </c>
      <c r="AW90" s="10">
        <v>185960288</v>
      </c>
      <c r="AX90" s="10">
        <v>190873312</v>
      </c>
      <c r="AY90" s="10">
        <v>195874736</v>
      </c>
      <c r="AZ90" s="10">
        <v>200963600</v>
      </c>
    </row>
    <row r="91" spans="2:52" x14ac:dyDescent="0.45">
      <c r="B91" t="s">
        <v>222</v>
      </c>
      <c r="C91" s="10">
        <v>723851</v>
      </c>
      <c r="D91" s="10">
        <v>748968</v>
      </c>
      <c r="E91" s="10">
        <v>776380</v>
      </c>
      <c r="F91" s="10">
        <v>806986</v>
      </c>
      <c r="G91" s="10">
        <v>841950</v>
      </c>
      <c r="H91" s="10">
        <v>882047</v>
      </c>
      <c r="I91" s="10">
        <v>927436</v>
      </c>
      <c r="J91" s="10">
        <v>977804</v>
      </c>
      <c r="K91" s="10">
        <v>1032799</v>
      </c>
      <c r="L91" s="10">
        <v>1091852</v>
      </c>
      <c r="M91" s="10">
        <v>1154377</v>
      </c>
      <c r="N91" s="10">
        <v>1220585</v>
      </c>
      <c r="O91" s="10">
        <v>1290111</v>
      </c>
      <c r="P91" s="10">
        <v>1361087</v>
      </c>
      <c r="Q91" s="10">
        <v>1431070</v>
      </c>
      <c r="R91" s="10">
        <v>1498418</v>
      </c>
      <c r="S91" s="10">
        <v>1561185</v>
      </c>
      <c r="T91" s="10">
        <v>1619863</v>
      </c>
      <c r="U91" s="10">
        <v>1678110</v>
      </c>
      <c r="V91" s="10">
        <v>1741156</v>
      </c>
      <c r="W91" s="10">
        <v>1812161</v>
      </c>
      <c r="X91" s="10">
        <v>1893768</v>
      </c>
      <c r="Y91" s="10">
        <v>1983275</v>
      </c>
      <c r="Z91" s="10">
        <v>2072104</v>
      </c>
      <c r="AA91" s="10">
        <v>2148419</v>
      </c>
      <c r="AB91" s="10">
        <v>2204277</v>
      </c>
      <c r="AC91" s="10">
        <v>2236654</v>
      </c>
      <c r="AD91" s="10">
        <v>2249762</v>
      </c>
      <c r="AE91" s="10">
        <v>2251864</v>
      </c>
      <c r="AF91" s="10">
        <v>2254904</v>
      </c>
      <c r="AG91" s="10">
        <v>2267973</v>
      </c>
      <c r="AH91" s="10">
        <v>2294962</v>
      </c>
      <c r="AI91" s="10">
        <v>2334858</v>
      </c>
      <c r="AJ91" s="10">
        <v>2386166</v>
      </c>
      <c r="AK91" s="10">
        <v>2445517</v>
      </c>
      <c r="AL91" s="10">
        <v>2511251</v>
      </c>
      <c r="AM91" s="10">
        <v>2580758</v>
      </c>
      <c r="AN91" s="10">
        <v>2657158</v>
      </c>
      <c r="AO91" s="10">
        <v>2750963</v>
      </c>
      <c r="AP91" s="10">
        <v>2876186</v>
      </c>
      <c r="AQ91" s="10">
        <v>3041434</v>
      </c>
      <c r="AR91" s="10">
        <v>3251108</v>
      </c>
      <c r="AS91" s="10">
        <v>3498029</v>
      </c>
      <c r="AT91" s="10">
        <v>3764805</v>
      </c>
      <c r="AU91" s="10">
        <v>4027260</v>
      </c>
      <c r="AV91" s="10">
        <v>4267348</v>
      </c>
      <c r="AW91" s="10">
        <v>4479219</v>
      </c>
      <c r="AX91" s="10">
        <v>4665935</v>
      </c>
      <c r="AY91" s="10">
        <v>4829483</v>
      </c>
      <c r="AZ91" s="10">
        <v>4974986</v>
      </c>
    </row>
    <row r="92" spans="2:52" x14ac:dyDescent="0.45">
      <c r="B92" t="s">
        <v>145</v>
      </c>
      <c r="C92" s="10">
        <v>58142060</v>
      </c>
      <c r="D92" s="10">
        <v>59734480</v>
      </c>
      <c r="E92" s="10">
        <v>61381988</v>
      </c>
      <c r="F92" s="10">
        <v>63099408</v>
      </c>
      <c r="G92" s="10">
        <v>64906000</v>
      </c>
      <c r="H92" s="10">
        <v>66816876</v>
      </c>
      <c r="I92" s="10">
        <v>68834328</v>
      </c>
      <c r="J92" s="10">
        <v>70958168</v>
      </c>
      <c r="K92" s="10">
        <v>73197256</v>
      </c>
      <c r="L92" s="10">
        <v>75561128</v>
      </c>
      <c r="M92" s="10">
        <v>78054344</v>
      </c>
      <c r="N92" s="10">
        <v>80680456</v>
      </c>
      <c r="O92" s="10">
        <v>83431608</v>
      </c>
      <c r="P92" s="10">
        <v>86285936</v>
      </c>
      <c r="Q92" s="10">
        <v>89213704</v>
      </c>
      <c r="R92" s="10">
        <v>92191512</v>
      </c>
      <c r="S92" s="10">
        <v>95215376</v>
      </c>
      <c r="T92" s="10">
        <v>98285752</v>
      </c>
      <c r="U92" s="10">
        <v>101389600</v>
      </c>
      <c r="V92" s="10">
        <v>104512880</v>
      </c>
      <c r="W92" s="10">
        <v>107647920</v>
      </c>
      <c r="X92" s="10">
        <v>110778648</v>
      </c>
      <c r="Y92" s="10">
        <v>113911128</v>
      </c>
      <c r="Z92" s="10">
        <v>117086688</v>
      </c>
      <c r="AA92" s="10">
        <v>120362760</v>
      </c>
      <c r="AB92" s="10">
        <v>123776840</v>
      </c>
      <c r="AC92" s="10">
        <v>127349288</v>
      </c>
      <c r="AD92" s="10">
        <v>131057432</v>
      </c>
      <c r="AE92" s="10">
        <v>134843232</v>
      </c>
      <c r="AF92" s="10">
        <v>138624624</v>
      </c>
      <c r="AG92" s="10">
        <v>142343584</v>
      </c>
      <c r="AH92" s="10">
        <v>145978400</v>
      </c>
      <c r="AI92" s="10">
        <v>149549696</v>
      </c>
      <c r="AJ92" s="10">
        <v>153093376</v>
      </c>
      <c r="AK92" s="10">
        <v>156664704</v>
      </c>
      <c r="AL92" s="10">
        <v>160304000</v>
      </c>
      <c r="AM92" s="10">
        <v>164022624</v>
      </c>
      <c r="AN92" s="10">
        <v>167808112</v>
      </c>
      <c r="AO92" s="10">
        <v>171648992</v>
      </c>
      <c r="AP92" s="10">
        <v>175525616</v>
      </c>
      <c r="AQ92" s="10">
        <v>179424640</v>
      </c>
      <c r="AR92" s="10">
        <v>183340592</v>
      </c>
      <c r="AS92" s="10">
        <v>187281472</v>
      </c>
      <c r="AT92" s="10">
        <v>191262912</v>
      </c>
      <c r="AU92" s="10">
        <v>195306832</v>
      </c>
      <c r="AV92" s="10">
        <v>199426960</v>
      </c>
      <c r="AW92" s="10">
        <v>203627280</v>
      </c>
      <c r="AX92" s="10">
        <v>207896688</v>
      </c>
      <c r="AY92" s="10">
        <v>212215024</v>
      </c>
      <c r="AZ92" s="10">
        <v>216565312</v>
      </c>
    </row>
    <row r="93" spans="2:52" x14ac:dyDescent="0.45">
      <c r="B93" t="s">
        <v>146</v>
      </c>
      <c r="C93" s="10">
        <v>1519285</v>
      </c>
      <c r="D93" s="10">
        <v>1563093</v>
      </c>
      <c r="E93" s="10">
        <v>1607796</v>
      </c>
      <c r="F93" s="10">
        <v>1653212</v>
      </c>
      <c r="G93" s="10">
        <v>1699054</v>
      </c>
      <c r="H93" s="10">
        <v>1745138</v>
      </c>
      <c r="I93" s="10">
        <v>1791380</v>
      </c>
      <c r="J93" s="10">
        <v>1837800</v>
      </c>
      <c r="K93" s="10">
        <v>1884424</v>
      </c>
      <c r="L93" s="10">
        <v>1931304</v>
      </c>
      <c r="M93" s="10">
        <v>1978487</v>
      </c>
      <c r="N93" s="10">
        <v>2025971</v>
      </c>
      <c r="O93" s="10">
        <v>2073757</v>
      </c>
      <c r="P93" s="10">
        <v>2121860</v>
      </c>
      <c r="Q93" s="10">
        <v>2170325</v>
      </c>
      <c r="R93" s="10">
        <v>2219201</v>
      </c>
      <c r="S93" s="10">
        <v>2268500</v>
      </c>
      <c r="T93" s="10">
        <v>2318264</v>
      </c>
      <c r="U93" s="10">
        <v>2368551</v>
      </c>
      <c r="V93" s="10">
        <v>2419426</v>
      </c>
      <c r="W93" s="10">
        <v>2470947</v>
      </c>
      <c r="X93" s="10">
        <v>2523118</v>
      </c>
      <c r="Y93" s="10">
        <v>2575954</v>
      </c>
      <c r="Z93" s="10">
        <v>2629580</v>
      </c>
      <c r="AA93" s="10">
        <v>2684116</v>
      </c>
      <c r="AB93" s="10">
        <v>2739668</v>
      </c>
      <c r="AC93" s="10">
        <v>2796291</v>
      </c>
      <c r="AD93" s="10">
        <v>2853913</v>
      </c>
      <c r="AE93" s="10">
        <v>2912316</v>
      </c>
      <c r="AF93" s="10">
        <v>2971196</v>
      </c>
      <c r="AG93" s="10">
        <v>3030328</v>
      </c>
      <c r="AH93" s="10">
        <v>3089648</v>
      </c>
      <c r="AI93" s="10">
        <v>3149188</v>
      </c>
      <c r="AJ93" s="10">
        <v>3209048</v>
      </c>
      <c r="AK93" s="10">
        <v>3269356</v>
      </c>
      <c r="AL93" s="10">
        <v>3330217</v>
      </c>
      <c r="AM93" s="10">
        <v>3391666</v>
      </c>
      <c r="AN93" s="10">
        <v>3453675</v>
      </c>
      <c r="AO93" s="10">
        <v>3516204</v>
      </c>
      <c r="AP93" s="10">
        <v>3579215</v>
      </c>
      <c r="AQ93" s="10">
        <v>3642687</v>
      </c>
      <c r="AR93" s="10">
        <v>3706483</v>
      </c>
      <c r="AS93" s="10">
        <v>3770624</v>
      </c>
      <c r="AT93" s="10">
        <v>3835437</v>
      </c>
      <c r="AU93" s="10">
        <v>3901315</v>
      </c>
      <c r="AV93" s="10">
        <v>3968487</v>
      </c>
      <c r="AW93" s="10">
        <v>4037078</v>
      </c>
      <c r="AX93" s="10">
        <v>4106771</v>
      </c>
      <c r="AY93" s="10">
        <v>4176873</v>
      </c>
      <c r="AZ93" s="10">
        <v>4246439</v>
      </c>
    </row>
    <row r="94" spans="2:52" x14ac:dyDescent="0.45">
      <c r="B94" t="s">
        <v>147</v>
      </c>
      <c r="C94" s="10">
        <v>2783121</v>
      </c>
      <c r="D94" s="10">
        <v>2849532</v>
      </c>
      <c r="E94" s="10">
        <v>2918139</v>
      </c>
      <c r="F94" s="10">
        <v>2989202</v>
      </c>
      <c r="G94" s="10">
        <v>3063049</v>
      </c>
      <c r="H94" s="10">
        <v>3139945</v>
      </c>
      <c r="I94" s="10">
        <v>3219829</v>
      </c>
      <c r="J94" s="10">
        <v>3302633</v>
      </c>
      <c r="K94" s="10">
        <v>3388618</v>
      </c>
      <c r="L94" s="10">
        <v>3478100</v>
      </c>
      <c r="M94" s="10">
        <v>3571205</v>
      </c>
      <c r="N94" s="10">
        <v>3668104</v>
      </c>
      <c r="O94" s="10">
        <v>3768483</v>
      </c>
      <c r="P94" s="10">
        <v>3871492</v>
      </c>
      <c r="Q94" s="10">
        <v>3975956</v>
      </c>
      <c r="R94" s="10">
        <v>4081030</v>
      </c>
      <c r="S94" s="10">
        <v>4186499</v>
      </c>
      <c r="T94" s="10">
        <v>4292563</v>
      </c>
      <c r="U94" s="10">
        <v>4399324</v>
      </c>
      <c r="V94" s="10">
        <v>4506991</v>
      </c>
      <c r="W94" s="10">
        <v>4615839</v>
      </c>
      <c r="X94" s="10">
        <v>4725547</v>
      </c>
      <c r="Y94" s="10">
        <v>4836217</v>
      </c>
      <c r="Z94" s="10">
        <v>4949051</v>
      </c>
      <c r="AA94" s="10">
        <v>5065661</v>
      </c>
      <c r="AB94" s="10">
        <v>5187060</v>
      </c>
      <c r="AC94" s="10">
        <v>5314248</v>
      </c>
      <c r="AD94" s="10">
        <v>5446641</v>
      </c>
      <c r="AE94" s="10">
        <v>5581762</v>
      </c>
      <c r="AF94" s="10">
        <v>5716161</v>
      </c>
      <c r="AG94" s="10">
        <v>5847586</v>
      </c>
      <c r="AH94" s="10">
        <v>5974629</v>
      </c>
      <c r="AI94" s="10">
        <v>6098621</v>
      </c>
      <c r="AJ94" s="10">
        <v>6223377</v>
      </c>
      <c r="AK94" s="10">
        <v>6354245</v>
      </c>
      <c r="AL94" s="10">
        <v>6494903</v>
      </c>
      <c r="AM94" s="10">
        <v>6646895</v>
      </c>
      <c r="AN94" s="10">
        <v>6808514</v>
      </c>
      <c r="AO94" s="10">
        <v>6976201</v>
      </c>
      <c r="AP94" s="10">
        <v>7144776</v>
      </c>
      <c r="AQ94" s="10">
        <v>7310507</v>
      </c>
      <c r="AR94" s="10">
        <v>7472200</v>
      </c>
      <c r="AS94" s="10">
        <v>7631002</v>
      </c>
      <c r="AT94" s="10">
        <v>7788379</v>
      </c>
      <c r="AU94" s="10">
        <v>7946731</v>
      </c>
      <c r="AV94" s="10">
        <v>8107775</v>
      </c>
      <c r="AW94" s="10">
        <v>8271760</v>
      </c>
      <c r="AX94" s="10">
        <v>8438029</v>
      </c>
      <c r="AY94" s="10">
        <v>8606316</v>
      </c>
      <c r="AZ94" s="10">
        <v>8776109</v>
      </c>
    </row>
    <row r="95" spans="2:52" x14ac:dyDescent="0.45">
      <c r="B95" t="s">
        <v>223</v>
      </c>
      <c r="C95" s="10">
        <v>2474763</v>
      </c>
      <c r="D95" s="10">
        <v>2535873</v>
      </c>
      <c r="E95" s="10">
        <v>2597154</v>
      </c>
      <c r="F95" s="10">
        <v>2659421</v>
      </c>
      <c r="G95" s="10">
        <v>2723812</v>
      </c>
      <c r="H95" s="10">
        <v>2791241</v>
      </c>
      <c r="I95" s="10">
        <v>2861867</v>
      </c>
      <c r="J95" s="10">
        <v>2935712</v>
      </c>
      <c r="K95" s="10">
        <v>3013282</v>
      </c>
      <c r="L95" s="10">
        <v>3095145</v>
      </c>
      <c r="M95" s="10">
        <v>3181625</v>
      </c>
      <c r="N95" s="10">
        <v>3272912</v>
      </c>
      <c r="O95" s="10">
        <v>3368773</v>
      </c>
      <c r="P95" s="10">
        <v>3468535</v>
      </c>
      <c r="Q95" s="10">
        <v>3571272</v>
      </c>
      <c r="R95" s="10">
        <v>3676210</v>
      </c>
      <c r="S95" s="10">
        <v>3783074</v>
      </c>
      <c r="T95" s="10">
        <v>3891734</v>
      </c>
      <c r="U95" s="10">
        <v>4001681</v>
      </c>
      <c r="V95" s="10">
        <v>4112386</v>
      </c>
      <c r="W95" s="10">
        <v>4223415</v>
      </c>
      <c r="X95" s="10">
        <v>4334345</v>
      </c>
      <c r="Y95" s="10">
        <v>4445016</v>
      </c>
      <c r="Z95" s="10">
        <v>4555521</v>
      </c>
      <c r="AA95" s="10">
        <v>4666094</v>
      </c>
      <c r="AB95" s="10">
        <v>4776843</v>
      </c>
      <c r="AC95" s="10">
        <v>4887632</v>
      </c>
      <c r="AD95" s="10">
        <v>4998100</v>
      </c>
      <c r="AE95" s="10">
        <v>5107839</v>
      </c>
      <c r="AF95" s="10">
        <v>5216349</v>
      </c>
      <c r="AG95" s="10">
        <v>5323201</v>
      </c>
      <c r="AH95" s="10">
        <v>5428444</v>
      </c>
      <c r="AI95" s="10">
        <v>5531962</v>
      </c>
      <c r="AJ95" s="10">
        <v>5632983</v>
      </c>
      <c r="AK95" s="10">
        <v>5730549</v>
      </c>
      <c r="AL95" s="10">
        <v>5824096</v>
      </c>
      <c r="AM95" s="10">
        <v>5913209</v>
      </c>
      <c r="AN95" s="10">
        <v>5998427</v>
      </c>
      <c r="AO95" s="10">
        <v>6081296</v>
      </c>
      <c r="AP95" s="10">
        <v>6163972</v>
      </c>
      <c r="AQ95" s="10">
        <v>6248020</v>
      </c>
      <c r="AR95" s="10">
        <v>6333976</v>
      </c>
      <c r="AS95" s="10">
        <v>6421512</v>
      </c>
      <c r="AT95" s="10">
        <v>6510276</v>
      </c>
      <c r="AU95" s="10">
        <v>6599526</v>
      </c>
      <c r="AV95" s="10">
        <v>6688746</v>
      </c>
      <c r="AW95" s="10">
        <v>6777872</v>
      </c>
      <c r="AX95" s="10">
        <v>6867062</v>
      </c>
      <c r="AY95" s="10">
        <v>6956071</v>
      </c>
      <c r="AZ95" s="10">
        <v>7044636</v>
      </c>
    </row>
    <row r="96" spans="2:52" x14ac:dyDescent="0.45">
      <c r="B96" t="s">
        <v>148</v>
      </c>
      <c r="C96" s="10">
        <v>13459794</v>
      </c>
      <c r="D96" s="10">
        <v>13836367</v>
      </c>
      <c r="E96" s="10">
        <v>14221961</v>
      </c>
      <c r="F96" s="10">
        <v>14615845</v>
      </c>
      <c r="G96" s="10">
        <v>15017055</v>
      </c>
      <c r="H96" s="10">
        <v>15424744</v>
      </c>
      <c r="I96" s="10">
        <v>15838572</v>
      </c>
      <c r="J96" s="10">
        <v>16258321</v>
      </c>
      <c r="K96" s="10">
        <v>16683456</v>
      </c>
      <c r="L96" s="10">
        <v>17113388</v>
      </c>
      <c r="M96" s="10">
        <v>17547610</v>
      </c>
      <c r="N96" s="10">
        <v>17985392</v>
      </c>
      <c r="O96" s="10">
        <v>18426416</v>
      </c>
      <c r="P96" s="10">
        <v>18870992</v>
      </c>
      <c r="Q96" s="10">
        <v>19319746</v>
      </c>
      <c r="R96" s="10">
        <v>19772872</v>
      </c>
      <c r="S96" s="10">
        <v>20230384</v>
      </c>
      <c r="T96" s="10">
        <v>20691284</v>
      </c>
      <c r="U96" s="10">
        <v>21153460</v>
      </c>
      <c r="V96" s="10">
        <v>21614192</v>
      </c>
      <c r="W96" s="10">
        <v>22071432</v>
      </c>
      <c r="X96" s="10">
        <v>22522378</v>
      </c>
      <c r="Y96" s="10">
        <v>22966818</v>
      </c>
      <c r="Z96" s="10">
        <v>23408132</v>
      </c>
      <c r="AA96" s="10">
        <v>23851408</v>
      </c>
      <c r="AB96" s="10">
        <v>24299160</v>
      </c>
      <c r="AC96" s="10">
        <v>24753824</v>
      </c>
      <c r="AD96" s="10">
        <v>25210954</v>
      </c>
      <c r="AE96" s="10">
        <v>25658062</v>
      </c>
      <c r="AF96" s="10">
        <v>26078292</v>
      </c>
      <c r="AG96" s="10">
        <v>26459944</v>
      </c>
      <c r="AH96" s="10">
        <v>26799284</v>
      </c>
      <c r="AI96" s="10">
        <v>27100968</v>
      </c>
      <c r="AJ96" s="10">
        <v>27372226</v>
      </c>
      <c r="AK96" s="10">
        <v>27624212</v>
      </c>
      <c r="AL96" s="10">
        <v>27866144</v>
      </c>
      <c r="AM96" s="10">
        <v>28102056</v>
      </c>
      <c r="AN96" s="10">
        <v>28333052</v>
      </c>
      <c r="AO96" s="10">
        <v>28562316</v>
      </c>
      <c r="AP96" s="10">
        <v>28792656</v>
      </c>
      <c r="AQ96" s="10">
        <v>29027674</v>
      </c>
      <c r="AR96" s="10">
        <v>29264318</v>
      </c>
      <c r="AS96" s="10">
        <v>29506788</v>
      </c>
      <c r="AT96" s="10">
        <v>29773988</v>
      </c>
      <c r="AU96" s="10">
        <v>30090360</v>
      </c>
      <c r="AV96" s="10">
        <v>30470734</v>
      </c>
      <c r="AW96" s="10">
        <v>30926032</v>
      </c>
      <c r="AX96" s="10">
        <v>31444296</v>
      </c>
      <c r="AY96" s="10">
        <v>31989256</v>
      </c>
      <c r="AZ96" s="10">
        <v>32510452</v>
      </c>
    </row>
    <row r="97" spans="2:52" x14ac:dyDescent="0.45">
      <c r="B97" t="s">
        <v>149</v>
      </c>
      <c r="C97" s="10">
        <v>35803592</v>
      </c>
      <c r="D97" s="10">
        <v>36849676</v>
      </c>
      <c r="E97" s="10">
        <v>37923396</v>
      </c>
      <c r="F97" s="10">
        <v>39022768</v>
      </c>
      <c r="G97" s="10">
        <v>40144248</v>
      </c>
      <c r="H97" s="10">
        <v>41285744</v>
      </c>
      <c r="I97" s="10">
        <v>42446652</v>
      </c>
      <c r="J97" s="10">
        <v>43629412</v>
      </c>
      <c r="K97" s="10">
        <v>44838484</v>
      </c>
      <c r="L97" s="10">
        <v>46079848</v>
      </c>
      <c r="M97" s="10">
        <v>47357744</v>
      </c>
      <c r="N97" s="10">
        <v>48672840</v>
      </c>
      <c r="O97" s="10">
        <v>50023564</v>
      </c>
      <c r="P97" s="10">
        <v>51408912</v>
      </c>
      <c r="Q97" s="10">
        <v>52827040</v>
      </c>
      <c r="R97" s="10">
        <v>54275824</v>
      </c>
      <c r="S97" s="10">
        <v>55755356</v>
      </c>
      <c r="T97" s="10">
        <v>57263836</v>
      </c>
      <c r="U97" s="10">
        <v>58795000</v>
      </c>
      <c r="V97" s="10">
        <v>60340768</v>
      </c>
      <c r="W97" s="10">
        <v>61895160</v>
      </c>
      <c r="X97" s="10">
        <v>63454784</v>
      </c>
      <c r="Y97" s="10">
        <v>65020116</v>
      </c>
      <c r="Z97" s="10">
        <v>66593904</v>
      </c>
      <c r="AA97" s="10">
        <v>68180856</v>
      </c>
      <c r="AB97" s="10">
        <v>69784088</v>
      </c>
      <c r="AC97" s="10">
        <v>71401752</v>
      </c>
      <c r="AD97" s="10">
        <v>73030880</v>
      </c>
      <c r="AE97" s="10">
        <v>74672016</v>
      </c>
      <c r="AF97" s="10">
        <v>76325928</v>
      </c>
      <c r="AG97" s="10">
        <v>77991752</v>
      </c>
      <c r="AH97" s="10">
        <v>79672872</v>
      </c>
      <c r="AI97" s="10">
        <v>81365256</v>
      </c>
      <c r="AJ97" s="10">
        <v>83051968</v>
      </c>
      <c r="AK97" s="10">
        <v>84710544</v>
      </c>
      <c r="AL97" s="10">
        <v>86326248</v>
      </c>
      <c r="AM97" s="10">
        <v>87888672</v>
      </c>
      <c r="AN97" s="10">
        <v>89405480</v>
      </c>
      <c r="AO97" s="10">
        <v>90901968</v>
      </c>
      <c r="AP97" s="10">
        <v>92414160</v>
      </c>
      <c r="AQ97" s="10">
        <v>93966784</v>
      </c>
      <c r="AR97" s="10">
        <v>95570048</v>
      </c>
      <c r="AS97" s="10">
        <v>97212640</v>
      </c>
      <c r="AT97" s="10">
        <v>98871552</v>
      </c>
      <c r="AU97" s="10">
        <v>100513136</v>
      </c>
      <c r="AV97" s="10">
        <v>102113216</v>
      </c>
      <c r="AW97" s="10">
        <v>103663928</v>
      </c>
      <c r="AX97" s="10">
        <v>105173264</v>
      </c>
      <c r="AY97" s="10">
        <v>106651920</v>
      </c>
      <c r="AZ97" s="10">
        <v>108116616</v>
      </c>
    </row>
    <row r="98" spans="2:52" x14ac:dyDescent="0.45">
      <c r="B98" t="s">
        <v>150</v>
      </c>
      <c r="C98" s="10">
        <v>2718000</v>
      </c>
      <c r="D98" s="10">
        <v>2762190</v>
      </c>
      <c r="E98" s="10">
        <v>2817256</v>
      </c>
      <c r="F98" s="10">
        <v>2878786</v>
      </c>
      <c r="G98" s="10">
        <v>2939299</v>
      </c>
      <c r="H98" s="10">
        <v>2994000</v>
      </c>
      <c r="I98" s="10">
        <v>3043854</v>
      </c>
      <c r="J98" s="10">
        <v>3088690</v>
      </c>
      <c r="K98" s="10">
        <v>3129421</v>
      </c>
      <c r="L98" s="10">
        <v>3168088</v>
      </c>
      <c r="M98" s="10">
        <v>3206000</v>
      </c>
      <c r="N98" s="10">
        <v>3242552</v>
      </c>
      <c r="O98" s="10">
        <v>3277453</v>
      </c>
      <c r="P98" s="10">
        <v>3311138</v>
      </c>
      <c r="Q98" s="10">
        <v>3344190</v>
      </c>
      <c r="R98" s="10">
        <v>3377000</v>
      </c>
      <c r="S98" s="10">
        <v>3409554</v>
      </c>
      <c r="T98" s="10">
        <v>3441850</v>
      </c>
      <c r="U98" s="10">
        <v>3473898</v>
      </c>
      <c r="V98" s="10">
        <v>3505650</v>
      </c>
      <c r="W98" s="10">
        <v>3537000</v>
      </c>
      <c r="X98" s="10">
        <v>3562110</v>
      </c>
      <c r="Y98" s="10">
        <v>3585176</v>
      </c>
      <c r="Z98" s="10">
        <v>3615497</v>
      </c>
      <c r="AA98" s="10">
        <v>3649237</v>
      </c>
      <c r="AB98" s="10">
        <v>3683103</v>
      </c>
      <c r="AC98" s="10">
        <v>3724655</v>
      </c>
      <c r="AD98" s="10">
        <v>3759430</v>
      </c>
      <c r="AE98" s="10">
        <v>3781101</v>
      </c>
      <c r="AF98" s="10">
        <v>3800081</v>
      </c>
      <c r="AG98" s="10">
        <v>3810605</v>
      </c>
      <c r="AH98" s="10">
        <v>3818774</v>
      </c>
      <c r="AI98" s="10">
        <v>3823701</v>
      </c>
      <c r="AJ98" s="10">
        <v>3826095</v>
      </c>
      <c r="AK98" s="10">
        <v>3826878</v>
      </c>
      <c r="AL98" s="10">
        <v>3821362</v>
      </c>
      <c r="AM98" s="10">
        <v>3805214</v>
      </c>
      <c r="AN98" s="10">
        <v>3782995</v>
      </c>
      <c r="AO98" s="10">
        <v>3760866</v>
      </c>
      <c r="AP98" s="10">
        <v>3740410</v>
      </c>
      <c r="AQ98" s="10">
        <v>3721525</v>
      </c>
      <c r="AR98" s="10">
        <v>3678732</v>
      </c>
      <c r="AS98" s="10">
        <v>3634488</v>
      </c>
      <c r="AT98" s="10">
        <v>3593077</v>
      </c>
      <c r="AU98" s="10">
        <v>3534874</v>
      </c>
      <c r="AV98" s="10">
        <v>3473232</v>
      </c>
      <c r="AW98" s="10">
        <v>3406672</v>
      </c>
      <c r="AX98" s="10">
        <v>3325286</v>
      </c>
      <c r="AY98" s="10">
        <v>3193354</v>
      </c>
      <c r="AZ98" s="10">
        <v>3193694</v>
      </c>
    </row>
    <row r="99" spans="2:52" x14ac:dyDescent="0.45">
      <c r="B99" t="s">
        <v>151</v>
      </c>
      <c r="C99" s="10">
        <v>3757358</v>
      </c>
      <c r="D99" s="10">
        <v>3871439</v>
      </c>
      <c r="E99" s="10">
        <v>3987224</v>
      </c>
      <c r="F99" s="10">
        <v>4106407</v>
      </c>
      <c r="G99" s="10">
        <v>4231578</v>
      </c>
      <c r="H99" s="10">
        <v>4364706</v>
      </c>
      <c r="I99" s="10">
        <v>4506109</v>
      </c>
      <c r="J99" s="10">
        <v>4655383</v>
      </c>
      <c r="K99" s="10">
        <v>4812872</v>
      </c>
      <c r="L99" s="10">
        <v>4978817</v>
      </c>
      <c r="M99" s="10">
        <v>5153312</v>
      </c>
      <c r="N99" s="10">
        <v>5329252</v>
      </c>
      <c r="O99" s="10">
        <v>5504842</v>
      </c>
      <c r="P99" s="10">
        <v>5690980</v>
      </c>
      <c r="Q99" s="10">
        <v>5902843</v>
      </c>
      <c r="R99" s="10">
        <v>6146891</v>
      </c>
      <c r="S99" s="10">
        <v>6443751</v>
      </c>
      <c r="T99" s="10">
        <v>6779983</v>
      </c>
      <c r="U99" s="10">
        <v>7088191</v>
      </c>
      <c r="V99" s="10">
        <v>7276985</v>
      </c>
      <c r="W99" s="10">
        <v>7288882</v>
      </c>
      <c r="X99" s="10">
        <v>7083935</v>
      </c>
      <c r="Y99" s="10">
        <v>6702244</v>
      </c>
      <c r="Z99" s="10">
        <v>6263757</v>
      </c>
      <c r="AA99" s="10">
        <v>5936261</v>
      </c>
      <c r="AB99" s="10">
        <v>5836495</v>
      </c>
      <c r="AC99" s="10">
        <v>6013107</v>
      </c>
      <c r="AD99" s="10">
        <v>6419901</v>
      </c>
      <c r="AE99" s="10">
        <v>6962802</v>
      </c>
      <c r="AF99" s="10">
        <v>7501234</v>
      </c>
      <c r="AG99" s="10">
        <v>7933681</v>
      </c>
      <c r="AH99" s="10">
        <v>8231156</v>
      </c>
      <c r="AI99" s="10">
        <v>8427060</v>
      </c>
      <c r="AJ99" s="10">
        <v>8557161</v>
      </c>
      <c r="AK99" s="10">
        <v>8680524</v>
      </c>
      <c r="AL99" s="10">
        <v>8840215</v>
      </c>
      <c r="AM99" s="10">
        <v>9043337</v>
      </c>
      <c r="AN99" s="10">
        <v>9273757</v>
      </c>
      <c r="AO99" s="10">
        <v>9524534</v>
      </c>
      <c r="AP99" s="10">
        <v>9782770</v>
      </c>
      <c r="AQ99" s="10">
        <v>10039338</v>
      </c>
      <c r="AR99" s="10">
        <v>10293331</v>
      </c>
      <c r="AS99" s="10">
        <v>10549678</v>
      </c>
      <c r="AT99" s="10">
        <v>10811543</v>
      </c>
      <c r="AU99" s="10">
        <v>11083635</v>
      </c>
      <c r="AV99" s="10">
        <v>11369071</v>
      </c>
      <c r="AW99" s="10">
        <v>11668818</v>
      </c>
      <c r="AX99" s="10">
        <v>11980937</v>
      </c>
      <c r="AY99" s="10">
        <v>12301939</v>
      </c>
      <c r="AZ99" s="10">
        <v>12626950</v>
      </c>
    </row>
    <row r="100" spans="2:52" x14ac:dyDescent="0.45">
      <c r="B100" t="s">
        <v>224</v>
      </c>
      <c r="C100" s="10">
        <v>5836389</v>
      </c>
      <c r="D100" s="10">
        <v>6100626</v>
      </c>
      <c r="E100" s="10">
        <v>6392970</v>
      </c>
      <c r="F100" s="10">
        <v>6711923</v>
      </c>
      <c r="G100" s="10">
        <v>7054532</v>
      </c>
      <c r="H100" s="10">
        <v>7419493</v>
      </c>
      <c r="I100" s="10">
        <v>7802926</v>
      </c>
      <c r="J100" s="10">
        <v>8207697</v>
      </c>
      <c r="K100" s="10">
        <v>8646845</v>
      </c>
      <c r="L100" s="10">
        <v>9137927</v>
      </c>
      <c r="M100" s="10">
        <v>9691476</v>
      </c>
      <c r="N100" s="10">
        <v>10311775</v>
      </c>
      <c r="O100" s="10">
        <v>10988853</v>
      </c>
      <c r="P100" s="10">
        <v>11701128</v>
      </c>
      <c r="Q100" s="10">
        <v>12418834</v>
      </c>
      <c r="R100" s="10">
        <v>13118993</v>
      </c>
      <c r="S100" s="10">
        <v>13794165</v>
      </c>
      <c r="T100" s="10">
        <v>14445671</v>
      </c>
      <c r="U100" s="10">
        <v>15070082</v>
      </c>
      <c r="V100" s="10">
        <v>15666297</v>
      </c>
      <c r="W100" s="10">
        <v>16233785</v>
      </c>
      <c r="X100" s="10">
        <v>16772694</v>
      </c>
      <c r="Y100" s="10">
        <v>17282692</v>
      </c>
      <c r="Z100" s="10">
        <v>17763298</v>
      </c>
      <c r="AA100" s="10">
        <v>18214470</v>
      </c>
      <c r="AB100" s="10">
        <v>18638788</v>
      </c>
      <c r="AC100" s="10">
        <v>19033844</v>
      </c>
      <c r="AD100" s="10">
        <v>19407142</v>
      </c>
      <c r="AE100" s="10">
        <v>19783304</v>
      </c>
      <c r="AF100" s="10">
        <v>20194528</v>
      </c>
      <c r="AG100" s="10">
        <v>20663844</v>
      </c>
      <c r="AH100" s="10">
        <v>21202642</v>
      </c>
      <c r="AI100" s="10">
        <v>21805312</v>
      </c>
      <c r="AJ100" s="10">
        <v>22456648</v>
      </c>
      <c r="AK100" s="10">
        <v>23132682</v>
      </c>
      <c r="AL100" s="10">
        <v>23816184</v>
      </c>
      <c r="AM100" s="10">
        <v>24498310</v>
      </c>
      <c r="AN100" s="10">
        <v>25184596</v>
      </c>
      <c r="AO100" s="10">
        <v>25888540</v>
      </c>
      <c r="AP100" s="10">
        <v>26630304</v>
      </c>
      <c r="AQ100" s="10">
        <v>27421460</v>
      </c>
      <c r="AR100" s="10">
        <v>28267684</v>
      </c>
      <c r="AS100" s="10">
        <v>29155188</v>
      </c>
      <c r="AT100" s="10">
        <v>30052518</v>
      </c>
      <c r="AU100" s="10">
        <v>30916994</v>
      </c>
      <c r="AV100" s="10">
        <v>31717668</v>
      </c>
      <c r="AW100" s="10">
        <v>32442572</v>
      </c>
      <c r="AX100" s="10">
        <v>33099148</v>
      </c>
      <c r="AY100" s="10">
        <v>33699948</v>
      </c>
      <c r="AZ100" s="10">
        <v>34268528</v>
      </c>
    </row>
    <row r="101" spans="2:52" x14ac:dyDescent="0.45">
      <c r="B101" t="s">
        <v>152</v>
      </c>
      <c r="C101" s="10">
        <v>4257505</v>
      </c>
      <c r="D101" s="10">
        <v>4387540</v>
      </c>
      <c r="E101" s="10">
        <v>4522893</v>
      </c>
      <c r="F101" s="10">
        <v>4660725</v>
      </c>
      <c r="G101" s="10">
        <v>4797187</v>
      </c>
      <c r="H101" s="10">
        <v>4929846</v>
      </c>
      <c r="I101" s="10">
        <v>5057378</v>
      </c>
      <c r="J101" s="10">
        <v>5181514</v>
      </c>
      <c r="K101" s="10">
        <v>5306681</v>
      </c>
      <c r="L101" s="10">
        <v>5439066</v>
      </c>
      <c r="M101" s="10">
        <v>5583165</v>
      </c>
      <c r="N101" s="10">
        <v>5740444</v>
      </c>
      <c r="O101" s="10">
        <v>5909739</v>
      </c>
      <c r="P101" s="10">
        <v>6089572</v>
      </c>
      <c r="Q101" s="10">
        <v>6277424</v>
      </c>
      <c r="R101" s="10">
        <v>6471327</v>
      </c>
      <c r="S101" s="10">
        <v>6670663</v>
      </c>
      <c r="T101" s="10">
        <v>6875754</v>
      </c>
      <c r="U101" s="10">
        <v>7086627</v>
      </c>
      <c r="V101" s="10">
        <v>7303517</v>
      </c>
      <c r="W101" s="10">
        <v>7526307</v>
      </c>
      <c r="X101" s="10">
        <v>7755496</v>
      </c>
      <c r="Y101" s="10">
        <v>7990096</v>
      </c>
      <c r="Z101" s="10">
        <v>8226760</v>
      </c>
      <c r="AA101" s="10">
        <v>8461068</v>
      </c>
      <c r="AB101" s="10">
        <v>8690164</v>
      </c>
      <c r="AC101" s="10">
        <v>8912861</v>
      </c>
      <c r="AD101" s="10">
        <v>9130877</v>
      </c>
      <c r="AE101" s="10">
        <v>9347774</v>
      </c>
      <c r="AF101" s="10">
        <v>9568722</v>
      </c>
      <c r="AG101" s="10">
        <v>9797734</v>
      </c>
      <c r="AH101" s="10">
        <v>10036104</v>
      </c>
      <c r="AI101" s="10">
        <v>10283699</v>
      </c>
      <c r="AJ101" s="10">
        <v>10541467</v>
      </c>
      <c r="AK101" s="10">
        <v>10810083</v>
      </c>
      <c r="AL101" s="10">
        <v>11090116</v>
      </c>
      <c r="AM101" s="10">
        <v>11382268</v>
      </c>
      <c r="AN101" s="10">
        <v>11687080</v>
      </c>
      <c r="AO101" s="10">
        <v>12004701</v>
      </c>
      <c r="AP101" s="10">
        <v>12335084</v>
      </c>
      <c r="AQ101" s="10">
        <v>12678148</v>
      </c>
      <c r="AR101" s="10">
        <v>13033809</v>
      </c>
      <c r="AS101" s="10">
        <v>13401991</v>
      </c>
      <c r="AT101" s="10">
        <v>13782420</v>
      </c>
      <c r="AU101" s="10">
        <v>14174731</v>
      </c>
      <c r="AV101" s="10">
        <v>14578459</v>
      </c>
      <c r="AW101" s="10">
        <v>14993528</v>
      </c>
      <c r="AX101" s="10">
        <v>15419381</v>
      </c>
      <c r="AY101" s="10">
        <v>15854360</v>
      </c>
      <c r="AZ101" s="10">
        <v>16296364</v>
      </c>
    </row>
    <row r="102" spans="2:52" x14ac:dyDescent="0.45">
      <c r="B102" t="s">
        <v>153</v>
      </c>
      <c r="C102" s="10">
        <v>53600</v>
      </c>
      <c r="D102" s="10">
        <v>54695</v>
      </c>
      <c r="E102" s="10">
        <v>56029</v>
      </c>
      <c r="F102" s="10">
        <v>56892</v>
      </c>
      <c r="G102" s="10">
        <v>57937</v>
      </c>
      <c r="H102" s="10">
        <v>59292</v>
      </c>
      <c r="I102" s="10">
        <v>60504</v>
      </c>
      <c r="J102" s="10">
        <v>61786</v>
      </c>
      <c r="K102" s="10">
        <v>62150</v>
      </c>
      <c r="L102" s="10">
        <v>62686</v>
      </c>
      <c r="M102" s="10">
        <v>63261</v>
      </c>
      <c r="N102" s="10">
        <v>64035</v>
      </c>
      <c r="O102" s="10">
        <v>64413</v>
      </c>
      <c r="P102" s="10">
        <v>64335</v>
      </c>
      <c r="Q102" s="10">
        <v>64717</v>
      </c>
      <c r="R102" s="10">
        <v>65244</v>
      </c>
      <c r="S102" s="10">
        <v>65652</v>
      </c>
      <c r="T102" s="10">
        <v>68499</v>
      </c>
      <c r="U102" s="10">
        <v>68755</v>
      </c>
      <c r="V102" s="10">
        <v>69167</v>
      </c>
      <c r="W102" s="10">
        <v>69507</v>
      </c>
      <c r="X102" s="10">
        <v>70439</v>
      </c>
      <c r="Y102" s="10">
        <v>70763</v>
      </c>
      <c r="Z102" s="10">
        <v>72253</v>
      </c>
      <c r="AA102" s="10">
        <v>74205</v>
      </c>
      <c r="AB102" s="10">
        <v>75304</v>
      </c>
      <c r="AC102" s="10">
        <v>76417</v>
      </c>
      <c r="AD102" s="10">
        <v>77319</v>
      </c>
      <c r="AE102" s="10">
        <v>78846</v>
      </c>
      <c r="AF102" s="10">
        <v>80410</v>
      </c>
      <c r="AG102" s="10">
        <v>81131</v>
      </c>
      <c r="AH102" s="10">
        <v>81202</v>
      </c>
      <c r="AI102" s="10">
        <v>83723</v>
      </c>
      <c r="AJ102" s="10">
        <v>82781</v>
      </c>
      <c r="AK102" s="10">
        <v>82475</v>
      </c>
      <c r="AL102" s="10">
        <v>82858</v>
      </c>
      <c r="AM102" s="10">
        <v>84600</v>
      </c>
      <c r="AN102" s="10">
        <v>85033</v>
      </c>
      <c r="AO102" s="10">
        <v>86956</v>
      </c>
      <c r="AP102" s="10">
        <v>87298</v>
      </c>
      <c r="AQ102" s="10">
        <v>89770</v>
      </c>
      <c r="AR102" s="10">
        <v>87441</v>
      </c>
      <c r="AS102" s="10">
        <v>88303</v>
      </c>
      <c r="AT102" s="10">
        <v>89949</v>
      </c>
      <c r="AU102" s="10">
        <v>91359</v>
      </c>
      <c r="AV102" s="10">
        <v>93419</v>
      </c>
      <c r="AW102" s="10">
        <v>94677</v>
      </c>
      <c r="AX102" s="10">
        <v>95843</v>
      </c>
      <c r="AY102" s="10">
        <v>96762</v>
      </c>
      <c r="AZ102" s="10">
        <v>97625</v>
      </c>
    </row>
    <row r="103" spans="2:52" x14ac:dyDescent="0.45">
      <c r="B103" t="s">
        <v>154</v>
      </c>
      <c r="C103" s="10">
        <v>2744891</v>
      </c>
      <c r="D103" s="10">
        <v>2798724</v>
      </c>
      <c r="E103" s="10">
        <v>2854872</v>
      </c>
      <c r="F103" s="10">
        <v>2913344</v>
      </c>
      <c r="G103" s="10">
        <v>2974104</v>
      </c>
      <c r="H103" s="10">
        <v>3037154</v>
      </c>
      <c r="I103" s="10">
        <v>3102592</v>
      </c>
      <c r="J103" s="10">
        <v>3170508</v>
      </c>
      <c r="K103" s="10">
        <v>3240839</v>
      </c>
      <c r="L103" s="10">
        <v>3313504</v>
      </c>
      <c r="M103" s="10">
        <v>3388495</v>
      </c>
      <c r="N103" s="10">
        <v>3464106</v>
      </c>
      <c r="O103" s="10">
        <v>3540170</v>
      </c>
      <c r="P103" s="10">
        <v>3619847</v>
      </c>
      <c r="Q103" s="10">
        <v>3707510</v>
      </c>
      <c r="R103" s="10">
        <v>3805311</v>
      </c>
      <c r="S103" s="10">
        <v>3916685</v>
      </c>
      <c r="T103" s="10">
        <v>4038144</v>
      </c>
      <c r="U103" s="10">
        <v>4156634</v>
      </c>
      <c r="V103" s="10">
        <v>4254444</v>
      </c>
      <c r="W103" s="10">
        <v>4319762</v>
      </c>
      <c r="X103" s="10">
        <v>4348660</v>
      </c>
      <c r="Y103" s="10">
        <v>4347724</v>
      </c>
      <c r="Z103" s="10">
        <v>4328957</v>
      </c>
      <c r="AA103" s="10">
        <v>4309775</v>
      </c>
      <c r="AB103" s="10">
        <v>4303957</v>
      </c>
      <c r="AC103" s="10">
        <v>4312666</v>
      </c>
      <c r="AD103" s="10">
        <v>4335301</v>
      </c>
      <c r="AE103" s="10">
        <v>4381483</v>
      </c>
      <c r="AF103" s="10">
        <v>4462378</v>
      </c>
      <c r="AG103" s="10">
        <v>4584571</v>
      </c>
      <c r="AH103" s="10">
        <v>4754072</v>
      </c>
      <c r="AI103" s="10">
        <v>4965766</v>
      </c>
      <c r="AJ103" s="10">
        <v>5201070</v>
      </c>
      <c r="AK103" s="10">
        <v>5433991</v>
      </c>
      <c r="AL103" s="10">
        <v>5645624</v>
      </c>
      <c r="AM103" s="10">
        <v>5829237</v>
      </c>
      <c r="AN103" s="10">
        <v>5989633</v>
      </c>
      <c r="AO103" s="10">
        <v>6133603</v>
      </c>
      <c r="AP103" s="10">
        <v>6272734</v>
      </c>
      <c r="AQ103" s="10">
        <v>6415634</v>
      </c>
      <c r="AR103" s="10">
        <v>6563240</v>
      </c>
      <c r="AS103" s="10">
        <v>6712581</v>
      </c>
      <c r="AT103" s="10">
        <v>6863980</v>
      </c>
      <c r="AU103" s="10">
        <v>7017144</v>
      </c>
      <c r="AV103" s="10">
        <v>7171914</v>
      </c>
      <c r="AW103" s="10">
        <v>7328838</v>
      </c>
      <c r="AX103" s="10">
        <v>7488431</v>
      </c>
      <c r="AY103" s="10">
        <v>7650154</v>
      </c>
      <c r="AZ103" s="10">
        <v>7813215</v>
      </c>
    </row>
    <row r="104" spans="2:52" x14ac:dyDescent="0.45">
      <c r="B104" t="s">
        <v>155</v>
      </c>
      <c r="C104" s="10">
        <v>22069776</v>
      </c>
      <c r="D104" s="10">
        <v>22665272</v>
      </c>
      <c r="E104" s="10">
        <v>23281508</v>
      </c>
      <c r="F104" s="10">
        <v>23913100</v>
      </c>
      <c r="G104" s="10">
        <v>24552540</v>
      </c>
      <c r="H104" s="10">
        <v>25195188</v>
      </c>
      <c r="I104" s="10">
        <v>25836888</v>
      </c>
      <c r="J104" s="10">
        <v>26480912</v>
      </c>
      <c r="K104" s="10">
        <v>27138964</v>
      </c>
      <c r="L104" s="10">
        <v>27827320</v>
      </c>
      <c r="M104" s="10">
        <v>28556768</v>
      </c>
      <c r="N104" s="10">
        <v>29333104</v>
      </c>
      <c r="O104" s="10">
        <v>30150448</v>
      </c>
      <c r="P104" s="10">
        <v>30993758</v>
      </c>
      <c r="Q104" s="10">
        <v>31841592</v>
      </c>
      <c r="R104" s="10">
        <v>32678874</v>
      </c>
      <c r="S104" s="10">
        <v>33495952</v>
      </c>
      <c r="T104" s="10">
        <v>34297728</v>
      </c>
      <c r="U104" s="10">
        <v>35100908</v>
      </c>
      <c r="V104" s="10">
        <v>35930048</v>
      </c>
      <c r="W104" s="10">
        <v>36800508</v>
      </c>
      <c r="X104" s="10">
        <v>37718952</v>
      </c>
      <c r="Y104" s="10">
        <v>38672608</v>
      </c>
      <c r="Z104" s="10">
        <v>39633752</v>
      </c>
      <c r="AA104" s="10">
        <v>40564060</v>
      </c>
      <c r="AB104" s="10">
        <v>41435760</v>
      </c>
      <c r="AC104" s="10">
        <v>42241012</v>
      </c>
      <c r="AD104" s="10">
        <v>42987460</v>
      </c>
      <c r="AE104" s="10">
        <v>43682260</v>
      </c>
      <c r="AF104" s="10">
        <v>44338544</v>
      </c>
      <c r="AG104" s="10">
        <v>44967708</v>
      </c>
      <c r="AH104" s="10">
        <v>45571272</v>
      </c>
      <c r="AI104" s="10">
        <v>46150912</v>
      </c>
      <c r="AJ104" s="10">
        <v>46719196</v>
      </c>
      <c r="AK104" s="10">
        <v>47291608</v>
      </c>
      <c r="AL104" s="10">
        <v>47880600</v>
      </c>
      <c r="AM104" s="10">
        <v>48489460</v>
      </c>
      <c r="AN104" s="10">
        <v>49119760</v>
      </c>
      <c r="AO104" s="10">
        <v>49779472</v>
      </c>
      <c r="AP104" s="10">
        <v>50477012</v>
      </c>
      <c r="AQ104" s="10">
        <v>51216964</v>
      </c>
      <c r="AR104" s="10">
        <v>52004172</v>
      </c>
      <c r="AS104" s="10">
        <v>52834004</v>
      </c>
      <c r="AT104" s="10">
        <v>53689236</v>
      </c>
      <c r="AU104" s="10">
        <v>54545992</v>
      </c>
      <c r="AV104" s="10">
        <v>55386368</v>
      </c>
      <c r="AW104" s="10">
        <v>56203656</v>
      </c>
      <c r="AX104" s="10">
        <v>57000452</v>
      </c>
      <c r="AY104" s="10">
        <v>57779624</v>
      </c>
      <c r="AZ104" s="10">
        <v>58558272</v>
      </c>
    </row>
    <row r="105" spans="2:52" x14ac:dyDescent="0.45">
      <c r="B105" t="s">
        <v>156</v>
      </c>
      <c r="C105" s="10">
        <v>12485740</v>
      </c>
      <c r="D105" s="10">
        <v>12747821</v>
      </c>
      <c r="E105" s="10">
        <v>13002231</v>
      </c>
      <c r="F105" s="10">
        <v>13252036</v>
      </c>
      <c r="G105" s="10">
        <v>13501935</v>
      </c>
      <c r="H105" s="10">
        <v>13755146</v>
      </c>
      <c r="I105" s="10">
        <v>14012899</v>
      </c>
      <c r="J105" s="10">
        <v>14273495</v>
      </c>
      <c r="K105" s="10">
        <v>14533690</v>
      </c>
      <c r="L105" s="10">
        <v>14788862</v>
      </c>
      <c r="M105" s="10">
        <v>15035834</v>
      </c>
      <c r="N105" s="10">
        <v>15272831</v>
      </c>
      <c r="O105" s="10">
        <v>15501207</v>
      </c>
      <c r="P105" s="10">
        <v>15724651</v>
      </c>
      <c r="Q105" s="10">
        <v>15948487</v>
      </c>
      <c r="R105" s="10">
        <v>16176280</v>
      </c>
      <c r="S105" s="10">
        <v>16408859</v>
      </c>
      <c r="T105" s="10">
        <v>16643952</v>
      </c>
      <c r="U105" s="10">
        <v>16878188</v>
      </c>
      <c r="V105" s="10">
        <v>17106752</v>
      </c>
      <c r="W105" s="10">
        <v>17325772</v>
      </c>
      <c r="X105" s="10">
        <v>17535728</v>
      </c>
      <c r="Y105" s="10">
        <v>17736820</v>
      </c>
      <c r="Z105" s="10">
        <v>17924824</v>
      </c>
      <c r="AA105" s="10">
        <v>18094476</v>
      </c>
      <c r="AB105" s="10">
        <v>18242912</v>
      </c>
      <c r="AC105" s="10">
        <v>18367288</v>
      </c>
      <c r="AD105" s="10">
        <v>18470900</v>
      </c>
      <c r="AE105" s="10">
        <v>18564600</v>
      </c>
      <c r="AF105" s="10">
        <v>18663284</v>
      </c>
      <c r="AG105" s="10">
        <v>18777600</v>
      </c>
      <c r="AH105" s="10">
        <v>18911730</v>
      </c>
      <c r="AI105" s="10">
        <v>19062482</v>
      </c>
      <c r="AJ105" s="10">
        <v>19224036</v>
      </c>
      <c r="AK105" s="10">
        <v>19387152</v>
      </c>
      <c r="AL105" s="10">
        <v>19544988</v>
      </c>
      <c r="AM105" s="10">
        <v>19695972</v>
      </c>
      <c r="AN105" s="10">
        <v>19842044</v>
      </c>
      <c r="AO105" s="10">
        <v>19983984</v>
      </c>
      <c r="AP105" s="10">
        <v>20123508</v>
      </c>
      <c r="AQ105" s="10">
        <v>20261736</v>
      </c>
      <c r="AR105" s="10">
        <v>20398670</v>
      </c>
      <c r="AS105" s="10">
        <v>20425000</v>
      </c>
      <c r="AT105" s="10">
        <v>20585000</v>
      </c>
      <c r="AU105" s="10">
        <v>20778000</v>
      </c>
      <c r="AV105" s="10">
        <v>20970000</v>
      </c>
      <c r="AW105" s="10">
        <v>21203000</v>
      </c>
      <c r="AX105" s="10">
        <v>21444000</v>
      </c>
      <c r="AY105" s="10">
        <v>21670000</v>
      </c>
      <c r="AZ105" s="10">
        <v>21803000</v>
      </c>
    </row>
    <row r="106" spans="2:52" x14ac:dyDescent="0.45">
      <c r="B106" t="s">
        <v>157</v>
      </c>
      <c r="C106" s="10">
        <v>10281700</v>
      </c>
      <c r="D106" s="10">
        <v>10621472</v>
      </c>
      <c r="E106" s="10">
        <v>10974622</v>
      </c>
      <c r="F106" s="10">
        <v>11343926</v>
      </c>
      <c r="G106" s="10">
        <v>11732958</v>
      </c>
      <c r="H106" s="10">
        <v>12144135</v>
      </c>
      <c r="I106" s="10">
        <v>12578407</v>
      </c>
      <c r="J106" s="10">
        <v>13034625</v>
      </c>
      <c r="K106" s="10">
        <v>13510421</v>
      </c>
      <c r="L106" s="10">
        <v>14002303</v>
      </c>
      <c r="M106" s="10">
        <v>14507468</v>
      </c>
      <c r="N106" s="10">
        <v>15027248</v>
      </c>
      <c r="O106" s="10">
        <v>15562125</v>
      </c>
      <c r="P106" s="10">
        <v>16107620</v>
      </c>
      <c r="Q106" s="10">
        <v>16657959</v>
      </c>
      <c r="R106" s="10">
        <v>17210188</v>
      </c>
      <c r="S106" s="10">
        <v>17757492</v>
      </c>
      <c r="T106" s="10">
        <v>18303436</v>
      </c>
      <c r="U106" s="10">
        <v>18867560</v>
      </c>
      <c r="V106" s="10">
        <v>19476648</v>
      </c>
      <c r="W106" s="10">
        <v>20147590</v>
      </c>
      <c r="X106" s="10">
        <v>20891440</v>
      </c>
      <c r="Y106" s="10">
        <v>21696244</v>
      </c>
      <c r="Z106" s="10">
        <v>22527834</v>
      </c>
      <c r="AA106" s="10">
        <v>23338464</v>
      </c>
      <c r="AB106" s="10">
        <v>24094748</v>
      </c>
      <c r="AC106" s="10">
        <v>24782384</v>
      </c>
      <c r="AD106" s="10">
        <v>25413916</v>
      </c>
      <c r="AE106" s="10">
        <v>26015520</v>
      </c>
      <c r="AF106" s="10">
        <v>26626520</v>
      </c>
      <c r="AG106" s="10">
        <v>27275016</v>
      </c>
      <c r="AH106" s="10">
        <v>27971082</v>
      </c>
      <c r="AI106" s="10">
        <v>28704778</v>
      </c>
      <c r="AJ106" s="10">
        <v>29460520</v>
      </c>
      <c r="AK106" s="10">
        <v>30214192</v>
      </c>
      <c r="AL106" s="10">
        <v>30949516</v>
      </c>
      <c r="AM106" s="10">
        <v>31661824</v>
      </c>
      <c r="AN106" s="10">
        <v>32360620</v>
      </c>
      <c r="AO106" s="10">
        <v>33060836</v>
      </c>
      <c r="AP106" s="10">
        <v>33783788</v>
      </c>
      <c r="AQ106" s="10">
        <v>34545012</v>
      </c>
      <c r="AR106" s="10">
        <v>35349680</v>
      </c>
      <c r="AS106" s="10">
        <v>36193784</v>
      </c>
      <c r="AT106" s="10">
        <v>37072552</v>
      </c>
      <c r="AU106" s="10">
        <v>37977656</v>
      </c>
      <c r="AV106" s="10">
        <v>38902952</v>
      </c>
      <c r="AW106" s="10">
        <v>39847440</v>
      </c>
      <c r="AX106" s="10">
        <v>40813396</v>
      </c>
      <c r="AY106" s="10">
        <v>41801532</v>
      </c>
      <c r="AZ106" s="10">
        <v>42813240</v>
      </c>
    </row>
    <row r="107" spans="2:52" x14ac:dyDescent="0.45">
      <c r="B107" t="s">
        <v>158</v>
      </c>
      <c r="C107" s="10">
        <v>367931</v>
      </c>
      <c r="D107" s="10">
        <v>369236</v>
      </c>
      <c r="E107" s="10">
        <v>367907</v>
      </c>
      <c r="F107" s="10">
        <v>364915</v>
      </c>
      <c r="G107" s="10">
        <v>361667</v>
      </c>
      <c r="H107" s="10">
        <v>359226</v>
      </c>
      <c r="I107" s="10">
        <v>357953</v>
      </c>
      <c r="J107" s="10">
        <v>357659</v>
      </c>
      <c r="K107" s="10">
        <v>358099</v>
      </c>
      <c r="L107" s="10">
        <v>358818</v>
      </c>
      <c r="M107" s="10">
        <v>359519</v>
      </c>
      <c r="N107" s="10">
        <v>360143</v>
      </c>
      <c r="O107" s="10">
        <v>360920</v>
      </c>
      <c r="P107" s="10">
        <v>362276</v>
      </c>
      <c r="Q107" s="10">
        <v>364733</v>
      </c>
      <c r="R107" s="10">
        <v>368638</v>
      </c>
      <c r="S107" s="10">
        <v>374140</v>
      </c>
      <c r="T107" s="10">
        <v>381037</v>
      </c>
      <c r="U107" s="10">
        <v>388881</v>
      </c>
      <c r="V107" s="10">
        <v>397085</v>
      </c>
      <c r="W107" s="10">
        <v>405168</v>
      </c>
      <c r="X107" s="10">
        <v>413005</v>
      </c>
      <c r="Y107" s="10">
        <v>420655</v>
      </c>
      <c r="Z107" s="10">
        <v>428030</v>
      </c>
      <c r="AA107" s="10">
        <v>435105</v>
      </c>
      <c r="AB107" s="10">
        <v>441851</v>
      </c>
      <c r="AC107" s="10">
        <v>448213</v>
      </c>
      <c r="AD107" s="10">
        <v>454161</v>
      </c>
      <c r="AE107" s="10">
        <v>459831</v>
      </c>
      <c r="AF107" s="10">
        <v>465385</v>
      </c>
      <c r="AG107" s="10">
        <v>470949</v>
      </c>
      <c r="AH107" s="10">
        <v>476579</v>
      </c>
      <c r="AI107" s="10">
        <v>482235</v>
      </c>
      <c r="AJ107" s="10">
        <v>487942</v>
      </c>
      <c r="AK107" s="10">
        <v>493679</v>
      </c>
      <c r="AL107" s="10">
        <v>499464</v>
      </c>
      <c r="AM107" s="10">
        <v>505295</v>
      </c>
      <c r="AN107" s="10">
        <v>511181</v>
      </c>
      <c r="AO107" s="10">
        <v>517123</v>
      </c>
      <c r="AP107" s="10">
        <v>523111</v>
      </c>
      <c r="AQ107" s="10">
        <v>529131</v>
      </c>
      <c r="AR107" s="10">
        <v>535179</v>
      </c>
      <c r="AS107" s="10">
        <v>541245</v>
      </c>
      <c r="AT107" s="10">
        <v>547291</v>
      </c>
      <c r="AU107" s="10">
        <v>553273</v>
      </c>
      <c r="AV107" s="10">
        <v>559143</v>
      </c>
      <c r="AW107" s="10">
        <v>564888</v>
      </c>
      <c r="AX107" s="10">
        <v>570496</v>
      </c>
      <c r="AY107" s="10">
        <v>575991</v>
      </c>
      <c r="AZ107" s="10">
        <v>581372</v>
      </c>
    </row>
    <row r="108" spans="2:52" x14ac:dyDescent="0.45">
      <c r="B108" t="s">
        <v>225</v>
      </c>
      <c r="C108" s="10">
        <v>431253</v>
      </c>
      <c r="D108" s="10">
        <v>443977</v>
      </c>
      <c r="E108" s="10">
        <v>457039</v>
      </c>
      <c r="F108" s="10">
        <v>470559</v>
      </c>
      <c r="G108" s="10">
        <v>484749</v>
      </c>
      <c r="H108" s="10">
        <v>499763</v>
      </c>
      <c r="I108" s="10">
        <v>515599</v>
      </c>
      <c r="J108" s="10">
        <v>532260</v>
      </c>
      <c r="K108" s="10">
        <v>549796</v>
      </c>
      <c r="L108" s="10">
        <v>568315</v>
      </c>
      <c r="M108" s="10">
        <v>587858</v>
      </c>
      <c r="N108" s="10">
        <v>608380</v>
      </c>
      <c r="O108" s="10">
        <v>629811</v>
      </c>
      <c r="P108" s="10">
        <v>652115</v>
      </c>
      <c r="Q108" s="10">
        <v>675239</v>
      </c>
      <c r="R108" s="10">
        <v>699080</v>
      </c>
      <c r="S108" s="10">
        <v>723595</v>
      </c>
      <c r="T108" s="10">
        <v>748632</v>
      </c>
      <c r="U108" s="10">
        <v>773768</v>
      </c>
      <c r="V108" s="10">
        <v>798507</v>
      </c>
      <c r="W108" s="10">
        <v>822420</v>
      </c>
      <c r="X108" s="10">
        <v>845266</v>
      </c>
      <c r="Y108" s="10">
        <v>866993</v>
      </c>
      <c r="Z108" s="10">
        <v>887706</v>
      </c>
      <c r="AA108" s="10">
        <v>907620</v>
      </c>
      <c r="AB108" s="10">
        <v>926841</v>
      </c>
      <c r="AC108" s="10">
        <v>945508</v>
      </c>
      <c r="AD108" s="10">
        <v>963426</v>
      </c>
      <c r="AE108" s="10">
        <v>979918</v>
      </c>
      <c r="AF108" s="10">
        <v>994108</v>
      </c>
      <c r="AG108" s="10">
        <v>1005435</v>
      </c>
      <c r="AH108" s="10">
        <v>1013609</v>
      </c>
      <c r="AI108" s="10">
        <v>1019059</v>
      </c>
      <c r="AJ108" s="10">
        <v>1022802</v>
      </c>
      <c r="AK108" s="10">
        <v>1026286</v>
      </c>
      <c r="AL108" s="10">
        <v>1030579</v>
      </c>
      <c r="AM108" s="10">
        <v>1036092</v>
      </c>
      <c r="AN108" s="10">
        <v>1042652</v>
      </c>
      <c r="AO108" s="10">
        <v>1049945</v>
      </c>
      <c r="AP108" s="10">
        <v>1057467</v>
      </c>
      <c r="AQ108" s="10">
        <v>1064837</v>
      </c>
      <c r="AR108" s="10">
        <v>1072032</v>
      </c>
      <c r="AS108" s="10">
        <v>1079288</v>
      </c>
      <c r="AT108" s="10">
        <v>1086839</v>
      </c>
      <c r="AU108" s="10">
        <v>1095021</v>
      </c>
      <c r="AV108" s="10">
        <v>1104044</v>
      </c>
      <c r="AW108" s="10">
        <v>1113984</v>
      </c>
      <c r="AX108" s="10">
        <v>1124753</v>
      </c>
      <c r="AY108" s="10">
        <v>1136191</v>
      </c>
      <c r="AZ108" s="10">
        <v>1148130</v>
      </c>
    </row>
    <row r="109" spans="2:52" x14ac:dyDescent="0.45">
      <c r="B109" t="s">
        <v>159</v>
      </c>
      <c r="C109" s="10">
        <v>36884536</v>
      </c>
      <c r="D109" s="10">
        <v>37963280</v>
      </c>
      <c r="E109" s="10">
        <v>39058604</v>
      </c>
      <c r="F109" s="10">
        <v>40159584</v>
      </c>
      <c r="G109" s="10">
        <v>41252324</v>
      </c>
      <c r="H109" s="10">
        <v>42326312</v>
      </c>
      <c r="I109" s="10">
        <v>43377272</v>
      </c>
      <c r="J109" s="10">
        <v>44405904</v>
      </c>
      <c r="K109" s="10">
        <v>45413080</v>
      </c>
      <c r="L109" s="10">
        <v>46401752</v>
      </c>
      <c r="M109" s="10">
        <v>47374472</v>
      </c>
      <c r="N109" s="10">
        <v>48326272</v>
      </c>
      <c r="O109" s="10">
        <v>49255900</v>
      </c>
      <c r="P109" s="10">
        <v>50173924</v>
      </c>
      <c r="Q109" s="10">
        <v>51094868</v>
      </c>
      <c r="R109" s="10">
        <v>52026900</v>
      </c>
      <c r="S109" s="10">
        <v>52980096</v>
      </c>
      <c r="T109" s="10">
        <v>53945880</v>
      </c>
      <c r="U109" s="10">
        <v>54891520</v>
      </c>
      <c r="V109" s="10">
        <v>55772168</v>
      </c>
      <c r="W109" s="10">
        <v>56558184</v>
      </c>
      <c r="X109" s="10">
        <v>57232464</v>
      </c>
      <c r="Y109" s="10">
        <v>57811020</v>
      </c>
      <c r="Z109" s="10">
        <v>58337772</v>
      </c>
      <c r="AA109" s="10">
        <v>58875268</v>
      </c>
      <c r="AB109" s="10">
        <v>59467272</v>
      </c>
      <c r="AC109" s="10">
        <v>60130184</v>
      </c>
      <c r="AD109" s="10">
        <v>60846584</v>
      </c>
      <c r="AE109" s="10">
        <v>61585104</v>
      </c>
      <c r="AF109" s="10">
        <v>62298572</v>
      </c>
      <c r="AG109" s="10">
        <v>62952640</v>
      </c>
      <c r="AH109" s="10">
        <v>63539196</v>
      </c>
      <c r="AI109" s="10">
        <v>64069088</v>
      </c>
      <c r="AJ109" s="10">
        <v>64549864</v>
      </c>
      <c r="AK109" s="10">
        <v>64995300</v>
      </c>
      <c r="AL109" s="10">
        <v>65416188</v>
      </c>
      <c r="AM109" s="10">
        <v>65812536</v>
      </c>
      <c r="AN109" s="10">
        <v>66182068</v>
      </c>
      <c r="AO109" s="10">
        <v>66530984</v>
      </c>
      <c r="AP109" s="10">
        <v>66866840</v>
      </c>
      <c r="AQ109" s="10">
        <v>67195024</v>
      </c>
      <c r="AR109" s="10">
        <v>67518384</v>
      </c>
      <c r="AS109" s="10">
        <v>67835960</v>
      </c>
      <c r="AT109" s="10">
        <v>68144504</v>
      </c>
      <c r="AU109" s="10">
        <v>68438728</v>
      </c>
      <c r="AV109" s="10">
        <v>68714512</v>
      </c>
      <c r="AW109" s="10">
        <v>68971328</v>
      </c>
      <c r="AX109" s="10">
        <v>69209856</v>
      </c>
      <c r="AY109" s="10">
        <v>69428528</v>
      </c>
      <c r="AZ109" s="10">
        <v>69625584</v>
      </c>
    </row>
    <row r="110" spans="2:52" x14ac:dyDescent="0.45">
      <c r="B110" t="s">
        <v>160</v>
      </c>
      <c r="C110" s="10">
        <v>2115522</v>
      </c>
      <c r="D110" s="10">
        <v>2185662</v>
      </c>
      <c r="E110" s="10">
        <v>2247582</v>
      </c>
      <c r="F110" s="10">
        <v>2303345</v>
      </c>
      <c r="G110" s="10">
        <v>2356622</v>
      </c>
      <c r="H110" s="10">
        <v>2410446</v>
      </c>
      <c r="I110" s="10">
        <v>2464423</v>
      </c>
      <c r="J110" s="10">
        <v>2518457</v>
      </c>
      <c r="K110" s="10">
        <v>2576292</v>
      </c>
      <c r="L110" s="10">
        <v>2642696</v>
      </c>
      <c r="M110" s="10">
        <v>2720839</v>
      </c>
      <c r="N110" s="10">
        <v>2812307</v>
      </c>
      <c r="O110" s="10">
        <v>2915620</v>
      </c>
      <c r="P110" s="10">
        <v>3026973</v>
      </c>
      <c r="Q110" s="10">
        <v>3140846</v>
      </c>
      <c r="R110" s="10">
        <v>3252994</v>
      </c>
      <c r="S110" s="10">
        <v>3363042</v>
      </c>
      <c r="T110" s="10">
        <v>3471739</v>
      </c>
      <c r="U110" s="10">
        <v>3577468</v>
      </c>
      <c r="V110" s="10">
        <v>3678567</v>
      </c>
      <c r="W110" s="10">
        <v>3774312</v>
      </c>
      <c r="X110" s="10">
        <v>3862992</v>
      </c>
      <c r="Y110" s="10">
        <v>3945905</v>
      </c>
      <c r="Z110" s="10">
        <v>4029053</v>
      </c>
      <c r="AA110" s="10">
        <v>4120616</v>
      </c>
      <c r="AB110" s="10">
        <v>4226291</v>
      </c>
      <c r="AC110" s="10">
        <v>4348805</v>
      </c>
      <c r="AD110" s="10">
        <v>4485951</v>
      </c>
      <c r="AE110" s="10">
        <v>4632446</v>
      </c>
      <c r="AF110" s="10">
        <v>4780448</v>
      </c>
      <c r="AG110" s="10">
        <v>4924402</v>
      </c>
      <c r="AH110" s="10">
        <v>5062567</v>
      </c>
      <c r="AI110" s="10">
        <v>5197031</v>
      </c>
      <c r="AJ110" s="10">
        <v>5330639</v>
      </c>
      <c r="AK110" s="10">
        <v>5467766</v>
      </c>
      <c r="AL110" s="10">
        <v>5611640</v>
      </c>
      <c r="AM110" s="10">
        <v>5762880</v>
      </c>
      <c r="AN110" s="10">
        <v>5920359</v>
      </c>
      <c r="AO110" s="10">
        <v>6083420</v>
      </c>
      <c r="AP110" s="10">
        <v>6250835</v>
      </c>
      <c r="AQ110" s="10">
        <v>6421679</v>
      </c>
      <c r="AR110" s="10">
        <v>6595943</v>
      </c>
      <c r="AS110" s="10">
        <v>6773807</v>
      </c>
      <c r="AT110" s="10">
        <v>6954721</v>
      </c>
      <c r="AU110" s="10">
        <v>7137997</v>
      </c>
      <c r="AV110" s="10">
        <v>7323158</v>
      </c>
      <c r="AW110" s="10">
        <v>7509952</v>
      </c>
      <c r="AX110" s="10">
        <v>7698475</v>
      </c>
      <c r="AY110" s="10">
        <v>7889094</v>
      </c>
      <c r="AZ110" s="10">
        <v>8082366</v>
      </c>
    </row>
    <row r="111" spans="2:52" x14ac:dyDescent="0.45">
      <c r="B111" t="s">
        <v>161</v>
      </c>
      <c r="C111" s="10">
        <v>945360</v>
      </c>
      <c r="D111" s="10">
        <v>955741</v>
      </c>
      <c r="E111" s="10">
        <v>968136</v>
      </c>
      <c r="F111" s="10">
        <v>982010</v>
      </c>
      <c r="G111" s="10">
        <v>996493</v>
      </c>
      <c r="H111" s="10">
        <v>1010936</v>
      </c>
      <c r="I111" s="10">
        <v>1025107</v>
      </c>
      <c r="J111" s="10">
        <v>1039212</v>
      </c>
      <c r="K111" s="10">
        <v>1053558</v>
      </c>
      <c r="L111" s="10">
        <v>1068640</v>
      </c>
      <c r="M111" s="10">
        <v>1084744</v>
      </c>
      <c r="N111" s="10">
        <v>1101983</v>
      </c>
      <c r="O111" s="10">
        <v>1120020</v>
      </c>
      <c r="P111" s="10">
        <v>1138071</v>
      </c>
      <c r="Q111" s="10">
        <v>1155074</v>
      </c>
      <c r="R111" s="10">
        <v>1170285</v>
      </c>
      <c r="S111" s="10">
        <v>1183381</v>
      </c>
      <c r="T111" s="10">
        <v>1194541</v>
      </c>
      <c r="U111" s="10">
        <v>1204153</v>
      </c>
      <c r="V111" s="10">
        <v>1212857</v>
      </c>
      <c r="W111" s="10">
        <v>1221116</v>
      </c>
      <c r="X111" s="10">
        <v>1229103</v>
      </c>
      <c r="Y111" s="10">
        <v>1236683</v>
      </c>
      <c r="Z111" s="10">
        <v>1243616</v>
      </c>
      <c r="AA111" s="10">
        <v>1249520</v>
      </c>
      <c r="AB111" s="10">
        <v>1254200</v>
      </c>
      <c r="AC111" s="10">
        <v>1257549</v>
      </c>
      <c r="AD111" s="10">
        <v>1259848</v>
      </c>
      <c r="AE111" s="10">
        <v>1261695</v>
      </c>
      <c r="AF111" s="10">
        <v>1263933</v>
      </c>
      <c r="AG111" s="10">
        <v>1267153</v>
      </c>
      <c r="AH111" s="10">
        <v>1271632</v>
      </c>
      <c r="AI111" s="10">
        <v>1277213</v>
      </c>
      <c r="AJ111" s="10">
        <v>1283559</v>
      </c>
      <c r="AK111" s="10">
        <v>1290123</v>
      </c>
      <c r="AL111" s="10">
        <v>1296502</v>
      </c>
      <c r="AM111" s="10">
        <v>1302561</v>
      </c>
      <c r="AN111" s="10">
        <v>1308451</v>
      </c>
      <c r="AO111" s="10">
        <v>1314443</v>
      </c>
      <c r="AP111" s="10">
        <v>1320930</v>
      </c>
      <c r="AQ111" s="10">
        <v>1328147</v>
      </c>
      <c r="AR111" s="10">
        <v>1336178</v>
      </c>
      <c r="AS111" s="10">
        <v>1344817</v>
      </c>
      <c r="AT111" s="10">
        <v>1353700</v>
      </c>
      <c r="AU111" s="10">
        <v>1362342</v>
      </c>
      <c r="AV111" s="10">
        <v>1370328</v>
      </c>
      <c r="AW111" s="10">
        <v>1377564</v>
      </c>
      <c r="AX111" s="10">
        <v>1384072</v>
      </c>
      <c r="AY111" s="10">
        <v>1389858</v>
      </c>
      <c r="AZ111" s="10">
        <v>1394973</v>
      </c>
    </row>
    <row r="112" spans="2:52" x14ac:dyDescent="0.45">
      <c r="B112" t="s">
        <v>226</v>
      </c>
      <c r="C112" s="10">
        <v>5063809</v>
      </c>
      <c r="D112" s="10">
        <v>5176295</v>
      </c>
      <c r="E112" s="10">
        <v>5291338</v>
      </c>
      <c r="F112" s="10">
        <v>5409343</v>
      </c>
      <c r="G112" s="10">
        <v>5530975</v>
      </c>
      <c r="H112" s="10">
        <v>5656914</v>
      </c>
      <c r="I112" s="10">
        <v>5786478</v>
      </c>
      <c r="J112" s="10">
        <v>5919965</v>
      </c>
      <c r="K112" s="10">
        <v>6060151</v>
      </c>
      <c r="L112" s="10">
        <v>6210756</v>
      </c>
      <c r="M112" s="10">
        <v>6374039</v>
      </c>
      <c r="N112" s="10">
        <v>6551231</v>
      </c>
      <c r="O112" s="10">
        <v>6740529</v>
      </c>
      <c r="P112" s="10">
        <v>6937331</v>
      </c>
      <c r="Q112" s="10">
        <v>7135270</v>
      </c>
      <c r="R112" s="10">
        <v>7329594</v>
      </c>
      <c r="S112" s="10">
        <v>7517858</v>
      </c>
      <c r="T112" s="10">
        <v>7700736</v>
      </c>
      <c r="U112" s="10">
        <v>7880332</v>
      </c>
      <c r="V112" s="10">
        <v>8060210</v>
      </c>
      <c r="W112" s="10">
        <v>8242496</v>
      </c>
      <c r="X112" s="10">
        <v>8427857</v>
      </c>
      <c r="Y112" s="10">
        <v>8613861</v>
      </c>
      <c r="Z112" s="10">
        <v>8795932</v>
      </c>
      <c r="AA112" s="10">
        <v>8967916</v>
      </c>
      <c r="AB112" s="10">
        <v>9125398</v>
      </c>
      <c r="AC112" s="10">
        <v>9267340</v>
      </c>
      <c r="AD112" s="10">
        <v>9395123</v>
      </c>
      <c r="AE112" s="10">
        <v>9509857</v>
      </c>
      <c r="AF112" s="10">
        <v>9613588</v>
      </c>
      <c r="AG112" s="10">
        <v>9708350</v>
      </c>
      <c r="AH112" s="10">
        <v>9793903</v>
      </c>
      <c r="AI112" s="10">
        <v>9871251</v>
      </c>
      <c r="AJ112" s="10">
        <v>9945277</v>
      </c>
      <c r="AK112" s="10">
        <v>10022277</v>
      </c>
      <c r="AL112" s="10">
        <v>10106771</v>
      </c>
      <c r="AM112" s="10">
        <v>10201214</v>
      </c>
      <c r="AN112" s="10">
        <v>10304726</v>
      </c>
      <c r="AO112" s="10">
        <v>10414433</v>
      </c>
      <c r="AP112" s="10">
        <v>10525694</v>
      </c>
      <c r="AQ112" s="10">
        <v>10635244</v>
      </c>
      <c r="AR112" s="10">
        <v>10741880</v>
      </c>
      <c r="AS112" s="10">
        <v>10847002</v>
      </c>
      <c r="AT112" s="10">
        <v>10952951</v>
      </c>
      <c r="AU112" s="10">
        <v>11063201</v>
      </c>
      <c r="AV112" s="10">
        <v>11179949</v>
      </c>
      <c r="AW112" s="10">
        <v>11303946</v>
      </c>
      <c r="AX112" s="10">
        <v>11433443</v>
      </c>
      <c r="AY112" s="10">
        <v>11565204</v>
      </c>
      <c r="AZ112" s="10">
        <v>11694719</v>
      </c>
    </row>
    <row r="113" spans="2:52" x14ac:dyDescent="0.45">
      <c r="B113" t="s">
        <v>162</v>
      </c>
      <c r="C113" s="10">
        <v>34876304</v>
      </c>
      <c r="D113" s="10">
        <v>35720600</v>
      </c>
      <c r="E113" s="10">
        <v>36587260</v>
      </c>
      <c r="F113" s="10">
        <v>37472336</v>
      </c>
      <c r="G113" s="10">
        <v>38370284</v>
      </c>
      <c r="H113" s="10">
        <v>39277256</v>
      </c>
      <c r="I113" s="10">
        <v>40189568</v>
      </c>
      <c r="J113" s="10">
        <v>41108296</v>
      </c>
      <c r="K113" s="10">
        <v>42039992</v>
      </c>
      <c r="L113" s="10">
        <v>42994040</v>
      </c>
      <c r="M113" s="10">
        <v>43975972</v>
      </c>
      <c r="N113" s="10">
        <v>44988416</v>
      </c>
      <c r="O113" s="10">
        <v>46025412</v>
      </c>
      <c r="P113" s="10">
        <v>47073472</v>
      </c>
      <c r="Q113" s="10">
        <v>48114156</v>
      </c>
      <c r="R113" s="10">
        <v>49133936</v>
      </c>
      <c r="S113" s="10">
        <v>50128540</v>
      </c>
      <c r="T113" s="10">
        <v>51100924</v>
      </c>
      <c r="U113" s="10">
        <v>52053764</v>
      </c>
      <c r="V113" s="10">
        <v>52992488</v>
      </c>
      <c r="W113" s="10">
        <v>53921760</v>
      </c>
      <c r="X113" s="10">
        <v>54840592</v>
      </c>
      <c r="Y113" s="10">
        <v>55748948</v>
      </c>
      <c r="Z113" s="10">
        <v>56653804</v>
      </c>
      <c r="AA113" s="10">
        <v>57564204</v>
      </c>
      <c r="AB113" s="10">
        <v>58486456</v>
      </c>
      <c r="AC113" s="10">
        <v>59423280</v>
      </c>
      <c r="AD113" s="10">
        <v>60372568</v>
      </c>
      <c r="AE113" s="10">
        <v>61329676</v>
      </c>
      <c r="AF113" s="10">
        <v>62287396</v>
      </c>
      <c r="AG113" s="10">
        <v>63240192</v>
      </c>
      <c r="AH113" s="10">
        <v>64192244</v>
      </c>
      <c r="AI113" s="10">
        <v>65145368</v>
      </c>
      <c r="AJ113" s="10">
        <v>66089400</v>
      </c>
      <c r="AK113" s="10">
        <v>67010928</v>
      </c>
      <c r="AL113" s="10">
        <v>67903472</v>
      </c>
      <c r="AM113" s="10">
        <v>68756808</v>
      </c>
      <c r="AN113" s="10">
        <v>69581848</v>
      </c>
      <c r="AO113" s="10">
        <v>70418608</v>
      </c>
      <c r="AP113" s="10">
        <v>71321400</v>
      </c>
      <c r="AQ113" s="10">
        <v>72326992</v>
      </c>
      <c r="AR113" s="10">
        <v>73443864</v>
      </c>
      <c r="AS113" s="10">
        <v>74653016</v>
      </c>
      <c r="AT113" s="10">
        <v>75928560</v>
      </c>
      <c r="AU113" s="10">
        <v>77231904</v>
      </c>
      <c r="AV113" s="10">
        <v>78529408</v>
      </c>
      <c r="AW113" s="10">
        <v>79821728</v>
      </c>
      <c r="AX113" s="10">
        <v>81101888</v>
      </c>
      <c r="AY113" s="10">
        <v>82319728</v>
      </c>
      <c r="AZ113" s="10">
        <v>83429616</v>
      </c>
    </row>
    <row r="114" spans="2:52" x14ac:dyDescent="0.45">
      <c r="B114" t="s">
        <v>163</v>
      </c>
      <c r="C114" s="10">
        <v>2809793</v>
      </c>
      <c r="D114" s="10">
        <v>2818281</v>
      </c>
      <c r="E114" s="10">
        <v>2821461</v>
      </c>
      <c r="F114" s="10">
        <v>2822117</v>
      </c>
      <c r="G114" s="10">
        <v>2824095</v>
      </c>
      <c r="H114" s="10">
        <v>2830176</v>
      </c>
      <c r="I114" s="10">
        <v>2841372</v>
      </c>
      <c r="J114" s="10">
        <v>2856958</v>
      </c>
      <c r="K114" s="10">
        <v>2875728</v>
      </c>
      <c r="L114" s="10">
        <v>2895688</v>
      </c>
      <c r="M114" s="10">
        <v>2915389</v>
      </c>
      <c r="N114" s="10">
        <v>2934613</v>
      </c>
      <c r="O114" s="10">
        <v>2953852</v>
      </c>
      <c r="P114" s="10">
        <v>2973036</v>
      </c>
      <c r="Q114" s="10">
        <v>2992246</v>
      </c>
      <c r="R114" s="10">
        <v>3011519</v>
      </c>
      <c r="S114" s="10">
        <v>3030649</v>
      </c>
      <c r="T114" s="10">
        <v>3049581</v>
      </c>
      <c r="U114" s="10">
        <v>3068705</v>
      </c>
      <c r="V114" s="10">
        <v>3088595</v>
      </c>
      <c r="W114" s="10">
        <v>3109601</v>
      </c>
      <c r="X114" s="10">
        <v>3131660</v>
      </c>
      <c r="Y114" s="10">
        <v>3154464</v>
      </c>
      <c r="Z114" s="10">
        <v>3177745</v>
      </c>
      <c r="AA114" s="10">
        <v>3201151</v>
      </c>
      <c r="AB114" s="10">
        <v>3224281</v>
      </c>
      <c r="AC114" s="10">
        <v>3247381</v>
      </c>
      <c r="AD114" s="10">
        <v>3270164</v>
      </c>
      <c r="AE114" s="10">
        <v>3291053</v>
      </c>
      <c r="AF114" s="10">
        <v>3308012</v>
      </c>
      <c r="AG114" s="10">
        <v>3319736</v>
      </c>
      <c r="AH114" s="10">
        <v>3325473</v>
      </c>
      <c r="AI114" s="10">
        <v>3326040</v>
      </c>
      <c r="AJ114" s="10">
        <v>3323668</v>
      </c>
      <c r="AK114" s="10">
        <v>3321476</v>
      </c>
      <c r="AL114" s="10">
        <v>3321803</v>
      </c>
      <c r="AM114" s="10">
        <v>3325401</v>
      </c>
      <c r="AN114" s="10">
        <v>3331749</v>
      </c>
      <c r="AO114" s="10">
        <v>3340221</v>
      </c>
      <c r="AP114" s="10">
        <v>3349676</v>
      </c>
      <c r="AQ114" s="10">
        <v>3359275</v>
      </c>
      <c r="AR114" s="10">
        <v>3368934</v>
      </c>
      <c r="AS114" s="10">
        <v>3378974</v>
      </c>
      <c r="AT114" s="10">
        <v>3389439</v>
      </c>
      <c r="AU114" s="10">
        <v>3400434</v>
      </c>
      <c r="AV114" s="10">
        <v>3412009</v>
      </c>
      <c r="AW114" s="10">
        <v>3424132</v>
      </c>
      <c r="AX114" s="10">
        <v>3436646</v>
      </c>
      <c r="AY114" s="10">
        <v>3449299</v>
      </c>
      <c r="AZ114" s="10">
        <v>3461734</v>
      </c>
    </row>
    <row r="115" spans="2:52" x14ac:dyDescent="0.45">
      <c r="B115" t="s">
        <v>164</v>
      </c>
      <c r="C115" s="10">
        <v>4179067</v>
      </c>
      <c r="D115" s="10">
        <v>4319224</v>
      </c>
      <c r="E115" s="10">
        <v>4466174</v>
      </c>
      <c r="F115" s="10">
        <v>4619546</v>
      </c>
      <c r="G115" s="10">
        <v>4778724</v>
      </c>
      <c r="H115" s="10">
        <v>4943283</v>
      </c>
      <c r="I115" s="10">
        <v>5112823</v>
      </c>
      <c r="J115" s="10">
        <v>5287548</v>
      </c>
      <c r="K115" s="10">
        <v>5468262</v>
      </c>
      <c r="L115" s="10">
        <v>5656139</v>
      </c>
      <c r="M115" s="10">
        <v>5851825</v>
      </c>
      <c r="N115" s="10">
        <v>6055366</v>
      </c>
      <c r="O115" s="10">
        <v>6265864</v>
      </c>
      <c r="P115" s="10">
        <v>6481916</v>
      </c>
      <c r="Q115" s="10">
        <v>6701540</v>
      </c>
      <c r="R115" s="10">
        <v>6923149</v>
      </c>
      <c r="S115" s="10">
        <v>7146969</v>
      </c>
      <c r="T115" s="10">
        <v>7372837</v>
      </c>
      <c r="U115" s="10">
        <v>7598275</v>
      </c>
      <c r="V115" s="10">
        <v>7820205</v>
      </c>
      <c r="W115" s="10">
        <v>8036845</v>
      </c>
      <c r="X115" s="10">
        <v>8246656</v>
      </c>
      <c r="Y115" s="10">
        <v>8451347</v>
      </c>
      <c r="Z115" s="10">
        <v>8656486</v>
      </c>
      <c r="AA115" s="10">
        <v>8869740</v>
      </c>
      <c r="AB115" s="10">
        <v>9096607</v>
      </c>
      <c r="AC115" s="10">
        <v>9339733</v>
      </c>
      <c r="AD115" s="10">
        <v>9597609</v>
      </c>
      <c r="AE115" s="10">
        <v>9866476</v>
      </c>
      <c r="AF115" s="10">
        <v>10140561</v>
      </c>
      <c r="AG115" s="10">
        <v>10415944</v>
      </c>
      <c r="AH115" s="10">
        <v>10692193</v>
      </c>
      <c r="AI115" s="10">
        <v>10971698</v>
      </c>
      <c r="AJ115" s="10">
        <v>11256743</v>
      </c>
      <c r="AK115" s="10">
        <v>11550642</v>
      </c>
      <c r="AL115" s="10">
        <v>11856247</v>
      </c>
      <c r="AM115" s="10">
        <v>12173514</v>
      </c>
      <c r="AN115" s="10">
        <v>12502958</v>
      </c>
      <c r="AO115" s="10">
        <v>12848530</v>
      </c>
      <c r="AP115" s="10">
        <v>13215139</v>
      </c>
      <c r="AQ115" s="10">
        <v>13605984</v>
      </c>
      <c r="AR115" s="10">
        <v>14023193</v>
      </c>
      <c r="AS115" s="10">
        <v>14465121</v>
      </c>
      <c r="AT115" s="10">
        <v>14926504</v>
      </c>
      <c r="AU115" s="10">
        <v>15399753</v>
      </c>
      <c r="AV115" s="10">
        <v>15879361</v>
      </c>
      <c r="AW115" s="10">
        <v>16363507</v>
      </c>
      <c r="AX115" s="10">
        <v>16853688</v>
      </c>
      <c r="AY115" s="10">
        <v>17351822</v>
      </c>
      <c r="AZ115" s="10">
        <v>17861030</v>
      </c>
    </row>
    <row r="116" spans="2:52" x14ac:dyDescent="0.45">
      <c r="B116" t="s">
        <v>165</v>
      </c>
      <c r="C116" s="10">
        <v>5289303</v>
      </c>
      <c r="D116" s="10">
        <v>5476982</v>
      </c>
      <c r="E116" s="10">
        <v>5673911</v>
      </c>
      <c r="F116" s="10">
        <v>5877726</v>
      </c>
      <c r="G116" s="10">
        <v>6085074</v>
      </c>
      <c r="H116" s="10">
        <v>6293875</v>
      </c>
      <c r="I116" s="10">
        <v>6502569</v>
      </c>
      <c r="J116" s="10">
        <v>6712827</v>
      </c>
      <c r="K116" s="10">
        <v>6929664</v>
      </c>
      <c r="L116" s="10">
        <v>7160023</v>
      </c>
      <c r="M116" s="10">
        <v>7408624</v>
      </c>
      <c r="N116" s="10">
        <v>7675591</v>
      </c>
      <c r="O116" s="10">
        <v>7958241</v>
      </c>
      <c r="P116" s="10">
        <v>8254747</v>
      </c>
      <c r="Q116" s="10">
        <v>8562249</v>
      </c>
      <c r="R116" s="10">
        <v>8877489</v>
      </c>
      <c r="S116" s="10">
        <v>9200149</v>
      </c>
      <c r="T116" s="10">
        <v>9527203</v>
      </c>
      <c r="U116" s="10">
        <v>9849125</v>
      </c>
      <c r="V116" s="10">
        <v>10153852</v>
      </c>
      <c r="W116" s="10">
        <v>10432421</v>
      </c>
      <c r="X116" s="10">
        <v>10680995</v>
      </c>
      <c r="Y116" s="10">
        <v>10900502</v>
      </c>
      <c r="Z116" s="10">
        <v>11092766</v>
      </c>
      <c r="AA116" s="10">
        <v>11261744</v>
      </c>
      <c r="AB116" s="10">
        <v>11410714</v>
      </c>
      <c r="AC116" s="10">
        <v>11541217</v>
      </c>
      <c r="AD116" s="10">
        <v>11653242</v>
      </c>
      <c r="AE116" s="10">
        <v>11747072</v>
      </c>
      <c r="AF116" s="10">
        <v>11822719</v>
      </c>
      <c r="AG116" s="10">
        <v>11881477</v>
      </c>
      <c r="AH116" s="10">
        <v>11923914</v>
      </c>
      <c r="AI116" s="10">
        <v>11954290</v>
      </c>
      <c r="AJ116" s="10">
        <v>11982224</v>
      </c>
      <c r="AK116" s="10">
        <v>12019912</v>
      </c>
      <c r="AL116" s="10">
        <v>12076699</v>
      </c>
      <c r="AM116" s="10">
        <v>12155491</v>
      </c>
      <c r="AN116" s="10">
        <v>12255922</v>
      </c>
      <c r="AO116" s="10">
        <v>12379549</v>
      </c>
      <c r="AP116" s="10">
        <v>12526968</v>
      </c>
      <c r="AQ116" s="10">
        <v>12697723</v>
      </c>
      <c r="AR116" s="10">
        <v>12894316</v>
      </c>
      <c r="AS116" s="10">
        <v>13115131</v>
      </c>
      <c r="AT116" s="10">
        <v>13350356</v>
      </c>
      <c r="AU116" s="10">
        <v>13586681</v>
      </c>
      <c r="AV116" s="10">
        <v>13814629</v>
      </c>
      <c r="AW116" s="10">
        <v>14030390</v>
      </c>
      <c r="AX116" s="10">
        <v>14236745</v>
      </c>
      <c r="AY116" s="10">
        <v>14439018</v>
      </c>
      <c r="AZ116" s="10">
        <v>14645468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A0DA-3446-4B50-AC05-297F08F1834C}">
  <sheetPr codeName="Sheet3"/>
  <dimension ref="A1:CG116"/>
  <sheetViews>
    <sheetView workbookViewId="0">
      <pane xSplit="2" ySplit="12" topLeftCell="AN13" activePane="bottomRight" state="frozen"/>
      <selection pane="topRight" activeCell="C1" sqref="C1"/>
      <selection pane="bottomLeft" activeCell="A13" sqref="A13"/>
      <selection pane="bottomRight" activeCell="B1" sqref="B1"/>
    </sheetView>
  </sheetViews>
  <sheetFormatPr defaultRowHeight="14.25" x14ac:dyDescent="0.45"/>
  <cols>
    <col min="1" max="1" width="24.265625" customWidth="1"/>
    <col min="2" max="2" width="21.59765625" bestFit="1" customWidth="1"/>
    <col min="3" max="12" width="16.9296875" bestFit="1" customWidth="1"/>
    <col min="13" max="50" width="17.9296875" bestFit="1" customWidth="1"/>
    <col min="51" max="61" width="4.53125" bestFit="1" customWidth="1"/>
    <col min="62" max="62" width="11.73046875" bestFit="1" customWidth="1"/>
    <col min="63" max="63" width="8.73046875" bestFit="1" customWidth="1"/>
    <col min="64" max="64" width="11.73046875" bestFit="1" customWidth="1"/>
    <col min="65" max="75" width="11.59765625" bestFit="1" customWidth="1"/>
    <col min="76" max="77" width="11.73046875" bestFit="1" customWidth="1"/>
    <col min="78" max="81" width="11.59765625" bestFit="1" customWidth="1"/>
    <col min="82" max="91" width="11.73046875" bestFit="1" customWidth="1"/>
    <col min="92" max="110" width="11.59765625" bestFit="1" customWidth="1"/>
    <col min="111" max="146" width="11.73046875" bestFit="1" customWidth="1"/>
    <col min="147" max="149" width="11.59765625" bestFit="1" customWidth="1"/>
    <col min="150" max="153" width="11.73046875" bestFit="1" customWidth="1"/>
    <col min="154" max="155" width="11.59765625" bestFit="1" customWidth="1"/>
  </cols>
  <sheetData>
    <row r="1" spans="1:85" x14ac:dyDescent="0.45">
      <c r="B1" t="s">
        <v>175</v>
      </c>
      <c r="C1" s="11">
        <f>SUM(C42:C116)</f>
        <v>382334684879.85303</v>
      </c>
      <c r="D1" s="11">
        <f t="shared" ref="D1:AX1" si="0">SUM(D42:D116)</f>
        <v>419803804742.27301</v>
      </c>
      <c r="E1" s="11">
        <f t="shared" si="0"/>
        <v>469297693645.47998</v>
      </c>
      <c r="F1" s="11">
        <f t="shared" si="0"/>
        <v>581814127081.14014</v>
      </c>
      <c r="G1" s="11">
        <f t="shared" si="0"/>
        <v>762849082929.53003</v>
      </c>
      <c r="H1" s="11">
        <f t="shared" si="0"/>
        <v>858611487961.71997</v>
      </c>
      <c r="I1" s="11">
        <f t="shared" si="0"/>
        <v>955388532475.78003</v>
      </c>
      <c r="J1" s="11">
        <f t="shared" si="0"/>
        <v>1075260074259.6598</v>
      </c>
      <c r="K1" s="11">
        <f t="shared" si="0"/>
        <v>1229563666001.29</v>
      </c>
      <c r="L1" s="11">
        <f t="shared" si="0"/>
        <v>1488682513906.4402</v>
      </c>
      <c r="M1" s="11">
        <f t="shared" si="0"/>
        <v>1785309548153.7803</v>
      </c>
      <c r="N1" s="11">
        <f t="shared" si="0"/>
        <v>1941877546651.4204</v>
      </c>
      <c r="O1" s="11">
        <f t="shared" si="0"/>
        <v>1812068953392.96</v>
      </c>
      <c r="P1" s="11">
        <f t="shared" si="0"/>
        <v>1708791989197.02</v>
      </c>
      <c r="Q1" s="11">
        <f t="shared" si="0"/>
        <v>1738908359647.7</v>
      </c>
      <c r="R1" s="11">
        <f t="shared" si="0"/>
        <v>1730710906234.1599</v>
      </c>
      <c r="S1" s="11">
        <f t="shared" si="0"/>
        <v>1692763871428.4697</v>
      </c>
      <c r="T1" s="11">
        <f t="shared" si="0"/>
        <v>1818769220705.3901</v>
      </c>
      <c r="U1" s="11">
        <f t="shared" si="0"/>
        <v>2006028175773.51</v>
      </c>
      <c r="V1" s="11">
        <f t="shared" si="0"/>
        <v>2162630932706.4102</v>
      </c>
      <c r="W1" s="11">
        <f t="shared" si="0"/>
        <v>2500406305326.8506</v>
      </c>
      <c r="X1" s="11">
        <f t="shared" si="0"/>
        <v>2588989579427.1304</v>
      </c>
      <c r="Y1" s="11">
        <f t="shared" si="0"/>
        <v>2770412867483.8394</v>
      </c>
      <c r="Z1" s="11">
        <f t="shared" si="0"/>
        <v>2966667590337.4399</v>
      </c>
      <c r="AA1" s="11">
        <f t="shared" si="0"/>
        <v>3231484401096.2603</v>
      </c>
      <c r="AB1" s="11">
        <f t="shared" si="0"/>
        <v>3528939308909.4297</v>
      </c>
      <c r="AC1" s="11">
        <f t="shared" si="0"/>
        <v>3797308251756.9302</v>
      </c>
      <c r="AD1" s="11">
        <f t="shared" si="0"/>
        <v>4007474137811.0503</v>
      </c>
      <c r="AE1" s="11">
        <f t="shared" si="0"/>
        <v>3919785870511.79</v>
      </c>
      <c r="AF1" s="11">
        <f t="shared" si="0"/>
        <v>3750814509142.8599</v>
      </c>
      <c r="AG1" s="11">
        <f t="shared" si="0"/>
        <v>4013618926662.9502</v>
      </c>
      <c r="AH1" s="11">
        <f t="shared" si="0"/>
        <v>3872308234608.3896</v>
      </c>
      <c r="AI1" s="11">
        <f t="shared" si="0"/>
        <v>3799719682878.6504</v>
      </c>
      <c r="AJ1" s="11">
        <f t="shared" si="0"/>
        <v>4205684921924.1997</v>
      </c>
      <c r="AK1" s="11">
        <f t="shared" si="0"/>
        <v>4948927309253.0996</v>
      </c>
      <c r="AL1" s="11">
        <f t="shared" si="0"/>
        <v>5900179647822.1992</v>
      </c>
      <c r="AM1" s="11">
        <f t="shared" si="0"/>
        <v>6817194082208.5</v>
      </c>
      <c r="AN1" s="11">
        <f t="shared" si="0"/>
        <v>8062793552161.0996</v>
      </c>
      <c r="AO1" s="11">
        <f t="shared" si="0"/>
        <v>9207397564738</v>
      </c>
      <c r="AP1" s="11">
        <f t="shared" si="0"/>
        <v>8626836927689.0996</v>
      </c>
      <c r="AQ1" s="11">
        <f t="shared" si="0"/>
        <v>10613445937297.6</v>
      </c>
      <c r="AR1" s="11">
        <f t="shared" si="0"/>
        <v>12225352300010.4</v>
      </c>
      <c r="AS1" s="11">
        <f t="shared" si="0"/>
        <v>12516599159510.4</v>
      </c>
      <c r="AT1" s="11">
        <f t="shared" si="0"/>
        <v>13017842843380.301</v>
      </c>
      <c r="AU1" s="11">
        <f t="shared" si="0"/>
        <v>13258935718482.6</v>
      </c>
      <c r="AV1" s="11">
        <f t="shared" si="0"/>
        <v>12119547154201</v>
      </c>
      <c r="AW1" s="11">
        <f t="shared" si="0"/>
        <v>12023066285972.301</v>
      </c>
      <c r="AX1" s="11">
        <f t="shared" si="0"/>
        <v>13157585571842.199</v>
      </c>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c r="CE1" s="11"/>
      <c r="CF1" s="11"/>
      <c r="CG1" s="11"/>
    </row>
    <row r="2" spans="1:85" x14ac:dyDescent="0.45">
      <c r="B2" t="s">
        <v>174</v>
      </c>
      <c r="C2" s="11">
        <f>SUM(C14:C41)</f>
        <v>2298872127345.1099</v>
      </c>
      <c r="D2" s="11">
        <f t="shared" ref="D2:AX2" si="1">SUM(D14:D41)</f>
        <v>2549917446027.6001</v>
      </c>
      <c r="E2" s="11">
        <f t="shared" si="1"/>
        <v>2969353017146.4004</v>
      </c>
      <c r="F2" s="11">
        <f t="shared" si="1"/>
        <v>3605765183673.7002</v>
      </c>
      <c r="G2" s="11">
        <f t="shared" si="1"/>
        <v>4019169689096.2998</v>
      </c>
      <c r="H2" s="11">
        <f t="shared" si="1"/>
        <v>4490733703627.2998</v>
      </c>
      <c r="I2" s="11">
        <f t="shared" si="1"/>
        <v>4868379217413.5996</v>
      </c>
      <c r="J2" s="11">
        <f t="shared" si="1"/>
        <v>5492436013767.9004</v>
      </c>
      <c r="K2" s="11">
        <f t="shared" si="1"/>
        <v>6621011685791.7002</v>
      </c>
      <c r="L2" s="11">
        <f t="shared" si="1"/>
        <v>7620695536076.0996</v>
      </c>
      <c r="M2" s="11">
        <f t="shared" si="1"/>
        <v>8438611343296.0996</v>
      </c>
      <c r="N2" s="11">
        <f t="shared" si="1"/>
        <v>8530827792354.5</v>
      </c>
      <c r="O2" s="11">
        <f t="shared" si="1"/>
        <v>8455534739897</v>
      </c>
      <c r="P2" s="11">
        <f t="shared" si="1"/>
        <v>8802393538751.5</v>
      </c>
      <c r="Q2" s="11">
        <f t="shared" si="1"/>
        <v>9199335951250.1992</v>
      </c>
      <c r="R2" s="11">
        <f t="shared" si="1"/>
        <v>9670649581515.3008</v>
      </c>
      <c r="S2" s="11">
        <f t="shared" si="1"/>
        <v>11830207422635.1</v>
      </c>
      <c r="T2" s="11">
        <f t="shared" si="1"/>
        <v>13738140466197.199</v>
      </c>
      <c r="U2" s="11">
        <f t="shared" si="1"/>
        <v>15506845417289.4</v>
      </c>
      <c r="V2" s="11">
        <f t="shared" si="1"/>
        <v>16136925279044</v>
      </c>
      <c r="W2" s="11">
        <f t="shared" si="1"/>
        <v>18120603817667</v>
      </c>
      <c r="X2" s="11">
        <f t="shared" si="1"/>
        <v>19152020220322</v>
      </c>
      <c r="Y2" s="11">
        <f t="shared" si="1"/>
        <v>20568165108304</v>
      </c>
      <c r="Z2" s="11">
        <f t="shared" si="1"/>
        <v>20686364459027</v>
      </c>
      <c r="AA2" s="11">
        <f t="shared" si="1"/>
        <v>22216164524373</v>
      </c>
      <c r="AB2" s="11">
        <f t="shared" si="1"/>
        <v>24624062949907</v>
      </c>
      <c r="AC2" s="11">
        <f t="shared" si="1"/>
        <v>24758234054020</v>
      </c>
      <c r="AD2" s="11">
        <f t="shared" si="1"/>
        <v>24244713678419</v>
      </c>
      <c r="AE2" s="11">
        <f t="shared" si="1"/>
        <v>24347181860359</v>
      </c>
      <c r="AF2" s="11">
        <f t="shared" si="1"/>
        <v>25654765695383</v>
      </c>
      <c r="AG2" s="11">
        <f t="shared" si="1"/>
        <v>26109887145420</v>
      </c>
      <c r="AH2" s="11">
        <f t="shared" si="1"/>
        <v>25834435075151</v>
      </c>
      <c r="AI2" s="11">
        <f t="shared" si="1"/>
        <v>26890574573550</v>
      </c>
      <c r="AJ2" s="11">
        <f t="shared" si="1"/>
        <v>30298697220068</v>
      </c>
      <c r="AK2" s="11">
        <f t="shared" si="1"/>
        <v>33542501308417</v>
      </c>
      <c r="AL2" s="11">
        <f t="shared" si="1"/>
        <v>35255807827178</v>
      </c>
      <c r="AM2" s="11">
        <f t="shared" si="1"/>
        <v>37070954538861</v>
      </c>
      <c r="AN2" s="11">
        <f t="shared" si="1"/>
        <v>40503347611036</v>
      </c>
      <c r="AO2" s="11">
        <f t="shared" si="1"/>
        <v>42534741987558</v>
      </c>
      <c r="AP2" s="11">
        <f t="shared" si="1"/>
        <v>40191720102228</v>
      </c>
      <c r="AQ2" s="11">
        <f t="shared" si="1"/>
        <v>42019992201282</v>
      </c>
      <c r="AR2" s="11">
        <f t="shared" si="1"/>
        <v>45018113970240</v>
      </c>
      <c r="AS2" s="11">
        <f t="shared" si="1"/>
        <v>44886776573238</v>
      </c>
      <c r="AT2" s="11">
        <f t="shared" si="1"/>
        <v>45268200827925</v>
      </c>
      <c r="AU2" s="11">
        <f t="shared" si="1"/>
        <v>46249446660227</v>
      </c>
      <c r="AV2" s="11">
        <f t="shared" si="1"/>
        <v>43778923600824</v>
      </c>
      <c r="AW2" s="11">
        <f t="shared" si="1"/>
        <v>44977815195306</v>
      </c>
      <c r="AX2" s="11">
        <f t="shared" si="1"/>
        <v>46759359970119</v>
      </c>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row>
    <row r="3" spans="1:85" x14ac:dyDescent="0.45">
      <c r="B3" t="s">
        <v>182</v>
      </c>
      <c r="C3" s="11">
        <f>C13</f>
        <v>92602617774</v>
      </c>
      <c r="D3" s="11">
        <f t="shared" ref="D3:AX3" si="2">D13</f>
        <v>99800575343</v>
      </c>
      <c r="E3" s="11">
        <f t="shared" si="2"/>
        <v>114000000000</v>
      </c>
      <c r="F3" s="11">
        <f t="shared" si="2"/>
        <v>139000000000</v>
      </c>
      <c r="G3" s="11">
        <f t="shared" si="2"/>
        <v>144000000000</v>
      </c>
      <c r="H3" s="11">
        <f t="shared" si="2"/>
        <v>163000000000</v>
      </c>
      <c r="I3" s="11">
        <f t="shared" si="2"/>
        <v>154000000000</v>
      </c>
      <c r="J3" s="11">
        <f t="shared" si="2"/>
        <v>175000000000</v>
      </c>
      <c r="K3" s="11">
        <f t="shared" si="2"/>
        <v>219000000000</v>
      </c>
      <c r="L3" s="11">
        <f t="shared" si="2"/>
        <v>264000000000</v>
      </c>
      <c r="M3" s="11">
        <f t="shared" si="2"/>
        <v>306000000000</v>
      </c>
      <c r="N3" s="11">
        <f t="shared" si="2"/>
        <v>290000000000</v>
      </c>
      <c r="O3" s="11">
        <f t="shared" si="2"/>
        <v>284000000000</v>
      </c>
      <c r="P3" s="11">
        <f t="shared" si="2"/>
        <v>305000000000</v>
      </c>
      <c r="Q3" s="11">
        <f t="shared" si="2"/>
        <v>314000000000</v>
      </c>
      <c r="R3" s="11">
        <f t="shared" si="2"/>
        <v>310000000000</v>
      </c>
      <c r="S3" s="11">
        <f t="shared" si="2"/>
        <v>301000000000</v>
      </c>
      <c r="T3" s="11">
        <f t="shared" si="2"/>
        <v>327000000000</v>
      </c>
      <c r="U3" s="11">
        <f t="shared" si="2"/>
        <v>408000000000</v>
      </c>
      <c r="V3" s="11">
        <f t="shared" si="2"/>
        <v>456000000000</v>
      </c>
      <c r="W3" s="11">
        <f t="shared" si="2"/>
        <v>395000000000</v>
      </c>
      <c r="X3" s="11">
        <f t="shared" si="2"/>
        <v>413000000000</v>
      </c>
      <c r="Y3" s="11">
        <f t="shared" si="2"/>
        <v>493000000000</v>
      </c>
      <c r="Z3" s="11">
        <f t="shared" si="2"/>
        <v>619000000000</v>
      </c>
      <c r="AA3" s="11">
        <f t="shared" si="2"/>
        <v>564000000000</v>
      </c>
      <c r="AB3" s="11">
        <f t="shared" si="2"/>
        <v>734000000000</v>
      </c>
      <c r="AC3" s="11">
        <f t="shared" si="2"/>
        <v>864000000000</v>
      </c>
      <c r="AD3" s="11">
        <f t="shared" si="2"/>
        <v>962000000000</v>
      </c>
      <c r="AE3" s="11">
        <f t="shared" si="2"/>
        <v>1030000000000</v>
      </c>
      <c r="AF3" s="11">
        <f t="shared" si="2"/>
        <v>1090000000000</v>
      </c>
      <c r="AG3" s="11">
        <f t="shared" si="2"/>
        <v>1210000000000</v>
      </c>
      <c r="AH3" s="11">
        <f t="shared" si="2"/>
        <v>1340000000000</v>
      </c>
      <c r="AI3" s="11">
        <f t="shared" si="2"/>
        <v>1470000000000</v>
      </c>
      <c r="AJ3" s="11">
        <f t="shared" si="2"/>
        <v>1660000000000</v>
      </c>
      <c r="AK3" s="11">
        <f t="shared" si="2"/>
        <v>1960000000000</v>
      </c>
      <c r="AL3" s="11">
        <f t="shared" si="2"/>
        <v>2290000000000</v>
      </c>
      <c r="AM3" s="11">
        <f t="shared" si="2"/>
        <v>2750000000000</v>
      </c>
      <c r="AN3" s="11">
        <f t="shared" si="2"/>
        <v>3550000000000</v>
      </c>
      <c r="AO3" s="11">
        <f t="shared" si="2"/>
        <v>4600000000000</v>
      </c>
      <c r="AP3" s="11">
        <f t="shared" si="2"/>
        <v>5110000000000</v>
      </c>
      <c r="AQ3" s="11">
        <f t="shared" si="2"/>
        <v>6100000000000</v>
      </c>
      <c r="AR3" s="11">
        <f t="shared" si="2"/>
        <v>7570000000000</v>
      </c>
      <c r="AS3" s="11">
        <f t="shared" si="2"/>
        <v>8560000000000</v>
      </c>
      <c r="AT3" s="11">
        <f t="shared" si="2"/>
        <v>9610000000000</v>
      </c>
      <c r="AU3" s="11">
        <f t="shared" si="2"/>
        <v>10500000000000</v>
      </c>
      <c r="AV3" s="11">
        <f t="shared" si="2"/>
        <v>11100000000000</v>
      </c>
      <c r="AW3" s="11">
        <f t="shared" si="2"/>
        <v>11200000000000</v>
      </c>
      <c r="AX3" s="11">
        <f t="shared" si="2"/>
        <v>12200000000000</v>
      </c>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row>
    <row r="4" spans="1:85" x14ac:dyDescent="0.45">
      <c r="B4" t="s">
        <v>199</v>
      </c>
      <c r="C4" s="11">
        <f>SUM(C13:C116)</f>
        <v>2773809429998.9624</v>
      </c>
      <c r="D4" s="11">
        <f t="shared" ref="D4:AX4" si="3">SUM(D13:D116)</f>
        <v>3069521826112.873</v>
      </c>
      <c r="E4" s="11">
        <f t="shared" si="3"/>
        <v>3552650710791.8804</v>
      </c>
      <c r="F4" s="11">
        <f t="shared" si="3"/>
        <v>4326579310754.8389</v>
      </c>
      <c r="G4" s="11">
        <f t="shared" si="3"/>
        <v>4926018772025.8311</v>
      </c>
      <c r="H4" s="11">
        <f t="shared" si="3"/>
        <v>5512345191589.0215</v>
      </c>
      <c r="I4" s="11">
        <f t="shared" si="3"/>
        <v>5977767749889.3799</v>
      </c>
      <c r="J4" s="11">
        <f t="shared" si="3"/>
        <v>6742696088027.5605</v>
      </c>
      <c r="K4" s="11">
        <f t="shared" si="3"/>
        <v>8069575351792.9922</v>
      </c>
      <c r="L4" s="11">
        <f t="shared" si="3"/>
        <v>9373378049982.541</v>
      </c>
      <c r="M4" s="11">
        <f t="shared" si="3"/>
        <v>10529920891449.879</v>
      </c>
      <c r="N4" s="11">
        <f t="shared" si="3"/>
        <v>10762705339005.922</v>
      </c>
      <c r="O4" s="11">
        <f t="shared" si="3"/>
        <v>10551603693289.961</v>
      </c>
      <c r="P4" s="11">
        <f t="shared" si="3"/>
        <v>10816185527948.521</v>
      </c>
      <c r="Q4" s="11">
        <f t="shared" si="3"/>
        <v>11252244310897.896</v>
      </c>
      <c r="R4" s="11">
        <f t="shared" si="3"/>
        <v>11711360487749.463</v>
      </c>
      <c r="S4" s="11">
        <f t="shared" si="3"/>
        <v>13823971294063.57</v>
      </c>
      <c r="T4" s="11">
        <f t="shared" si="3"/>
        <v>15883909686902.592</v>
      </c>
      <c r="U4" s="11">
        <f t="shared" si="3"/>
        <v>17920873593062.914</v>
      </c>
      <c r="V4" s="11">
        <f t="shared" si="3"/>
        <v>18755556211750.41</v>
      </c>
      <c r="W4" s="11">
        <f t="shared" si="3"/>
        <v>21016010122993.852</v>
      </c>
      <c r="X4" s="11">
        <f t="shared" si="3"/>
        <v>22154009799749.129</v>
      </c>
      <c r="Y4" s="11">
        <f t="shared" si="3"/>
        <v>23831577975787.844</v>
      </c>
      <c r="Z4" s="11">
        <f t="shared" si="3"/>
        <v>24272032049364.438</v>
      </c>
      <c r="AA4" s="11">
        <f t="shared" si="3"/>
        <v>26011648925469.262</v>
      </c>
      <c r="AB4" s="11">
        <f t="shared" si="3"/>
        <v>28887002258816.43</v>
      </c>
      <c r="AC4" s="11">
        <f t="shared" si="3"/>
        <v>29419542305776.93</v>
      </c>
      <c r="AD4" s="11">
        <f t="shared" si="3"/>
        <v>29214187816230.051</v>
      </c>
      <c r="AE4" s="11">
        <f t="shared" si="3"/>
        <v>29296967730870.789</v>
      </c>
      <c r="AF4" s="11">
        <f t="shared" si="3"/>
        <v>30495580204525.859</v>
      </c>
      <c r="AG4" s="11">
        <f t="shared" si="3"/>
        <v>31333506072082.949</v>
      </c>
      <c r="AH4" s="11">
        <f t="shared" si="3"/>
        <v>31046743309759.387</v>
      </c>
      <c r="AI4" s="11">
        <f t="shared" si="3"/>
        <v>32160294256428.648</v>
      </c>
      <c r="AJ4" s="11">
        <f t="shared" si="3"/>
        <v>36164382141992.195</v>
      </c>
      <c r="AK4" s="11">
        <f t="shared" si="3"/>
        <v>40451428617670.102</v>
      </c>
      <c r="AL4" s="11">
        <f t="shared" si="3"/>
        <v>43445987475000.195</v>
      </c>
      <c r="AM4" s="11">
        <f t="shared" si="3"/>
        <v>46638148621069.5</v>
      </c>
      <c r="AN4" s="11">
        <f t="shared" si="3"/>
        <v>52116141163197.102</v>
      </c>
      <c r="AO4" s="11">
        <f t="shared" si="3"/>
        <v>56342139552296</v>
      </c>
      <c r="AP4" s="11">
        <f t="shared" si="3"/>
        <v>53928557029917.102</v>
      </c>
      <c r="AQ4" s="11">
        <f t="shared" si="3"/>
        <v>58733438138579.602</v>
      </c>
      <c r="AR4" s="11">
        <f t="shared" si="3"/>
        <v>64813466270250.398</v>
      </c>
      <c r="AS4" s="11">
        <f t="shared" si="3"/>
        <v>65963375732748.398</v>
      </c>
      <c r="AT4" s="11">
        <f t="shared" si="3"/>
        <v>67896043671305.297</v>
      </c>
      <c r="AU4" s="11">
        <f t="shared" si="3"/>
        <v>70008382378709.602</v>
      </c>
      <c r="AV4" s="11">
        <f t="shared" si="3"/>
        <v>66998470755025</v>
      </c>
      <c r="AW4" s="11">
        <f t="shared" si="3"/>
        <v>68200881481278.297</v>
      </c>
      <c r="AX4" s="11">
        <f t="shared" si="3"/>
        <v>72116945541961.203</v>
      </c>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row>
    <row r="5" spans="1:85" x14ac:dyDescent="0.45">
      <c r="A5" s="9" t="s">
        <v>30</v>
      </c>
      <c r="B5" t="s" vm="5">
        <v>167</v>
      </c>
      <c r="C5" s="15">
        <f>SUM(C1:C3)</f>
        <v>2773809429998.9629</v>
      </c>
      <c r="D5" s="15">
        <f t="shared" ref="D5:AX5" si="4">SUM(D1:D3)</f>
        <v>3069521826112.873</v>
      </c>
      <c r="E5" s="15">
        <f t="shared" si="4"/>
        <v>3552650710791.8804</v>
      </c>
      <c r="F5" s="15">
        <f t="shared" si="4"/>
        <v>4326579310754.8403</v>
      </c>
      <c r="G5" s="15">
        <f t="shared" si="4"/>
        <v>4926018772025.8301</v>
      </c>
      <c r="H5" s="15">
        <f t="shared" si="4"/>
        <v>5512345191589.0195</v>
      </c>
      <c r="I5" s="15">
        <f t="shared" si="4"/>
        <v>5977767749889.3799</v>
      </c>
      <c r="J5" s="15">
        <f t="shared" si="4"/>
        <v>6742696088027.5605</v>
      </c>
      <c r="K5" s="15">
        <f t="shared" si="4"/>
        <v>8069575351792.9902</v>
      </c>
      <c r="L5" s="15">
        <f t="shared" si="4"/>
        <v>9373378049982.5391</v>
      </c>
      <c r="M5" s="15">
        <f t="shared" si="4"/>
        <v>10529920891449.879</v>
      </c>
      <c r="N5" s="15">
        <f t="shared" si="4"/>
        <v>10762705339005.92</v>
      </c>
      <c r="O5" s="15">
        <f t="shared" si="4"/>
        <v>10551603693289.961</v>
      </c>
      <c r="P5" s="15">
        <f t="shared" si="4"/>
        <v>10816185527948.52</v>
      </c>
      <c r="Q5" s="15">
        <f t="shared" si="4"/>
        <v>11252244310897.898</v>
      </c>
      <c r="R5" s="15">
        <f t="shared" si="4"/>
        <v>11711360487749.461</v>
      </c>
      <c r="S5" s="15">
        <f t="shared" si="4"/>
        <v>13823971294063.57</v>
      </c>
      <c r="T5" s="15">
        <f t="shared" si="4"/>
        <v>15883909686902.59</v>
      </c>
      <c r="U5" s="15">
        <f t="shared" si="4"/>
        <v>17920873593062.91</v>
      </c>
      <c r="V5" s="15">
        <f t="shared" si="4"/>
        <v>18755556211750.41</v>
      </c>
      <c r="W5" s="15">
        <f t="shared" si="4"/>
        <v>21016010122993.852</v>
      </c>
      <c r="X5" s="15">
        <f t="shared" si="4"/>
        <v>22154009799749.129</v>
      </c>
      <c r="Y5" s="15">
        <f t="shared" si="4"/>
        <v>23831577975787.84</v>
      </c>
      <c r="Z5" s="15">
        <f t="shared" si="4"/>
        <v>24272032049364.441</v>
      </c>
      <c r="AA5" s="15">
        <f t="shared" si="4"/>
        <v>26011648925469.262</v>
      </c>
      <c r="AB5" s="15">
        <f t="shared" si="4"/>
        <v>28887002258816.43</v>
      </c>
      <c r="AC5" s="15">
        <f t="shared" si="4"/>
        <v>29419542305776.93</v>
      </c>
      <c r="AD5" s="15">
        <f t="shared" si="4"/>
        <v>29214187816230.051</v>
      </c>
      <c r="AE5" s="15">
        <f t="shared" si="4"/>
        <v>29296967730870.789</v>
      </c>
      <c r="AF5" s="15">
        <f t="shared" si="4"/>
        <v>30495580204525.859</v>
      </c>
      <c r="AG5" s="15">
        <f t="shared" si="4"/>
        <v>31333506072082.949</v>
      </c>
      <c r="AH5" s="15">
        <f t="shared" si="4"/>
        <v>31046743309759.391</v>
      </c>
      <c r="AI5" s="15">
        <f t="shared" si="4"/>
        <v>32160294256428.648</v>
      </c>
      <c r="AJ5" s="15">
        <f t="shared" si="4"/>
        <v>36164382141992.203</v>
      </c>
      <c r="AK5" s="15">
        <f t="shared" si="4"/>
        <v>40451428617670.102</v>
      </c>
      <c r="AL5" s="15">
        <f t="shared" si="4"/>
        <v>43445987475000.203</v>
      </c>
      <c r="AM5" s="15">
        <f t="shared" si="4"/>
        <v>46638148621069.5</v>
      </c>
      <c r="AN5" s="15">
        <f t="shared" si="4"/>
        <v>52116141163197.102</v>
      </c>
      <c r="AO5" s="15">
        <f t="shared" si="4"/>
        <v>56342139552296</v>
      </c>
      <c r="AP5" s="15">
        <f t="shared" si="4"/>
        <v>53928557029917.102</v>
      </c>
      <c r="AQ5" s="15">
        <f t="shared" si="4"/>
        <v>58733438138579.602</v>
      </c>
      <c r="AR5" s="15">
        <f t="shared" si="4"/>
        <v>64813466270250.398</v>
      </c>
      <c r="AS5" s="15">
        <f t="shared" si="4"/>
        <v>65963375732748.398</v>
      </c>
      <c r="AT5" s="15">
        <f t="shared" si="4"/>
        <v>67896043671305.297</v>
      </c>
      <c r="AU5" s="15">
        <f t="shared" si="4"/>
        <v>70008382378709.602</v>
      </c>
      <c r="AV5" s="15">
        <f t="shared" si="4"/>
        <v>66998470755025</v>
      </c>
      <c r="AW5" s="15">
        <f t="shared" si="4"/>
        <v>68200881481278.297</v>
      </c>
      <c r="AX5" s="15">
        <f t="shared" si="4"/>
        <v>72116945541961.203</v>
      </c>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row>
    <row r="6" spans="1:85" x14ac:dyDescent="0.45">
      <c r="A6" s="9" t="s">
        <v>86</v>
      </c>
      <c r="B6" t="s" vm="2269">
        <v>227</v>
      </c>
    </row>
    <row r="7" spans="1:85" x14ac:dyDescent="0.45">
      <c r="A7" s="9" t="s">
        <v>166</v>
      </c>
      <c r="B7" t="s" vm="4">
        <v>83</v>
      </c>
    </row>
    <row r="8" spans="1:85" x14ac:dyDescent="0.45">
      <c r="A8" s="9" t="s">
        <v>31</v>
      </c>
      <c r="B8" t="s" vm="6">
        <v>168</v>
      </c>
    </row>
    <row r="9" spans="1:85" x14ac:dyDescent="0.45">
      <c r="A9" s="9" t="s">
        <v>169</v>
      </c>
      <c r="B9" t="s" vm="2268">
        <v>170</v>
      </c>
    </row>
    <row r="11" spans="1:85" x14ac:dyDescent="0.45">
      <c r="A11" s="9" t="s">
        <v>82</v>
      </c>
      <c r="C11" s="9" t="s">
        <v>171</v>
      </c>
    </row>
    <row r="12" spans="1:85" x14ac:dyDescent="0.45">
      <c r="A12" s="9" t="s">
        <v>172</v>
      </c>
      <c r="B12" s="9" t="s">
        <v>173</v>
      </c>
      <c r="C12" t="s">
        <v>32</v>
      </c>
      <c r="D12" t="s">
        <v>33</v>
      </c>
      <c r="E12" t="s">
        <v>34</v>
      </c>
      <c r="F12" t="s">
        <v>35</v>
      </c>
      <c r="G12" t="s">
        <v>36</v>
      </c>
      <c r="H12" t="s">
        <v>37</v>
      </c>
      <c r="I12" t="s">
        <v>38</v>
      </c>
      <c r="J12" t="s">
        <v>39</v>
      </c>
      <c r="K12" t="s">
        <v>40</v>
      </c>
      <c r="L12" t="s">
        <v>41</v>
      </c>
      <c r="M12" t="s">
        <v>42</v>
      </c>
      <c r="N12" t="s">
        <v>43</v>
      </c>
      <c r="O12" t="s">
        <v>44</v>
      </c>
      <c r="P12" t="s">
        <v>45</v>
      </c>
      <c r="Q12" t="s">
        <v>46</v>
      </c>
      <c r="R12" t="s">
        <v>47</v>
      </c>
      <c r="S12" t="s">
        <v>48</v>
      </c>
      <c r="T12" t="s">
        <v>49</v>
      </c>
      <c r="U12" t="s">
        <v>50</v>
      </c>
      <c r="V12" t="s">
        <v>51</v>
      </c>
      <c r="W12" t="s">
        <v>52</v>
      </c>
      <c r="X12" t="s">
        <v>53</v>
      </c>
      <c r="Y12" t="s">
        <v>54</v>
      </c>
      <c r="Z12" t="s">
        <v>55</v>
      </c>
      <c r="AA12" t="s">
        <v>56</v>
      </c>
      <c r="AB12" t="s">
        <v>57</v>
      </c>
      <c r="AC12" t="s">
        <v>58</v>
      </c>
      <c r="AD12" t="s">
        <v>59</v>
      </c>
      <c r="AE12" t="s">
        <v>60</v>
      </c>
      <c r="AF12" t="s">
        <v>61</v>
      </c>
      <c r="AG12" t="s">
        <v>62</v>
      </c>
      <c r="AH12" t="s">
        <v>63</v>
      </c>
      <c r="AI12" t="s">
        <v>64</v>
      </c>
      <c r="AJ12" t="s">
        <v>65</v>
      </c>
      <c r="AK12" t="s">
        <v>66</v>
      </c>
      <c r="AL12" t="s">
        <v>67</v>
      </c>
      <c r="AM12" t="s">
        <v>68</v>
      </c>
      <c r="AN12" t="s">
        <v>69</v>
      </c>
      <c r="AO12" t="s">
        <v>70</v>
      </c>
      <c r="AP12" t="s">
        <v>71</v>
      </c>
      <c r="AQ12" t="s">
        <v>72</v>
      </c>
      <c r="AR12" t="s">
        <v>73</v>
      </c>
      <c r="AS12" t="s">
        <v>74</v>
      </c>
      <c r="AT12" t="s">
        <v>75</v>
      </c>
      <c r="AU12" t="s">
        <v>76</v>
      </c>
      <c r="AV12" t="s">
        <v>77</v>
      </c>
      <c r="AW12" t="s">
        <v>78</v>
      </c>
      <c r="AX12" t="s">
        <v>79</v>
      </c>
    </row>
    <row r="13" spans="1:85" x14ac:dyDescent="0.45">
      <c r="A13" t="s">
        <v>27</v>
      </c>
      <c r="C13" s="10">
        <v>92602617774</v>
      </c>
      <c r="D13" s="10">
        <v>99800575343</v>
      </c>
      <c r="E13" s="10">
        <v>114000000000</v>
      </c>
      <c r="F13" s="10">
        <v>139000000000</v>
      </c>
      <c r="G13" s="10">
        <v>144000000000</v>
      </c>
      <c r="H13" s="10">
        <v>163000000000</v>
      </c>
      <c r="I13" s="10">
        <v>154000000000</v>
      </c>
      <c r="J13" s="10">
        <v>175000000000</v>
      </c>
      <c r="K13" s="10">
        <v>219000000000</v>
      </c>
      <c r="L13" s="10">
        <v>264000000000</v>
      </c>
      <c r="M13" s="10">
        <v>306000000000</v>
      </c>
      <c r="N13" s="10">
        <v>290000000000</v>
      </c>
      <c r="O13" s="10">
        <v>284000000000</v>
      </c>
      <c r="P13" s="10">
        <v>305000000000</v>
      </c>
      <c r="Q13" s="10">
        <v>314000000000</v>
      </c>
      <c r="R13" s="10">
        <v>310000000000</v>
      </c>
      <c r="S13" s="10">
        <v>301000000000</v>
      </c>
      <c r="T13" s="10">
        <v>327000000000</v>
      </c>
      <c r="U13" s="10">
        <v>408000000000</v>
      </c>
      <c r="V13" s="10">
        <v>456000000000</v>
      </c>
      <c r="W13" s="10">
        <v>395000000000</v>
      </c>
      <c r="X13" s="10">
        <v>413000000000</v>
      </c>
      <c r="Y13" s="10">
        <v>493000000000</v>
      </c>
      <c r="Z13" s="10">
        <v>619000000000</v>
      </c>
      <c r="AA13" s="10">
        <v>564000000000</v>
      </c>
      <c r="AB13" s="10">
        <v>734000000000</v>
      </c>
      <c r="AC13" s="10">
        <v>864000000000</v>
      </c>
      <c r="AD13" s="10">
        <v>962000000000</v>
      </c>
      <c r="AE13" s="10">
        <v>1030000000000</v>
      </c>
      <c r="AF13" s="10">
        <v>1090000000000</v>
      </c>
      <c r="AG13" s="10">
        <v>1210000000000</v>
      </c>
      <c r="AH13" s="10">
        <v>1340000000000</v>
      </c>
      <c r="AI13" s="10">
        <v>1470000000000</v>
      </c>
      <c r="AJ13" s="10">
        <v>1660000000000</v>
      </c>
      <c r="AK13" s="10">
        <v>1960000000000</v>
      </c>
      <c r="AL13" s="10">
        <v>2290000000000</v>
      </c>
      <c r="AM13" s="10">
        <v>2750000000000</v>
      </c>
      <c r="AN13" s="10">
        <v>3550000000000</v>
      </c>
      <c r="AO13" s="10">
        <v>4600000000000</v>
      </c>
      <c r="AP13" s="10">
        <v>5110000000000</v>
      </c>
      <c r="AQ13" s="10">
        <v>6100000000000</v>
      </c>
      <c r="AR13" s="10">
        <v>7570000000000</v>
      </c>
      <c r="AS13" s="10">
        <v>8560000000000</v>
      </c>
      <c r="AT13" s="10">
        <v>9610000000000</v>
      </c>
      <c r="AU13" s="10">
        <v>10500000000000</v>
      </c>
      <c r="AV13" s="10">
        <v>11100000000000</v>
      </c>
      <c r="AW13" s="10">
        <v>11200000000000</v>
      </c>
      <c r="AX13" s="10">
        <v>12200000000000</v>
      </c>
    </row>
    <row r="14" spans="1:85" x14ac:dyDescent="0.45">
      <c r="A14" t="s">
        <v>28</v>
      </c>
      <c r="B14" t="s">
        <v>203</v>
      </c>
      <c r="C14" s="10">
        <v>99476786.510000005</v>
      </c>
      <c r="D14" s="10">
        <v>113128491.59999999</v>
      </c>
      <c r="E14" s="10">
        <v>143506004.40000001</v>
      </c>
      <c r="F14" s="10">
        <v>190863792.19999999</v>
      </c>
      <c r="G14" s="10">
        <v>236055468.19999999</v>
      </c>
      <c r="H14" s="10">
        <v>278514317.19999999</v>
      </c>
      <c r="I14" s="10">
        <v>287588366.39999998</v>
      </c>
      <c r="J14" s="10">
        <v>321390136.89999998</v>
      </c>
      <c r="K14" s="10">
        <v>389745928.5</v>
      </c>
      <c r="L14" s="10">
        <v>520742333.10000002</v>
      </c>
      <c r="M14" s="10">
        <v>564812657.10000002</v>
      </c>
      <c r="N14" s="10">
        <v>492189978.5</v>
      </c>
      <c r="O14" s="10">
        <v>475654368</v>
      </c>
      <c r="P14" s="10">
        <v>414836775.5</v>
      </c>
      <c r="Q14" s="10">
        <v>417649689.19999999</v>
      </c>
      <c r="R14" s="10">
        <v>438742504.30000001</v>
      </c>
      <c r="S14" s="10">
        <v>609881940.10000002</v>
      </c>
      <c r="T14" s="10">
        <v>773493497.20000005</v>
      </c>
      <c r="U14" s="10">
        <v>912838474.39999998</v>
      </c>
      <c r="V14" s="10">
        <v>1006552718</v>
      </c>
      <c r="W14" s="10">
        <v>1302006184</v>
      </c>
      <c r="X14" s="10">
        <v>1400576915</v>
      </c>
      <c r="Y14" s="10">
        <v>1531034035</v>
      </c>
      <c r="Z14" s="10">
        <v>1274297409</v>
      </c>
      <c r="AA14" s="10">
        <v>1287524766</v>
      </c>
      <c r="AB14" s="10">
        <v>1491495988</v>
      </c>
      <c r="AC14" s="10">
        <v>1548787643</v>
      </c>
      <c r="AD14" s="10">
        <v>1493901088</v>
      </c>
      <c r="AE14" s="10">
        <v>1533515782</v>
      </c>
      <c r="AF14" s="10">
        <v>1568801032</v>
      </c>
      <c r="AG14" s="10">
        <v>1434428602</v>
      </c>
      <c r="AH14" s="10">
        <v>1496899357</v>
      </c>
      <c r="AI14" s="10">
        <v>1733195719</v>
      </c>
      <c r="AJ14" s="10">
        <v>2398553103</v>
      </c>
      <c r="AK14" s="10">
        <v>2935786879</v>
      </c>
      <c r="AL14" s="10">
        <v>3255708103</v>
      </c>
      <c r="AM14" s="10">
        <v>3543075304</v>
      </c>
      <c r="AN14" s="10">
        <v>4016766180</v>
      </c>
      <c r="AO14" s="10">
        <v>4007501604</v>
      </c>
      <c r="AP14" s="10">
        <v>3660310211</v>
      </c>
      <c r="AQ14" s="10">
        <v>3355495581</v>
      </c>
      <c r="AR14" s="10">
        <v>3442276938</v>
      </c>
      <c r="AS14" s="10">
        <v>3164641204</v>
      </c>
      <c r="AT14" s="10">
        <v>3281763085</v>
      </c>
      <c r="AU14" s="10">
        <v>3350599726</v>
      </c>
      <c r="AV14" s="10">
        <v>2811617372</v>
      </c>
      <c r="AW14" s="10">
        <v>2877200144</v>
      </c>
      <c r="AX14" s="10">
        <v>3013396181</v>
      </c>
    </row>
    <row r="15" spans="1:85" x14ac:dyDescent="0.45">
      <c r="B15" t="s">
        <v>87</v>
      </c>
      <c r="C15" s="10">
        <v>45214407240</v>
      </c>
      <c r="D15" s="10">
        <v>50462785543</v>
      </c>
      <c r="E15" s="10">
        <v>59389686689</v>
      </c>
      <c r="F15" s="10">
        <v>85798505587</v>
      </c>
      <c r="G15" s="10">
        <v>102000000000</v>
      </c>
      <c r="H15" s="10">
        <v>109000000000</v>
      </c>
      <c r="I15" s="10">
        <v>118000000000</v>
      </c>
      <c r="J15" s="10">
        <v>116000000000</v>
      </c>
      <c r="K15" s="10">
        <v>136000000000</v>
      </c>
      <c r="L15" s="10">
        <v>150000000000</v>
      </c>
      <c r="M15" s="10">
        <v>173000000000</v>
      </c>
      <c r="N15" s="10">
        <v>202000000000</v>
      </c>
      <c r="O15" s="10">
        <v>192000000000</v>
      </c>
      <c r="P15" s="10">
        <v>193000000000</v>
      </c>
      <c r="Q15" s="10">
        <v>207000000000</v>
      </c>
      <c r="R15" s="10">
        <v>182000000000</v>
      </c>
      <c r="S15" s="10">
        <v>192000000000</v>
      </c>
      <c r="T15" s="10">
        <v>228000000000</v>
      </c>
      <c r="U15" s="10">
        <v>289000000000</v>
      </c>
      <c r="V15" s="10">
        <v>320000000000</v>
      </c>
      <c r="W15" s="10">
        <v>324000000000</v>
      </c>
      <c r="X15" s="10">
        <v>330000000000</v>
      </c>
      <c r="Y15" s="10">
        <v>326000000000</v>
      </c>
      <c r="Z15" s="10">
        <v>317000000000</v>
      </c>
      <c r="AA15" s="10">
        <v>363000000000</v>
      </c>
      <c r="AB15" s="10">
        <v>391000000000</v>
      </c>
      <c r="AC15" s="10">
        <v>435000000000</v>
      </c>
      <c r="AD15" s="10">
        <v>436000000000</v>
      </c>
      <c r="AE15" s="10">
        <v>389000000000</v>
      </c>
      <c r="AF15" s="10">
        <v>426000000000</v>
      </c>
      <c r="AG15" s="10">
        <v>409000000000</v>
      </c>
      <c r="AH15" s="10">
        <v>390000000000</v>
      </c>
      <c r="AI15" s="10">
        <v>435000000000</v>
      </c>
      <c r="AJ15" s="10">
        <v>558000000000</v>
      </c>
      <c r="AK15" s="10">
        <v>678000000000</v>
      </c>
      <c r="AL15" s="10">
        <v>760000000000</v>
      </c>
      <c r="AM15" s="10">
        <v>817000000000</v>
      </c>
      <c r="AN15" s="10">
        <v>984000000000</v>
      </c>
      <c r="AO15" s="10">
        <v>1060000000000</v>
      </c>
      <c r="AP15" s="10">
        <v>1010000000000</v>
      </c>
      <c r="AQ15" s="10">
        <v>1300000000000</v>
      </c>
      <c r="AR15" s="10">
        <v>1540000000000</v>
      </c>
      <c r="AS15" s="10">
        <v>1590000000000</v>
      </c>
      <c r="AT15" s="10">
        <v>1540000000000</v>
      </c>
      <c r="AU15" s="10">
        <v>1460000000000</v>
      </c>
      <c r="AV15" s="10">
        <v>1250000000000</v>
      </c>
      <c r="AW15" s="10">
        <v>1300000000000</v>
      </c>
      <c r="AX15" s="10">
        <v>1410000000000</v>
      </c>
    </row>
    <row r="16" spans="1:85" x14ac:dyDescent="0.45">
      <c r="B16" t="s">
        <v>88</v>
      </c>
      <c r="C16" s="10">
        <v>15373057106</v>
      </c>
      <c r="D16" s="10">
        <v>17858749588</v>
      </c>
      <c r="E16" s="10">
        <v>22060179897</v>
      </c>
      <c r="F16" s="10">
        <v>29514760809</v>
      </c>
      <c r="G16" s="10">
        <v>35188342755</v>
      </c>
      <c r="H16" s="10">
        <v>40058428685</v>
      </c>
      <c r="I16" s="10">
        <v>42959105464</v>
      </c>
      <c r="J16" s="10">
        <v>51547567133</v>
      </c>
      <c r="K16" s="10">
        <v>62050455130</v>
      </c>
      <c r="L16" s="10">
        <v>73940789286</v>
      </c>
      <c r="M16" s="10">
        <v>82055323012</v>
      </c>
      <c r="N16" s="10">
        <v>71031275054</v>
      </c>
      <c r="O16" s="10">
        <v>71272755025</v>
      </c>
      <c r="P16" s="10">
        <v>72118456270</v>
      </c>
      <c r="Q16" s="10">
        <v>67984559939</v>
      </c>
      <c r="R16" s="10">
        <v>69388408005</v>
      </c>
      <c r="S16" s="10">
        <v>99035643123</v>
      </c>
      <c r="T16" s="10">
        <v>124000000000</v>
      </c>
      <c r="U16" s="10">
        <v>133000000000</v>
      </c>
      <c r="V16" s="10">
        <v>133000000000</v>
      </c>
      <c r="W16" s="10">
        <v>166000000000</v>
      </c>
      <c r="X16" s="10">
        <v>174000000000</v>
      </c>
      <c r="Y16" s="10">
        <v>195000000000</v>
      </c>
      <c r="Z16" s="10">
        <v>190000000000</v>
      </c>
      <c r="AA16" s="10">
        <v>204000000000</v>
      </c>
      <c r="AB16" s="10">
        <v>241000000000</v>
      </c>
      <c r="AC16" s="10">
        <v>237000000000</v>
      </c>
      <c r="AD16" s="10">
        <v>213000000000</v>
      </c>
      <c r="AE16" s="10">
        <v>218000000000</v>
      </c>
      <c r="AF16" s="10">
        <v>217000000000</v>
      </c>
      <c r="AG16" s="10">
        <v>197000000000</v>
      </c>
      <c r="AH16" s="10">
        <v>197000000000</v>
      </c>
      <c r="AI16" s="10">
        <v>213000000000</v>
      </c>
      <c r="AJ16" s="10">
        <v>262000000000</v>
      </c>
      <c r="AK16" s="10">
        <v>301000000000</v>
      </c>
      <c r="AL16" s="10">
        <v>316000000000</v>
      </c>
      <c r="AM16" s="10">
        <v>336000000000</v>
      </c>
      <c r="AN16" s="10">
        <v>389000000000</v>
      </c>
      <c r="AO16" s="10">
        <v>430000000000</v>
      </c>
      <c r="AP16" s="10">
        <v>400000000000</v>
      </c>
      <c r="AQ16" s="10">
        <v>392000000000</v>
      </c>
      <c r="AR16" s="10">
        <v>431000000000</v>
      </c>
      <c r="AS16" s="10">
        <v>409000000000</v>
      </c>
      <c r="AT16" s="10">
        <v>430000000000</v>
      </c>
      <c r="AU16" s="10">
        <v>442000000000</v>
      </c>
      <c r="AV16" s="10">
        <v>382000000000</v>
      </c>
      <c r="AW16" s="10">
        <v>394000000000</v>
      </c>
      <c r="AX16" s="10">
        <v>417000000000</v>
      </c>
    </row>
    <row r="17" spans="2:50" x14ac:dyDescent="0.45">
      <c r="B17" t="s">
        <v>89</v>
      </c>
      <c r="C17" s="10">
        <v>26849849546</v>
      </c>
      <c r="D17" s="10">
        <v>29981519217</v>
      </c>
      <c r="E17" s="10">
        <v>37408830597</v>
      </c>
      <c r="F17" s="10">
        <v>47999253963</v>
      </c>
      <c r="G17" s="10">
        <v>56334033601</v>
      </c>
      <c r="H17" s="10">
        <v>66027900096</v>
      </c>
      <c r="I17" s="10">
        <v>71494757371</v>
      </c>
      <c r="J17" s="10">
        <v>83281588423</v>
      </c>
      <c r="K17" s="10">
        <v>102000000000</v>
      </c>
      <c r="L17" s="10">
        <v>117000000000</v>
      </c>
      <c r="M17" s="10">
        <v>128000000000</v>
      </c>
      <c r="N17" s="10">
        <v>105000000000</v>
      </c>
      <c r="O17" s="10">
        <v>92585627230</v>
      </c>
      <c r="P17" s="10">
        <v>87649470155</v>
      </c>
      <c r="Q17" s="10">
        <v>83794166987</v>
      </c>
      <c r="R17" s="10">
        <v>86727553929</v>
      </c>
      <c r="S17" s="10">
        <v>121000000000</v>
      </c>
      <c r="T17" s="10">
        <v>150000000000</v>
      </c>
      <c r="U17" s="10">
        <v>163000000000</v>
      </c>
      <c r="V17" s="10">
        <v>165000000000</v>
      </c>
      <c r="W17" s="10">
        <v>206000000000</v>
      </c>
      <c r="X17" s="10">
        <v>212000000000</v>
      </c>
      <c r="Y17" s="10">
        <v>236000000000</v>
      </c>
      <c r="Z17" s="10">
        <v>226000000000</v>
      </c>
      <c r="AA17" s="10">
        <v>246000000000</v>
      </c>
      <c r="AB17" s="10">
        <v>290000000000</v>
      </c>
      <c r="AC17" s="10">
        <v>281000000000</v>
      </c>
      <c r="AD17" s="10">
        <v>255000000000</v>
      </c>
      <c r="AE17" s="10">
        <v>261000000000</v>
      </c>
      <c r="AF17" s="10">
        <v>260000000000</v>
      </c>
      <c r="AG17" s="10">
        <v>238000000000</v>
      </c>
      <c r="AH17" s="10">
        <v>238000000000</v>
      </c>
      <c r="AI17" s="10">
        <v>259000000000</v>
      </c>
      <c r="AJ17" s="10">
        <v>319000000000</v>
      </c>
      <c r="AK17" s="10">
        <v>371000000000</v>
      </c>
      <c r="AL17" s="10">
        <v>387000000000</v>
      </c>
      <c r="AM17" s="10">
        <v>410000000000</v>
      </c>
      <c r="AN17" s="10">
        <v>472000000000</v>
      </c>
      <c r="AO17" s="10">
        <v>519000000000</v>
      </c>
      <c r="AP17" s="10">
        <v>485000000000</v>
      </c>
      <c r="AQ17" s="10">
        <v>484000000000</v>
      </c>
      <c r="AR17" s="10">
        <v>527000000000</v>
      </c>
      <c r="AS17" s="10">
        <v>498000000000</v>
      </c>
      <c r="AT17" s="10">
        <v>521000000000</v>
      </c>
      <c r="AU17" s="10">
        <v>531000000000</v>
      </c>
      <c r="AV17" s="10">
        <v>456000000000</v>
      </c>
      <c r="AW17" s="10">
        <v>470000000000</v>
      </c>
      <c r="AX17" s="10">
        <v>495000000000</v>
      </c>
    </row>
    <row r="18" spans="2:50" x14ac:dyDescent="0.45">
      <c r="B18" t="s">
        <v>204</v>
      </c>
      <c r="C18" s="10">
        <v>87894833525</v>
      </c>
      <c r="D18" s="10">
        <v>99272780796</v>
      </c>
      <c r="E18" s="10">
        <v>113000000000</v>
      </c>
      <c r="F18" s="10">
        <v>131000000000</v>
      </c>
      <c r="G18" s="10">
        <v>160000000000</v>
      </c>
      <c r="H18" s="10">
        <v>174000000000</v>
      </c>
      <c r="I18" s="10">
        <v>207000000000</v>
      </c>
      <c r="J18" s="10">
        <v>212000000000</v>
      </c>
      <c r="K18" s="10">
        <v>219000000000</v>
      </c>
      <c r="L18" s="10">
        <v>243000000000</v>
      </c>
      <c r="M18" s="10">
        <v>274000000000</v>
      </c>
      <c r="N18" s="10">
        <v>306000000000</v>
      </c>
      <c r="O18" s="10">
        <v>313000000000</v>
      </c>
      <c r="P18" s="10">
        <v>341000000000</v>
      </c>
      <c r="Q18" s="10">
        <v>355000000000</v>
      </c>
      <c r="R18" s="10">
        <v>365000000000</v>
      </c>
      <c r="S18" s="10">
        <v>377000000000</v>
      </c>
      <c r="T18" s="10">
        <v>431000000000</v>
      </c>
      <c r="U18" s="10">
        <v>507000000000</v>
      </c>
      <c r="V18" s="10">
        <v>565000000000</v>
      </c>
      <c r="W18" s="10">
        <v>594000000000</v>
      </c>
      <c r="X18" s="10">
        <v>610000000000</v>
      </c>
      <c r="Y18" s="10">
        <v>592000000000</v>
      </c>
      <c r="Z18" s="10">
        <v>577000000000</v>
      </c>
      <c r="AA18" s="10">
        <v>578000000000</v>
      </c>
      <c r="AB18" s="10">
        <v>604000000000</v>
      </c>
      <c r="AC18" s="10">
        <v>629000000000</v>
      </c>
      <c r="AD18" s="10">
        <v>653000000000</v>
      </c>
      <c r="AE18" s="10">
        <v>632000000000</v>
      </c>
      <c r="AF18" s="10">
        <v>676000000000</v>
      </c>
      <c r="AG18" s="10">
        <v>742000000000</v>
      </c>
      <c r="AH18" s="10">
        <v>736000000000</v>
      </c>
      <c r="AI18" s="10">
        <v>758000000000</v>
      </c>
      <c r="AJ18" s="10">
        <v>892000000000</v>
      </c>
      <c r="AK18" s="10">
        <v>1020000000000</v>
      </c>
      <c r="AL18" s="10">
        <v>1170000000000</v>
      </c>
      <c r="AM18" s="10">
        <v>1320000000000</v>
      </c>
      <c r="AN18" s="10">
        <v>1460000000000</v>
      </c>
      <c r="AO18" s="10">
        <v>1550000000000</v>
      </c>
      <c r="AP18" s="10">
        <v>1370000000000</v>
      </c>
      <c r="AQ18" s="10">
        <v>1610000000000</v>
      </c>
      <c r="AR18" s="10">
        <v>1790000000000</v>
      </c>
      <c r="AS18" s="10">
        <v>1820000000000</v>
      </c>
      <c r="AT18" s="10">
        <v>1840000000000</v>
      </c>
      <c r="AU18" s="10">
        <v>1800000000000</v>
      </c>
      <c r="AV18" s="10">
        <v>1550000000000</v>
      </c>
      <c r="AW18" s="10">
        <v>1530000000000</v>
      </c>
      <c r="AX18" s="10">
        <v>1650000000000</v>
      </c>
    </row>
    <row r="19" spans="2:50" x14ac:dyDescent="0.45">
      <c r="B19" t="s">
        <v>205</v>
      </c>
      <c r="C19" s="10">
        <v>17075466652</v>
      </c>
      <c r="D19" s="10">
        <v>19085584389</v>
      </c>
      <c r="E19" s="10">
        <v>23232439760</v>
      </c>
      <c r="F19" s="10">
        <v>30730638901</v>
      </c>
      <c r="G19" s="10">
        <v>34160363588</v>
      </c>
      <c r="H19" s="10">
        <v>40474752668</v>
      </c>
      <c r="I19" s="10">
        <v>44575663466</v>
      </c>
      <c r="J19" s="10">
        <v>49784350833</v>
      </c>
      <c r="K19" s="10">
        <v>60362581329</v>
      </c>
      <c r="L19" s="10">
        <v>70366837488</v>
      </c>
      <c r="M19" s="10">
        <v>71127066918</v>
      </c>
      <c r="N19" s="10">
        <v>61878044566</v>
      </c>
      <c r="O19" s="10">
        <v>60412544146</v>
      </c>
      <c r="P19" s="10">
        <v>60644888511</v>
      </c>
      <c r="Q19" s="10">
        <v>59105255834</v>
      </c>
      <c r="R19" s="10">
        <v>62658593689</v>
      </c>
      <c r="S19" s="10">
        <v>88078820170</v>
      </c>
      <c r="T19" s="10">
        <v>109000000000</v>
      </c>
      <c r="U19" s="10">
        <v>116000000000</v>
      </c>
      <c r="V19" s="10">
        <v>112000000000</v>
      </c>
      <c r="W19" s="10">
        <v>138000000000</v>
      </c>
      <c r="X19" s="10">
        <v>139000000000</v>
      </c>
      <c r="Y19" s="10">
        <v>153000000000</v>
      </c>
      <c r="Z19" s="10">
        <v>143000000000</v>
      </c>
      <c r="AA19" s="10">
        <v>156000000000</v>
      </c>
      <c r="AB19" s="10">
        <v>185000000000</v>
      </c>
      <c r="AC19" s="10">
        <v>188000000000</v>
      </c>
      <c r="AD19" s="10">
        <v>174000000000</v>
      </c>
      <c r="AE19" s="10">
        <v>177000000000</v>
      </c>
      <c r="AF19" s="10">
        <v>178000000000</v>
      </c>
      <c r="AG19" s="10">
        <v>164000000000</v>
      </c>
      <c r="AH19" s="10">
        <v>165000000000</v>
      </c>
      <c r="AI19" s="10">
        <v>179000000000</v>
      </c>
      <c r="AJ19" s="10">
        <v>218000000000</v>
      </c>
      <c r="AK19" s="10">
        <v>251000000000</v>
      </c>
      <c r="AL19" s="10">
        <v>264000000000</v>
      </c>
      <c r="AM19" s="10">
        <v>283000000000</v>
      </c>
      <c r="AN19" s="10">
        <v>319000000000</v>
      </c>
      <c r="AO19" s="10">
        <v>353000000000</v>
      </c>
      <c r="AP19" s="10">
        <v>321000000000</v>
      </c>
      <c r="AQ19" s="10">
        <v>322000000000</v>
      </c>
      <c r="AR19" s="10">
        <v>344000000000</v>
      </c>
      <c r="AS19" s="10">
        <v>327000000000</v>
      </c>
      <c r="AT19" s="10">
        <v>344000000000</v>
      </c>
      <c r="AU19" s="10">
        <v>353000000000</v>
      </c>
      <c r="AV19" s="10">
        <v>303000000000</v>
      </c>
      <c r="AW19" s="10">
        <v>312000000000</v>
      </c>
      <c r="AX19" s="10">
        <v>330000000000</v>
      </c>
    </row>
    <row r="20" spans="2:50" x14ac:dyDescent="0.45">
      <c r="B20" t="s">
        <v>90</v>
      </c>
      <c r="C20" s="10">
        <v>11272211747</v>
      </c>
      <c r="D20" s="10">
        <v>12430603209</v>
      </c>
      <c r="E20" s="10">
        <v>14633537532</v>
      </c>
      <c r="F20" s="10">
        <v>19329200327</v>
      </c>
      <c r="G20" s="10">
        <v>24698204808</v>
      </c>
      <c r="H20" s="10">
        <v>29341821976</v>
      </c>
      <c r="I20" s="10">
        <v>31717911019</v>
      </c>
      <c r="J20" s="10">
        <v>33387967506</v>
      </c>
      <c r="K20" s="10">
        <v>36195690369</v>
      </c>
      <c r="L20" s="10">
        <v>44371650984</v>
      </c>
      <c r="M20" s="10">
        <v>53688901830</v>
      </c>
      <c r="N20" s="10">
        <v>52487489406</v>
      </c>
      <c r="O20" s="10">
        <v>52829782004</v>
      </c>
      <c r="P20" s="10">
        <v>51012959723</v>
      </c>
      <c r="Q20" s="10">
        <v>52925900757</v>
      </c>
      <c r="R20" s="10">
        <v>55913633010</v>
      </c>
      <c r="S20" s="10">
        <v>73583909364</v>
      </c>
      <c r="T20" s="10">
        <v>91644453723</v>
      </c>
      <c r="U20" s="10">
        <v>109000000000</v>
      </c>
      <c r="V20" s="10">
        <v>119000000000</v>
      </c>
      <c r="W20" s="10">
        <v>142000000000</v>
      </c>
      <c r="X20" s="10">
        <v>128000000000</v>
      </c>
      <c r="Y20" s="10">
        <v>113000000000</v>
      </c>
      <c r="Z20" s="10">
        <v>89252175097</v>
      </c>
      <c r="AA20" s="10">
        <v>103000000000</v>
      </c>
      <c r="AB20" s="10">
        <v>134000000000</v>
      </c>
      <c r="AC20" s="10">
        <v>132000000000</v>
      </c>
      <c r="AD20" s="10">
        <v>127000000000</v>
      </c>
      <c r="AE20" s="10">
        <v>134000000000</v>
      </c>
      <c r="AF20" s="10">
        <v>135000000000</v>
      </c>
      <c r="AG20" s="10">
        <v>126000000000</v>
      </c>
      <c r="AH20" s="10">
        <v>129000000000</v>
      </c>
      <c r="AI20" s="10">
        <v>140000000000</v>
      </c>
      <c r="AJ20" s="10">
        <v>171000000000</v>
      </c>
      <c r="AK20" s="10">
        <v>197000000000</v>
      </c>
      <c r="AL20" s="10">
        <v>204000000000</v>
      </c>
      <c r="AM20" s="10">
        <v>217000000000</v>
      </c>
      <c r="AN20" s="10">
        <v>255000000000</v>
      </c>
      <c r="AO20" s="10">
        <v>284000000000</v>
      </c>
      <c r="AP20" s="10">
        <v>251000000000</v>
      </c>
      <c r="AQ20" s="10">
        <v>248000000000</v>
      </c>
      <c r="AR20" s="10">
        <v>274000000000</v>
      </c>
      <c r="AS20" s="10">
        <v>257000000000</v>
      </c>
      <c r="AT20" s="10">
        <v>270000000000</v>
      </c>
      <c r="AU20" s="10">
        <v>273000000000</v>
      </c>
      <c r="AV20" s="10">
        <v>232000000000</v>
      </c>
      <c r="AW20" s="10">
        <v>239000000000</v>
      </c>
      <c r="AX20" s="10">
        <v>252000000000</v>
      </c>
    </row>
    <row r="21" spans="2:50" x14ac:dyDescent="0.45">
      <c r="B21" t="s">
        <v>91</v>
      </c>
      <c r="C21" s="10">
        <v>148000000000</v>
      </c>
      <c r="D21" s="10">
        <v>166000000000</v>
      </c>
      <c r="E21" s="10">
        <v>203000000000</v>
      </c>
      <c r="F21" s="10">
        <v>264000000000</v>
      </c>
      <c r="G21" s="10">
        <v>286000000000</v>
      </c>
      <c r="H21" s="10">
        <v>361000000000</v>
      </c>
      <c r="I21" s="10">
        <v>372000000000</v>
      </c>
      <c r="J21" s="10">
        <v>410000000000</v>
      </c>
      <c r="K21" s="10">
        <v>507000000000</v>
      </c>
      <c r="L21" s="10">
        <v>614000000000</v>
      </c>
      <c r="M21" s="10">
        <v>701000000000</v>
      </c>
      <c r="N21" s="10">
        <v>616000000000</v>
      </c>
      <c r="O21" s="10">
        <v>585000000000</v>
      </c>
      <c r="P21" s="10">
        <v>560000000000</v>
      </c>
      <c r="Q21" s="10">
        <v>531000000000</v>
      </c>
      <c r="R21" s="10">
        <v>553000000000</v>
      </c>
      <c r="S21" s="10">
        <v>771000000000</v>
      </c>
      <c r="T21" s="10">
        <v>934000000000</v>
      </c>
      <c r="U21" s="10">
        <v>1020000000000</v>
      </c>
      <c r="V21" s="10">
        <v>1030000000000</v>
      </c>
      <c r="W21" s="10">
        <v>1270000000000</v>
      </c>
      <c r="X21" s="10">
        <v>1270000000000</v>
      </c>
      <c r="Y21" s="10">
        <v>1400000000000</v>
      </c>
      <c r="Z21" s="10">
        <v>1320000000000</v>
      </c>
      <c r="AA21" s="10">
        <v>1390000000000</v>
      </c>
      <c r="AB21" s="10">
        <v>1600000000000</v>
      </c>
      <c r="AC21" s="10">
        <v>1610000000000</v>
      </c>
      <c r="AD21" s="10">
        <v>1450000000000</v>
      </c>
      <c r="AE21" s="10">
        <v>1500000000000</v>
      </c>
      <c r="AF21" s="10">
        <v>1490000000000</v>
      </c>
      <c r="AG21" s="10">
        <v>1360000000000</v>
      </c>
      <c r="AH21" s="10">
        <v>1380000000000</v>
      </c>
      <c r="AI21" s="10">
        <v>1490000000000</v>
      </c>
      <c r="AJ21" s="10">
        <v>1840000000000</v>
      </c>
      <c r="AK21" s="10">
        <v>2120000000000</v>
      </c>
      <c r="AL21" s="10">
        <v>2200000000000</v>
      </c>
      <c r="AM21" s="10">
        <v>2320000000000</v>
      </c>
      <c r="AN21" s="10">
        <v>2660000000000</v>
      </c>
      <c r="AO21" s="10">
        <v>2920000000000</v>
      </c>
      <c r="AP21" s="10">
        <v>2690000000000</v>
      </c>
      <c r="AQ21" s="10">
        <v>2640000000000</v>
      </c>
      <c r="AR21" s="10">
        <v>2860000000000</v>
      </c>
      <c r="AS21" s="10">
        <v>2680000000000</v>
      </c>
      <c r="AT21" s="10">
        <v>2810000000000</v>
      </c>
      <c r="AU21" s="10">
        <v>2850000000000</v>
      </c>
      <c r="AV21" s="10">
        <v>2440000000000</v>
      </c>
      <c r="AW21" s="10">
        <v>2470000000000</v>
      </c>
      <c r="AX21" s="10">
        <v>2580000000000</v>
      </c>
    </row>
    <row r="22" spans="2:50" x14ac:dyDescent="0.45">
      <c r="B22" t="s">
        <v>206</v>
      </c>
      <c r="C22" s="10">
        <v>215000000000</v>
      </c>
      <c r="D22" s="10">
        <v>249000000000</v>
      </c>
      <c r="E22" s="10">
        <v>299000000000</v>
      </c>
      <c r="F22" s="10">
        <v>397000000000</v>
      </c>
      <c r="G22" s="10">
        <v>444000000000</v>
      </c>
      <c r="H22" s="10">
        <v>489000000000</v>
      </c>
      <c r="I22" s="10">
        <v>518000000000</v>
      </c>
      <c r="J22" s="10">
        <v>598000000000</v>
      </c>
      <c r="K22" s="10">
        <v>738000000000</v>
      </c>
      <c r="L22" s="10">
        <v>878000000000</v>
      </c>
      <c r="M22" s="10">
        <v>947000000000</v>
      </c>
      <c r="N22" s="10">
        <v>797000000000</v>
      </c>
      <c r="O22" s="10">
        <v>774000000000</v>
      </c>
      <c r="P22" s="10">
        <v>768000000000</v>
      </c>
      <c r="Q22" s="10">
        <v>722000000000</v>
      </c>
      <c r="R22" s="10">
        <v>730000000000</v>
      </c>
      <c r="S22" s="10">
        <v>1040000000000</v>
      </c>
      <c r="T22" s="10">
        <v>1290000000000</v>
      </c>
      <c r="U22" s="10">
        <v>1400000000000</v>
      </c>
      <c r="V22" s="10">
        <v>1390000000000</v>
      </c>
      <c r="W22" s="10">
        <v>1760000000000</v>
      </c>
      <c r="X22" s="10">
        <v>1860000000000</v>
      </c>
      <c r="Y22" s="10">
        <v>2120000000000</v>
      </c>
      <c r="Z22" s="10">
        <v>2070000000000</v>
      </c>
      <c r="AA22" s="10">
        <v>2210000000000</v>
      </c>
      <c r="AB22" s="10">
        <v>2590000000000</v>
      </c>
      <c r="AC22" s="10">
        <v>2500000000000</v>
      </c>
      <c r="AD22" s="10">
        <v>2220000000000</v>
      </c>
      <c r="AE22" s="10">
        <v>2240000000000</v>
      </c>
      <c r="AF22" s="10">
        <v>2200000000000</v>
      </c>
      <c r="AG22" s="10">
        <v>1950000000000</v>
      </c>
      <c r="AH22" s="10">
        <v>1950000000000</v>
      </c>
      <c r="AI22" s="10">
        <v>2080000000000</v>
      </c>
      <c r="AJ22" s="10">
        <v>2510000000000</v>
      </c>
      <c r="AK22" s="10">
        <v>2820000000000</v>
      </c>
      <c r="AL22" s="10">
        <v>2860000000000</v>
      </c>
      <c r="AM22" s="10">
        <v>3000000000000</v>
      </c>
      <c r="AN22" s="10">
        <v>3440000000000</v>
      </c>
      <c r="AO22" s="10">
        <v>3750000000000</v>
      </c>
      <c r="AP22" s="10">
        <v>3420000000000</v>
      </c>
      <c r="AQ22" s="10">
        <v>3420000000000</v>
      </c>
      <c r="AR22" s="10">
        <v>3760000000000</v>
      </c>
      <c r="AS22" s="10">
        <v>3540000000000</v>
      </c>
      <c r="AT22" s="10">
        <v>3750000000000</v>
      </c>
      <c r="AU22" s="10">
        <v>3900000000000</v>
      </c>
      <c r="AV22" s="10">
        <v>3380000000000</v>
      </c>
      <c r="AW22" s="10">
        <v>3500000000000</v>
      </c>
      <c r="AX22" s="10">
        <v>3690000000000</v>
      </c>
    </row>
    <row r="23" spans="2:50" x14ac:dyDescent="0.45">
      <c r="B23" t="s">
        <v>92</v>
      </c>
      <c r="C23" s="10">
        <v>13133730551</v>
      </c>
      <c r="D23" s="10">
        <v>14584946182</v>
      </c>
      <c r="E23" s="10">
        <v>16877458139</v>
      </c>
      <c r="F23" s="10">
        <v>22337302549</v>
      </c>
      <c r="G23" s="10">
        <v>25339221678</v>
      </c>
      <c r="H23" s="10">
        <v>28537665056</v>
      </c>
      <c r="I23" s="10">
        <v>31162068092</v>
      </c>
      <c r="J23" s="10">
        <v>36172951519</v>
      </c>
      <c r="K23" s="10">
        <v>44255063066</v>
      </c>
      <c r="L23" s="10">
        <v>54483506116</v>
      </c>
      <c r="M23" s="10">
        <v>56844654352</v>
      </c>
      <c r="N23" s="10">
        <v>52344177024</v>
      </c>
      <c r="O23" s="10">
        <v>54604773528</v>
      </c>
      <c r="P23" s="10">
        <v>49420762154</v>
      </c>
      <c r="Q23" s="10">
        <v>48021522975</v>
      </c>
      <c r="R23" s="10">
        <v>47816312488</v>
      </c>
      <c r="S23" s="10">
        <v>56379164103</v>
      </c>
      <c r="T23" s="10">
        <v>65645261368</v>
      </c>
      <c r="U23" s="10">
        <v>76257905094</v>
      </c>
      <c r="V23" s="10">
        <v>79161666985</v>
      </c>
      <c r="W23" s="10">
        <v>97892933302</v>
      </c>
      <c r="X23" s="10">
        <v>105000000000</v>
      </c>
      <c r="Y23" s="10">
        <v>116000000000</v>
      </c>
      <c r="Z23" s="10">
        <v>109000000000</v>
      </c>
      <c r="AA23" s="10">
        <v>117000000000</v>
      </c>
      <c r="AB23" s="10">
        <v>137000000000</v>
      </c>
      <c r="AC23" s="10">
        <v>146000000000</v>
      </c>
      <c r="AD23" s="10">
        <v>143000000000</v>
      </c>
      <c r="AE23" s="10">
        <v>144000000000</v>
      </c>
      <c r="AF23" s="10">
        <v>149000000000</v>
      </c>
      <c r="AG23" s="10">
        <v>132000000000</v>
      </c>
      <c r="AH23" s="10">
        <v>136000000000</v>
      </c>
      <c r="AI23" s="10">
        <v>154000000000</v>
      </c>
      <c r="AJ23" s="10">
        <v>202000000000</v>
      </c>
      <c r="AK23" s="10">
        <v>241000000000</v>
      </c>
      <c r="AL23" s="10">
        <v>248000000000</v>
      </c>
      <c r="AM23" s="10">
        <v>273000000000</v>
      </c>
      <c r="AN23" s="10">
        <v>318000000000</v>
      </c>
      <c r="AO23" s="10">
        <v>354000000000</v>
      </c>
      <c r="AP23" s="10">
        <v>330000000000</v>
      </c>
      <c r="AQ23" s="10">
        <v>299000000000</v>
      </c>
      <c r="AR23" s="10">
        <v>288000000000</v>
      </c>
      <c r="AS23" s="10">
        <v>246000000000</v>
      </c>
      <c r="AT23" s="10">
        <v>240000000000</v>
      </c>
      <c r="AU23" s="10">
        <v>237000000000</v>
      </c>
      <c r="AV23" s="10">
        <v>197000000000</v>
      </c>
      <c r="AW23" s="10">
        <v>195000000000</v>
      </c>
      <c r="AX23" s="10">
        <v>203000000000</v>
      </c>
    </row>
    <row r="24" spans="2:50" x14ac:dyDescent="0.45">
      <c r="B24" t="s">
        <v>207</v>
      </c>
      <c r="C24" s="10">
        <v>518902045.5</v>
      </c>
      <c r="D24" s="10">
        <v>660321818.89999998</v>
      </c>
      <c r="E24" s="10">
        <v>827209910.20000005</v>
      </c>
      <c r="F24" s="10">
        <v>1133377440</v>
      </c>
      <c r="G24" s="10">
        <v>1492718481</v>
      </c>
      <c r="H24" s="10">
        <v>1386078012</v>
      </c>
      <c r="I24" s="10">
        <v>1644740675</v>
      </c>
      <c r="J24" s="10">
        <v>2175791271</v>
      </c>
      <c r="K24" s="10">
        <v>2474607015</v>
      </c>
      <c r="L24" s="10">
        <v>2811162820</v>
      </c>
      <c r="M24" s="10">
        <v>3331296106</v>
      </c>
      <c r="N24" s="10">
        <v>3441257822</v>
      </c>
      <c r="O24" s="10">
        <v>3159113435</v>
      </c>
      <c r="P24" s="10">
        <v>2724977729</v>
      </c>
      <c r="Q24" s="10">
        <v>2822002329</v>
      </c>
      <c r="R24" s="10">
        <v>2939847399</v>
      </c>
      <c r="S24" s="10">
        <v>3930522350</v>
      </c>
      <c r="T24" s="10">
        <v>5438539826</v>
      </c>
      <c r="U24" s="10">
        <v>6016171227</v>
      </c>
      <c r="V24" s="10">
        <v>5588533824</v>
      </c>
      <c r="W24" s="10">
        <v>6372907807</v>
      </c>
      <c r="X24" s="10">
        <v>6807361090</v>
      </c>
      <c r="Y24" s="10">
        <v>6976076290</v>
      </c>
      <c r="Z24" s="10">
        <v>6126457837</v>
      </c>
      <c r="AA24" s="10">
        <v>6294805447</v>
      </c>
      <c r="AB24" s="10">
        <v>7018103770</v>
      </c>
      <c r="AC24" s="10">
        <v>7330965239</v>
      </c>
      <c r="AD24" s="10">
        <v>7580989864</v>
      </c>
      <c r="AE24" s="10">
        <v>8494090805</v>
      </c>
      <c r="AF24" s="10">
        <v>8971609920</v>
      </c>
      <c r="AG24" s="10">
        <v>9003645587</v>
      </c>
      <c r="AH24" s="10">
        <v>8205357028</v>
      </c>
      <c r="AI24" s="10">
        <v>9294655271</v>
      </c>
      <c r="AJ24" s="10">
        <v>11414057517</v>
      </c>
      <c r="AK24" s="10">
        <v>13834758256</v>
      </c>
      <c r="AL24" s="10">
        <v>16812538787</v>
      </c>
      <c r="AM24" s="10">
        <v>17216417561</v>
      </c>
      <c r="AN24" s="10">
        <v>21514962933</v>
      </c>
      <c r="AO24" s="10">
        <v>17905248439</v>
      </c>
      <c r="AP24" s="10">
        <v>13164654535</v>
      </c>
      <c r="AQ24" s="10">
        <v>13683689690</v>
      </c>
      <c r="AR24" s="10">
        <v>15158548373</v>
      </c>
      <c r="AS24" s="10">
        <v>14724078264</v>
      </c>
      <c r="AT24" s="10">
        <v>16033517529</v>
      </c>
      <c r="AU24" s="10">
        <v>17758089312</v>
      </c>
      <c r="AV24" s="10">
        <v>17344165907</v>
      </c>
      <c r="AW24" s="10">
        <v>20716024757</v>
      </c>
      <c r="AX24" s="10">
        <v>24476988541</v>
      </c>
    </row>
    <row r="25" spans="2:50" x14ac:dyDescent="0.45">
      <c r="B25" t="s">
        <v>208</v>
      </c>
      <c r="C25" s="10">
        <v>4401609459</v>
      </c>
      <c r="D25" s="10">
        <v>5104736348</v>
      </c>
      <c r="E25" s="10">
        <v>6325739448</v>
      </c>
      <c r="F25" s="10">
        <v>7490563150</v>
      </c>
      <c r="G25" s="10">
        <v>7905754599</v>
      </c>
      <c r="H25" s="10">
        <v>9495597935</v>
      </c>
      <c r="I25" s="10">
        <v>9464787116</v>
      </c>
      <c r="J25" s="10">
        <v>11261729174</v>
      </c>
      <c r="K25" s="10">
        <v>14666109031</v>
      </c>
      <c r="L25" s="10">
        <v>18341642597</v>
      </c>
      <c r="M25" s="10">
        <v>21773477061</v>
      </c>
      <c r="N25" s="10">
        <v>20695316507</v>
      </c>
      <c r="O25" s="10">
        <v>21500261606</v>
      </c>
      <c r="P25" s="10">
        <v>20790302776</v>
      </c>
      <c r="Q25" s="10">
        <v>20130705884</v>
      </c>
      <c r="R25" s="10">
        <v>21295780950</v>
      </c>
      <c r="S25" s="10">
        <v>28749619824</v>
      </c>
      <c r="T25" s="10">
        <v>33960032182</v>
      </c>
      <c r="U25" s="10">
        <v>37816237987</v>
      </c>
      <c r="V25" s="10">
        <v>39287347300</v>
      </c>
      <c r="W25" s="10">
        <v>49366684940</v>
      </c>
      <c r="X25" s="10">
        <v>49848069522</v>
      </c>
      <c r="Y25" s="10">
        <v>55989142524</v>
      </c>
      <c r="Z25" s="10">
        <v>52478468174</v>
      </c>
      <c r="AA25" s="10">
        <v>57167210294</v>
      </c>
      <c r="AB25" s="10">
        <v>69224579711</v>
      </c>
      <c r="AC25" s="10">
        <v>75878495766</v>
      </c>
      <c r="AD25" s="10">
        <v>82828712356</v>
      </c>
      <c r="AE25" s="10">
        <v>90082029903</v>
      </c>
      <c r="AF25" s="10">
        <v>98689201332</v>
      </c>
      <c r="AG25" s="10">
        <v>99852881324</v>
      </c>
      <c r="AH25" s="10">
        <v>109000000000</v>
      </c>
      <c r="AI25" s="10">
        <v>128000000000</v>
      </c>
      <c r="AJ25" s="10">
        <v>164000000000</v>
      </c>
      <c r="AK25" s="10">
        <v>194000000000</v>
      </c>
      <c r="AL25" s="10">
        <v>212000000000</v>
      </c>
      <c r="AM25" s="10">
        <v>232000000000</v>
      </c>
      <c r="AN25" s="10">
        <v>270000000000</v>
      </c>
      <c r="AO25" s="10">
        <v>275000000000</v>
      </c>
      <c r="AP25" s="10">
        <v>236000000000</v>
      </c>
      <c r="AQ25" s="10">
        <v>222000000000</v>
      </c>
      <c r="AR25" s="10">
        <v>238000000000</v>
      </c>
      <c r="AS25" s="10">
        <v>225000000000</v>
      </c>
      <c r="AT25" s="10">
        <v>239000000000</v>
      </c>
      <c r="AU25" s="10">
        <v>259000000000</v>
      </c>
      <c r="AV25" s="10">
        <v>291000000000</v>
      </c>
      <c r="AW25" s="10">
        <v>302000000000</v>
      </c>
      <c r="AX25" s="10">
        <v>331000000000</v>
      </c>
    </row>
    <row r="26" spans="2:50" x14ac:dyDescent="0.45">
      <c r="B26" t="s">
        <v>93</v>
      </c>
      <c r="C26" s="10">
        <v>6013804611</v>
      </c>
      <c r="D26" s="10">
        <v>6362600762</v>
      </c>
      <c r="E26" s="10">
        <v>8358935228</v>
      </c>
      <c r="F26" s="10">
        <v>10750759938</v>
      </c>
      <c r="G26" s="10">
        <v>14615624694</v>
      </c>
      <c r="H26" s="10">
        <v>14478061594</v>
      </c>
      <c r="I26" s="10">
        <v>15254881004</v>
      </c>
      <c r="J26" s="10">
        <v>16555097936</v>
      </c>
      <c r="K26" s="10">
        <v>16346740655</v>
      </c>
      <c r="L26" s="10">
        <v>21072163372</v>
      </c>
      <c r="M26" s="10">
        <v>23938867263</v>
      </c>
      <c r="N26" s="10">
        <v>25392962910</v>
      </c>
      <c r="O26" s="10">
        <v>27746600941</v>
      </c>
      <c r="P26" s="10">
        <v>30940627024</v>
      </c>
      <c r="Q26" s="10">
        <v>29024800402</v>
      </c>
      <c r="R26" s="10">
        <v>27379029509</v>
      </c>
      <c r="S26" s="10">
        <v>33939101602</v>
      </c>
      <c r="T26" s="10">
        <v>40772988466</v>
      </c>
      <c r="U26" s="10">
        <v>49866913675</v>
      </c>
      <c r="V26" s="10">
        <v>49671018146</v>
      </c>
      <c r="W26" s="10">
        <v>58739411047</v>
      </c>
      <c r="X26" s="10">
        <v>67245695065</v>
      </c>
      <c r="Y26" s="10">
        <v>75258264127</v>
      </c>
      <c r="Z26" s="10">
        <v>75635343540</v>
      </c>
      <c r="AA26" s="10">
        <v>85945090763</v>
      </c>
      <c r="AB26" s="10">
        <v>100000000000</v>
      </c>
      <c r="AC26" s="10">
        <v>110000000000</v>
      </c>
      <c r="AD26" s="10">
        <v>115000000000</v>
      </c>
      <c r="AE26" s="10">
        <v>116000000000</v>
      </c>
      <c r="AF26" s="10">
        <v>117000000000</v>
      </c>
      <c r="AG26" s="10">
        <v>132000000000</v>
      </c>
      <c r="AH26" s="10">
        <v>131000000000</v>
      </c>
      <c r="AI26" s="10">
        <v>121000000000</v>
      </c>
      <c r="AJ26" s="10">
        <v>127000000000</v>
      </c>
      <c r="AK26" s="10">
        <v>135000000000</v>
      </c>
      <c r="AL26" s="10">
        <v>142000000000</v>
      </c>
      <c r="AM26" s="10">
        <v>154000000000</v>
      </c>
      <c r="AN26" s="10">
        <v>179000000000</v>
      </c>
      <c r="AO26" s="10">
        <v>216000000000</v>
      </c>
      <c r="AP26" s="10">
        <v>207000000000</v>
      </c>
      <c r="AQ26" s="10">
        <v>234000000000</v>
      </c>
      <c r="AR26" s="10">
        <v>262000000000</v>
      </c>
      <c r="AS26" s="10">
        <v>257000000000</v>
      </c>
      <c r="AT26" s="10">
        <v>293000000000</v>
      </c>
      <c r="AU26" s="10">
        <v>310000000000</v>
      </c>
      <c r="AV26" s="10">
        <v>300000000000</v>
      </c>
      <c r="AW26" s="10">
        <v>319000000000</v>
      </c>
      <c r="AX26" s="10">
        <v>353000000000</v>
      </c>
    </row>
    <row r="27" spans="2:50" x14ac:dyDescent="0.45">
      <c r="B27" t="s">
        <v>94</v>
      </c>
      <c r="C27" s="10">
        <v>113000000000</v>
      </c>
      <c r="D27" s="10">
        <v>124000000000</v>
      </c>
      <c r="E27" s="10">
        <v>145000000000</v>
      </c>
      <c r="F27" s="10">
        <v>175000000000</v>
      </c>
      <c r="G27" s="10">
        <v>199000000000</v>
      </c>
      <c r="H27" s="10">
        <v>227000000000</v>
      </c>
      <c r="I27" s="10">
        <v>224000000000</v>
      </c>
      <c r="J27" s="10">
        <v>257000000000</v>
      </c>
      <c r="K27" s="10">
        <v>314000000000</v>
      </c>
      <c r="L27" s="10">
        <v>392000000000</v>
      </c>
      <c r="M27" s="10">
        <v>476000000000</v>
      </c>
      <c r="N27" s="10">
        <v>429000000000</v>
      </c>
      <c r="O27" s="10">
        <v>426000000000</v>
      </c>
      <c r="P27" s="10">
        <v>442000000000</v>
      </c>
      <c r="Q27" s="10">
        <v>436000000000</v>
      </c>
      <c r="R27" s="10">
        <v>451000000000</v>
      </c>
      <c r="S27" s="10">
        <v>638000000000</v>
      </c>
      <c r="T27" s="10">
        <v>803000000000</v>
      </c>
      <c r="U27" s="10">
        <v>889000000000</v>
      </c>
      <c r="V27" s="10">
        <v>926000000000</v>
      </c>
      <c r="W27" s="10">
        <v>1180000000000</v>
      </c>
      <c r="X27" s="10">
        <v>1240000000000</v>
      </c>
      <c r="Y27" s="10">
        <v>1320000000000</v>
      </c>
      <c r="Z27" s="10">
        <v>1060000000000</v>
      </c>
      <c r="AA27" s="10">
        <v>1100000000000</v>
      </c>
      <c r="AB27" s="10">
        <v>1170000000000</v>
      </c>
      <c r="AC27" s="10">
        <v>1310000000000</v>
      </c>
      <c r="AD27" s="10">
        <v>1240000000000</v>
      </c>
      <c r="AE27" s="10">
        <v>1270000000000</v>
      </c>
      <c r="AF27" s="10">
        <v>1250000000000</v>
      </c>
      <c r="AG27" s="10">
        <v>1140000000000</v>
      </c>
      <c r="AH27" s="10">
        <v>1160000000000</v>
      </c>
      <c r="AI27" s="10">
        <v>1270000000000</v>
      </c>
      <c r="AJ27" s="10">
        <v>1570000000000</v>
      </c>
      <c r="AK27" s="10">
        <v>1800000000000</v>
      </c>
      <c r="AL27" s="10">
        <v>1850000000000</v>
      </c>
      <c r="AM27" s="10">
        <v>1940000000000</v>
      </c>
      <c r="AN27" s="10">
        <v>2200000000000</v>
      </c>
      <c r="AO27" s="10">
        <v>2390000000000</v>
      </c>
      <c r="AP27" s="10">
        <v>2190000000000</v>
      </c>
      <c r="AQ27" s="10">
        <v>2130000000000</v>
      </c>
      <c r="AR27" s="10">
        <v>2280000000000</v>
      </c>
      <c r="AS27" s="10">
        <v>2070000000000</v>
      </c>
      <c r="AT27" s="10">
        <v>2130000000000</v>
      </c>
      <c r="AU27" s="10">
        <v>2150000000000</v>
      </c>
      <c r="AV27" s="10">
        <v>1830000000000</v>
      </c>
      <c r="AW27" s="10">
        <v>1870000000000</v>
      </c>
      <c r="AX27" s="10">
        <v>1940000000000</v>
      </c>
    </row>
    <row r="28" spans="2:50" x14ac:dyDescent="0.45">
      <c r="B28" t="s">
        <v>95</v>
      </c>
      <c r="C28" s="10">
        <v>213000000000</v>
      </c>
      <c r="D28" s="10">
        <v>240000000000</v>
      </c>
      <c r="E28" s="10">
        <v>318000000000</v>
      </c>
      <c r="F28" s="10">
        <v>432000000000</v>
      </c>
      <c r="G28" s="10">
        <v>480000000000</v>
      </c>
      <c r="H28" s="10">
        <v>522000000000</v>
      </c>
      <c r="I28" s="10">
        <v>586000000000</v>
      </c>
      <c r="J28" s="10">
        <v>721000000000</v>
      </c>
      <c r="K28" s="10">
        <v>1010000000000</v>
      </c>
      <c r="L28" s="10">
        <v>1060000000000</v>
      </c>
      <c r="M28" s="10">
        <v>1110000000000</v>
      </c>
      <c r="N28" s="10">
        <v>1220000000000</v>
      </c>
      <c r="O28" s="10">
        <v>1130000000000</v>
      </c>
      <c r="P28" s="10">
        <v>1240000000000</v>
      </c>
      <c r="Q28" s="10">
        <v>1320000000000</v>
      </c>
      <c r="R28" s="10">
        <v>1400000000000</v>
      </c>
      <c r="S28" s="10">
        <v>2080000000000</v>
      </c>
      <c r="T28" s="10">
        <v>2530000000000</v>
      </c>
      <c r="U28" s="10">
        <v>3070000000000</v>
      </c>
      <c r="V28" s="10">
        <v>3050000000000</v>
      </c>
      <c r="W28" s="10">
        <v>3130000000000</v>
      </c>
      <c r="X28" s="10">
        <v>3580000000000</v>
      </c>
      <c r="Y28" s="10">
        <v>3910000000000</v>
      </c>
      <c r="Z28" s="10">
        <v>4450000000000</v>
      </c>
      <c r="AA28" s="10">
        <v>4910000000000</v>
      </c>
      <c r="AB28" s="10">
        <v>5450000000000</v>
      </c>
      <c r="AC28" s="10">
        <v>4830000000000</v>
      </c>
      <c r="AD28" s="10">
        <v>4410000000000</v>
      </c>
      <c r="AE28" s="10">
        <v>4030000000000</v>
      </c>
      <c r="AF28" s="10">
        <v>4560000000000</v>
      </c>
      <c r="AG28" s="10">
        <v>4890000000000</v>
      </c>
      <c r="AH28" s="10">
        <v>4300000000000</v>
      </c>
      <c r="AI28" s="10">
        <v>4120000000000</v>
      </c>
      <c r="AJ28" s="10">
        <v>4450000000000</v>
      </c>
      <c r="AK28" s="10">
        <v>4820000000000</v>
      </c>
      <c r="AL28" s="10">
        <v>4760000000000</v>
      </c>
      <c r="AM28" s="10">
        <v>4530000000000</v>
      </c>
      <c r="AN28" s="10">
        <v>4520000000000</v>
      </c>
      <c r="AO28" s="10">
        <v>5040000000000</v>
      </c>
      <c r="AP28" s="10">
        <v>5230000000000</v>
      </c>
      <c r="AQ28" s="10">
        <v>5700000000000</v>
      </c>
      <c r="AR28" s="10">
        <v>6160000000000</v>
      </c>
      <c r="AS28" s="10">
        <v>6200000000000</v>
      </c>
      <c r="AT28" s="10">
        <v>5160000000000</v>
      </c>
      <c r="AU28" s="10">
        <v>4850000000000</v>
      </c>
      <c r="AV28" s="10">
        <v>4390000000000</v>
      </c>
      <c r="AW28" s="10">
        <v>4950000000000</v>
      </c>
      <c r="AX28" s="10">
        <v>4870000000000</v>
      </c>
    </row>
    <row r="29" spans="2:50" x14ac:dyDescent="0.45">
      <c r="B29" t="s">
        <v>96</v>
      </c>
      <c r="C29" s="10">
        <v>1509194505</v>
      </c>
      <c r="D29" s="10">
        <v>1572374780</v>
      </c>
      <c r="E29" s="10">
        <v>1968745584</v>
      </c>
      <c r="F29" s="10">
        <v>2701868519</v>
      </c>
      <c r="G29" s="10">
        <v>3295920925</v>
      </c>
      <c r="H29" s="10">
        <v>3233341026</v>
      </c>
      <c r="I29" s="10">
        <v>3544278835</v>
      </c>
      <c r="J29" s="10">
        <v>3922813879</v>
      </c>
      <c r="K29" s="10">
        <v>4885067128</v>
      </c>
      <c r="L29" s="10">
        <v>5711530393</v>
      </c>
      <c r="M29" s="10">
        <v>6232160504</v>
      </c>
      <c r="N29" s="10">
        <v>5231751444</v>
      </c>
      <c r="O29" s="10">
        <v>4764381394</v>
      </c>
      <c r="P29" s="10">
        <v>4683620594</v>
      </c>
      <c r="Q29" s="10">
        <v>4594808558</v>
      </c>
      <c r="R29" s="10">
        <v>4738423934</v>
      </c>
      <c r="S29" s="10">
        <v>6921339794</v>
      </c>
      <c r="T29" s="10">
        <v>8614329542</v>
      </c>
      <c r="U29" s="10">
        <v>9750554943</v>
      </c>
      <c r="V29" s="10">
        <v>10391508508</v>
      </c>
      <c r="W29" s="10">
        <v>13229111903</v>
      </c>
      <c r="X29" s="10">
        <v>14321658800</v>
      </c>
      <c r="Y29" s="10">
        <v>16066440483</v>
      </c>
      <c r="Z29" s="10">
        <v>16486412927</v>
      </c>
      <c r="AA29" s="10">
        <v>18326566839</v>
      </c>
      <c r="AB29" s="10">
        <v>21588450422</v>
      </c>
      <c r="AC29" s="10">
        <v>21776159573</v>
      </c>
      <c r="AD29" s="10">
        <v>19731654627</v>
      </c>
      <c r="AE29" s="10">
        <v>20208677291</v>
      </c>
      <c r="AF29" s="10">
        <v>22235282883</v>
      </c>
      <c r="AG29" s="10">
        <v>21263498508</v>
      </c>
      <c r="AH29" s="10">
        <v>21272228436</v>
      </c>
      <c r="AI29" s="10">
        <v>23617403075</v>
      </c>
      <c r="AJ29" s="10">
        <v>29556185286</v>
      </c>
      <c r="AK29" s="10">
        <v>34686789220</v>
      </c>
      <c r="AL29" s="10">
        <v>37346465702</v>
      </c>
      <c r="AM29" s="10">
        <v>42412135455</v>
      </c>
      <c r="AN29" s="10">
        <v>50885522574</v>
      </c>
      <c r="AO29" s="10">
        <v>55851755415</v>
      </c>
      <c r="AP29" s="10">
        <v>51367448900</v>
      </c>
      <c r="AQ29" s="10">
        <v>53212476812</v>
      </c>
      <c r="AR29" s="10">
        <v>60004630234</v>
      </c>
      <c r="AS29" s="10">
        <v>56677961787</v>
      </c>
      <c r="AT29" s="10">
        <v>61739352212</v>
      </c>
      <c r="AU29" s="10">
        <v>66103853237</v>
      </c>
      <c r="AV29" s="10">
        <v>57204400105</v>
      </c>
      <c r="AW29" s="10">
        <v>58961235412</v>
      </c>
      <c r="AX29" s="10">
        <v>62316359824</v>
      </c>
    </row>
    <row r="30" spans="2:50" x14ac:dyDescent="0.45">
      <c r="B30" t="s">
        <v>209</v>
      </c>
      <c r="C30" s="10">
        <v>259326687.09999999</v>
      </c>
      <c r="D30" s="10">
        <v>273651086.10000002</v>
      </c>
      <c r="E30" s="10">
        <v>305226417.80000001</v>
      </c>
      <c r="F30" s="10">
        <v>357467750.5</v>
      </c>
      <c r="G30" s="10">
        <v>388977555.10000002</v>
      </c>
      <c r="H30" s="10">
        <v>490893649.10000002</v>
      </c>
      <c r="I30" s="10">
        <v>546040621.20000005</v>
      </c>
      <c r="J30" s="10">
        <v>647014830</v>
      </c>
      <c r="K30" s="10">
        <v>820889906.20000005</v>
      </c>
      <c r="L30" s="10">
        <v>1035623884</v>
      </c>
      <c r="M30" s="10">
        <v>1293070212</v>
      </c>
      <c r="N30" s="10">
        <v>1286151630</v>
      </c>
      <c r="O30" s="10">
        <v>1276806687</v>
      </c>
      <c r="P30" s="10">
        <v>1205704766</v>
      </c>
      <c r="Q30" s="10">
        <v>1139589885</v>
      </c>
      <c r="R30" s="10">
        <v>1156128127</v>
      </c>
      <c r="S30" s="10">
        <v>1484247592</v>
      </c>
      <c r="T30" s="10">
        <v>1811347622</v>
      </c>
      <c r="U30" s="10">
        <v>2088755532</v>
      </c>
      <c r="V30" s="10">
        <v>2191307089</v>
      </c>
      <c r="W30" s="10">
        <v>2634681966</v>
      </c>
      <c r="X30" s="10">
        <v>2844523913</v>
      </c>
      <c r="Y30" s="10">
        <v>3125571535</v>
      </c>
      <c r="Z30" s="10">
        <v>2802097018</v>
      </c>
      <c r="AA30" s="10">
        <v>3101327494</v>
      </c>
      <c r="AB30" s="10">
        <v>3697323774</v>
      </c>
      <c r="AC30" s="10">
        <v>3806171741</v>
      </c>
      <c r="AD30" s="10">
        <v>3776280703</v>
      </c>
      <c r="AE30" s="10">
        <v>3975721296</v>
      </c>
      <c r="AF30" s="10">
        <v>4093702458</v>
      </c>
      <c r="AG30" s="10">
        <v>4053340645</v>
      </c>
      <c r="AH30" s="10">
        <v>4066430982</v>
      </c>
      <c r="AI30" s="10">
        <v>4467144087</v>
      </c>
      <c r="AJ30" s="10">
        <v>5415735009</v>
      </c>
      <c r="AK30" s="10">
        <v>6043974062</v>
      </c>
      <c r="AL30" s="10">
        <v>6393114586</v>
      </c>
      <c r="AM30" s="10">
        <v>6782910541</v>
      </c>
      <c r="AN30" s="10">
        <v>7930359349</v>
      </c>
      <c r="AO30" s="10">
        <v>8977482100</v>
      </c>
      <c r="AP30" s="10">
        <v>8527688582</v>
      </c>
      <c r="AQ30" s="10">
        <v>8740539199</v>
      </c>
      <c r="AR30" s="10">
        <v>9508514695</v>
      </c>
      <c r="AS30" s="10">
        <v>9209891983</v>
      </c>
      <c r="AT30" s="10">
        <v>10146195099</v>
      </c>
      <c r="AU30" s="10">
        <v>11234117952</v>
      </c>
      <c r="AV30" s="10">
        <v>10563417440</v>
      </c>
      <c r="AW30" s="10">
        <v>11260734993</v>
      </c>
      <c r="AX30" s="10">
        <v>12553225573</v>
      </c>
    </row>
    <row r="31" spans="2:50" x14ac:dyDescent="0.45">
      <c r="B31" t="s">
        <v>97</v>
      </c>
      <c r="C31" s="10">
        <v>38165079690</v>
      </c>
      <c r="D31" s="10">
        <v>44579637556</v>
      </c>
      <c r="E31" s="10">
        <v>54706271672</v>
      </c>
      <c r="F31" s="10">
        <v>71842876157</v>
      </c>
      <c r="G31" s="10">
        <v>87240898338</v>
      </c>
      <c r="H31" s="10">
        <v>100000000000</v>
      </c>
      <c r="I31" s="10">
        <v>109000000000</v>
      </c>
      <c r="J31" s="10">
        <v>127000000000</v>
      </c>
      <c r="K31" s="10">
        <v>156000000000</v>
      </c>
      <c r="L31" s="10">
        <v>180000000000</v>
      </c>
      <c r="M31" s="10">
        <v>195000000000</v>
      </c>
      <c r="N31" s="10">
        <v>164000000000</v>
      </c>
      <c r="O31" s="10">
        <v>158000000000</v>
      </c>
      <c r="P31" s="10">
        <v>153000000000</v>
      </c>
      <c r="Q31" s="10">
        <v>144000000000</v>
      </c>
      <c r="R31" s="10">
        <v>144000000000</v>
      </c>
      <c r="S31" s="10">
        <v>201000000000</v>
      </c>
      <c r="T31" s="10">
        <v>245000000000</v>
      </c>
      <c r="U31" s="10">
        <v>262000000000</v>
      </c>
      <c r="V31" s="10">
        <v>258000000000</v>
      </c>
      <c r="W31" s="10">
        <v>318000000000</v>
      </c>
      <c r="X31" s="10">
        <v>327000000000</v>
      </c>
      <c r="Y31" s="10">
        <v>363000000000</v>
      </c>
      <c r="Z31" s="10">
        <v>354000000000</v>
      </c>
      <c r="AA31" s="10">
        <v>379000000000</v>
      </c>
      <c r="AB31" s="10">
        <v>452000000000</v>
      </c>
      <c r="AC31" s="10">
        <v>450000000000</v>
      </c>
      <c r="AD31" s="10">
        <v>417000000000</v>
      </c>
      <c r="AE31" s="10">
        <v>438000000000</v>
      </c>
      <c r="AF31" s="10">
        <v>447000000000</v>
      </c>
      <c r="AG31" s="10">
        <v>416000000000</v>
      </c>
      <c r="AH31" s="10">
        <v>431000000000</v>
      </c>
      <c r="AI31" s="10">
        <v>472000000000</v>
      </c>
      <c r="AJ31" s="10">
        <v>579000000000</v>
      </c>
      <c r="AK31" s="10">
        <v>657000000000</v>
      </c>
      <c r="AL31" s="10">
        <v>685000000000</v>
      </c>
      <c r="AM31" s="10">
        <v>733000000000</v>
      </c>
      <c r="AN31" s="10">
        <v>847000000000</v>
      </c>
      <c r="AO31" s="10">
        <v>948000000000</v>
      </c>
      <c r="AP31" s="10">
        <v>868000000000</v>
      </c>
      <c r="AQ31" s="10">
        <v>847000000000</v>
      </c>
      <c r="AR31" s="10">
        <v>904000000000</v>
      </c>
      <c r="AS31" s="10">
        <v>839000000000</v>
      </c>
      <c r="AT31" s="10">
        <v>877000000000</v>
      </c>
      <c r="AU31" s="10">
        <v>891000000000</v>
      </c>
      <c r="AV31" s="10">
        <v>765000000000</v>
      </c>
      <c r="AW31" s="10">
        <v>784000000000</v>
      </c>
      <c r="AX31" s="10">
        <v>831000000000</v>
      </c>
    </row>
    <row r="32" spans="2:50" x14ac:dyDescent="0.45">
      <c r="B32" t="s">
        <v>210</v>
      </c>
      <c r="C32" s="10">
        <v>6496865680</v>
      </c>
      <c r="D32" s="10">
        <v>7937704851</v>
      </c>
      <c r="E32" s="10">
        <v>9657216000</v>
      </c>
      <c r="F32" s="10">
        <v>12704731201</v>
      </c>
      <c r="G32" s="10">
        <v>14261899749</v>
      </c>
      <c r="H32" s="10">
        <v>13824222272</v>
      </c>
      <c r="I32" s="10">
        <v>13904026141</v>
      </c>
      <c r="J32" s="10">
        <v>15206078653</v>
      </c>
      <c r="K32" s="10">
        <v>18466962199</v>
      </c>
      <c r="L32" s="10">
        <v>20997391444</v>
      </c>
      <c r="M32" s="10">
        <v>23364631647</v>
      </c>
      <c r="N32" s="10">
        <v>25180539488</v>
      </c>
      <c r="O32" s="10">
        <v>25083138976</v>
      </c>
      <c r="P32" s="10">
        <v>24888872079</v>
      </c>
      <c r="Q32" s="10">
        <v>23947947636</v>
      </c>
      <c r="R32" s="10">
        <v>24107770570</v>
      </c>
      <c r="S32" s="10">
        <v>30291755402</v>
      </c>
      <c r="T32" s="10">
        <v>38456571590</v>
      </c>
      <c r="U32" s="10">
        <v>46270939099</v>
      </c>
      <c r="V32" s="10">
        <v>44634198122</v>
      </c>
      <c r="W32" s="10">
        <v>45440191226</v>
      </c>
      <c r="X32" s="10">
        <v>43833503908</v>
      </c>
      <c r="Y32" s="10">
        <v>42061097062</v>
      </c>
      <c r="Z32" s="10">
        <v>45641389596</v>
      </c>
      <c r="AA32" s="10">
        <v>53564090984</v>
      </c>
      <c r="AB32" s="10">
        <v>63151436140</v>
      </c>
      <c r="AC32" s="10">
        <v>69492506947</v>
      </c>
      <c r="AD32" s="10">
        <v>69302139781</v>
      </c>
      <c r="AE32" s="10">
        <v>57180274401</v>
      </c>
      <c r="AF32" s="10">
        <v>59921764996</v>
      </c>
      <c r="AG32" s="10">
        <v>54443379765</v>
      </c>
      <c r="AH32" s="10">
        <v>54109071953</v>
      </c>
      <c r="AI32" s="10">
        <v>62520383454</v>
      </c>
      <c r="AJ32" s="10">
        <v>83910383617</v>
      </c>
      <c r="AK32" s="10">
        <v>102000000000</v>
      </c>
      <c r="AL32" s="10">
        <v>115000000000</v>
      </c>
      <c r="AM32" s="10">
        <v>112000000000</v>
      </c>
      <c r="AN32" s="10">
        <v>137000000000</v>
      </c>
      <c r="AO32" s="10">
        <v>133000000000</v>
      </c>
      <c r="AP32" s="10">
        <v>121000000000</v>
      </c>
      <c r="AQ32" s="10">
        <v>147000000000</v>
      </c>
      <c r="AR32" s="10">
        <v>168000000000</v>
      </c>
      <c r="AS32" s="10">
        <v>176000000000</v>
      </c>
      <c r="AT32" s="10">
        <v>191000000000</v>
      </c>
      <c r="AU32" s="10">
        <v>201000000000</v>
      </c>
      <c r="AV32" s="10">
        <v>177000000000</v>
      </c>
      <c r="AW32" s="10">
        <v>188000000000</v>
      </c>
      <c r="AX32" s="10">
        <v>202000000000</v>
      </c>
    </row>
    <row r="33" spans="1:50" x14ac:dyDescent="0.45">
      <c r="B33" t="s">
        <v>98</v>
      </c>
      <c r="C33" s="10">
        <v>12814194863</v>
      </c>
      <c r="D33" s="10">
        <v>14583103533</v>
      </c>
      <c r="E33" s="10">
        <v>17358481291</v>
      </c>
      <c r="F33" s="10">
        <v>22534123432</v>
      </c>
      <c r="G33" s="10">
        <v>27145652980</v>
      </c>
      <c r="H33" s="10">
        <v>32877543120</v>
      </c>
      <c r="I33" s="10">
        <v>35942160909</v>
      </c>
      <c r="J33" s="10">
        <v>41508030439</v>
      </c>
      <c r="K33" s="10">
        <v>46523534751</v>
      </c>
      <c r="L33" s="10">
        <v>53132594368</v>
      </c>
      <c r="M33" s="10">
        <v>64439056748</v>
      </c>
      <c r="N33" s="10">
        <v>63596562434</v>
      </c>
      <c r="O33" s="10">
        <v>62646871992</v>
      </c>
      <c r="P33" s="10">
        <v>61627522383</v>
      </c>
      <c r="Q33" s="10">
        <v>62058271863</v>
      </c>
      <c r="R33" s="10">
        <v>65416626281</v>
      </c>
      <c r="S33" s="10">
        <v>78692809868</v>
      </c>
      <c r="T33" s="10">
        <v>94230754959</v>
      </c>
      <c r="U33" s="10">
        <v>102000000000</v>
      </c>
      <c r="V33" s="10">
        <v>103000000000</v>
      </c>
      <c r="W33" s="10">
        <v>120000000000</v>
      </c>
      <c r="X33" s="10">
        <v>122000000000</v>
      </c>
      <c r="Y33" s="10">
        <v>131000000000</v>
      </c>
      <c r="Z33" s="10">
        <v>121000000000</v>
      </c>
      <c r="AA33" s="10">
        <v>127000000000</v>
      </c>
      <c r="AB33" s="10">
        <v>152000000000</v>
      </c>
      <c r="AC33" s="10">
        <v>164000000000</v>
      </c>
      <c r="AD33" s="10">
        <v>161000000000</v>
      </c>
      <c r="AE33" s="10">
        <v>154000000000</v>
      </c>
      <c r="AF33" s="10">
        <v>162000000000</v>
      </c>
      <c r="AG33" s="10">
        <v>171000000000</v>
      </c>
      <c r="AH33" s="10">
        <v>174000000000</v>
      </c>
      <c r="AI33" s="10">
        <v>195000000000</v>
      </c>
      <c r="AJ33" s="10">
        <v>229000000000</v>
      </c>
      <c r="AK33" s="10">
        <v>264000000000</v>
      </c>
      <c r="AL33" s="10">
        <v>309000000000</v>
      </c>
      <c r="AM33" s="10">
        <v>345000000000</v>
      </c>
      <c r="AN33" s="10">
        <v>401000000000</v>
      </c>
      <c r="AO33" s="10">
        <v>463000000000</v>
      </c>
      <c r="AP33" s="10">
        <v>387000000000</v>
      </c>
      <c r="AQ33" s="10">
        <v>429000000000</v>
      </c>
      <c r="AR33" s="10">
        <v>499000000000</v>
      </c>
      <c r="AS33" s="10">
        <v>510000000000</v>
      </c>
      <c r="AT33" s="10">
        <v>524000000000</v>
      </c>
      <c r="AU33" s="10">
        <v>499000000000</v>
      </c>
      <c r="AV33" s="10">
        <v>387000000000</v>
      </c>
      <c r="AW33" s="10">
        <v>371000000000</v>
      </c>
      <c r="AX33" s="10">
        <v>399000000000</v>
      </c>
    </row>
    <row r="34" spans="1:50" x14ac:dyDescent="0.45">
      <c r="B34" t="s">
        <v>99</v>
      </c>
      <c r="C34" s="10">
        <v>8108784222</v>
      </c>
      <c r="D34" s="10">
        <v>9205118880</v>
      </c>
      <c r="E34" s="10">
        <v>11236735208</v>
      </c>
      <c r="F34" s="10">
        <v>15094380568</v>
      </c>
      <c r="G34" s="10">
        <v>17509219857</v>
      </c>
      <c r="H34" s="10">
        <v>19356104699</v>
      </c>
      <c r="I34" s="10">
        <v>20337258757</v>
      </c>
      <c r="J34" s="10">
        <v>21438870296</v>
      </c>
      <c r="K34" s="10">
        <v>23494373363</v>
      </c>
      <c r="L34" s="10">
        <v>26622250904</v>
      </c>
      <c r="M34" s="10">
        <v>32898590892</v>
      </c>
      <c r="N34" s="10">
        <v>31981254318</v>
      </c>
      <c r="O34" s="10">
        <v>30529887846</v>
      </c>
      <c r="P34" s="10">
        <v>27243935213</v>
      </c>
      <c r="Q34" s="10">
        <v>25220731420</v>
      </c>
      <c r="R34" s="10">
        <v>27117678053</v>
      </c>
      <c r="S34" s="10">
        <v>38747868782</v>
      </c>
      <c r="T34" s="10">
        <v>48186397076</v>
      </c>
      <c r="U34" s="10">
        <v>56349728014</v>
      </c>
      <c r="V34" s="10">
        <v>60600177045</v>
      </c>
      <c r="W34" s="10">
        <v>78726025381</v>
      </c>
      <c r="X34" s="10">
        <v>89245704427</v>
      </c>
      <c r="Y34" s="10">
        <v>108000000000</v>
      </c>
      <c r="Z34" s="10">
        <v>95022901034</v>
      </c>
      <c r="AA34" s="10">
        <v>99702248774</v>
      </c>
      <c r="AB34" s="10">
        <v>118000000000</v>
      </c>
      <c r="AC34" s="10">
        <v>123000000000</v>
      </c>
      <c r="AD34" s="10">
        <v>117000000000</v>
      </c>
      <c r="AE34" s="10">
        <v>124000000000</v>
      </c>
      <c r="AF34" s="10">
        <v>127000000000</v>
      </c>
      <c r="AG34" s="10">
        <v>118000000000</v>
      </c>
      <c r="AH34" s="10">
        <v>122000000000</v>
      </c>
      <c r="AI34" s="10">
        <v>134000000000</v>
      </c>
      <c r="AJ34" s="10">
        <v>165000000000</v>
      </c>
      <c r="AK34" s="10">
        <v>189000000000</v>
      </c>
      <c r="AL34" s="10">
        <v>197000000000</v>
      </c>
      <c r="AM34" s="10">
        <v>209000000000</v>
      </c>
      <c r="AN34" s="10">
        <v>240000000000</v>
      </c>
      <c r="AO34" s="10">
        <v>262000000000</v>
      </c>
      <c r="AP34" s="10">
        <v>244000000000</v>
      </c>
      <c r="AQ34" s="10">
        <v>238000000000</v>
      </c>
      <c r="AR34" s="10">
        <v>245000000000</v>
      </c>
      <c r="AS34" s="10">
        <v>216000000000</v>
      </c>
      <c r="AT34" s="10">
        <v>226000000000</v>
      </c>
      <c r="AU34" s="10">
        <v>230000000000</v>
      </c>
      <c r="AV34" s="10">
        <v>199000000000</v>
      </c>
      <c r="AW34" s="10">
        <v>188000000000</v>
      </c>
      <c r="AX34" s="10">
        <v>195000000000</v>
      </c>
    </row>
    <row r="35" spans="1:50" x14ac:dyDescent="0.45">
      <c r="B35" t="s">
        <v>100</v>
      </c>
      <c r="C35" s="10">
        <v>1919496147</v>
      </c>
      <c r="D35" s="10">
        <v>2270330158</v>
      </c>
      <c r="E35" s="10">
        <v>2950257779</v>
      </c>
      <c r="F35" s="10">
        <v>4227574234</v>
      </c>
      <c r="G35" s="10">
        <v>5260730995</v>
      </c>
      <c r="H35" s="10">
        <v>5789229539</v>
      </c>
      <c r="I35" s="10">
        <v>6071574803</v>
      </c>
      <c r="J35" s="10">
        <v>6702713784</v>
      </c>
      <c r="K35" s="10">
        <v>8062400372</v>
      </c>
      <c r="L35" s="10">
        <v>9719674880</v>
      </c>
      <c r="M35" s="10">
        <v>12078880699</v>
      </c>
      <c r="N35" s="10">
        <v>14363051878</v>
      </c>
      <c r="O35" s="10">
        <v>15873552885</v>
      </c>
      <c r="P35" s="10">
        <v>18001987657</v>
      </c>
      <c r="Q35" s="10">
        <v>19550103531</v>
      </c>
      <c r="R35" s="10">
        <v>18555053067</v>
      </c>
      <c r="S35" s="10">
        <v>18762738721</v>
      </c>
      <c r="T35" s="10">
        <v>21606296346</v>
      </c>
      <c r="U35" s="10">
        <v>26515373244</v>
      </c>
      <c r="V35" s="10">
        <v>31392969307</v>
      </c>
      <c r="W35" s="10">
        <v>38899863911</v>
      </c>
      <c r="X35" s="10">
        <v>45473126682</v>
      </c>
      <c r="Y35" s="10">
        <v>52157482248</v>
      </c>
      <c r="Z35" s="10">
        <v>60644916395</v>
      </c>
      <c r="AA35" s="10">
        <v>73775659012</v>
      </c>
      <c r="AB35" s="10">
        <v>87891560102</v>
      </c>
      <c r="AC35" s="10">
        <v>96400967111</v>
      </c>
      <c r="AD35" s="10">
        <v>100000000000</v>
      </c>
      <c r="AE35" s="10">
        <v>85707550881</v>
      </c>
      <c r="AF35" s="10">
        <v>86285332762</v>
      </c>
      <c r="AG35" s="10">
        <v>95835970989</v>
      </c>
      <c r="AH35" s="10">
        <v>89285087395</v>
      </c>
      <c r="AI35" s="10">
        <v>91941791944</v>
      </c>
      <c r="AJ35" s="10">
        <v>97002305536</v>
      </c>
      <c r="AK35" s="10">
        <v>114000000000</v>
      </c>
      <c r="AL35" s="10">
        <v>127000000000</v>
      </c>
      <c r="AM35" s="10">
        <v>148000000000</v>
      </c>
      <c r="AN35" s="10">
        <v>180000000000</v>
      </c>
      <c r="AO35" s="10">
        <v>192000000000</v>
      </c>
      <c r="AP35" s="10">
        <v>192000000000</v>
      </c>
      <c r="AQ35" s="10">
        <v>236000000000</v>
      </c>
      <c r="AR35" s="10">
        <v>276000000000</v>
      </c>
      <c r="AS35" s="10">
        <v>291000000000</v>
      </c>
      <c r="AT35" s="10">
        <v>304000000000</v>
      </c>
      <c r="AU35" s="10">
        <v>312000000000</v>
      </c>
      <c r="AV35" s="10">
        <v>304000000000</v>
      </c>
      <c r="AW35" s="10">
        <v>310000000000</v>
      </c>
      <c r="AX35" s="10">
        <v>324000000000</v>
      </c>
    </row>
    <row r="36" spans="1:50" x14ac:dyDescent="0.45">
      <c r="B36" t="s">
        <v>101</v>
      </c>
      <c r="C36" s="10">
        <v>8999347943</v>
      </c>
      <c r="D36" s="10">
        <v>9890032335</v>
      </c>
      <c r="E36" s="10">
        <v>10842105486</v>
      </c>
      <c r="F36" s="10">
        <v>13841828003</v>
      </c>
      <c r="G36" s="10">
        <v>19481917807</v>
      </c>
      <c r="H36" s="10">
        <v>21704752066</v>
      </c>
      <c r="I36" s="10">
        <v>29779338843</v>
      </c>
      <c r="J36" s="10">
        <v>38265082645</v>
      </c>
      <c r="K36" s="10">
        <v>51700619835</v>
      </c>
      <c r="L36" s="10">
        <v>66567975207</v>
      </c>
      <c r="M36" s="10">
        <v>64980553395</v>
      </c>
      <c r="N36" s="10">
        <v>72425767895</v>
      </c>
      <c r="O36" s="10">
        <v>77772987834</v>
      </c>
      <c r="P36" s="10">
        <v>87024614942</v>
      </c>
      <c r="Q36" s="10">
        <v>96597933561</v>
      </c>
      <c r="R36" s="10">
        <v>100000000000</v>
      </c>
      <c r="S36" s="10">
        <v>116000000000</v>
      </c>
      <c r="T36" s="10">
        <v>146000000000</v>
      </c>
      <c r="U36" s="10">
        <v>197000000000</v>
      </c>
      <c r="V36" s="10">
        <v>244000000000</v>
      </c>
      <c r="W36" s="10">
        <v>279000000000</v>
      </c>
      <c r="X36" s="10">
        <v>326000000000</v>
      </c>
      <c r="Y36" s="10">
        <v>350000000000</v>
      </c>
      <c r="Z36" s="10">
        <v>386000000000</v>
      </c>
      <c r="AA36" s="10">
        <v>456000000000</v>
      </c>
      <c r="AB36" s="10">
        <v>556000000000</v>
      </c>
      <c r="AC36" s="10">
        <v>598000000000</v>
      </c>
      <c r="AD36" s="10">
        <v>558000000000</v>
      </c>
      <c r="AE36" s="10">
        <v>374000000000</v>
      </c>
      <c r="AF36" s="10">
        <v>485000000000</v>
      </c>
      <c r="AG36" s="10">
        <v>562000000000</v>
      </c>
      <c r="AH36" s="10">
        <v>533000000000</v>
      </c>
      <c r="AI36" s="10">
        <v>609000000000</v>
      </c>
      <c r="AJ36" s="10">
        <v>681000000000</v>
      </c>
      <c r="AK36" s="10">
        <v>765000000000</v>
      </c>
      <c r="AL36" s="10">
        <v>898000000000</v>
      </c>
      <c r="AM36" s="10">
        <v>1010000000000</v>
      </c>
      <c r="AN36" s="10">
        <v>1120000000000</v>
      </c>
      <c r="AO36" s="10">
        <v>1000000000000</v>
      </c>
      <c r="AP36" s="10">
        <v>902000000000</v>
      </c>
      <c r="AQ36" s="10">
        <v>1090000000000</v>
      </c>
      <c r="AR36" s="10">
        <v>1200000000000</v>
      </c>
      <c r="AS36" s="10">
        <v>1220000000000</v>
      </c>
      <c r="AT36" s="10">
        <v>1310000000000</v>
      </c>
      <c r="AU36" s="10">
        <v>1410000000000</v>
      </c>
      <c r="AV36" s="10">
        <v>1380000000000</v>
      </c>
      <c r="AW36" s="10">
        <v>1410000000000</v>
      </c>
      <c r="AX36" s="10">
        <v>1530000000000</v>
      </c>
    </row>
    <row r="37" spans="1:50" x14ac:dyDescent="0.45">
      <c r="B37" t="s">
        <v>102</v>
      </c>
      <c r="C37" s="10">
        <v>40880831668</v>
      </c>
      <c r="D37" s="10">
        <v>46491116359</v>
      </c>
      <c r="E37" s="10">
        <v>58975013484</v>
      </c>
      <c r="F37" s="10">
        <v>78437099542</v>
      </c>
      <c r="G37" s="10">
        <v>97009003254</v>
      </c>
      <c r="H37" s="10">
        <v>114000000000</v>
      </c>
      <c r="I37" s="10">
        <v>118000000000</v>
      </c>
      <c r="J37" s="10">
        <v>132000000000</v>
      </c>
      <c r="K37" s="10">
        <v>160000000000</v>
      </c>
      <c r="L37" s="10">
        <v>214000000000</v>
      </c>
      <c r="M37" s="10">
        <v>232000000000</v>
      </c>
      <c r="N37" s="10">
        <v>202000000000</v>
      </c>
      <c r="O37" s="10">
        <v>195000000000</v>
      </c>
      <c r="P37" s="10">
        <v>170000000000</v>
      </c>
      <c r="Q37" s="10">
        <v>172000000000</v>
      </c>
      <c r="R37" s="10">
        <v>180000000000</v>
      </c>
      <c r="S37" s="10">
        <v>251000000000</v>
      </c>
      <c r="T37" s="10">
        <v>318000000000</v>
      </c>
      <c r="U37" s="10">
        <v>375000000000</v>
      </c>
      <c r="V37" s="10">
        <v>414000000000</v>
      </c>
      <c r="W37" s="10">
        <v>535000000000</v>
      </c>
      <c r="X37" s="10">
        <v>576000000000</v>
      </c>
      <c r="Y37" s="10">
        <v>629000000000</v>
      </c>
      <c r="Z37" s="10">
        <v>524000000000</v>
      </c>
      <c r="AA37" s="10">
        <v>529000000000</v>
      </c>
      <c r="AB37" s="10">
        <v>613000000000</v>
      </c>
      <c r="AC37" s="10">
        <v>641000000000</v>
      </c>
      <c r="AD37" s="10">
        <v>589000000000</v>
      </c>
      <c r="AE37" s="10">
        <v>617000000000</v>
      </c>
      <c r="AF37" s="10">
        <v>633000000000</v>
      </c>
      <c r="AG37" s="10">
        <v>595000000000</v>
      </c>
      <c r="AH37" s="10">
        <v>626000000000</v>
      </c>
      <c r="AI37" s="10">
        <v>705000000000</v>
      </c>
      <c r="AJ37" s="10">
        <v>907000000000</v>
      </c>
      <c r="AK37" s="10">
        <v>1070000000000</v>
      </c>
      <c r="AL37" s="10">
        <v>1160000000000</v>
      </c>
      <c r="AM37" s="10">
        <v>1260000000000</v>
      </c>
      <c r="AN37" s="10">
        <v>1480000000000</v>
      </c>
      <c r="AO37" s="10">
        <v>1640000000000</v>
      </c>
      <c r="AP37" s="10">
        <v>1500000000000</v>
      </c>
      <c r="AQ37" s="10">
        <v>1430000000000</v>
      </c>
      <c r="AR37" s="10">
        <v>1490000000000</v>
      </c>
      <c r="AS37" s="10">
        <v>1340000000000</v>
      </c>
      <c r="AT37" s="10">
        <v>1360000000000</v>
      </c>
      <c r="AU37" s="10">
        <v>1380000000000</v>
      </c>
      <c r="AV37" s="10">
        <v>1200000000000</v>
      </c>
      <c r="AW37" s="10">
        <v>1240000000000</v>
      </c>
      <c r="AX37" s="10">
        <v>1310000000000</v>
      </c>
    </row>
    <row r="38" spans="1:50" x14ac:dyDescent="0.45">
      <c r="B38" t="s">
        <v>103</v>
      </c>
      <c r="C38" s="10">
        <v>37597304139</v>
      </c>
      <c r="D38" s="10">
        <v>41026145812</v>
      </c>
      <c r="E38" s="10">
        <v>48317735691</v>
      </c>
      <c r="F38" s="10">
        <v>58633571002</v>
      </c>
      <c r="G38" s="10">
        <v>65155018198</v>
      </c>
      <c r="H38" s="10">
        <v>81808327325</v>
      </c>
      <c r="I38" s="10">
        <v>88200830734</v>
      </c>
      <c r="J38" s="10">
        <v>93240094517</v>
      </c>
      <c r="K38" s="10">
        <v>103000000000</v>
      </c>
      <c r="L38" s="10">
        <v>122000000000</v>
      </c>
      <c r="M38" s="10">
        <v>140000000000</v>
      </c>
      <c r="N38" s="10">
        <v>128000000000</v>
      </c>
      <c r="O38" s="10">
        <v>113000000000</v>
      </c>
      <c r="P38" s="10">
        <v>104000000000</v>
      </c>
      <c r="Q38" s="10">
        <v>108000000000</v>
      </c>
      <c r="R38" s="10">
        <v>113000000000</v>
      </c>
      <c r="S38" s="10">
        <v>149000000000</v>
      </c>
      <c r="T38" s="10">
        <v>181000000000</v>
      </c>
      <c r="U38" s="10">
        <v>204000000000</v>
      </c>
      <c r="V38" s="10">
        <v>215000000000</v>
      </c>
      <c r="W38" s="10">
        <v>258000000000</v>
      </c>
      <c r="X38" s="10">
        <v>271000000000</v>
      </c>
      <c r="Y38" s="10">
        <v>281000000000</v>
      </c>
      <c r="Z38" s="10">
        <v>210000000000</v>
      </c>
      <c r="AA38" s="10">
        <v>226000000000</v>
      </c>
      <c r="AB38" s="10">
        <v>264000000000</v>
      </c>
      <c r="AC38" s="10">
        <v>288000000000</v>
      </c>
      <c r="AD38" s="10">
        <v>265000000000</v>
      </c>
      <c r="AE38" s="10">
        <v>267000000000</v>
      </c>
      <c r="AF38" s="10">
        <v>271000000000</v>
      </c>
      <c r="AG38" s="10">
        <v>260000000000</v>
      </c>
      <c r="AH38" s="10">
        <v>240000000000</v>
      </c>
      <c r="AI38" s="10">
        <v>264000000000</v>
      </c>
      <c r="AJ38" s="10">
        <v>332000000000</v>
      </c>
      <c r="AK38" s="10">
        <v>382000000000</v>
      </c>
      <c r="AL38" s="10">
        <v>389000000000</v>
      </c>
      <c r="AM38" s="10">
        <v>421000000000</v>
      </c>
      <c r="AN38" s="10">
        <v>488000000000</v>
      </c>
      <c r="AO38" s="10">
        <v>515000000000</v>
      </c>
      <c r="AP38" s="10">
        <v>430000000000</v>
      </c>
      <c r="AQ38" s="10">
        <v>489000000000</v>
      </c>
      <c r="AR38" s="10">
        <v>564000000000</v>
      </c>
      <c r="AS38" s="10">
        <v>544000000000</v>
      </c>
      <c r="AT38" s="10">
        <v>579000000000</v>
      </c>
      <c r="AU38" s="10">
        <v>574000000000</v>
      </c>
      <c r="AV38" s="10">
        <v>498000000000</v>
      </c>
      <c r="AW38" s="10">
        <v>512000000000</v>
      </c>
      <c r="AX38" s="10">
        <v>536000000000</v>
      </c>
    </row>
    <row r="39" spans="1:50" x14ac:dyDescent="0.45">
      <c r="B39" t="s">
        <v>211</v>
      </c>
      <c r="C39" s="10">
        <v>24274352532</v>
      </c>
      <c r="D39" s="10">
        <v>29170474333</v>
      </c>
      <c r="E39" s="10">
        <v>35777705329</v>
      </c>
      <c r="F39" s="10">
        <v>48114436809</v>
      </c>
      <c r="G39" s="10">
        <v>55450129766</v>
      </c>
      <c r="H39" s="10">
        <v>63570469592</v>
      </c>
      <c r="I39" s="10">
        <v>66492205197</v>
      </c>
      <c r="J39" s="10">
        <v>71016880793</v>
      </c>
      <c r="K39" s="10">
        <v>99316845714</v>
      </c>
      <c r="L39" s="10">
        <v>112000000000</v>
      </c>
      <c r="M39" s="10">
        <v>119000000000</v>
      </c>
      <c r="N39" s="10">
        <v>109000000000</v>
      </c>
      <c r="O39" s="10">
        <v>112000000000</v>
      </c>
      <c r="P39" s="10">
        <v>111000000000</v>
      </c>
      <c r="Q39" s="10">
        <v>106000000000</v>
      </c>
      <c r="R39" s="10">
        <v>108000000000</v>
      </c>
      <c r="S39" s="10">
        <v>154000000000</v>
      </c>
      <c r="T39" s="10">
        <v>193000000000</v>
      </c>
      <c r="U39" s="10">
        <v>209000000000</v>
      </c>
      <c r="V39" s="10">
        <v>202000000000</v>
      </c>
      <c r="W39" s="10">
        <v>258000000000</v>
      </c>
      <c r="X39" s="10">
        <v>261000000000</v>
      </c>
      <c r="Y39" s="10">
        <v>272000000000</v>
      </c>
      <c r="Z39" s="10">
        <v>264000000000</v>
      </c>
      <c r="AA39" s="10">
        <v>293000000000</v>
      </c>
      <c r="AB39" s="10">
        <v>343000000000</v>
      </c>
      <c r="AC39" s="10">
        <v>330000000000</v>
      </c>
      <c r="AD39" s="10">
        <v>287000000000</v>
      </c>
      <c r="AE39" s="10">
        <v>295000000000</v>
      </c>
      <c r="AF39" s="10">
        <v>290000000000</v>
      </c>
      <c r="AG39" s="10">
        <v>272000000000</v>
      </c>
      <c r="AH39" s="10">
        <v>279000000000</v>
      </c>
      <c r="AI39" s="10">
        <v>301000000000</v>
      </c>
      <c r="AJ39" s="10">
        <v>353000000000</v>
      </c>
      <c r="AK39" s="10">
        <v>394000000000</v>
      </c>
      <c r="AL39" s="10">
        <v>409000000000</v>
      </c>
      <c r="AM39" s="10">
        <v>431000000000</v>
      </c>
      <c r="AN39" s="10">
        <v>480000000000</v>
      </c>
      <c r="AO39" s="10">
        <v>554000000000</v>
      </c>
      <c r="AP39" s="10">
        <v>541000000000</v>
      </c>
      <c r="AQ39" s="10">
        <v>584000000000</v>
      </c>
      <c r="AR39" s="10">
        <v>700000000000</v>
      </c>
      <c r="AS39" s="10">
        <v>668000000000</v>
      </c>
      <c r="AT39" s="10">
        <v>689000000000</v>
      </c>
      <c r="AU39" s="10">
        <v>709000000000</v>
      </c>
      <c r="AV39" s="10">
        <v>680000000000</v>
      </c>
      <c r="AW39" s="10">
        <v>670000000000</v>
      </c>
      <c r="AX39" s="10">
        <v>679000000000</v>
      </c>
    </row>
    <row r="40" spans="1:50" x14ac:dyDescent="0.45">
      <c r="B40" t="s">
        <v>104</v>
      </c>
      <c r="C40" s="10">
        <v>131000000000</v>
      </c>
      <c r="D40" s="10">
        <v>148000000000</v>
      </c>
      <c r="E40" s="10">
        <v>170000000000</v>
      </c>
      <c r="F40" s="10">
        <v>193000000000</v>
      </c>
      <c r="G40" s="10">
        <v>206000000000</v>
      </c>
      <c r="H40" s="10">
        <v>242000000000</v>
      </c>
      <c r="I40" s="10">
        <v>233000000000</v>
      </c>
      <c r="J40" s="10">
        <v>263000000000</v>
      </c>
      <c r="K40" s="10">
        <v>336000000000</v>
      </c>
      <c r="L40" s="10">
        <v>439000000000</v>
      </c>
      <c r="M40" s="10">
        <v>565000000000</v>
      </c>
      <c r="N40" s="10">
        <v>541000000000</v>
      </c>
      <c r="O40" s="10">
        <v>515000000000</v>
      </c>
      <c r="P40" s="10">
        <v>490000000000</v>
      </c>
      <c r="Q40" s="10">
        <v>461000000000</v>
      </c>
      <c r="R40" s="10">
        <v>489000000000</v>
      </c>
      <c r="S40" s="10">
        <v>601000000000</v>
      </c>
      <c r="T40" s="10">
        <v>745000000000</v>
      </c>
      <c r="U40" s="10">
        <v>910000000000</v>
      </c>
      <c r="V40" s="10">
        <v>927000000000</v>
      </c>
      <c r="W40" s="10">
        <v>1090000000000</v>
      </c>
      <c r="X40" s="10">
        <v>1140000000000</v>
      </c>
      <c r="Y40" s="10">
        <v>1180000000000</v>
      </c>
      <c r="Z40" s="10">
        <v>1060000000000</v>
      </c>
      <c r="AA40" s="10">
        <v>1140000000000</v>
      </c>
      <c r="AB40" s="10">
        <v>1340000000000</v>
      </c>
      <c r="AC40" s="10">
        <v>1410000000000</v>
      </c>
      <c r="AD40" s="10">
        <v>1550000000000</v>
      </c>
      <c r="AE40" s="10">
        <v>1640000000000</v>
      </c>
      <c r="AF40" s="10">
        <v>1670000000000</v>
      </c>
      <c r="AG40" s="10">
        <v>1650000000000</v>
      </c>
      <c r="AH40" s="10">
        <v>1630000000000</v>
      </c>
      <c r="AI40" s="10">
        <v>1770000000000</v>
      </c>
      <c r="AJ40" s="10">
        <v>2040000000000</v>
      </c>
      <c r="AK40" s="10">
        <v>2400000000000</v>
      </c>
      <c r="AL40" s="10">
        <v>2530000000000</v>
      </c>
      <c r="AM40" s="10">
        <v>2700000000000</v>
      </c>
      <c r="AN40" s="10">
        <v>3080000000000</v>
      </c>
      <c r="AO40" s="10">
        <v>2900000000000</v>
      </c>
      <c r="AP40" s="10">
        <v>2390000000000</v>
      </c>
      <c r="AQ40" s="10">
        <v>2450000000000</v>
      </c>
      <c r="AR40" s="10">
        <v>2630000000000</v>
      </c>
      <c r="AS40" s="10">
        <v>2680000000000</v>
      </c>
      <c r="AT40" s="10">
        <v>2750000000000</v>
      </c>
      <c r="AU40" s="10">
        <v>3030000000000</v>
      </c>
      <c r="AV40" s="10">
        <v>2900000000000</v>
      </c>
      <c r="AW40" s="10">
        <v>2660000000000</v>
      </c>
      <c r="AX40" s="10">
        <v>2630000000000</v>
      </c>
    </row>
    <row r="41" spans="1:50" x14ac:dyDescent="0.45">
      <c r="B41" t="s">
        <v>105</v>
      </c>
      <c r="C41" s="10">
        <v>1070000000000</v>
      </c>
      <c r="D41" s="10">
        <v>1160000000000</v>
      </c>
      <c r="E41" s="10">
        <v>1280000000000</v>
      </c>
      <c r="F41" s="10">
        <v>1430000000000</v>
      </c>
      <c r="G41" s="10">
        <v>1550000000000</v>
      </c>
      <c r="H41" s="10">
        <v>1680000000000</v>
      </c>
      <c r="I41" s="10">
        <v>1870000000000</v>
      </c>
      <c r="J41" s="10">
        <v>2080000000000</v>
      </c>
      <c r="K41" s="10">
        <v>2350000000000</v>
      </c>
      <c r="L41" s="10">
        <v>2630000000000</v>
      </c>
      <c r="M41" s="10">
        <v>2860000000000</v>
      </c>
      <c r="N41" s="10">
        <v>3210000000000</v>
      </c>
      <c r="O41" s="10">
        <v>3340000000000</v>
      </c>
      <c r="P41" s="10">
        <v>3630000000000</v>
      </c>
      <c r="Q41" s="10">
        <v>4040000000000</v>
      </c>
      <c r="R41" s="10">
        <v>4340000000000</v>
      </c>
      <c r="S41" s="10">
        <v>4580000000000</v>
      </c>
      <c r="T41" s="10">
        <v>4860000000000</v>
      </c>
      <c r="U41" s="10">
        <v>5240000000000</v>
      </c>
      <c r="V41" s="10">
        <v>5640000000000</v>
      </c>
      <c r="W41" s="10">
        <v>5960000000000</v>
      </c>
      <c r="X41" s="10">
        <v>6160000000000</v>
      </c>
      <c r="Y41" s="10">
        <v>6520000000000</v>
      </c>
      <c r="Z41" s="10">
        <v>6860000000000</v>
      </c>
      <c r="AA41" s="10">
        <v>7290000000000</v>
      </c>
      <c r="AB41" s="10">
        <v>7640000000000</v>
      </c>
      <c r="AC41" s="10">
        <v>8070000000000</v>
      </c>
      <c r="AD41" s="10">
        <v>8580000000000</v>
      </c>
      <c r="AE41" s="10">
        <v>9060000000000</v>
      </c>
      <c r="AF41" s="10">
        <v>9630000000000</v>
      </c>
      <c r="AG41" s="10">
        <v>10300000000000</v>
      </c>
      <c r="AH41" s="10">
        <v>10600000000000</v>
      </c>
      <c r="AI41" s="10">
        <v>10900000000000</v>
      </c>
      <c r="AJ41" s="10">
        <v>11500000000000</v>
      </c>
      <c r="AK41" s="10">
        <v>12200000000000</v>
      </c>
      <c r="AL41" s="10">
        <v>13000000000000</v>
      </c>
      <c r="AM41" s="10">
        <v>13800000000000</v>
      </c>
      <c r="AN41" s="10">
        <v>14500000000000</v>
      </c>
      <c r="AO41" s="10">
        <v>14700000000000</v>
      </c>
      <c r="AP41" s="10">
        <v>14400000000000</v>
      </c>
      <c r="AQ41" s="10">
        <v>15000000000000</v>
      </c>
      <c r="AR41" s="10">
        <v>15500000000000</v>
      </c>
      <c r="AS41" s="10">
        <v>16200000000000</v>
      </c>
      <c r="AT41" s="10">
        <v>16800000000000</v>
      </c>
      <c r="AU41" s="10">
        <v>17500000000000</v>
      </c>
      <c r="AV41" s="10">
        <v>18200000000000</v>
      </c>
      <c r="AW41" s="10">
        <v>18700000000000</v>
      </c>
      <c r="AX41" s="10">
        <v>19500000000000</v>
      </c>
    </row>
    <row r="42" spans="1:50" x14ac:dyDescent="0.45">
      <c r="A42" t="s">
        <v>29</v>
      </c>
      <c r="B42" t="s">
        <v>212</v>
      </c>
      <c r="C42" s="10">
        <v>5155120658</v>
      </c>
      <c r="D42" s="10">
        <v>5363676160</v>
      </c>
      <c r="E42" s="10">
        <v>7176428384</v>
      </c>
      <c r="F42" s="10">
        <v>9229622200</v>
      </c>
      <c r="G42" s="10">
        <v>13259764650</v>
      </c>
      <c r="H42" s="10">
        <v>15555547083</v>
      </c>
      <c r="I42" s="10">
        <v>17750032488</v>
      </c>
      <c r="J42" s="10">
        <v>20990939140</v>
      </c>
      <c r="K42" s="10">
        <v>26373761387</v>
      </c>
      <c r="L42" s="10">
        <v>33201433009</v>
      </c>
      <c r="M42" s="10">
        <v>42252197741</v>
      </c>
      <c r="N42" s="10">
        <v>44264573122</v>
      </c>
      <c r="O42" s="10">
        <v>45094842770</v>
      </c>
      <c r="P42" s="10">
        <v>48702201863</v>
      </c>
      <c r="Q42" s="10">
        <v>52827902259</v>
      </c>
      <c r="R42" s="10">
        <v>57866207279</v>
      </c>
      <c r="S42" s="10">
        <v>62922803868</v>
      </c>
      <c r="T42" s="10">
        <v>64333578322</v>
      </c>
      <c r="U42" s="10">
        <v>58655419182</v>
      </c>
      <c r="V42" s="10">
        <v>55344476937</v>
      </c>
      <c r="W42" s="10">
        <v>61751375957</v>
      </c>
      <c r="X42" s="10">
        <v>46565003199</v>
      </c>
      <c r="Y42" s="10">
        <v>49105553595</v>
      </c>
      <c r="Z42" s="10">
        <v>50846930343</v>
      </c>
      <c r="AA42" s="10">
        <v>42330711146</v>
      </c>
      <c r="AB42" s="10">
        <v>41971488420</v>
      </c>
      <c r="AC42" s="10">
        <v>46836290499</v>
      </c>
      <c r="AD42" s="10">
        <v>48068457028</v>
      </c>
      <c r="AE42" s="10">
        <v>48079007974</v>
      </c>
      <c r="AF42" s="10">
        <v>48531031757</v>
      </c>
      <c r="AG42" s="10">
        <v>54666896857</v>
      </c>
      <c r="AH42" s="10">
        <v>55056733057</v>
      </c>
      <c r="AI42" s="10">
        <v>56819210891</v>
      </c>
      <c r="AJ42" s="10">
        <v>67863851626</v>
      </c>
      <c r="AK42" s="10">
        <v>85332517817</v>
      </c>
      <c r="AL42" s="10">
        <v>103000000000</v>
      </c>
      <c r="AM42" s="10">
        <v>117000000000</v>
      </c>
      <c r="AN42" s="10">
        <v>135000000000</v>
      </c>
      <c r="AO42" s="10">
        <v>171000000000</v>
      </c>
      <c r="AP42" s="10">
        <v>137000000000</v>
      </c>
      <c r="AQ42" s="10">
        <v>161000000000</v>
      </c>
      <c r="AR42" s="10">
        <v>200000000000</v>
      </c>
      <c r="AS42" s="10">
        <v>209000000000</v>
      </c>
      <c r="AT42" s="10">
        <v>210000000000</v>
      </c>
      <c r="AU42" s="10">
        <v>214000000000</v>
      </c>
      <c r="AV42" s="10">
        <v>166000000000</v>
      </c>
      <c r="AW42" s="10">
        <v>160000000000</v>
      </c>
      <c r="AX42" s="10">
        <v>168000000000</v>
      </c>
    </row>
    <row r="43" spans="1:50" x14ac:dyDescent="0.45">
      <c r="B43" t="s">
        <v>213</v>
      </c>
      <c r="C43" s="10">
        <v>33984527481</v>
      </c>
      <c r="D43" s="10">
        <v>40656247705</v>
      </c>
      <c r="E43" s="10">
        <v>37908171680</v>
      </c>
      <c r="F43" s="10">
        <v>41468075659</v>
      </c>
      <c r="G43" s="10">
        <v>47636966540</v>
      </c>
      <c r="H43" s="10">
        <v>51740713229</v>
      </c>
      <c r="I43" s="10">
        <v>54575220925</v>
      </c>
      <c r="J43" s="10">
        <v>61661715352</v>
      </c>
      <c r="K43" s="10">
        <v>63865153462</v>
      </c>
      <c r="L43" s="10">
        <v>73987286905</v>
      </c>
      <c r="M43" s="10">
        <v>81833188507</v>
      </c>
      <c r="N43" s="10">
        <v>84624923051</v>
      </c>
      <c r="O43" s="10">
        <v>87035135634</v>
      </c>
      <c r="P43" s="10">
        <v>94190653606</v>
      </c>
      <c r="Q43" s="10">
        <v>99490062045</v>
      </c>
      <c r="R43" s="10">
        <v>95529910653</v>
      </c>
      <c r="S43" s="10">
        <v>115000000000</v>
      </c>
      <c r="T43" s="10">
        <v>118000000000</v>
      </c>
      <c r="U43" s="10">
        <v>138000000000</v>
      </c>
      <c r="V43" s="10">
        <v>83044458652</v>
      </c>
      <c r="W43" s="10">
        <v>153000000000</v>
      </c>
      <c r="X43" s="10">
        <v>206000000000</v>
      </c>
      <c r="Y43" s="10">
        <v>248000000000</v>
      </c>
      <c r="Z43" s="10">
        <v>257000000000</v>
      </c>
      <c r="AA43" s="10">
        <v>279000000000</v>
      </c>
      <c r="AB43" s="10">
        <v>280000000000</v>
      </c>
      <c r="AC43" s="10">
        <v>295000000000</v>
      </c>
      <c r="AD43" s="10">
        <v>318000000000</v>
      </c>
      <c r="AE43" s="10">
        <v>324000000000</v>
      </c>
      <c r="AF43" s="10">
        <v>307000000000</v>
      </c>
      <c r="AG43" s="10">
        <v>308000000000</v>
      </c>
      <c r="AH43" s="10">
        <v>291000000000</v>
      </c>
      <c r="AI43" s="10">
        <v>111000000000</v>
      </c>
      <c r="AJ43" s="10">
        <v>140000000000</v>
      </c>
      <c r="AK43" s="10">
        <v>166000000000</v>
      </c>
      <c r="AL43" s="10">
        <v>201000000000</v>
      </c>
      <c r="AM43" s="10">
        <v>234000000000</v>
      </c>
      <c r="AN43" s="10">
        <v>290000000000</v>
      </c>
      <c r="AO43" s="10">
        <v>366000000000</v>
      </c>
      <c r="AP43" s="10">
        <v>336000000000</v>
      </c>
      <c r="AQ43" s="10">
        <v>426000000000</v>
      </c>
      <c r="AR43" s="10">
        <v>530000000000</v>
      </c>
      <c r="AS43" s="10">
        <v>581000000000</v>
      </c>
      <c r="AT43" s="10">
        <v>613000000000</v>
      </c>
      <c r="AU43" s="10">
        <v>567000000000</v>
      </c>
      <c r="AV43" s="10">
        <v>645000000000</v>
      </c>
      <c r="AW43" s="10">
        <v>555000000000</v>
      </c>
      <c r="AX43" s="10">
        <v>637000000000</v>
      </c>
    </row>
    <row r="44" spans="1:50" x14ac:dyDescent="0.45">
      <c r="B44" t="s">
        <v>106</v>
      </c>
      <c r="C44" s="10">
        <v>725423481.60000002</v>
      </c>
      <c r="D44" s="10">
        <v>772317515.79999995</v>
      </c>
      <c r="E44" s="10">
        <v>795888419</v>
      </c>
      <c r="F44" s="10">
        <v>903641124.10000002</v>
      </c>
      <c r="G44" s="10">
        <v>965570498</v>
      </c>
      <c r="H44" s="10">
        <v>1138631277</v>
      </c>
      <c r="I44" s="10">
        <v>1239984361</v>
      </c>
      <c r="J44" s="10">
        <v>1482890297</v>
      </c>
      <c r="K44" s="10">
        <v>1704687475</v>
      </c>
      <c r="L44" s="10">
        <v>2016041665</v>
      </c>
      <c r="M44" s="10">
        <v>2017593780</v>
      </c>
      <c r="N44" s="10">
        <v>2314047670</v>
      </c>
      <c r="O44" s="10">
        <v>2330965719</v>
      </c>
      <c r="P44" s="10">
        <v>2287661721</v>
      </c>
      <c r="Q44" s="10">
        <v>2479347874</v>
      </c>
      <c r="R44" s="10">
        <v>2879793442</v>
      </c>
      <c r="S44" s="10">
        <v>3231036978</v>
      </c>
      <c r="T44" s="10">
        <v>3588023337</v>
      </c>
      <c r="U44" s="10">
        <v>4002748360</v>
      </c>
      <c r="V44" s="10">
        <v>4569146023</v>
      </c>
      <c r="W44" s="10">
        <v>4723155368</v>
      </c>
      <c r="X44" s="10">
        <v>4641775999</v>
      </c>
      <c r="Y44" s="10">
        <v>4638791301</v>
      </c>
      <c r="Z44" s="10">
        <v>4612974153</v>
      </c>
      <c r="AA44" s="10">
        <v>4861863159</v>
      </c>
      <c r="AB44" s="10">
        <v>5116525366</v>
      </c>
      <c r="AC44" s="10">
        <v>5807933333</v>
      </c>
      <c r="AD44" s="10">
        <v>6273444685</v>
      </c>
      <c r="AE44" s="10">
        <v>7033382529</v>
      </c>
      <c r="AF44" s="10">
        <v>7683928713</v>
      </c>
      <c r="AG44" s="10">
        <v>8076497173</v>
      </c>
      <c r="AH44" s="10">
        <v>8317841837</v>
      </c>
      <c r="AI44" s="10">
        <v>8881186428</v>
      </c>
      <c r="AJ44" s="10">
        <v>8870087124</v>
      </c>
      <c r="AK44" s="10">
        <v>9055311245</v>
      </c>
      <c r="AL44" s="10">
        <v>9836201768</v>
      </c>
      <c r="AM44" s="10">
        <v>10167255576</v>
      </c>
      <c r="AN44" s="10">
        <v>10618345685</v>
      </c>
      <c r="AO44" s="10">
        <v>10526000146</v>
      </c>
      <c r="AP44" s="10">
        <v>9981964305</v>
      </c>
      <c r="AQ44" s="10">
        <v>10095768962</v>
      </c>
      <c r="AR44" s="10">
        <v>10070451399</v>
      </c>
      <c r="AS44" s="10">
        <v>10720496826</v>
      </c>
      <c r="AT44" s="10">
        <v>10677161817</v>
      </c>
      <c r="AU44" s="10">
        <v>10843753130</v>
      </c>
      <c r="AV44" s="10">
        <v>11239953310</v>
      </c>
      <c r="AW44" s="10">
        <v>11261816759</v>
      </c>
      <c r="AX44" s="10">
        <v>11791511020</v>
      </c>
    </row>
    <row r="45" spans="1:50" x14ac:dyDescent="0.45">
      <c r="B45" t="s">
        <v>107</v>
      </c>
      <c r="C45" s="10">
        <v>6195774654</v>
      </c>
      <c r="D45" s="10">
        <v>5577824265</v>
      </c>
      <c r="E45" s="10">
        <v>6215380293</v>
      </c>
      <c r="F45" s="10">
        <v>6771633529</v>
      </c>
      <c r="G45" s="10">
        <v>8087929810</v>
      </c>
      <c r="H45" s="10">
        <v>8475804191</v>
      </c>
      <c r="I45" s="10">
        <v>9447322262</v>
      </c>
      <c r="J45" s="10">
        <v>9949540465</v>
      </c>
      <c r="K45" s="10">
        <v>12750957172</v>
      </c>
      <c r="L45" s="10">
        <v>14758225423</v>
      </c>
      <c r="M45" s="10">
        <v>16729233787</v>
      </c>
      <c r="N45" s="10">
        <v>16967808187</v>
      </c>
      <c r="O45" s="10">
        <v>15443050924</v>
      </c>
      <c r="P45" s="10">
        <v>15760530887</v>
      </c>
      <c r="Q45" s="10">
        <v>18474003543</v>
      </c>
      <c r="R45" s="10">
        <v>19169047073</v>
      </c>
      <c r="S45" s="10">
        <v>20219807923</v>
      </c>
      <c r="T45" s="10">
        <v>22974397200</v>
      </c>
      <c r="U45" s="10">
        <v>24814782417</v>
      </c>
      <c r="V45" s="10">
        <v>26954551854</v>
      </c>
      <c r="W45" s="10">
        <v>28136571390</v>
      </c>
      <c r="X45" s="10">
        <v>30066722399</v>
      </c>
      <c r="Y45" s="10">
        <v>30690544964</v>
      </c>
      <c r="Z45" s="10">
        <v>31685289282</v>
      </c>
      <c r="AA45" s="10">
        <v>33674743447</v>
      </c>
      <c r="AB45" s="10">
        <v>37866029743</v>
      </c>
      <c r="AC45" s="10">
        <v>39795982701</v>
      </c>
      <c r="AD45" s="10">
        <v>41169352757</v>
      </c>
      <c r="AE45" s="10">
        <v>42676520395</v>
      </c>
      <c r="AF45" s="10">
        <v>44758115448</v>
      </c>
      <c r="AG45" s="10">
        <v>45469586064</v>
      </c>
      <c r="AH45" s="10">
        <v>45432923187</v>
      </c>
      <c r="AI45" s="10">
        <v>47194755390</v>
      </c>
      <c r="AJ45" s="10">
        <v>51690437358</v>
      </c>
      <c r="AK45" s="10">
        <v>55949962466</v>
      </c>
      <c r="AL45" s="10">
        <v>57628097481</v>
      </c>
      <c r="AM45" s="10">
        <v>69971619881</v>
      </c>
      <c r="AN45" s="10">
        <v>79825872642</v>
      </c>
      <c r="AO45" s="10">
        <v>91646940102</v>
      </c>
      <c r="AP45" s="10">
        <v>102000000000</v>
      </c>
      <c r="AQ45" s="10">
        <v>115000000000</v>
      </c>
      <c r="AR45" s="10">
        <v>124000000000</v>
      </c>
      <c r="AS45" s="10">
        <v>129000000000</v>
      </c>
      <c r="AT45" s="10">
        <v>154000000000</v>
      </c>
      <c r="AU45" s="10">
        <v>173000000000</v>
      </c>
      <c r="AV45" s="10">
        <v>194000000000</v>
      </c>
      <c r="AW45" s="10">
        <v>220000000000</v>
      </c>
      <c r="AX45" s="10">
        <v>246000000000</v>
      </c>
    </row>
    <row r="46" spans="1:50" x14ac:dyDescent="0.45">
      <c r="B46" t="s">
        <v>108</v>
      </c>
      <c r="C46" s="10">
        <v>25211378.370000001</v>
      </c>
      <c r="D46" s="10">
        <v>31954968.309999999</v>
      </c>
      <c r="E46" s="10">
        <v>41540799.170000002</v>
      </c>
      <c r="F46" s="10">
        <v>67557478.840000004</v>
      </c>
      <c r="G46" s="10">
        <v>90126591.879999995</v>
      </c>
      <c r="H46" s="10">
        <v>104422254.59999999</v>
      </c>
      <c r="I46" s="10">
        <v>82312176.659999996</v>
      </c>
      <c r="J46" s="10">
        <v>105800000</v>
      </c>
      <c r="K46" s="10">
        <v>120850000</v>
      </c>
      <c r="L46" s="10">
        <v>141200000</v>
      </c>
      <c r="M46" s="10">
        <v>194700000</v>
      </c>
      <c r="N46" s="10">
        <v>192900000</v>
      </c>
      <c r="O46" s="10">
        <v>179250000</v>
      </c>
      <c r="P46" s="10">
        <v>189000000</v>
      </c>
      <c r="Q46" s="10">
        <v>210900000</v>
      </c>
      <c r="R46" s="10">
        <v>209200000</v>
      </c>
      <c r="S46" s="10">
        <v>227900000</v>
      </c>
      <c r="T46" s="10">
        <v>276500000</v>
      </c>
      <c r="U46" s="10">
        <v>314900000</v>
      </c>
      <c r="V46" s="10">
        <v>363150000</v>
      </c>
      <c r="W46" s="10">
        <v>405450000</v>
      </c>
      <c r="X46" s="10">
        <v>432650000</v>
      </c>
      <c r="Y46" s="10">
        <v>468000000</v>
      </c>
      <c r="Z46" s="10">
        <v>530480000</v>
      </c>
      <c r="AA46" s="10">
        <v>552250000</v>
      </c>
      <c r="AB46" s="10">
        <v>586585000</v>
      </c>
      <c r="AC46" s="10">
        <v>641300000</v>
      </c>
      <c r="AD46" s="10">
        <v>654400000</v>
      </c>
      <c r="AE46" s="10">
        <v>688900000</v>
      </c>
      <c r="AF46" s="10">
        <v>732350000</v>
      </c>
      <c r="AG46" s="10">
        <v>832072464.5</v>
      </c>
      <c r="AH46" s="10">
        <v>871860611</v>
      </c>
      <c r="AI46" s="10">
        <v>932551870.5</v>
      </c>
      <c r="AJ46" s="10">
        <v>990374039</v>
      </c>
      <c r="AK46" s="10">
        <v>1057845487</v>
      </c>
      <c r="AL46" s="10">
        <v>1114225000</v>
      </c>
      <c r="AM46" s="10">
        <v>1217470000</v>
      </c>
      <c r="AN46" s="10">
        <v>1290575000</v>
      </c>
      <c r="AO46" s="10">
        <v>1368625000</v>
      </c>
      <c r="AP46" s="10">
        <v>1336955000</v>
      </c>
      <c r="AQ46" s="10">
        <v>1397115000</v>
      </c>
      <c r="AR46" s="10">
        <v>1486712500</v>
      </c>
      <c r="AS46" s="10">
        <v>1573670000</v>
      </c>
      <c r="AT46" s="10">
        <v>1612574000</v>
      </c>
      <c r="AU46" s="10">
        <v>1703951000</v>
      </c>
      <c r="AV46" s="10">
        <v>1778567500</v>
      </c>
      <c r="AW46" s="10">
        <v>1820158500</v>
      </c>
      <c r="AX46" s="10">
        <v>1902251256</v>
      </c>
    </row>
    <row r="47" spans="1:50" x14ac:dyDescent="0.45">
      <c r="B47" t="s">
        <v>109</v>
      </c>
      <c r="C47" s="10">
        <v>322055483.39999998</v>
      </c>
      <c r="D47" s="10">
        <v>341787646.5</v>
      </c>
      <c r="E47" s="10">
        <v>420920211.10000002</v>
      </c>
      <c r="F47" s="10">
        <v>515609659</v>
      </c>
      <c r="G47" s="10">
        <v>553903483.20000005</v>
      </c>
      <c r="H47" s="10">
        <v>673957826</v>
      </c>
      <c r="I47" s="10">
        <v>717765317.5</v>
      </c>
      <c r="J47" s="10">
        <v>785887967.29999995</v>
      </c>
      <c r="K47" s="10">
        <v>953850384.39999998</v>
      </c>
      <c r="L47" s="10">
        <v>1161734065</v>
      </c>
      <c r="M47" s="10">
        <v>1484452237</v>
      </c>
      <c r="N47" s="10">
        <v>1404274746</v>
      </c>
      <c r="O47" s="10">
        <v>1369643303</v>
      </c>
      <c r="P47" s="10">
        <v>1183358030</v>
      </c>
      <c r="Q47" s="10">
        <v>1135586760</v>
      </c>
      <c r="R47" s="10">
        <v>1129578665</v>
      </c>
      <c r="S47" s="10">
        <v>1442809953</v>
      </c>
      <c r="T47" s="10">
        <v>1687767630</v>
      </c>
      <c r="U47" s="10">
        <v>1749715035</v>
      </c>
      <c r="V47" s="10">
        <v>1622703791</v>
      </c>
      <c r="W47" s="10">
        <v>1992948719</v>
      </c>
      <c r="X47" s="10">
        <v>2019866679</v>
      </c>
      <c r="Y47" s="10">
        <v>2283484177</v>
      </c>
      <c r="Z47" s="10">
        <v>2312835609</v>
      </c>
      <c r="AA47" s="10">
        <v>1624969037</v>
      </c>
      <c r="AB47" s="10">
        <v>2344819023</v>
      </c>
      <c r="AC47" s="10">
        <v>2551690730</v>
      </c>
      <c r="AD47" s="10">
        <v>2451384217</v>
      </c>
      <c r="AE47" s="10">
        <v>2653251820</v>
      </c>
      <c r="AF47" s="10">
        <v>2689779657</v>
      </c>
      <c r="AG47" s="10">
        <v>2569196567</v>
      </c>
      <c r="AH47" s="10">
        <v>2680246646</v>
      </c>
      <c r="AI47" s="10">
        <v>3054599761</v>
      </c>
      <c r="AJ47" s="10">
        <v>3905302433</v>
      </c>
      <c r="AK47" s="10">
        <v>4521331975</v>
      </c>
      <c r="AL47" s="10">
        <v>4803672097</v>
      </c>
      <c r="AM47" s="10">
        <v>5142319487</v>
      </c>
      <c r="AN47" s="10">
        <v>5969435195</v>
      </c>
      <c r="AO47" s="10">
        <v>7132859564</v>
      </c>
      <c r="AP47" s="10">
        <v>7097232736</v>
      </c>
      <c r="AQ47" s="10">
        <v>6970254725</v>
      </c>
      <c r="AR47" s="10">
        <v>7814112711</v>
      </c>
      <c r="AS47" s="10">
        <v>8117076858</v>
      </c>
      <c r="AT47" s="10">
        <v>9110745403</v>
      </c>
      <c r="AU47" s="10">
        <v>9575264608</v>
      </c>
      <c r="AV47" s="10">
        <v>8454189037</v>
      </c>
      <c r="AW47" s="10">
        <v>8572232173</v>
      </c>
      <c r="AX47" s="10">
        <v>9236440857</v>
      </c>
    </row>
    <row r="48" spans="1:50" x14ac:dyDescent="0.45">
      <c r="B48" t="s">
        <v>110</v>
      </c>
      <c r="C48" s="10">
        <v>1010101010</v>
      </c>
      <c r="D48" s="10">
        <v>1094276094</v>
      </c>
      <c r="E48" s="10">
        <v>1278676194</v>
      </c>
      <c r="F48" s="10">
        <v>1299350325</v>
      </c>
      <c r="G48" s="10">
        <v>2148925537</v>
      </c>
      <c r="H48" s="10">
        <v>2398800600</v>
      </c>
      <c r="I48" s="10">
        <v>2748625687</v>
      </c>
      <c r="J48" s="10">
        <v>2765496250</v>
      </c>
      <c r="K48" s="10">
        <v>3020408403</v>
      </c>
      <c r="L48" s="10">
        <v>3274042047</v>
      </c>
      <c r="M48" s="10">
        <v>3520401673</v>
      </c>
      <c r="N48" s="10">
        <v>3884593671</v>
      </c>
      <c r="O48" s="10">
        <v>3945808607</v>
      </c>
      <c r="P48" s="10">
        <v>3918503033</v>
      </c>
      <c r="Q48" s="10">
        <v>4033185626</v>
      </c>
      <c r="R48" s="10">
        <v>4121988180</v>
      </c>
      <c r="S48" s="10">
        <v>4100382635</v>
      </c>
      <c r="T48" s="10">
        <v>4314429472</v>
      </c>
      <c r="U48" s="10">
        <v>4597612302</v>
      </c>
      <c r="V48" s="10">
        <v>4715974510</v>
      </c>
      <c r="W48" s="10">
        <v>4867583881</v>
      </c>
      <c r="X48" s="10">
        <v>5343262434</v>
      </c>
      <c r="Y48" s="10">
        <v>5643867693</v>
      </c>
      <c r="Z48" s="10">
        <v>5734706239</v>
      </c>
      <c r="AA48" s="10">
        <v>5981149294</v>
      </c>
      <c r="AB48" s="10">
        <v>6715147012</v>
      </c>
      <c r="AC48" s="10">
        <v>7396948369</v>
      </c>
      <c r="AD48" s="10">
        <v>7925736316</v>
      </c>
      <c r="AE48" s="10">
        <v>8497494131</v>
      </c>
      <c r="AF48" s="10">
        <v>8285063968</v>
      </c>
      <c r="AG48" s="10">
        <v>8397855942</v>
      </c>
      <c r="AH48" s="10">
        <v>8141517335</v>
      </c>
      <c r="AI48" s="10">
        <v>7905485150</v>
      </c>
      <c r="AJ48" s="10">
        <v>8082399992</v>
      </c>
      <c r="AK48" s="10">
        <v>8773156956</v>
      </c>
      <c r="AL48" s="10">
        <v>9549120156</v>
      </c>
      <c r="AM48" s="10">
        <v>11451845965</v>
      </c>
      <c r="AN48" s="10">
        <v>13120084507</v>
      </c>
      <c r="AO48" s="10">
        <v>16674309556</v>
      </c>
      <c r="AP48" s="10">
        <v>17340028490</v>
      </c>
      <c r="AQ48" s="10">
        <v>19649786223</v>
      </c>
      <c r="AR48" s="10">
        <v>23963162972</v>
      </c>
      <c r="AS48" s="10">
        <v>27084497483</v>
      </c>
      <c r="AT48" s="10">
        <v>30659338880</v>
      </c>
      <c r="AU48" s="10">
        <v>32996188013</v>
      </c>
      <c r="AV48" s="10">
        <v>33000198248</v>
      </c>
      <c r="AW48" s="10">
        <v>33941126200</v>
      </c>
      <c r="AX48" s="10">
        <v>37508642165</v>
      </c>
    </row>
    <row r="49" spans="2:50" x14ac:dyDescent="0.45">
      <c r="B49" t="s">
        <v>111</v>
      </c>
      <c r="C49" s="10">
        <v>66797330.960000001</v>
      </c>
      <c r="D49" s="10">
        <v>88112318.480000004</v>
      </c>
      <c r="E49" s="10">
        <v>114693403.90000001</v>
      </c>
      <c r="F49" s="10">
        <v>169433503.30000001</v>
      </c>
      <c r="G49" s="10">
        <v>235512893.19999999</v>
      </c>
      <c r="H49" s="10">
        <v>274091110.69999999</v>
      </c>
      <c r="I49" s="10">
        <v>296963130.19999999</v>
      </c>
      <c r="J49" s="10">
        <v>382830781.69999999</v>
      </c>
      <c r="K49" s="10">
        <v>455912765.89999998</v>
      </c>
      <c r="L49" s="10">
        <v>594573127.29999995</v>
      </c>
      <c r="M49" s="10">
        <v>852423393.29999995</v>
      </c>
      <c r="N49" s="10">
        <v>974347886.89999998</v>
      </c>
      <c r="O49" s="10">
        <v>853465103.5</v>
      </c>
      <c r="P49" s="10">
        <v>926393353.89999998</v>
      </c>
      <c r="Q49" s="10">
        <v>969842620.10000002</v>
      </c>
      <c r="R49" s="10">
        <v>837591557.79999995</v>
      </c>
      <c r="S49" s="10">
        <v>1119259574</v>
      </c>
      <c r="T49" s="10">
        <v>1541996035</v>
      </c>
      <c r="U49" s="10">
        <v>1787998380</v>
      </c>
      <c r="V49" s="10">
        <v>3020185206</v>
      </c>
      <c r="W49" s="10">
        <v>3721284135</v>
      </c>
      <c r="X49" s="10">
        <v>3867409908</v>
      </c>
      <c r="Y49" s="10">
        <v>4069182434</v>
      </c>
      <c r="Z49" s="10">
        <v>4082613650</v>
      </c>
      <c r="AA49" s="10">
        <v>4259258811</v>
      </c>
      <c r="AB49" s="10">
        <v>4730599691</v>
      </c>
      <c r="AC49" s="10">
        <v>4847757704</v>
      </c>
      <c r="AD49" s="10">
        <v>5020265168</v>
      </c>
      <c r="AE49" s="10">
        <v>4790481509</v>
      </c>
      <c r="AF49" s="10">
        <v>5484263050</v>
      </c>
      <c r="AG49" s="10">
        <v>5788311645</v>
      </c>
      <c r="AH49" s="10">
        <v>5489649947</v>
      </c>
      <c r="AI49" s="10">
        <v>5438851395</v>
      </c>
      <c r="AJ49" s="10">
        <v>7511527477</v>
      </c>
      <c r="AK49" s="10">
        <v>8957511538</v>
      </c>
      <c r="AL49" s="10">
        <v>9931249182</v>
      </c>
      <c r="AM49" s="10">
        <v>10126990325</v>
      </c>
      <c r="AN49" s="10">
        <v>10939025528</v>
      </c>
      <c r="AO49" s="10">
        <v>10945139710</v>
      </c>
      <c r="AP49" s="10">
        <v>10267084034</v>
      </c>
      <c r="AQ49" s="10">
        <v>12786612324</v>
      </c>
      <c r="AR49" s="10">
        <v>15351912768</v>
      </c>
      <c r="AS49" s="10">
        <v>14420259500</v>
      </c>
      <c r="AT49" s="10">
        <v>14901698534</v>
      </c>
      <c r="AU49" s="10">
        <v>16250740393</v>
      </c>
      <c r="AV49" s="10">
        <v>14420540340</v>
      </c>
      <c r="AW49" s="10">
        <v>15648697623</v>
      </c>
      <c r="AX49" s="10">
        <v>17406530705</v>
      </c>
    </row>
    <row r="50" spans="2:50" x14ac:dyDescent="0.45">
      <c r="B50" t="s">
        <v>112</v>
      </c>
      <c r="C50" s="10">
        <v>35213857570</v>
      </c>
      <c r="D50" s="10">
        <v>39331867588</v>
      </c>
      <c r="E50" s="10">
        <v>50623841100</v>
      </c>
      <c r="F50" s="10">
        <v>71672675416</v>
      </c>
      <c r="G50" s="10">
        <v>91887958745</v>
      </c>
      <c r="H50" s="10">
        <v>108000000000</v>
      </c>
      <c r="I50" s="10">
        <v>128000000000</v>
      </c>
      <c r="J50" s="10">
        <v>149000000000</v>
      </c>
      <c r="K50" s="10">
        <v>169000000000</v>
      </c>
      <c r="L50" s="10">
        <v>186000000000</v>
      </c>
      <c r="M50" s="10">
        <v>191000000000</v>
      </c>
      <c r="N50" s="10">
        <v>226000000000</v>
      </c>
      <c r="O50" s="10">
        <v>239000000000</v>
      </c>
      <c r="P50" s="10">
        <v>170000000000</v>
      </c>
      <c r="Q50" s="10">
        <v>175000000000</v>
      </c>
      <c r="R50" s="10">
        <v>187000000000</v>
      </c>
      <c r="S50" s="10">
        <v>225000000000</v>
      </c>
      <c r="T50" s="10">
        <v>247000000000</v>
      </c>
      <c r="U50" s="10">
        <v>276000000000</v>
      </c>
      <c r="V50" s="10">
        <v>375000000000</v>
      </c>
      <c r="W50" s="10">
        <v>407000000000</v>
      </c>
      <c r="X50" s="10">
        <v>379000000000</v>
      </c>
      <c r="Y50" s="10">
        <v>363000000000</v>
      </c>
      <c r="Z50" s="10">
        <v>407000000000</v>
      </c>
      <c r="AA50" s="10">
        <v>580000000000</v>
      </c>
      <c r="AB50" s="10">
        <v>778000000000</v>
      </c>
      <c r="AC50" s="10">
        <v>850000000000</v>
      </c>
      <c r="AD50" s="10">
        <v>882000000000</v>
      </c>
      <c r="AE50" s="10">
        <v>854000000000</v>
      </c>
      <c r="AF50" s="10">
        <v>594000000000</v>
      </c>
      <c r="AG50" s="10">
        <v>652000000000</v>
      </c>
      <c r="AH50" s="10">
        <v>561000000000</v>
      </c>
      <c r="AI50" s="10">
        <v>512000000000</v>
      </c>
      <c r="AJ50" s="10">
        <v>559000000000</v>
      </c>
      <c r="AK50" s="10">
        <v>669000000000</v>
      </c>
      <c r="AL50" s="10">
        <v>892000000000</v>
      </c>
      <c r="AM50" s="10">
        <v>1110000000000</v>
      </c>
      <c r="AN50" s="10">
        <v>1400000000000</v>
      </c>
      <c r="AO50" s="10">
        <v>1700000000000</v>
      </c>
      <c r="AP50" s="10">
        <v>1670000000000</v>
      </c>
      <c r="AQ50" s="10">
        <v>2210000000000</v>
      </c>
      <c r="AR50" s="10">
        <v>2620000000000</v>
      </c>
      <c r="AS50" s="10">
        <v>2470000000000</v>
      </c>
      <c r="AT50" s="10">
        <v>2470000000000</v>
      </c>
      <c r="AU50" s="10">
        <v>2460000000000</v>
      </c>
      <c r="AV50" s="10">
        <v>1800000000000</v>
      </c>
      <c r="AW50" s="10">
        <v>1790000000000</v>
      </c>
      <c r="AX50" s="10">
        <v>2060000000000</v>
      </c>
    </row>
    <row r="51" spans="2:50" x14ac:dyDescent="0.45">
      <c r="B51" t="s">
        <v>113</v>
      </c>
      <c r="C51" s="10">
        <v>450092222.19999999</v>
      </c>
      <c r="D51" s="10">
        <v>459453631.39999998</v>
      </c>
      <c r="E51" s="10">
        <v>586671878.10000002</v>
      </c>
      <c r="F51" s="10">
        <v>678906476.20000005</v>
      </c>
      <c r="G51" s="10">
        <v>747779804.79999995</v>
      </c>
      <c r="H51" s="10">
        <v>889552211.39999998</v>
      </c>
      <c r="I51" s="10">
        <v>852962171.39999998</v>
      </c>
      <c r="J51" s="10">
        <v>1030604827</v>
      </c>
      <c r="K51" s="10">
        <v>1328172095</v>
      </c>
      <c r="L51" s="10">
        <v>1782241534</v>
      </c>
      <c r="M51" s="10">
        <v>1933165643</v>
      </c>
      <c r="N51" s="10">
        <v>1791477576</v>
      </c>
      <c r="O51" s="10">
        <v>1643151434</v>
      </c>
      <c r="P51" s="10">
        <v>1501303340</v>
      </c>
      <c r="Q51" s="10">
        <v>1342096835</v>
      </c>
      <c r="R51" s="10">
        <v>1568522911</v>
      </c>
      <c r="S51" s="10">
        <v>2057309730</v>
      </c>
      <c r="T51" s="10">
        <v>2394153141</v>
      </c>
      <c r="U51" s="10">
        <v>2643024618</v>
      </c>
      <c r="V51" s="10">
        <v>2642527923</v>
      </c>
      <c r="W51" s="10">
        <v>3133314718</v>
      </c>
      <c r="X51" s="10">
        <v>3167249552</v>
      </c>
      <c r="Y51" s="10">
        <v>3391284425</v>
      </c>
      <c r="Z51" s="10">
        <v>3232508008</v>
      </c>
      <c r="AA51" s="10">
        <v>1914845381</v>
      </c>
      <c r="AB51" s="10">
        <v>2403943866</v>
      </c>
      <c r="AC51" s="10">
        <v>2613101565</v>
      </c>
      <c r="AD51" s="10">
        <v>2472794485</v>
      </c>
      <c r="AE51" s="10">
        <v>2833694893</v>
      </c>
      <c r="AF51" s="10">
        <v>3012646768</v>
      </c>
      <c r="AG51" s="10">
        <v>2632700088</v>
      </c>
      <c r="AH51" s="10">
        <v>2834162162</v>
      </c>
      <c r="AI51" s="10">
        <v>3205592273</v>
      </c>
      <c r="AJ51" s="10">
        <v>4205691122</v>
      </c>
      <c r="AK51" s="10">
        <v>4838551014</v>
      </c>
      <c r="AL51" s="10">
        <v>5462709055</v>
      </c>
      <c r="AM51" s="10">
        <v>5816310051</v>
      </c>
      <c r="AN51" s="10">
        <v>6771272531</v>
      </c>
      <c r="AO51" s="10">
        <v>8369640493</v>
      </c>
      <c r="AP51" s="10">
        <v>8369175635</v>
      </c>
      <c r="AQ51" s="10">
        <v>8979964356</v>
      </c>
      <c r="AR51" s="10">
        <v>10724063138</v>
      </c>
      <c r="AS51" s="10">
        <v>11166062681</v>
      </c>
      <c r="AT51" s="10">
        <v>11947175436</v>
      </c>
      <c r="AU51" s="10">
        <v>12377392643</v>
      </c>
      <c r="AV51" s="10">
        <v>10415608218</v>
      </c>
      <c r="AW51" s="10">
        <v>10863878927</v>
      </c>
      <c r="AX51" s="10">
        <v>12324811435</v>
      </c>
    </row>
    <row r="52" spans="2:50" x14ac:dyDescent="0.45">
      <c r="B52" t="s">
        <v>114</v>
      </c>
      <c r="C52" s="10">
        <v>245436571.19999999</v>
      </c>
      <c r="D52" s="10">
        <v>252516571.40000001</v>
      </c>
      <c r="E52" s="10">
        <v>246354285.69999999</v>
      </c>
      <c r="F52" s="10">
        <v>305491647</v>
      </c>
      <c r="G52" s="10">
        <v>346375873</v>
      </c>
      <c r="H52" s="10">
        <v>414873650.80000001</v>
      </c>
      <c r="I52" s="10">
        <v>457333333.30000001</v>
      </c>
      <c r="J52" s="10">
        <v>543241111.10000002</v>
      </c>
      <c r="K52" s="10">
        <v>613618888.89999998</v>
      </c>
      <c r="L52" s="10">
        <v>792834444.39999998</v>
      </c>
      <c r="M52" s="10">
        <v>951188888.89999998</v>
      </c>
      <c r="N52" s="10">
        <v>993144444.39999998</v>
      </c>
      <c r="O52" s="10">
        <v>1045488889</v>
      </c>
      <c r="P52" s="10">
        <v>1106980581</v>
      </c>
      <c r="Q52" s="10">
        <v>1006196963</v>
      </c>
      <c r="R52" s="10">
        <v>1171150233</v>
      </c>
      <c r="S52" s="10">
        <v>1233604831</v>
      </c>
      <c r="T52" s="10">
        <v>1162071426</v>
      </c>
      <c r="U52" s="10">
        <v>1089119983</v>
      </c>
      <c r="V52" s="10">
        <v>1131605042</v>
      </c>
      <c r="W52" s="10">
        <v>1148319883</v>
      </c>
      <c r="X52" s="10">
        <v>1167401158</v>
      </c>
      <c r="Y52" s="10">
        <v>1086803177</v>
      </c>
      <c r="Z52" s="10">
        <v>974857896</v>
      </c>
      <c r="AA52" s="10">
        <v>1068821056</v>
      </c>
      <c r="AB52" s="10">
        <v>1000430418</v>
      </c>
      <c r="AC52" s="10">
        <v>868960847.39999998</v>
      </c>
      <c r="AD52" s="10">
        <v>972854233.79999995</v>
      </c>
      <c r="AE52" s="10">
        <v>893694807</v>
      </c>
      <c r="AF52" s="10">
        <v>808149939</v>
      </c>
      <c r="AG52" s="10">
        <v>709113236.70000005</v>
      </c>
      <c r="AH52" s="10">
        <v>662345748.39999998</v>
      </c>
      <c r="AI52" s="10">
        <v>628101556.20000005</v>
      </c>
      <c r="AJ52" s="10">
        <v>595481332.29999995</v>
      </c>
      <c r="AK52" s="10">
        <v>679885548.20000005</v>
      </c>
      <c r="AL52" s="10">
        <v>1117109382</v>
      </c>
      <c r="AM52" s="10">
        <v>1273375078</v>
      </c>
      <c r="AN52" s="10">
        <v>1356198462</v>
      </c>
      <c r="AO52" s="10">
        <v>1611836700</v>
      </c>
      <c r="AP52" s="10">
        <v>1775497472</v>
      </c>
      <c r="AQ52" s="10">
        <v>2032137629</v>
      </c>
      <c r="AR52" s="10">
        <v>2235793848</v>
      </c>
      <c r="AS52" s="10">
        <v>2333301127</v>
      </c>
      <c r="AT52" s="10">
        <v>2451625280</v>
      </c>
      <c r="AU52" s="10">
        <v>2705783977</v>
      </c>
      <c r="AV52" s="10">
        <v>2810550725</v>
      </c>
      <c r="AW52" s="10">
        <v>2915582166</v>
      </c>
      <c r="AX52" s="10">
        <v>3155456445</v>
      </c>
    </row>
    <row r="53" spans="2:50" x14ac:dyDescent="0.45">
      <c r="B53" t="s">
        <v>115</v>
      </c>
      <c r="C53" s="10">
        <v>1315837125</v>
      </c>
      <c r="D53" s="10">
        <v>1475313816</v>
      </c>
      <c r="E53" s="10">
        <v>1903180995</v>
      </c>
      <c r="F53" s="10">
        <v>2584984398</v>
      </c>
      <c r="G53" s="10">
        <v>2760919560</v>
      </c>
      <c r="H53" s="10">
        <v>3626171759</v>
      </c>
      <c r="I53" s="10">
        <v>3951066932</v>
      </c>
      <c r="J53" s="10">
        <v>4621515678</v>
      </c>
      <c r="K53" s="10">
        <v>6083582160</v>
      </c>
      <c r="L53" s="10">
        <v>8095575303</v>
      </c>
      <c r="M53" s="10">
        <v>10089593335</v>
      </c>
      <c r="N53" s="10">
        <v>9469026882</v>
      </c>
      <c r="O53" s="10">
        <v>9500798884</v>
      </c>
      <c r="P53" s="10">
        <v>9913433581</v>
      </c>
      <c r="Q53" s="10">
        <v>9765380114</v>
      </c>
      <c r="R53" s="10">
        <v>9597106419</v>
      </c>
      <c r="S53" s="10">
        <v>11734309947</v>
      </c>
      <c r="T53" s="10">
        <v>12790637654</v>
      </c>
      <c r="U53" s="10">
        <v>12502898932</v>
      </c>
      <c r="V53" s="10">
        <v>11523062027</v>
      </c>
      <c r="W53" s="10">
        <v>12814211903</v>
      </c>
      <c r="X53" s="10">
        <v>12311513100</v>
      </c>
      <c r="Y53" s="10">
        <v>12548713743</v>
      </c>
      <c r="Z53" s="10">
        <v>13269956745</v>
      </c>
      <c r="AA53" s="10">
        <v>7695538967</v>
      </c>
      <c r="AB53" s="10">
        <v>9641307543</v>
      </c>
      <c r="AC53" s="10">
        <v>10327636326</v>
      </c>
      <c r="AD53" s="10">
        <v>9868797593</v>
      </c>
      <c r="AE53" s="10">
        <v>10631315210</v>
      </c>
      <c r="AF53" s="10">
        <v>10841524258</v>
      </c>
      <c r="AG53" s="10">
        <v>10046703864</v>
      </c>
      <c r="AH53" s="10">
        <v>10420713434</v>
      </c>
      <c r="AI53" s="10">
        <v>11769310319</v>
      </c>
      <c r="AJ53" s="10">
        <v>14735453499</v>
      </c>
      <c r="AK53" s="10">
        <v>17065151810</v>
      </c>
      <c r="AL53" s="10">
        <v>17944082744</v>
      </c>
      <c r="AM53" s="10">
        <v>19356045972</v>
      </c>
      <c r="AN53" s="10">
        <v>22365265838</v>
      </c>
      <c r="AO53" s="10">
        <v>26409783836</v>
      </c>
      <c r="AP53" s="10">
        <v>26017926061</v>
      </c>
      <c r="AQ53" s="10">
        <v>26143752761</v>
      </c>
      <c r="AR53" s="10">
        <v>29336923306</v>
      </c>
      <c r="AS53" s="10">
        <v>29104427473</v>
      </c>
      <c r="AT53" s="10">
        <v>32348187978</v>
      </c>
      <c r="AU53" s="10">
        <v>34942915662</v>
      </c>
      <c r="AV53" s="10">
        <v>30905283529</v>
      </c>
      <c r="AW53" s="10">
        <v>32617646920</v>
      </c>
      <c r="AX53" s="10">
        <v>34924030341</v>
      </c>
    </row>
    <row r="54" spans="2:50" x14ac:dyDescent="0.45">
      <c r="B54" t="s">
        <v>116</v>
      </c>
      <c r="C54" s="10">
        <v>275964335.19999999</v>
      </c>
      <c r="D54" s="10">
        <v>293978406.5</v>
      </c>
      <c r="E54" s="10">
        <v>336104320.30000001</v>
      </c>
      <c r="F54" s="10">
        <v>395739159.60000002</v>
      </c>
      <c r="G54" s="10">
        <v>410646883.30000001</v>
      </c>
      <c r="H54" s="10">
        <v>552580918</v>
      </c>
      <c r="I54" s="10">
        <v>658369594.39999998</v>
      </c>
      <c r="J54" s="10">
        <v>740303345.89999998</v>
      </c>
      <c r="K54" s="10">
        <v>891021197.5</v>
      </c>
      <c r="L54" s="10">
        <v>1022630357</v>
      </c>
      <c r="M54" s="10">
        <v>1163137395</v>
      </c>
      <c r="N54" s="10">
        <v>1039128922</v>
      </c>
      <c r="O54" s="10">
        <v>977084223.89999998</v>
      </c>
      <c r="P54" s="10">
        <v>860005796.5</v>
      </c>
      <c r="Q54" s="10">
        <v>823717698.70000005</v>
      </c>
      <c r="R54" s="10">
        <v>904883302.79999995</v>
      </c>
      <c r="S54" s="10">
        <v>1174214101</v>
      </c>
      <c r="T54" s="10">
        <v>1256585294</v>
      </c>
      <c r="U54" s="10">
        <v>1323450843</v>
      </c>
      <c r="V54" s="10">
        <v>1291048294</v>
      </c>
      <c r="W54" s="10">
        <v>1507401272</v>
      </c>
      <c r="X54" s="10">
        <v>1441132986</v>
      </c>
      <c r="Y54" s="10">
        <v>1477274511</v>
      </c>
      <c r="Z54" s="10">
        <v>1337975404</v>
      </c>
      <c r="AA54" s="10">
        <v>890574792.20000005</v>
      </c>
      <c r="AB54" s="10">
        <v>1167020504</v>
      </c>
      <c r="AC54" s="10">
        <v>1054441273</v>
      </c>
      <c r="AD54" s="10">
        <v>981149097.60000002</v>
      </c>
      <c r="AE54" s="10">
        <v>1012116000</v>
      </c>
      <c r="AF54" s="10">
        <v>1045742770</v>
      </c>
      <c r="AG54" s="10">
        <v>956832094.5</v>
      </c>
      <c r="AH54" s="10">
        <v>974967390.39999998</v>
      </c>
      <c r="AI54" s="10">
        <v>1037278713</v>
      </c>
      <c r="AJ54" s="10">
        <v>1192513450</v>
      </c>
      <c r="AK54" s="10">
        <v>1328871606</v>
      </c>
      <c r="AL54" s="10">
        <v>1412805702</v>
      </c>
      <c r="AM54" s="10">
        <v>1537502785</v>
      </c>
      <c r="AN54" s="10">
        <v>1754928634</v>
      </c>
      <c r="AO54" s="10">
        <v>2033153896</v>
      </c>
      <c r="AP54" s="10">
        <v>2029424164</v>
      </c>
      <c r="AQ54" s="10">
        <v>2033813912</v>
      </c>
      <c r="AR54" s="10">
        <v>2265951515</v>
      </c>
      <c r="AS54" s="10">
        <v>2236749993</v>
      </c>
      <c r="AT54" s="10">
        <v>1565488523</v>
      </c>
      <c r="AU54" s="10">
        <v>1755518413</v>
      </c>
      <c r="AV54" s="10">
        <v>1632136114</v>
      </c>
      <c r="AW54" s="10">
        <v>1809604812</v>
      </c>
      <c r="AX54" s="10">
        <v>1992754110</v>
      </c>
    </row>
    <row r="55" spans="2:50" x14ac:dyDescent="0.45">
      <c r="B55" t="s">
        <v>117</v>
      </c>
      <c r="C55" s="10">
        <v>355301780.39999998</v>
      </c>
      <c r="D55" s="10">
        <v>387785535.89999998</v>
      </c>
      <c r="E55" s="10">
        <v>403013384.60000002</v>
      </c>
      <c r="F55" s="10">
        <v>446936126.80000001</v>
      </c>
      <c r="G55" s="10">
        <v>520701998.39999998</v>
      </c>
      <c r="H55" s="10">
        <v>752271453.39999998</v>
      </c>
      <c r="I55" s="10">
        <v>706314319.60000002</v>
      </c>
      <c r="J55" s="10">
        <v>714485897.5</v>
      </c>
      <c r="K55" s="10">
        <v>850880753.70000005</v>
      </c>
      <c r="L55" s="10">
        <v>767158756.70000005</v>
      </c>
      <c r="M55" s="10">
        <v>789070817.89999998</v>
      </c>
      <c r="N55" s="10">
        <v>927054429.29999995</v>
      </c>
      <c r="O55" s="10">
        <v>866823712.5</v>
      </c>
      <c r="P55" s="10">
        <v>927823080.70000005</v>
      </c>
      <c r="Q55" s="10">
        <v>999740434.20000005</v>
      </c>
      <c r="R55" s="10">
        <v>986892995.70000005</v>
      </c>
      <c r="S55" s="10">
        <v>1214841090</v>
      </c>
      <c r="T55" s="10">
        <v>1379240458</v>
      </c>
      <c r="U55" s="10">
        <v>1611361976</v>
      </c>
      <c r="V55" s="10">
        <v>1522878641</v>
      </c>
      <c r="W55" s="10">
        <v>1833675591</v>
      </c>
      <c r="X55" s="10">
        <v>1820027719</v>
      </c>
      <c r="Y55" s="10">
        <v>1896094855</v>
      </c>
      <c r="Z55" s="10">
        <v>1654085614</v>
      </c>
      <c r="AA55" s="10">
        <v>1341884888</v>
      </c>
      <c r="AB55" s="10">
        <v>1643276653</v>
      </c>
      <c r="AC55" s="10">
        <v>1837279011</v>
      </c>
      <c r="AD55" s="10">
        <v>1754815782</v>
      </c>
      <c r="AE55" s="10">
        <v>1999334348</v>
      </c>
      <c r="AF55" s="10">
        <v>1738899327</v>
      </c>
      <c r="AG55" s="10">
        <v>1575765966</v>
      </c>
      <c r="AH55" s="10">
        <v>1944724857</v>
      </c>
      <c r="AI55" s="10">
        <v>2260468323</v>
      </c>
      <c r="AJ55" s="10">
        <v>3096886395</v>
      </c>
      <c r="AK55" s="10">
        <v>5021656323</v>
      </c>
      <c r="AL55" s="10">
        <v>6680615783</v>
      </c>
      <c r="AM55" s="10">
        <v>7453135809</v>
      </c>
      <c r="AN55" s="10">
        <v>8397412769</v>
      </c>
      <c r="AO55" s="10">
        <v>10371311954</v>
      </c>
      <c r="AP55" s="10">
        <v>9424519702</v>
      </c>
      <c r="AQ55" s="10">
        <v>10969618543</v>
      </c>
      <c r="AR55" s="10">
        <v>12976138394</v>
      </c>
      <c r="AS55" s="10">
        <v>14003838658</v>
      </c>
      <c r="AT55" s="10">
        <v>13807433574</v>
      </c>
      <c r="AU55" s="10">
        <v>14499965987</v>
      </c>
      <c r="AV55" s="10">
        <v>11733102818</v>
      </c>
      <c r="AW55" s="10">
        <v>10953033084</v>
      </c>
      <c r="AX55" s="10">
        <v>10716955231</v>
      </c>
    </row>
    <row r="56" spans="2:50" x14ac:dyDescent="0.45">
      <c r="B56" t="s">
        <v>118</v>
      </c>
      <c r="C56" s="10">
        <v>9680014665</v>
      </c>
      <c r="D56" s="10">
        <v>11587753311</v>
      </c>
      <c r="E56" s="10">
        <v>12510670763</v>
      </c>
      <c r="F56" s="10">
        <v>17834428836</v>
      </c>
      <c r="G56" s="10">
        <v>17285268041</v>
      </c>
      <c r="H56" s="10">
        <v>8041259430</v>
      </c>
      <c r="I56" s="10">
        <v>10980227350</v>
      </c>
      <c r="J56" s="10">
        <v>14884929049</v>
      </c>
      <c r="K56" s="10">
        <v>17154937812</v>
      </c>
      <c r="L56" s="10">
        <v>23094844121</v>
      </c>
      <c r="M56" s="10">
        <v>30720746008</v>
      </c>
      <c r="N56" s="10">
        <v>36834978702</v>
      </c>
      <c r="O56" s="10">
        <v>26319059293</v>
      </c>
      <c r="P56" s="10">
        <v>21712039330</v>
      </c>
      <c r="Q56" s="10">
        <v>21522697088</v>
      </c>
      <c r="R56" s="10">
        <v>18984520581</v>
      </c>
      <c r="S56" s="10">
        <v>20408466819</v>
      </c>
      <c r="T56" s="10">
        <v>23831079358</v>
      </c>
      <c r="U56" s="10">
        <v>27814023200</v>
      </c>
      <c r="V56" s="10">
        <v>31721624024</v>
      </c>
      <c r="W56" s="10">
        <v>34918285742</v>
      </c>
      <c r="X56" s="10">
        <v>39901846032</v>
      </c>
      <c r="Y56" s="10">
        <v>48229522833</v>
      </c>
      <c r="Z56" s="10">
        <v>51214365032</v>
      </c>
      <c r="AA56" s="10">
        <v>58636577126</v>
      </c>
      <c r="AB56" s="10">
        <v>75099073732</v>
      </c>
      <c r="AC56" s="10">
        <v>78959965348</v>
      </c>
      <c r="AD56" s="10">
        <v>86298816404</v>
      </c>
      <c r="AE56" s="10">
        <v>82716139391</v>
      </c>
      <c r="AF56" s="10">
        <v>76069313992</v>
      </c>
      <c r="AG56" s="10">
        <v>78363152292</v>
      </c>
      <c r="AH56" s="10">
        <v>71455607134</v>
      </c>
      <c r="AI56" s="10">
        <v>70098009752</v>
      </c>
      <c r="AJ56" s="10">
        <v>76084234602</v>
      </c>
      <c r="AK56" s="10">
        <v>99259633927</v>
      </c>
      <c r="AL56" s="10">
        <v>123000000000</v>
      </c>
      <c r="AM56" s="10">
        <v>155000000000</v>
      </c>
      <c r="AN56" s="10">
        <v>174000000000</v>
      </c>
      <c r="AO56" s="10">
        <v>180000000000</v>
      </c>
      <c r="AP56" s="10">
        <v>172000000000</v>
      </c>
      <c r="AQ56" s="10">
        <v>219000000000</v>
      </c>
      <c r="AR56" s="10">
        <v>252000000000</v>
      </c>
      <c r="AS56" s="10">
        <v>267000000000</v>
      </c>
      <c r="AT56" s="10">
        <v>278000000000</v>
      </c>
      <c r="AU56" s="10">
        <v>261000000000</v>
      </c>
      <c r="AV56" s="10">
        <v>244000000000</v>
      </c>
      <c r="AW56" s="10">
        <v>250000000000</v>
      </c>
      <c r="AX56" s="10">
        <v>277000000000</v>
      </c>
    </row>
    <row r="57" spans="2:50" x14ac:dyDescent="0.45">
      <c r="B57" t="s">
        <v>119</v>
      </c>
      <c r="C57" s="10">
        <v>10192830297</v>
      </c>
      <c r="D57" s="10">
        <v>11062473570</v>
      </c>
      <c r="E57" s="10">
        <v>12281981758</v>
      </c>
      <c r="F57" s="10">
        <v>14530859324</v>
      </c>
      <c r="G57" s="10">
        <v>17461831599</v>
      </c>
      <c r="H57" s="10">
        <v>18508321610</v>
      </c>
      <c r="I57" s="10">
        <v>21673810438</v>
      </c>
      <c r="J57" s="10">
        <v>27519401796</v>
      </c>
      <c r="K57" s="10">
        <v>32864249578</v>
      </c>
      <c r="L57" s="10">
        <v>39496777220</v>
      </c>
      <c r="M57" s="10">
        <v>47204011075</v>
      </c>
      <c r="N57" s="10">
        <v>51437351221</v>
      </c>
      <c r="O57" s="10">
        <v>55073305988</v>
      </c>
      <c r="P57" s="10">
        <v>54742008225</v>
      </c>
      <c r="Q57" s="10">
        <v>54074423925</v>
      </c>
      <c r="R57" s="10">
        <v>49322295862</v>
      </c>
      <c r="S57" s="10">
        <v>49389241417</v>
      </c>
      <c r="T57" s="10">
        <v>51408904637</v>
      </c>
      <c r="U57" s="10">
        <v>55422805035</v>
      </c>
      <c r="V57" s="10">
        <v>55888331643</v>
      </c>
      <c r="W57" s="10">
        <v>56924873582</v>
      </c>
      <c r="X57" s="10">
        <v>58290710046</v>
      </c>
      <c r="Y57" s="10">
        <v>62389828110</v>
      </c>
      <c r="Z57" s="10">
        <v>72212650814</v>
      </c>
      <c r="AA57" s="10">
        <v>95308779557</v>
      </c>
      <c r="AB57" s="10">
        <v>110000000000</v>
      </c>
      <c r="AC57" s="10">
        <v>116000000000</v>
      </c>
      <c r="AD57" s="10">
        <v>127000000000</v>
      </c>
      <c r="AE57" s="10">
        <v>117000000000</v>
      </c>
      <c r="AF57" s="10">
        <v>103000000000</v>
      </c>
      <c r="AG57" s="10">
        <v>99875768145</v>
      </c>
      <c r="AH57" s="10">
        <v>98211751482</v>
      </c>
      <c r="AI57" s="10">
        <v>97963002599</v>
      </c>
      <c r="AJ57" s="10">
        <v>94641380064</v>
      </c>
      <c r="AK57" s="10">
        <v>117000000000</v>
      </c>
      <c r="AL57" s="10">
        <v>147000000000</v>
      </c>
      <c r="AM57" s="10">
        <v>163000000000</v>
      </c>
      <c r="AN57" s="10">
        <v>207000000000</v>
      </c>
      <c r="AO57" s="10">
        <v>244000000000</v>
      </c>
      <c r="AP57" s="10">
        <v>234000000000</v>
      </c>
      <c r="AQ57" s="10">
        <v>287000000000</v>
      </c>
      <c r="AR57" s="10">
        <v>335000000000</v>
      </c>
      <c r="AS57" s="10">
        <v>370000000000</v>
      </c>
      <c r="AT57" s="10">
        <v>380000000000</v>
      </c>
      <c r="AU57" s="10">
        <v>378000000000</v>
      </c>
      <c r="AV57" s="10">
        <v>292000000000</v>
      </c>
      <c r="AW57" s="10">
        <v>280000000000</v>
      </c>
      <c r="AX57" s="10">
        <v>309000000000</v>
      </c>
    </row>
    <row r="58" spans="2:50" x14ac:dyDescent="0.45">
      <c r="B58" t="s">
        <v>120</v>
      </c>
      <c r="C58" s="10">
        <v>4769858922</v>
      </c>
      <c r="D58" s="10">
        <v>5334309222</v>
      </c>
      <c r="E58" s="10">
        <v>5883504072</v>
      </c>
      <c r="F58" s="10">
        <v>7500577784</v>
      </c>
      <c r="G58" s="10">
        <v>9148162275</v>
      </c>
      <c r="H58" s="10">
        <v>9758378802</v>
      </c>
      <c r="I58" s="10">
        <v>9196958132</v>
      </c>
      <c r="J58" s="10">
        <v>11767097163</v>
      </c>
      <c r="K58" s="10">
        <v>16702979498</v>
      </c>
      <c r="L58" s="10">
        <v>16370141027</v>
      </c>
      <c r="M58" s="10">
        <v>15638594784</v>
      </c>
      <c r="N58" s="10">
        <v>13824473860</v>
      </c>
      <c r="O58" s="10">
        <v>13786912271</v>
      </c>
      <c r="P58" s="10">
        <v>11690758855</v>
      </c>
      <c r="Q58" s="10">
        <v>7033524225</v>
      </c>
      <c r="R58" s="10">
        <v>7524232299</v>
      </c>
      <c r="S58" s="10">
        <v>8693480056</v>
      </c>
      <c r="T58" s="10">
        <v>7411962630</v>
      </c>
      <c r="U58" s="10">
        <v>8483897572</v>
      </c>
      <c r="V58" s="10">
        <v>14341555222</v>
      </c>
      <c r="W58" s="10">
        <v>14828706828</v>
      </c>
      <c r="X58" s="10">
        <v>14188129125</v>
      </c>
      <c r="Y58" s="10">
        <v>13009464119</v>
      </c>
      <c r="Z58" s="10">
        <v>16975079012</v>
      </c>
      <c r="AA58" s="10">
        <v>9205583220</v>
      </c>
      <c r="AB58" s="10">
        <v>8946579644</v>
      </c>
      <c r="AC58" s="10">
        <v>9155409422</v>
      </c>
      <c r="AD58" s="10">
        <v>9419104878</v>
      </c>
      <c r="AE58" s="10">
        <v>9853196860</v>
      </c>
      <c r="AF58" s="10">
        <v>8758836613</v>
      </c>
      <c r="AG58" s="10">
        <v>8339111656</v>
      </c>
      <c r="AH58" s="10">
        <v>8349998925</v>
      </c>
      <c r="AI58" s="10">
        <v>8728022248</v>
      </c>
      <c r="AJ58" s="10">
        <v>8937648681</v>
      </c>
      <c r="AK58" s="10">
        <v>10297495082</v>
      </c>
      <c r="AL58" s="10">
        <v>11964558312</v>
      </c>
      <c r="AM58" s="10">
        <v>14451859958</v>
      </c>
      <c r="AN58" s="10">
        <v>16737110427</v>
      </c>
      <c r="AO58" s="10">
        <v>19788571874</v>
      </c>
      <c r="AP58" s="10">
        <v>18648387485</v>
      </c>
      <c r="AQ58" s="10">
        <v>21565746507</v>
      </c>
      <c r="AR58" s="10">
        <v>25839722464</v>
      </c>
      <c r="AS58" s="10">
        <v>29306269641</v>
      </c>
      <c r="AT58" s="10">
        <v>32671706985</v>
      </c>
      <c r="AU58" s="10">
        <v>35909053415</v>
      </c>
      <c r="AV58" s="10">
        <v>37917678438</v>
      </c>
      <c r="AW58" s="10">
        <v>40337512405</v>
      </c>
      <c r="AX58" s="10">
        <v>37642481749</v>
      </c>
    </row>
    <row r="59" spans="2:50" x14ac:dyDescent="0.45">
      <c r="B59" t="s">
        <v>121</v>
      </c>
      <c r="C59" s="10">
        <v>283678162.89999998</v>
      </c>
      <c r="D59" s="10">
        <v>324463522.5</v>
      </c>
      <c r="E59" s="10">
        <v>389798511</v>
      </c>
      <c r="F59" s="10">
        <v>519535709.80000001</v>
      </c>
      <c r="G59" s="10">
        <v>627653029.10000002</v>
      </c>
      <c r="H59" s="10">
        <v>739566594.60000002</v>
      </c>
      <c r="I59" s="10">
        <v>767193924.39999998</v>
      </c>
      <c r="J59" s="10">
        <v>765165836.20000005</v>
      </c>
      <c r="K59" s="10">
        <v>951046472.10000002</v>
      </c>
      <c r="L59" s="10">
        <v>1292565315</v>
      </c>
      <c r="M59" s="10">
        <v>1846019115</v>
      </c>
      <c r="N59" s="10">
        <v>2157427630</v>
      </c>
      <c r="O59" s="10">
        <v>2338337853</v>
      </c>
      <c r="P59" s="10">
        <v>2269824015</v>
      </c>
      <c r="Q59" s="10">
        <v>2373943219</v>
      </c>
      <c r="R59" s="10">
        <v>2338643476</v>
      </c>
      <c r="S59" s="10">
        <v>2001283783</v>
      </c>
      <c r="T59" s="10">
        <v>2486527891</v>
      </c>
      <c r="U59" s="10">
        <v>2394303403</v>
      </c>
      <c r="V59" s="10">
        <v>2624123750</v>
      </c>
      <c r="W59" s="10">
        <v>3072958510</v>
      </c>
      <c r="X59" s="10">
        <v>3147967872</v>
      </c>
      <c r="Y59" s="10">
        <v>3059889837</v>
      </c>
      <c r="Z59" s="10">
        <v>2800242390</v>
      </c>
      <c r="AA59" s="10">
        <v>1853175951</v>
      </c>
      <c r="AB59" s="10">
        <v>2207380544</v>
      </c>
      <c r="AC59" s="10">
        <v>2650414017</v>
      </c>
      <c r="AD59" s="10">
        <v>2423022486</v>
      </c>
      <c r="AE59" s="10">
        <v>2008027356</v>
      </c>
      <c r="AF59" s="10">
        <v>2455559738</v>
      </c>
      <c r="AG59" s="10">
        <v>3358958017</v>
      </c>
      <c r="AH59" s="10">
        <v>2914925966</v>
      </c>
      <c r="AI59" s="10">
        <v>3150407940</v>
      </c>
      <c r="AJ59" s="10">
        <v>3646832939</v>
      </c>
      <c r="AK59" s="10">
        <v>4849373392</v>
      </c>
      <c r="AL59" s="10">
        <v>6349779926</v>
      </c>
      <c r="AM59" s="10">
        <v>8065134380</v>
      </c>
      <c r="AN59" s="10">
        <v>8771102344</v>
      </c>
      <c r="AO59" s="10">
        <v>11602894194</v>
      </c>
      <c r="AP59" s="10">
        <v>9495430274</v>
      </c>
      <c r="AQ59" s="10">
        <v>13678011910</v>
      </c>
      <c r="AR59" s="10">
        <v>16443657996</v>
      </c>
      <c r="AS59" s="10">
        <v>17693923329</v>
      </c>
      <c r="AT59" s="10">
        <v>17805175957</v>
      </c>
      <c r="AU59" s="10">
        <v>18906667256</v>
      </c>
      <c r="AV59" s="10">
        <v>11091534660</v>
      </c>
      <c r="AW59" s="10">
        <v>10100235061</v>
      </c>
      <c r="AX59" s="10">
        <v>11292364916</v>
      </c>
    </row>
    <row r="60" spans="2:50" x14ac:dyDescent="0.45">
      <c r="B60" t="s">
        <v>122</v>
      </c>
      <c r="C60" s="10">
        <v>1252531742</v>
      </c>
      <c r="D60" s="10">
        <v>1369838275</v>
      </c>
      <c r="E60" s="10">
        <v>1574757231</v>
      </c>
      <c r="F60" s="10">
        <v>1944300598</v>
      </c>
      <c r="G60" s="10">
        <v>2119439861</v>
      </c>
      <c r="H60" s="10">
        <v>2493743625</v>
      </c>
      <c r="I60" s="10">
        <v>3068172757</v>
      </c>
      <c r="J60" s="10">
        <v>3907334923</v>
      </c>
      <c r="K60" s="10">
        <v>4480576912</v>
      </c>
      <c r="L60" s="10">
        <v>5132021988</v>
      </c>
      <c r="M60" s="10">
        <v>6144358734</v>
      </c>
      <c r="N60" s="10">
        <v>3336780349</v>
      </c>
      <c r="O60" s="10">
        <v>3314911855</v>
      </c>
      <c r="P60" s="10">
        <v>4001837740</v>
      </c>
      <c r="Q60" s="10">
        <v>4655133658</v>
      </c>
      <c r="R60" s="10">
        <v>4988773451</v>
      </c>
      <c r="S60" s="10">
        <v>5601077674</v>
      </c>
      <c r="T60" s="10">
        <v>5764102931</v>
      </c>
      <c r="U60" s="10">
        <v>5867415104</v>
      </c>
      <c r="V60" s="10">
        <v>6645580623</v>
      </c>
      <c r="W60" s="10">
        <v>7260596113</v>
      </c>
      <c r="X60" s="10">
        <v>7168858163</v>
      </c>
      <c r="Y60" s="10">
        <v>8528591307</v>
      </c>
      <c r="Z60" s="10">
        <v>9537299960</v>
      </c>
      <c r="AA60" s="10">
        <v>10432621540</v>
      </c>
      <c r="AB60" s="10">
        <v>11507120157</v>
      </c>
      <c r="AC60" s="10">
        <v>11619452084</v>
      </c>
      <c r="AD60" s="10">
        <v>12552206400</v>
      </c>
      <c r="AE60" s="10">
        <v>13615331860</v>
      </c>
      <c r="AF60" s="10">
        <v>14195390057</v>
      </c>
      <c r="AG60" s="10">
        <v>14949676187</v>
      </c>
      <c r="AH60" s="10">
        <v>15913323117</v>
      </c>
      <c r="AI60" s="10">
        <v>16504909035</v>
      </c>
      <c r="AJ60" s="10">
        <v>17195913957</v>
      </c>
      <c r="AK60" s="10">
        <v>18528743975</v>
      </c>
      <c r="AL60" s="10">
        <v>19952154757</v>
      </c>
      <c r="AM60" s="10">
        <v>22600431090</v>
      </c>
      <c r="AN60" s="10">
        <v>26743874711</v>
      </c>
      <c r="AO60" s="10">
        <v>30612932094</v>
      </c>
      <c r="AP60" s="10">
        <v>30562363430</v>
      </c>
      <c r="AQ60" s="10">
        <v>37268635236</v>
      </c>
      <c r="AR60" s="10">
        <v>42262694504</v>
      </c>
      <c r="AS60" s="10">
        <v>46473131799</v>
      </c>
      <c r="AT60" s="10">
        <v>49745084870</v>
      </c>
      <c r="AU60" s="10">
        <v>50577769811</v>
      </c>
      <c r="AV60" s="10">
        <v>54775976066</v>
      </c>
      <c r="AW60" s="10">
        <v>56988993325</v>
      </c>
      <c r="AX60" s="10">
        <v>57564785268</v>
      </c>
    </row>
    <row r="61" spans="2:50" x14ac:dyDescent="0.45">
      <c r="B61" t="s">
        <v>123</v>
      </c>
      <c r="C61" s="10">
        <v>1500930867</v>
      </c>
      <c r="D61" s="10">
        <v>1597118896</v>
      </c>
      <c r="E61" s="10">
        <v>1872163797</v>
      </c>
      <c r="F61" s="10">
        <v>2540248891</v>
      </c>
      <c r="G61" s="10">
        <v>3070235435</v>
      </c>
      <c r="H61" s="10">
        <v>3894049302</v>
      </c>
      <c r="I61" s="10">
        <v>4661873596</v>
      </c>
      <c r="J61" s="10">
        <v>6265332806</v>
      </c>
      <c r="K61" s="10">
        <v>7901447798</v>
      </c>
      <c r="L61" s="10">
        <v>9141834188</v>
      </c>
      <c r="M61" s="10">
        <v>10175551514</v>
      </c>
      <c r="N61" s="10">
        <v>8432593940</v>
      </c>
      <c r="O61" s="10">
        <v>7566940615</v>
      </c>
      <c r="P61" s="10">
        <v>6838481401</v>
      </c>
      <c r="Q61" s="10">
        <v>6841410680</v>
      </c>
      <c r="R61" s="10">
        <v>6977650642</v>
      </c>
      <c r="S61" s="10">
        <v>9158665698</v>
      </c>
      <c r="T61" s="10">
        <v>10087624533</v>
      </c>
      <c r="U61" s="10">
        <v>10253544614</v>
      </c>
      <c r="V61" s="10">
        <v>10714454782</v>
      </c>
      <c r="W61" s="10">
        <v>11892834267</v>
      </c>
      <c r="X61" s="10">
        <v>11531089450</v>
      </c>
      <c r="Y61" s="10">
        <v>12032862336</v>
      </c>
      <c r="Z61" s="10">
        <v>11152603588</v>
      </c>
      <c r="AA61" s="10">
        <v>8314050721</v>
      </c>
      <c r="AB61" s="10">
        <v>11104913313</v>
      </c>
      <c r="AC61" s="10">
        <v>12139146708</v>
      </c>
      <c r="AD61" s="10">
        <v>11722143261</v>
      </c>
      <c r="AE61" s="10">
        <v>12640877308</v>
      </c>
      <c r="AF61" s="10">
        <v>12561330037</v>
      </c>
      <c r="AG61" s="10">
        <v>10681535710</v>
      </c>
      <c r="AH61" s="10">
        <v>11192563448</v>
      </c>
      <c r="AI61" s="10">
        <v>12346980846</v>
      </c>
      <c r="AJ61" s="10">
        <v>15306598754</v>
      </c>
      <c r="AK61" s="10">
        <v>16554517272</v>
      </c>
      <c r="AL61" s="10">
        <v>17084927540</v>
      </c>
      <c r="AM61" s="10">
        <v>17800887469</v>
      </c>
      <c r="AN61" s="10">
        <v>20341870862</v>
      </c>
      <c r="AO61" s="10">
        <v>24224905504</v>
      </c>
      <c r="AP61" s="10">
        <v>24277494337</v>
      </c>
      <c r="AQ61" s="10">
        <v>24884503951</v>
      </c>
      <c r="AR61" s="10">
        <v>25669753852</v>
      </c>
      <c r="AS61" s="10">
        <v>26787285216</v>
      </c>
      <c r="AT61" s="10">
        <v>31271295500</v>
      </c>
      <c r="AU61" s="10">
        <v>35316494574</v>
      </c>
      <c r="AV61" s="10">
        <v>33119363299</v>
      </c>
      <c r="AW61" s="10">
        <v>35292839259</v>
      </c>
      <c r="AX61" s="10">
        <v>38054897402</v>
      </c>
    </row>
    <row r="62" spans="2:50" x14ac:dyDescent="0.45">
      <c r="B62" t="s">
        <v>124</v>
      </c>
      <c r="C62" s="10">
        <v>1859112944</v>
      </c>
      <c r="D62" s="10">
        <v>2085635628</v>
      </c>
      <c r="E62" s="10">
        <v>2487244070</v>
      </c>
      <c r="F62" s="10">
        <v>2934532502</v>
      </c>
      <c r="G62" s="10">
        <v>3661532645</v>
      </c>
      <c r="H62" s="10">
        <v>4504297143</v>
      </c>
      <c r="I62" s="10">
        <v>4945328043</v>
      </c>
      <c r="J62" s="10">
        <v>5740785592</v>
      </c>
      <c r="K62" s="10">
        <v>5925132503</v>
      </c>
      <c r="L62" s="10">
        <v>6881784092</v>
      </c>
      <c r="M62" s="10">
        <v>8298364330</v>
      </c>
      <c r="N62" s="10">
        <v>9094572783</v>
      </c>
      <c r="O62" s="10">
        <v>9967498586</v>
      </c>
      <c r="P62" s="10">
        <v>10791991086</v>
      </c>
      <c r="Q62" s="10">
        <v>12959725534</v>
      </c>
      <c r="R62" s="10">
        <v>5617973067</v>
      </c>
      <c r="S62" s="10">
        <v>6799933519</v>
      </c>
      <c r="T62" s="10">
        <v>6359192054</v>
      </c>
      <c r="U62" s="10">
        <v>5805070320</v>
      </c>
      <c r="V62" s="10">
        <v>8368314852</v>
      </c>
      <c r="W62" s="10">
        <v>9522418428</v>
      </c>
      <c r="X62" s="10">
        <v>9867165499</v>
      </c>
      <c r="Y62" s="10">
        <v>11443289344</v>
      </c>
      <c r="Z62" s="10">
        <v>12984337452</v>
      </c>
      <c r="AA62" s="10">
        <v>14097479998</v>
      </c>
      <c r="AB62" s="10">
        <v>15747403917</v>
      </c>
      <c r="AC62" s="10">
        <v>17078580525</v>
      </c>
      <c r="AD62" s="10">
        <v>19653241406</v>
      </c>
      <c r="AE62" s="10">
        <v>20872307173</v>
      </c>
      <c r="AF62" s="10">
        <v>21862302440</v>
      </c>
      <c r="AG62" s="10">
        <v>23959949380</v>
      </c>
      <c r="AH62" s="10">
        <v>25208160068</v>
      </c>
      <c r="AI62" s="10">
        <v>25654738278</v>
      </c>
      <c r="AJ62" s="10">
        <v>20389120903</v>
      </c>
      <c r="AK62" s="10">
        <v>22233034287</v>
      </c>
      <c r="AL62" s="10">
        <v>35510401478</v>
      </c>
      <c r="AM62" s="10">
        <v>37932619634</v>
      </c>
      <c r="AN62" s="10">
        <v>43780696524</v>
      </c>
      <c r="AO62" s="10">
        <v>47657828171</v>
      </c>
      <c r="AP62" s="10">
        <v>48071068100</v>
      </c>
      <c r="AQ62" s="10">
        <v>53159569599</v>
      </c>
      <c r="AR62" s="10">
        <v>57811243036</v>
      </c>
      <c r="AS62" s="10">
        <v>60657847548</v>
      </c>
      <c r="AT62" s="10">
        <v>62661707772</v>
      </c>
      <c r="AU62" s="10">
        <v>66065071988</v>
      </c>
      <c r="AV62" s="10">
        <v>68802095552</v>
      </c>
      <c r="AW62" s="10">
        <v>72342999666</v>
      </c>
      <c r="AX62" s="10">
        <v>75931730487</v>
      </c>
    </row>
    <row r="63" spans="2:50" x14ac:dyDescent="0.45">
      <c r="B63" t="s">
        <v>125</v>
      </c>
      <c r="C63" s="10">
        <v>2861132000</v>
      </c>
      <c r="D63" s="10">
        <v>2752900000</v>
      </c>
      <c r="E63" s="10">
        <v>3184460000</v>
      </c>
      <c r="F63" s="10">
        <v>3889890000</v>
      </c>
      <c r="G63" s="10">
        <v>6596096000</v>
      </c>
      <c r="H63" s="10">
        <v>7727971000</v>
      </c>
      <c r="I63" s="10">
        <v>9087566000</v>
      </c>
      <c r="J63" s="10">
        <v>11021061000</v>
      </c>
      <c r="K63" s="10">
        <v>11916787000</v>
      </c>
      <c r="L63" s="10">
        <v>14168371000</v>
      </c>
      <c r="M63" s="10">
        <v>17872943000</v>
      </c>
      <c r="N63" s="10">
        <v>21800312000</v>
      </c>
      <c r="O63" s="10">
        <v>19920300000</v>
      </c>
      <c r="P63" s="10">
        <v>17144261000</v>
      </c>
      <c r="Q63" s="10">
        <v>16904408000</v>
      </c>
      <c r="R63" s="10">
        <v>17140874000</v>
      </c>
      <c r="S63" s="10">
        <v>15306803000</v>
      </c>
      <c r="T63" s="10">
        <v>13938747000</v>
      </c>
      <c r="U63" s="10">
        <v>13045630000</v>
      </c>
      <c r="V63" s="10">
        <v>13884170000</v>
      </c>
      <c r="W63" s="10">
        <v>15231973000</v>
      </c>
      <c r="X63" s="10">
        <v>16980041000</v>
      </c>
      <c r="Y63" s="10">
        <v>18085191000</v>
      </c>
      <c r="Z63" s="10">
        <v>18929248000</v>
      </c>
      <c r="AA63" s="10">
        <v>22697319000</v>
      </c>
      <c r="AB63" s="10">
        <v>24420668000</v>
      </c>
      <c r="AC63" s="10">
        <v>25213780000</v>
      </c>
      <c r="AD63" s="10">
        <v>28147972000</v>
      </c>
      <c r="AE63" s="10">
        <v>27967906000</v>
      </c>
      <c r="AF63" s="10">
        <v>19635450000</v>
      </c>
      <c r="AG63" s="10">
        <v>18318601000</v>
      </c>
      <c r="AH63" s="10">
        <v>24468324000</v>
      </c>
      <c r="AI63" s="10">
        <v>28548945000</v>
      </c>
      <c r="AJ63" s="10">
        <v>32432859000</v>
      </c>
      <c r="AK63" s="10">
        <v>36591661000</v>
      </c>
      <c r="AL63" s="10">
        <v>41507085000</v>
      </c>
      <c r="AM63" s="10">
        <v>46802100000</v>
      </c>
      <c r="AN63" s="10">
        <v>51007777000</v>
      </c>
      <c r="AO63" s="10">
        <v>61762635000</v>
      </c>
      <c r="AP63" s="10">
        <v>62519686000</v>
      </c>
      <c r="AQ63" s="10">
        <v>69555367000</v>
      </c>
      <c r="AR63" s="10">
        <v>79276664000</v>
      </c>
      <c r="AS63" s="10">
        <v>87924544000</v>
      </c>
      <c r="AT63" s="10">
        <v>95129659000</v>
      </c>
      <c r="AU63" s="10">
        <v>102000000000</v>
      </c>
      <c r="AV63" s="10">
        <v>99290381000</v>
      </c>
      <c r="AW63" s="10">
        <v>98613972000</v>
      </c>
      <c r="AX63" s="10">
        <v>104000000000</v>
      </c>
    </row>
    <row r="64" spans="2:50" x14ac:dyDescent="0.45">
      <c r="B64" t="s">
        <v>214</v>
      </c>
      <c r="C64" s="10">
        <v>929895894</v>
      </c>
      <c r="D64" s="10">
        <v>978000194</v>
      </c>
      <c r="E64" s="10">
        <v>1042374623</v>
      </c>
      <c r="F64" s="10">
        <v>1205137269</v>
      </c>
      <c r="G64" s="10">
        <v>1426492589</v>
      </c>
      <c r="H64" s="10">
        <v>1619631977</v>
      </c>
      <c r="I64" s="10">
        <v>2063782953</v>
      </c>
      <c r="J64" s="10">
        <v>2592206874</v>
      </c>
      <c r="K64" s="10">
        <v>2782092267</v>
      </c>
      <c r="L64" s="10">
        <v>3113035380</v>
      </c>
      <c r="M64" s="10">
        <v>3225158183</v>
      </c>
      <c r="N64" s="10">
        <v>3127502838</v>
      </c>
      <c r="O64" s="10">
        <v>3242880820</v>
      </c>
      <c r="P64" s="10">
        <v>3671840964</v>
      </c>
      <c r="Q64" s="10">
        <v>4216179089</v>
      </c>
      <c r="R64" s="10">
        <v>5183328689</v>
      </c>
      <c r="S64" s="10">
        <v>3682908376</v>
      </c>
      <c r="T64" s="10">
        <v>4184893210</v>
      </c>
      <c r="U64" s="10">
        <v>4948955862</v>
      </c>
      <c r="V64" s="10">
        <v>5828577337</v>
      </c>
      <c r="W64" s="10">
        <v>4817542204</v>
      </c>
      <c r="X64" s="10">
        <v>5252342352</v>
      </c>
      <c r="Y64" s="10">
        <v>5813399327</v>
      </c>
      <c r="Z64" s="10">
        <v>6680269152</v>
      </c>
      <c r="AA64" s="10">
        <v>7679384019</v>
      </c>
      <c r="AB64" s="10">
        <v>8921947111</v>
      </c>
      <c r="AC64" s="10">
        <v>9586327762</v>
      </c>
      <c r="AD64" s="10">
        <v>10221705880</v>
      </c>
      <c r="AE64" s="10">
        <v>10936669911</v>
      </c>
      <c r="AF64" s="10">
        <v>11284196954</v>
      </c>
      <c r="AG64" s="10">
        <v>11784927669</v>
      </c>
      <c r="AH64" s="10">
        <v>12282533600</v>
      </c>
      <c r="AI64" s="10">
        <v>12664190271</v>
      </c>
      <c r="AJ64" s="10">
        <v>13243892169</v>
      </c>
      <c r="AK64" s="10">
        <v>13724810917</v>
      </c>
      <c r="AL64" s="10">
        <v>14698001420</v>
      </c>
      <c r="AM64" s="10">
        <v>15999886383</v>
      </c>
      <c r="AN64" s="10">
        <v>17011750854</v>
      </c>
      <c r="AO64" s="10">
        <v>17986886243</v>
      </c>
      <c r="AP64" s="10">
        <v>17601616010</v>
      </c>
      <c r="AQ64" s="10">
        <v>18447922436</v>
      </c>
      <c r="AR64" s="10">
        <v>20283783661</v>
      </c>
      <c r="AS64" s="10">
        <v>21386153018</v>
      </c>
      <c r="AT64" s="10">
        <v>21977401892</v>
      </c>
      <c r="AU64" s="10">
        <v>22585841156</v>
      </c>
      <c r="AV64" s="10">
        <v>23166030449</v>
      </c>
      <c r="AW64" s="10">
        <v>23912227511</v>
      </c>
      <c r="AX64" s="10">
        <v>24805439641</v>
      </c>
    </row>
    <row r="65" spans="2:50" x14ac:dyDescent="0.45">
      <c r="B65" t="s">
        <v>126</v>
      </c>
      <c r="C65" s="10">
        <v>220806169.80000001</v>
      </c>
      <c r="D65" s="10">
        <v>247216485.69999999</v>
      </c>
      <c r="E65" s="10">
        <v>316763557.39999998</v>
      </c>
      <c r="F65" s="10">
        <v>426205590</v>
      </c>
      <c r="G65" s="10">
        <v>559417881.70000005</v>
      </c>
      <c r="H65" s="10">
        <v>684812432</v>
      </c>
      <c r="I65" s="10">
        <v>696131465.39999998</v>
      </c>
      <c r="J65" s="10">
        <v>720462629.20000005</v>
      </c>
      <c r="K65" s="10">
        <v>830264781.60000002</v>
      </c>
      <c r="L65" s="10">
        <v>1020967857</v>
      </c>
      <c r="M65" s="10">
        <v>1204774889</v>
      </c>
      <c r="N65" s="10">
        <v>1237464853</v>
      </c>
      <c r="O65" s="10">
        <v>1195406421</v>
      </c>
      <c r="P65" s="10">
        <v>1124557898</v>
      </c>
      <c r="Q65" s="10">
        <v>1179475301</v>
      </c>
      <c r="R65" s="10">
        <v>1142518521</v>
      </c>
      <c r="S65" s="10">
        <v>1292451472</v>
      </c>
      <c r="T65" s="10">
        <v>1179538325</v>
      </c>
      <c r="U65" s="10">
        <v>1111940024</v>
      </c>
      <c r="V65" s="10">
        <v>1256472444</v>
      </c>
      <c r="W65" s="10">
        <v>1339005513</v>
      </c>
      <c r="X65" s="10">
        <v>1385941667</v>
      </c>
      <c r="Y65" s="10">
        <v>1535223094</v>
      </c>
      <c r="Z65" s="10">
        <v>1639508615</v>
      </c>
      <c r="AA65" s="10">
        <v>1828378704</v>
      </c>
      <c r="AB65" s="10">
        <v>1993241770</v>
      </c>
      <c r="AC65" s="10">
        <v>2114119747</v>
      </c>
      <c r="AD65" s="10">
        <v>2123366969</v>
      </c>
      <c r="AE65" s="10">
        <v>1680189932</v>
      </c>
      <c r="AF65" s="10">
        <v>1969265341</v>
      </c>
      <c r="AG65" s="10">
        <v>1707836721</v>
      </c>
      <c r="AH65" s="10">
        <v>1682326324</v>
      </c>
      <c r="AI65" s="10">
        <v>1866992471</v>
      </c>
      <c r="AJ65" s="10">
        <v>2344666706</v>
      </c>
      <c r="AK65" s="10">
        <v>2761342587</v>
      </c>
      <c r="AL65" s="10">
        <v>2980421503</v>
      </c>
      <c r="AM65" s="10">
        <v>3076090177</v>
      </c>
      <c r="AN65" s="10">
        <v>3378081966</v>
      </c>
      <c r="AO65" s="10">
        <v>3522952307</v>
      </c>
      <c r="AP65" s="10">
        <v>2870396576</v>
      </c>
      <c r="AQ65" s="10">
        <v>3140336425</v>
      </c>
      <c r="AR65" s="10">
        <v>3774542676</v>
      </c>
      <c r="AS65" s="10">
        <v>3972026034</v>
      </c>
      <c r="AT65" s="10">
        <v>4190170568</v>
      </c>
      <c r="AU65" s="10">
        <v>4483742837</v>
      </c>
      <c r="AV65" s="10">
        <v>4362215328</v>
      </c>
      <c r="AW65" s="10">
        <v>4574512842</v>
      </c>
      <c r="AX65" s="10">
        <v>4873682447</v>
      </c>
    </row>
    <row r="66" spans="2:50" x14ac:dyDescent="0.45">
      <c r="B66" t="s">
        <v>127</v>
      </c>
      <c r="C66" s="10">
        <v>409868980.60000002</v>
      </c>
      <c r="D66" s="10">
        <v>483139269.80000001</v>
      </c>
      <c r="E66" s="10">
        <v>544937222.79999995</v>
      </c>
      <c r="F66" s="10">
        <v>915055999.20000005</v>
      </c>
      <c r="G66" s="10">
        <v>1955448642</v>
      </c>
      <c r="H66" s="10">
        <v>2732530875</v>
      </c>
      <c r="I66" s="10">
        <v>3810952922</v>
      </c>
      <c r="J66" s="10">
        <v>3557496794</v>
      </c>
      <c r="K66" s="10">
        <v>3025973772</v>
      </c>
      <c r="L66" s="10">
        <v>3837387705</v>
      </c>
      <c r="M66" s="10">
        <v>5421358871</v>
      </c>
      <c r="N66" s="10">
        <v>4891487764</v>
      </c>
      <c r="O66" s="10">
        <v>4581699102</v>
      </c>
      <c r="P66" s="10">
        <v>4295571666</v>
      </c>
      <c r="Q66" s="10">
        <v>4509498882</v>
      </c>
      <c r="R66" s="10">
        <v>4639097509</v>
      </c>
      <c r="S66" s="10">
        <v>4392141586</v>
      </c>
      <c r="T66" s="10">
        <v>4300463929</v>
      </c>
      <c r="U66" s="10">
        <v>4309517557</v>
      </c>
      <c r="V66" s="10">
        <v>4636843739</v>
      </c>
      <c r="W66" s="10">
        <v>6039491585</v>
      </c>
      <c r="X66" s="10">
        <v>6013426381</v>
      </c>
      <c r="Y66" s="10">
        <v>6224479113</v>
      </c>
      <c r="Z66" s="10">
        <v>6016949369</v>
      </c>
      <c r="AA66" s="10">
        <v>4664441901</v>
      </c>
      <c r="AB66" s="10">
        <v>5519177404</v>
      </c>
      <c r="AC66" s="10">
        <v>6337446077</v>
      </c>
      <c r="AD66" s="10">
        <v>5951611064</v>
      </c>
      <c r="AE66" s="10">
        <v>5014553027</v>
      </c>
      <c r="AF66" s="10">
        <v>5162416157</v>
      </c>
      <c r="AG66" s="10">
        <v>5676783493</v>
      </c>
      <c r="AH66" s="10">
        <v>5181614350</v>
      </c>
      <c r="AI66" s="10">
        <v>5403313830</v>
      </c>
      <c r="AJ66" s="10">
        <v>6557291710</v>
      </c>
      <c r="AK66" s="10">
        <v>7844136206</v>
      </c>
      <c r="AL66" s="10">
        <v>9578972813</v>
      </c>
      <c r="AM66" s="10">
        <v>10318424275</v>
      </c>
      <c r="AN66" s="10">
        <v>12438957208</v>
      </c>
      <c r="AO66" s="10">
        <v>15508576359</v>
      </c>
      <c r="AP66" s="10">
        <v>12065153334</v>
      </c>
      <c r="AQ66" s="10">
        <v>14358631009</v>
      </c>
      <c r="AR66" s="10">
        <v>18186514657</v>
      </c>
      <c r="AS66" s="10">
        <v>17171467261</v>
      </c>
      <c r="AT66" s="10">
        <v>17590679583</v>
      </c>
      <c r="AU66" s="10">
        <v>18179668612</v>
      </c>
      <c r="AV66" s="10">
        <v>14372290379</v>
      </c>
      <c r="AW66" s="10">
        <v>13992263707</v>
      </c>
      <c r="AX66" s="10">
        <v>14623376845</v>
      </c>
    </row>
    <row r="67" spans="2:50" x14ac:dyDescent="0.45">
      <c r="B67" t="s">
        <v>215</v>
      </c>
      <c r="C67" s="10">
        <v>145732435.5</v>
      </c>
      <c r="D67" s="10">
        <v>152828828.90000001</v>
      </c>
      <c r="E67" s="10">
        <v>198968263.90000001</v>
      </c>
      <c r="F67" s="10">
        <v>339050605.39999998</v>
      </c>
      <c r="G67" s="10">
        <v>443857272.60000002</v>
      </c>
      <c r="H67" s="10">
        <v>532192710.89999998</v>
      </c>
      <c r="I67" s="10">
        <v>489301242.30000001</v>
      </c>
      <c r="J67" s="10">
        <v>516900498.30000001</v>
      </c>
      <c r="K67" s="10">
        <v>614481840.20000005</v>
      </c>
      <c r="L67" s="10">
        <v>673700387.5</v>
      </c>
      <c r="M67" s="10">
        <v>762301334.20000005</v>
      </c>
      <c r="N67" s="10">
        <v>807472084.79999995</v>
      </c>
      <c r="O67" s="10">
        <v>810555556.79999995</v>
      </c>
      <c r="P67" s="10">
        <v>801356126.79999995</v>
      </c>
      <c r="Q67" s="10">
        <v>784386445.10000002</v>
      </c>
      <c r="R67" s="10">
        <v>989714007.60000002</v>
      </c>
      <c r="S67" s="10">
        <v>672397115.5</v>
      </c>
      <c r="T67" s="10">
        <v>751987039.39999998</v>
      </c>
      <c r="U67" s="10">
        <v>943187585.5</v>
      </c>
      <c r="V67" s="10">
        <v>980481542.39999998</v>
      </c>
      <c r="W67" s="10">
        <v>1070350122</v>
      </c>
      <c r="X67" s="10">
        <v>1044138506</v>
      </c>
      <c r="Y67" s="10">
        <v>1080354034</v>
      </c>
      <c r="Z67" s="10">
        <v>1142046420</v>
      </c>
      <c r="AA67" s="10">
        <v>1129118582</v>
      </c>
      <c r="AB67" s="10">
        <v>1188873750</v>
      </c>
      <c r="AC67" s="10">
        <v>1283014896</v>
      </c>
      <c r="AD67" s="10">
        <v>1215545492</v>
      </c>
      <c r="AE67" s="10">
        <v>1270983777</v>
      </c>
      <c r="AF67" s="10">
        <v>1232320857</v>
      </c>
      <c r="AG67" s="10">
        <v>1184205958</v>
      </c>
      <c r="AH67" s="10">
        <v>1039749499</v>
      </c>
      <c r="AI67" s="10">
        <v>874617682.39999998</v>
      </c>
      <c r="AJ67" s="10">
        <v>736678382.70000005</v>
      </c>
      <c r="AK67" s="10">
        <v>875450266.5</v>
      </c>
      <c r="AL67" s="10">
        <v>944099778.5</v>
      </c>
      <c r="AM67" s="10">
        <v>990833372.60000002</v>
      </c>
      <c r="AN67" s="10">
        <v>1208338191</v>
      </c>
      <c r="AO67" s="10">
        <v>1460786844</v>
      </c>
      <c r="AP67" s="10">
        <v>1362275343</v>
      </c>
      <c r="AQ67" s="10">
        <v>1440610585</v>
      </c>
      <c r="AR67" s="10">
        <v>1367745734</v>
      </c>
      <c r="AS67" s="10">
        <v>1380317514</v>
      </c>
      <c r="AT67" s="10">
        <v>1367042085</v>
      </c>
      <c r="AU67" s="10">
        <v>1259064787</v>
      </c>
      <c r="AV67" s="10">
        <v>1394149350</v>
      </c>
      <c r="AW67" s="10">
        <v>1442297438</v>
      </c>
      <c r="AX67" s="10">
        <v>1489463921</v>
      </c>
    </row>
    <row r="68" spans="2:50" x14ac:dyDescent="0.45">
      <c r="B68" t="s">
        <v>128</v>
      </c>
      <c r="C68" s="10">
        <v>4697713819</v>
      </c>
      <c r="D68" s="10">
        <v>5128224574</v>
      </c>
      <c r="E68" s="10">
        <v>4481258332</v>
      </c>
      <c r="F68" s="10">
        <v>4190913412</v>
      </c>
      <c r="G68" s="10">
        <v>4880435128</v>
      </c>
      <c r="H68" s="10">
        <v>4669578348</v>
      </c>
      <c r="I68" s="10">
        <v>4752045855</v>
      </c>
      <c r="J68" s="10">
        <v>5161648030</v>
      </c>
      <c r="K68" s="10">
        <v>5992248878</v>
      </c>
      <c r="L68" s="10">
        <v>6323764257</v>
      </c>
      <c r="M68" s="10">
        <v>6925945236</v>
      </c>
      <c r="N68" s="10">
        <v>7307810322</v>
      </c>
      <c r="O68" s="10">
        <v>7224078403</v>
      </c>
      <c r="P68" s="10">
        <v>7166352054</v>
      </c>
      <c r="Q68" s="10">
        <v>8062439327</v>
      </c>
      <c r="R68" s="10">
        <v>8742953122</v>
      </c>
      <c r="S68" s="10">
        <v>9384226042</v>
      </c>
      <c r="T68" s="10">
        <v>10085199822</v>
      </c>
      <c r="U68" s="10">
        <v>11025768732</v>
      </c>
      <c r="V68" s="10">
        <v>11139999506</v>
      </c>
      <c r="W68" s="10">
        <v>13213508687</v>
      </c>
      <c r="X68" s="10">
        <v>14856385576</v>
      </c>
      <c r="Y68" s="10">
        <v>14609775909</v>
      </c>
      <c r="Z68" s="10">
        <v>12662627054</v>
      </c>
      <c r="AA68" s="10">
        <v>11553353889</v>
      </c>
      <c r="AB68" s="10">
        <v>13713930861</v>
      </c>
      <c r="AC68" s="10">
        <v>14707009058</v>
      </c>
      <c r="AD68" s="10">
        <v>14618192883</v>
      </c>
      <c r="AE68" s="10">
        <v>15871065351</v>
      </c>
      <c r="AF68" s="10">
        <v>16371917634</v>
      </c>
      <c r="AG68" s="10">
        <v>10569787947</v>
      </c>
      <c r="AH68" s="10">
        <v>11274085578</v>
      </c>
      <c r="AI68" s="10">
        <v>13079946041</v>
      </c>
      <c r="AJ68" s="10">
        <v>16190785266</v>
      </c>
      <c r="AK68" s="10">
        <v>18839567115</v>
      </c>
      <c r="AL68" s="10">
        <v>22764833503</v>
      </c>
      <c r="AM68" s="10">
        <v>27016173359</v>
      </c>
      <c r="AN68" s="10">
        <v>32770285942</v>
      </c>
      <c r="AO68" s="10">
        <v>37761130945</v>
      </c>
      <c r="AP68" s="10">
        <v>34385605708</v>
      </c>
      <c r="AQ68" s="10">
        <v>42587418803</v>
      </c>
      <c r="AR68" s="10">
        <v>52369940336</v>
      </c>
      <c r="AS68" s="10">
        <v>55512769978</v>
      </c>
      <c r="AT68" s="10">
        <v>63278836051</v>
      </c>
      <c r="AU68" s="10">
        <v>53601588780</v>
      </c>
      <c r="AV68" s="10">
        <v>49181519589</v>
      </c>
      <c r="AW68" s="10">
        <v>55009730590</v>
      </c>
      <c r="AX68" s="10">
        <v>58996324228</v>
      </c>
    </row>
    <row r="69" spans="2:50" x14ac:dyDescent="0.45">
      <c r="B69" t="s">
        <v>129</v>
      </c>
      <c r="C69" s="10">
        <v>1697371547</v>
      </c>
      <c r="D69" s="10">
        <v>1769402863</v>
      </c>
      <c r="E69" s="10">
        <v>1873527334</v>
      </c>
      <c r="F69" s="10">
        <v>2290470964</v>
      </c>
      <c r="G69" s="10">
        <v>2818403439</v>
      </c>
      <c r="H69" s="10">
        <v>3250323879</v>
      </c>
      <c r="I69" s="10">
        <v>3891563037</v>
      </c>
      <c r="J69" s="10">
        <v>4885737801</v>
      </c>
      <c r="K69" s="10">
        <v>5411709026</v>
      </c>
      <c r="L69" s="10">
        <v>6153863341</v>
      </c>
      <c r="M69" s="10">
        <v>7024301145</v>
      </c>
      <c r="N69" s="10">
        <v>7673563593</v>
      </c>
      <c r="O69" s="10">
        <v>7771269434</v>
      </c>
      <c r="P69" s="10">
        <v>8067774569</v>
      </c>
      <c r="Q69" s="10">
        <v>8442551349</v>
      </c>
      <c r="R69" s="10">
        <v>9966708979</v>
      </c>
      <c r="S69" s="10">
        <v>7530291400</v>
      </c>
      <c r="T69" s="10">
        <v>6315577200</v>
      </c>
      <c r="U69" s="10">
        <v>6991683926</v>
      </c>
      <c r="V69" s="10">
        <v>7497685494</v>
      </c>
      <c r="W69" s="10">
        <v>6819965070</v>
      </c>
      <c r="X69" s="10">
        <v>8385345460</v>
      </c>
      <c r="Y69" s="10">
        <v>9307709833</v>
      </c>
      <c r="Z69" s="10">
        <v>10162876159</v>
      </c>
      <c r="AA69" s="10">
        <v>11574236628</v>
      </c>
      <c r="AB69" s="10">
        <v>13065576999</v>
      </c>
      <c r="AC69" s="10">
        <v>14070108845</v>
      </c>
      <c r="AD69" s="10">
        <v>15855175053</v>
      </c>
      <c r="AE69" s="10">
        <v>17289952490</v>
      </c>
      <c r="AF69" s="10">
        <v>16329755015</v>
      </c>
      <c r="AG69" s="10">
        <v>17195626878</v>
      </c>
      <c r="AH69" s="10">
        <v>18702820499</v>
      </c>
      <c r="AI69" s="10">
        <v>20776549868</v>
      </c>
      <c r="AJ69" s="10">
        <v>21917577896</v>
      </c>
      <c r="AK69" s="10">
        <v>23965287844</v>
      </c>
      <c r="AL69" s="10">
        <v>27211219452</v>
      </c>
      <c r="AM69" s="10">
        <v>30231127229</v>
      </c>
      <c r="AN69" s="10">
        <v>34113089266</v>
      </c>
      <c r="AO69" s="10">
        <v>39136289833</v>
      </c>
      <c r="AP69" s="10">
        <v>37733815955</v>
      </c>
      <c r="AQ69" s="10">
        <v>41338158765</v>
      </c>
      <c r="AR69" s="10">
        <v>47654671093</v>
      </c>
      <c r="AS69" s="10">
        <v>50388426402</v>
      </c>
      <c r="AT69" s="10">
        <v>53851058898</v>
      </c>
      <c r="AU69" s="10">
        <v>58722070381</v>
      </c>
      <c r="AV69" s="10">
        <v>63767471846</v>
      </c>
      <c r="AW69" s="10">
        <v>68663314482</v>
      </c>
      <c r="AX69" s="10">
        <v>75619622221</v>
      </c>
    </row>
    <row r="70" spans="2:50" x14ac:dyDescent="0.45">
      <c r="B70" t="s">
        <v>216</v>
      </c>
      <c r="C70" s="10">
        <v>280871185.5</v>
      </c>
      <c r="D70" s="10">
        <v>278540808.30000001</v>
      </c>
      <c r="E70" s="10">
        <v>326060307.19999999</v>
      </c>
      <c r="F70" s="10">
        <v>401773489.39999998</v>
      </c>
      <c r="G70" s="10">
        <v>441499787.89999998</v>
      </c>
      <c r="H70" s="10">
        <v>507735070.69999999</v>
      </c>
      <c r="I70" s="10">
        <v>457054842.10000002</v>
      </c>
      <c r="J70" s="10">
        <v>392906512.10000002</v>
      </c>
      <c r="K70" s="10">
        <v>453825439.5</v>
      </c>
      <c r="L70" s="10">
        <v>496601157.39999998</v>
      </c>
      <c r="M70" s="10">
        <v>468922294.60000002</v>
      </c>
      <c r="N70" s="10">
        <v>510877169</v>
      </c>
      <c r="O70" s="10">
        <v>418405144.89999998</v>
      </c>
      <c r="P70" s="10">
        <v>420131360.89999998</v>
      </c>
      <c r="Q70" s="10">
        <v>458971673.89999998</v>
      </c>
      <c r="R70" s="10">
        <v>415300300.69999999</v>
      </c>
      <c r="S70" s="10">
        <v>461103493.80000001</v>
      </c>
      <c r="T70" s="10">
        <v>499550080.80000001</v>
      </c>
      <c r="U70" s="10">
        <v>472600015</v>
      </c>
      <c r="V70" s="10">
        <v>569653515.10000002</v>
      </c>
      <c r="W70" s="10">
        <v>610221088.39999998</v>
      </c>
      <c r="X70" s="10">
        <v>649434603.39999998</v>
      </c>
      <c r="Y70" s="10">
        <v>684805155.20000005</v>
      </c>
      <c r="Z70" s="10">
        <v>717059260.89999998</v>
      </c>
      <c r="AA70" s="10">
        <v>754020952.60000002</v>
      </c>
      <c r="AB70" s="10">
        <v>799797168</v>
      </c>
      <c r="AC70" s="10">
        <v>535821702.19999999</v>
      </c>
      <c r="AD70" s="10">
        <v>412430332.39999998</v>
      </c>
      <c r="AE70" s="10">
        <v>375693842.30000001</v>
      </c>
      <c r="AF70" s="10">
        <v>405863817.30000001</v>
      </c>
      <c r="AG70" s="10">
        <v>362680624.69999999</v>
      </c>
      <c r="AH70" s="10">
        <v>380098722.39999998</v>
      </c>
      <c r="AI70" s="10">
        <v>408256132.10000002</v>
      </c>
      <c r="AJ70" s="10">
        <v>476389969.89999998</v>
      </c>
      <c r="AK70" s="10">
        <v>531109346.80000001</v>
      </c>
      <c r="AL70" s="10">
        <v>586795627.79999995</v>
      </c>
      <c r="AM70" s="10">
        <v>591839459.79999995</v>
      </c>
      <c r="AN70" s="10">
        <v>695990233.70000005</v>
      </c>
      <c r="AO70" s="10">
        <v>864654881.10000002</v>
      </c>
      <c r="AP70" s="10">
        <v>826797828.79999995</v>
      </c>
      <c r="AQ70" s="10">
        <v>849050090.5</v>
      </c>
      <c r="AR70" s="10">
        <v>1098378430</v>
      </c>
      <c r="AS70" s="10">
        <v>989326865.39999998</v>
      </c>
      <c r="AT70" s="10">
        <v>1045790295</v>
      </c>
      <c r="AU70" s="10">
        <v>1053512571</v>
      </c>
      <c r="AV70" s="10">
        <v>1047436699</v>
      </c>
      <c r="AW70" s="10">
        <v>1178065653</v>
      </c>
      <c r="AX70" s="10">
        <v>1346887577</v>
      </c>
    </row>
    <row r="71" spans="2:50" x14ac:dyDescent="0.45">
      <c r="B71" t="s">
        <v>130</v>
      </c>
      <c r="C71" s="10">
        <v>427060635.80000001</v>
      </c>
      <c r="D71" s="10">
        <v>452349877.89999998</v>
      </c>
      <c r="E71" s="10">
        <v>457871908.89999998</v>
      </c>
      <c r="F71" s="10">
        <v>488212950.39999998</v>
      </c>
      <c r="G71" s="10">
        <v>683753218.60000002</v>
      </c>
      <c r="H71" s="10">
        <v>804261173.10000002</v>
      </c>
      <c r="I71" s="10">
        <v>710548250.10000002</v>
      </c>
      <c r="J71" s="10">
        <v>703356466.20000005</v>
      </c>
      <c r="K71" s="10">
        <v>792722198.70000005</v>
      </c>
      <c r="L71" s="10">
        <v>829243953.29999995</v>
      </c>
      <c r="M71" s="10">
        <v>943061751</v>
      </c>
      <c r="N71" s="10">
        <v>905506046.89999998</v>
      </c>
      <c r="O71" s="10">
        <v>768645356.60000002</v>
      </c>
      <c r="P71" s="10">
        <v>773429456.60000002</v>
      </c>
      <c r="Q71" s="10">
        <v>707539903.20000005</v>
      </c>
      <c r="R71" s="10">
        <v>736617458.29999995</v>
      </c>
      <c r="S71" s="10">
        <v>828625594.39999998</v>
      </c>
      <c r="T71" s="10">
        <v>548739140.39999998</v>
      </c>
      <c r="U71" s="10">
        <v>659727352.60000002</v>
      </c>
      <c r="V71" s="10">
        <v>606554059.60000002</v>
      </c>
      <c r="W71" s="10">
        <v>631896477.70000005</v>
      </c>
      <c r="X71" s="10">
        <v>555752671.29999995</v>
      </c>
      <c r="Y71" s="10">
        <v>596201720.60000002</v>
      </c>
      <c r="Z71" s="10">
        <v>743980974.29999995</v>
      </c>
      <c r="AA71" s="10">
        <v>869616748.60000002</v>
      </c>
      <c r="AB71" s="10">
        <v>991383772.70000005</v>
      </c>
      <c r="AC71" s="10">
        <v>1125099837</v>
      </c>
      <c r="AD71" s="10">
        <v>1194651695</v>
      </c>
      <c r="AE71" s="10">
        <v>1144244839</v>
      </c>
      <c r="AF71" s="10">
        <v>1107944405</v>
      </c>
      <c r="AG71" s="10">
        <v>1136500134</v>
      </c>
      <c r="AH71" s="10">
        <v>1135686556</v>
      </c>
      <c r="AI71" s="10">
        <v>1157959507</v>
      </c>
      <c r="AJ71" s="10">
        <v>1184963994</v>
      </c>
      <c r="AK71" s="10">
        <v>1256329196</v>
      </c>
      <c r="AL71" s="10">
        <v>1315438530</v>
      </c>
      <c r="AM71" s="10">
        <v>1458448034</v>
      </c>
      <c r="AN71" s="10">
        <v>1740337026</v>
      </c>
      <c r="AO71" s="10">
        <v>1922599414</v>
      </c>
      <c r="AP71" s="10">
        <v>2025556778</v>
      </c>
      <c r="AQ71" s="10">
        <v>2259290304</v>
      </c>
      <c r="AR71" s="10">
        <v>2576598456</v>
      </c>
      <c r="AS71" s="10">
        <v>2851153611</v>
      </c>
      <c r="AT71" s="10">
        <v>2990007019</v>
      </c>
      <c r="AU71" s="10">
        <v>3077086773</v>
      </c>
      <c r="AV71" s="10">
        <v>3166029056</v>
      </c>
      <c r="AW71" s="10">
        <v>3504024213</v>
      </c>
      <c r="AX71" s="10">
        <v>3543200969</v>
      </c>
    </row>
    <row r="72" spans="2:50" x14ac:dyDescent="0.45">
      <c r="B72" t="s">
        <v>131</v>
      </c>
      <c r="C72" s="10">
        <v>439235188</v>
      </c>
      <c r="D72" s="10">
        <v>481142893.5</v>
      </c>
      <c r="E72" s="10">
        <v>493342053.10000002</v>
      </c>
      <c r="F72" s="10">
        <v>619066986</v>
      </c>
      <c r="G72" s="10">
        <v>749829014.29999995</v>
      </c>
      <c r="H72" s="10">
        <v>903668047.60000002</v>
      </c>
      <c r="I72" s="10">
        <v>1165723824</v>
      </c>
      <c r="J72" s="10">
        <v>1255904962</v>
      </c>
      <c r="K72" s="10">
        <v>1291977417</v>
      </c>
      <c r="L72" s="10">
        <v>1433084374</v>
      </c>
      <c r="M72" s="10">
        <v>1835186153</v>
      </c>
      <c r="N72" s="10">
        <v>1878154812</v>
      </c>
      <c r="O72" s="10">
        <v>1955074018</v>
      </c>
      <c r="P72" s="10">
        <v>2153207282</v>
      </c>
      <c r="Q72" s="10">
        <v>2408632093</v>
      </c>
      <c r="R72" s="10">
        <v>2664852619</v>
      </c>
      <c r="S72" s="10">
        <v>2967489907</v>
      </c>
      <c r="T72" s="10">
        <v>2597747243</v>
      </c>
      <c r="U72" s="10">
        <v>2613926800</v>
      </c>
      <c r="V72" s="10">
        <v>2736243800</v>
      </c>
      <c r="W72" s="10">
        <v>3096289800</v>
      </c>
      <c r="X72" s="10">
        <v>2995762961</v>
      </c>
      <c r="Y72" s="10">
        <v>2111495494</v>
      </c>
      <c r="Z72" s="10">
        <v>1806358432</v>
      </c>
      <c r="AA72" s="10">
        <v>2124936835</v>
      </c>
      <c r="AB72" s="10">
        <v>2695540557</v>
      </c>
      <c r="AC72" s="10">
        <v>2970915379</v>
      </c>
      <c r="AD72" s="10">
        <v>3242691825</v>
      </c>
      <c r="AE72" s="10">
        <v>3757489592</v>
      </c>
      <c r="AF72" s="10">
        <v>4088691460</v>
      </c>
      <c r="AG72" s="10">
        <v>3664504346</v>
      </c>
      <c r="AH72" s="10">
        <v>3508113621</v>
      </c>
      <c r="AI72" s="10">
        <v>3214579360</v>
      </c>
      <c r="AJ72" s="10">
        <v>2826697267</v>
      </c>
      <c r="AK72" s="10">
        <v>3660483886</v>
      </c>
      <c r="AL72" s="10">
        <v>4154289832</v>
      </c>
      <c r="AM72" s="10">
        <v>4878625009</v>
      </c>
      <c r="AN72" s="10">
        <v>5973997201</v>
      </c>
      <c r="AO72" s="10">
        <v>6416375678</v>
      </c>
      <c r="AP72" s="10">
        <v>6502319208</v>
      </c>
      <c r="AQ72" s="10">
        <v>6707774880</v>
      </c>
      <c r="AR72" s="10">
        <v>7473665098</v>
      </c>
      <c r="AS72" s="10">
        <v>7820337702</v>
      </c>
      <c r="AT72" s="10">
        <v>8386876588</v>
      </c>
      <c r="AU72" s="10">
        <v>8661428819</v>
      </c>
      <c r="AV72" s="10">
        <v>8354838386</v>
      </c>
      <c r="AW72" s="10">
        <v>7597786093</v>
      </c>
      <c r="AX72" s="10">
        <v>8521132072</v>
      </c>
    </row>
    <row r="73" spans="2:50" x14ac:dyDescent="0.45">
      <c r="B73" t="s">
        <v>132</v>
      </c>
      <c r="C73" s="10">
        <v>824353573.60000002</v>
      </c>
      <c r="D73" s="10">
        <v>872073028.5</v>
      </c>
      <c r="E73" s="10">
        <v>957963634.39999998</v>
      </c>
      <c r="F73" s="10">
        <v>1088600052</v>
      </c>
      <c r="G73" s="10">
        <v>1234144388</v>
      </c>
      <c r="H73" s="10">
        <v>1340916668</v>
      </c>
      <c r="I73" s="10">
        <v>1608145612</v>
      </c>
      <c r="J73" s="10">
        <v>1991690727</v>
      </c>
      <c r="K73" s="10">
        <v>2301867180</v>
      </c>
      <c r="L73" s="10">
        <v>2686008788</v>
      </c>
      <c r="M73" s="10">
        <v>3061202998</v>
      </c>
      <c r="N73" s="10">
        <v>3363625040</v>
      </c>
      <c r="O73" s="10">
        <v>3463835894</v>
      </c>
      <c r="P73" s="10">
        <v>3670819027</v>
      </c>
      <c r="Q73" s="10">
        <v>3959521726</v>
      </c>
      <c r="R73" s="10">
        <v>4341873854</v>
      </c>
      <c r="S73" s="10">
        <v>4543488549</v>
      </c>
      <c r="T73" s="10">
        <v>4953875856</v>
      </c>
      <c r="U73" s="10">
        <v>5518158404</v>
      </c>
      <c r="V73" s="10">
        <v>6164160518</v>
      </c>
      <c r="W73" s="10">
        <v>3637288571</v>
      </c>
      <c r="X73" s="10">
        <v>3660635636</v>
      </c>
      <c r="Y73" s="10">
        <v>4079389505</v>
      </c>
      <c r="Z73" s="10">
        <v>4182541753</v>
      </c>
      <c r="AA73" s="10">
        <v>4094775274</v>
      </c>
      <c r="AB73" s="10">
        <v>4724464403</v>
      </c>
      <c r="AC73" s="10">
        <v>4867931219</v>
      </c>
      <c r="AD73" s="10">
        <v>5625875579</v>
      </c>
      <c r="AE73" s="10">
        <v>6278033544</v>
      </c>
      <c r="AF73" s="10">
        <v>6471074864</v>
      </c>
      <c r="AG73" s="10">
        <v>7187324757</v>
      </c>
      <c r="AH73" s="10">
        <v>7652728801</v>
      </c>
      <c r="AI73" s="10">
        <v>7860014778</v>
      </c>
      <c r="AJ73" s="10">
        <v>8233819456</v>
      </c>
      <c r="AK73" s="10">
        <v>8870978911</v>
      </c>
      <c r="AL73" s="10">
        <v>9757012869</v>
      </c>
      <c r="AM73" s="10">
        <v>10917476874</v>
      </c>
      <c r="AN73" s="10">
        <v>12361257681</v>
      </c>
      <c r="AO73" s="10">
        <v>13881731631</v>
      </c>
      <c r="AP73" s="10">
        <v>14587496229</v>
      </c>
      <c r="AQ73" s="10">
        <v>15839344592</v>
      </c>
      <c r="AR73" s="10">
        <v>17710275997</v>
      </c>
      <c r="AS73" s="10">
        <v>18528554861</v>
      </c>
      <c r="AT73" s="10">
        <v>18499729063</v>
      </c>
      <c r="AU73" s="10">
        <v>19756533658</v>
      </c>
      <c r="AV73" s="10">
        <v>20979791685</v>
      </c>
      <c r="AW73" s="10">
        <v>21643913243</v>
      </c>
      <c r="AX73" s="10">
        <v>22978547168</v>
      </c>
    </row>
    <row r="74" spans="2:50" x14ac:dyDescent="0.45">
      <c r="B74" t="s">
        <v>133</v>
      </c>
      <c r="C74" s="10">
        <v>60410764201</v>
      </c>
      <c r="D74" s="10">
        <v>64810805652</v>
      </c>
      <c r="E74" s="10">
        <v>70498413733</v>
      </c>
      <c r="F74" s="10">
        <v>84071609338</v>
      </c>
      <c r="G74" s="10">
        <v>94888086121</v>
      </c>
      <c r="H74" s="10">
        <v>98706130446</v>
      </c>
      <c r="I74" s="10">
        <v>99451870051</v>
      </c>
      <c r="J74" s="10">
        <v>115000000000</v>
      </c>
      <c r="K74" s="10">
        <v>133000000000</v>
      </c>
      <c r="L74" s="10">
        <v>148000000000</v>
      </c>
      <c r="M74" s="10">
        <v>182000000000</v>
      </c>
      <c r="N74" s="10">
        <v>194000000000</v>
      </c>
      <c r="O74" s="10">
        <v>198000000000</v>
      </c>
      <c r="P74" s="10">
        <v>216000000000</v>
      </c>
      <c r="Q74" s="10">
        <v>214000000000</v>
      </c>
      <c r="R74" s="10">
        <v>223000000000</v>
      </c>
      <c r="S74" s="10">
        <v>244000000000</v>
      </c>
      <c r="T74" s="10">
        <v>270000000000</v>
      </c>
      <c r="U74" s="10">
        <v>299000000000</v>
      </c>
      <c r="V74" s="10">
        <v>296000000000</v>
      </c>
      <c r="W74" s="10">
        <v>321000000000</v>
      </c>
      <c r="X74" s="10">
        <v>285000000000</v>
      </c>
      <c r="Y74" s="10">
        <v>286000000000</v>
      </c>
      <c r="Z74" s="10">
        <v>279000000000</v>
      </c>
      <c r="AA74" s="10">
        <v>320000000000</v>
      </c>
      <c r="AB74" s="10">
        <v>363000000000</v>
      </c>
      <c r="AC74" s="10">
        <v>382000000000</v>
      </c>
      <c r="AD74" s="10">
        <v>415000000000</v>
      </c>
      <c r="AE74" s="10">
        <v>418000000000</v>
      </c>
      <c r="AF74" s="10">
        <v>446000000000</v>
      </c>
      <c r="AG74" s="10">
        <v>460000000000</v>
      </c>
      <c r="AH74" s="10">
        <v>475000000000</v>
      </c>
      <c r="AI74" s="10">
        <v>496000000000</v>
      </c>
      <c r="AJ74" s="10">
        <v>581000000000</v>
      </c>
      <c r="AK74" s="10">
        <v>703000000000</v>
      </c>
      <c r="AL74" s="10">
        <v>824000000000</v>
      </c>
      <c r="AM74" s="10">
        <v>939000000000</v>
      </c>
      <c r="AN74" s="10">
        <v>1180000000000</v>
      </c>
      <c r="AO74" s="10">
        <v>1270000000000</v>
      </c>
      <c r="AP74" s="10">
        <v>1320000000000</v>
      </c>
      <c r="AQ74" s="10">
        <v>1670000000000</v>
      </c>
      <c r="AR74" s="10">
        <v>1870000000000</v>
      </c>
      <c r="AS74" s="10">
        <v>1860000000000</v>
      </c>
      <c r="AT74" s="10">
        <v>1920000000000</v>
      </c>
      <c r="AU74" s="10">
        <v>2040000000000</v>
      </c>
      <c r="AV74" s="10">
        <v>2150000000000</v>
      </c>
      <c r="AW74" s="10">
        <v>2270000000000</v>
      </c>
      <c r="AX74" s="10">
        <v>2580000000000</v>
      </c>
    </row>
    <row r="75" spans="2:50" x14ac:dyDescent="0.45">
      <c r="B75" t="s">
        <v>217</v>
      </c>
      <c r="C75" s="10">
        <v>2357247597</v>
      </c>
      <c r="D75" s="10">
        <v>2648969387</v>
      </c>
      <c r="E75" s="10">
        <v>2660624796</v>
      </c>
      <c r="F75" s="10">
        <v>3336421331</v>
      </c>
      <c r="G75" s="10">
        <v>3929148199</v>
      </c>
      <c r="H75" s="10">
        <v>4909935774</v>
      </c>
      <c r="I75" s="10">
        <v>6248679029</v>
      </c>
      <c r="J75" s="10">
        <v>6758719608</v>
      </c>
      <c r="K75" s="10">
        <v>8552165592</v>
      </c>
      <c r="L75" s="10">
        <v>11473570044</v>
      </c>
      <c r="M75" s="10">
        <v>12559723897</v>
      </c>
      <c r="N75" s="10">
        <v>11263363827</v>
      </c>
      <c r="O75" s="10">
        <v>11833412936</v>
      </c>
      <c r="P75" s="10">
        <v>11281074016</v>
      </c>
      <c r="Q75" s="10">
        <v>11702261221</v>
      </c>
      <c r="R75" s="10">
        <v>12074482033</v>
      </c>
      <c r="S75" s="10">
        <v>13320270120</v>
      </c>
      <c r="T75" s="10">
        <v>16307338182</v>
      </c>
      <c r="U75" s="10">
        <v>17393444985</v>
      </c>
      <c r="V75" s="10">
        <v>16466909135</v>
      </c>
      <c r="W75" s="10">
        <v>17079070171</v>
      </c>
      <c r="X75" s="10">
        <v>5978866890</v>
      </c>
      <c r="Y75" s="10">
        <v>7061977040</v>
      </c>
      <c r="Z75" s="10">
        <v>5043878724</v>
      </c>
      <c r="AA75" s="10">
        <v>4034178134</v>
      </c>
      <c r="AB75" s="10">
        <v>3476714301</v>
      </c>
      <c r="AC75" s="10">
        <v>6097547766</v>
      </c>
      <c r="AD75" s="10">
        <v>6665364786</v>
      </c>
      <c r="AE75" s="10">
        <v>8501468580</v>
      </c>
      <c r="AF75" s="10">
        <v>14834244219</v>
      </c>
      <c r="AG75" s="10">
        <v>16898428910</v>
      </c>
      <c r="AH75" s="10">
        <v>17681967030</v>
      </c>
      <c r="AI75" s="10">
        <v>17436737966</v>
      </c>
      <c r="AJ75" s="10">
        <v>16536257815</v>
      </c>
      <c r="AK75" s="10">
        <v>26193078458</v>
      </c>
      <c r="AL75" s="10">
        <v>36267954212</v>
      </c>
      <c r="AM75" s="10">
        <v>54548760949</v>
      </c>
      <c r="AN75" s="10">
        <v>74911627697</v>
      </c>
      <c r="AO75" s="10">
        <v>103000000000</v>
      </c>
      <c r="AP75" s="10">
        <v>110000000000</v>
      </c>
      <c r="AQ75" s="10">
        <v>117000000000</v>
      </c>
      <c r="AR75" s="10">
        <v>157000000000</v>
      </c>
      <c r="AS75" s="10">
        <v>186000000000</v>
      </c>
      <c r="AT75" s="10">
        <v>207000000000</v>
      </c>
      <c r="AU75" s="10">
        <v>199000000000</v>
      </c>
      <c r="AV75" s="10">
        <v>161000000000</v>
      </c>
      <c r="AW75" s="10">
        <v>162000000000</v>
      </c>
      <c r="AX75" s="10">
        <v>182000000000</v>
      </c>
    </row>
    <row r="76" spans="2:50" x14ac:dyDescent="0.45">
      <c r="B76" t="s">
        <v>218</v>
      </c>
      <c r="C76" s="10">
        <v>1735587594</v>
      </c>
      <c r="D76" s="10">
        <v>1899612250</v>
      </c>
      <c r="E76" s="10">
        <v>2312146044</v>
      </c>
      <c r="F76" s="10">
        <v>2371209434</v>
      </c>
      <c r="G76" s="10">
        <v>2945629166</v>
      </c>
      <c r="H76" s="10">
        <v>3547660543</v>
      </c>
      <c r="I76" s="10">
        <v>3678489477</v>
      </c>
      <c r="J76" s="10">
        <v>4030322453</v>
      </c>
      <c r="K76" s="10">
        <v>3279920720</v>
      </c>
      <c r="L76" s="10">
        <v>3017123959</v>
      </c>
      <c r="M76" s="10">
        <v>3322969001</v>
      </c>
      <c r="N76" s="10">
        <v>3694593490</v>
      </c>
      <c r="O76" s="10">
        <v>4084666929</v>
      </c>
      <c r="P76" s="10">
        <v>4488547318</v>
      </c>
      <c r="Q76" s="10">
        <v>2943634177</v>
      </c>
      <c r="R76" s="10">
        <v>2604740615</v>
      </c>
      <c r="S76" s="10">
        <v>3146579421</v>
      </c>
      <c r="T76" s="10">
        <v>3761290057</v>
      </c>
      <c r="U76" s="10">
        <v>4396778188</v>
      </c>
      <c r="V76" s="10">
        <v>5048773730</v>
      </c>
      <c r="W76" s="10">
        <v>5277024581</v>
      </c>
      <c r="X76" s="10">
        <v>4716934272</v>
      </c>
      <c r="Y76" s="10">
        <v>4222642881</v>
      </c>
      <c r="Z76" s="10">
        <v>5440075676</v>
      </c>
      <c r="AA76" s="10">
        <v>5452558892</v>
      </c>
      <c r="AB76" s="10">
        <v>6577520705</v>
      </c>
      <c r="AC76" s="10">
        <v>7393891854</v>
      </c>
      <c r="AD76" s="10">
        <v>8400041803</v>
      </c>
      <c r="AE76" s="10">
        <v>8787195622</v>
      </c>
      <c r="AF76" s="10">
        <v>8887058073</v>
      </c>
      <c r="AG76" s="10">
        <v>9005069387</v>
      </c>
      <c r="AH76" s="10">
        <v>9194725544</v>
      </c>
      <c r="AI76" s="10">
        <v>9719001964</v>
      </c>
      <c r="AJ76" s="10">
        <v>9430240115</v>
      </c>
      <c r="AK76" s="10">
        <v>10174661928</v>
      </c>
      <c r="AL76" s="10">
        <v>11243859050</v>
      </c>
      <c r="AM76" s="10">
        <v>11930186772</v>
      </c>
      <c r="AN76" s="10">
        <v>12799597772</v>
      </c>
      <c r="AO76" s="10">
        <v>13709404612</v>
      </c>
      <c r="AP76" s="10">
        <v>12120446323</v>
      </c>
      <c r="AQ76" s="10">
        <v>13219465065</v>
      </c>
      <c r="AR76" s="10">
        <v>14439916160</v>
      </c>
      <c r="AS76" s="10">
        <v>14800157119</v>
      </c>
      <c r="AT76" s="10">
        <v>14274990961</v>
      </c>
      <c r="AU76" s="10">
        <v>13897721821</v>
      </c>
      <c r="AV76" s="10">
        <v>14186886508</v>
      </c>
      <c r="AW76" s="10">
        <v>14077193374</v>
      </c>
      <c r="AX76" s="10">
        <v>14826786687</v>
      </c>
    </row>
    <row r="77" spans="2:50" x14ac:dyDescent="0.45">
      <c r="B77" t="s">
        <v>134</v>
      </c>
      <c r="C77" s="10">
        <v>2518484859</v>
      </c>
      <c r="D77" s="10">
        <v>2790991077</v>
      </c>
      <c r="E77" s="10">
        <v>3129426215</v>
      </c>
      <c r="F77" s="10">
        <v>3691435405</v>
      </c>
      <c r="G77" s="10">
        <v>4401949606</v>
      </c>
      <c r="H77" s="10">
        <v>4826821543</v>
      </c>
      <c r="I77" s="10">
        <v>5144374598</v>
      </c>
      <c r="J77" s="10">
        <v>6649694546</v>
      </c>
      <c r="K77" s="10">
        <v>7873192912</v>
      </c>
      <c r="L77" s="10">
        <v>9030320813</v>
      </c>
      <c r="M77" s="10">
        <v>10517622638</v>
      </c>
      <c r="N77" s="10">
        <v>9918625973</v>
      </c>
      <c r="O77" s="10">
        <v>9553271324</v>
      </c>
      <c r="P77" s="10">
        <v>8882283779</v>
      </c>
      <c r="Q77" s="10">
        <v>9197712818</v>
      </c>
      <c r="R77" s="10">
        <v>9110397715</v>
      </c>
      <c r="S77" s="10">
        <v>10746604424</v>
      </c>
      <c r="T77" s="10">
        <v>11831200665</v>
      </c>
      <c r="U77" s="10">
        <v>12645507897</v>
      </c>
      <c r="V77" s="10">
        <v>12379188572</v>
      </c>
      <c r="W77" s="10">
        <v>12664487849</v>
      </c>
      <c r="X77" s="10">
        <v>11937643951</v>
      </c>
      <c r="Y77" s="10">
        <v>11800663792</v>
      </c>
      <c r="Z77" s="10">
        <v>8192962678</v>
      </c>
      <c r="AA77" s="10">
        <v>10425507979</v>
      </c>
      <c r="AB77" s="10">
        <v>13427994365</v>
      </c>
      <c r="AC77" s="10">
        <v>13740574205</v>
      </c>
      <c r="AD77" s="10">
        <v>14958503707</v>
      </c>
      <c r="AE77" s="10">
        <v>16085592799</v>
      </c>
      <c r="AF77" s="10">
        <v>14688214745</v>
      </c>
      <c r="AG77" s="10">
        <v>14464785520</v>
      </c>
      <c r="AH77" s="10">
        <v>14900116877</v>
      </c>
      <c r="AI77" s="10">
        <v>15092273297</v>
      </c>
      <c r="AJ77" s="10">
        <v>17104697954</v>
      </c>
      <c r="AK77" s="10">
        <v>18471265254</v>
      </c>
      <c r="AL77" s="10">
        <v>21505531869</v>
      </c>
      <c r="AM77" s="10">
        <v>25826241130</v>
      </c>
      <c r="AN77" s="10">
        <v>31959312214</v>
      </c>
      <c r="AO77" s="10">
        <v>35896878739</v>
      </c>
      <c r="AP77" s="10">
        <v>37022301855</v>
      </c>
      <c r="AQ77" s="10">
        <v>39999677643</v>
      </c>
      <c r="AR77" s="10">
        <v>41953451738</v>
      </c>
      <c r="AS77" s="10">
        <v>50410158302</v>
      </c>
      <c r="AT77" s="10">
        <v>55096743583</v>
      </c>
      <c r="AU77" s="10">
        <v>61448072095</v>
      </c>
      <c r="AV77" s="10">
        <v>64007780608</v>
      </c>
      <c r="AW77" s="10">
        <v>70875241078</v>
      </c>
      <c r="AX77" s="10">
        <v>74938178836</v>
      </c>
    </row>
    <row r="78" spans="2:50" x14ac:dyDescent="0.45">
      <c r="B78" t="s">
        <v>219</v>
      </c>
      <c r="C78" s="10">
        <v>20195539.710000001</v>
      </c>
      <c r="D78" s="10">
        <v>21430747.140000001</v>
      </c>
      <c r="E78" s="10">
        <v>27169697.920000002</v>
      </c>
      <c r="F78" s="10">
        <v>44433101.869999997</v>
      </c>
      <c r="G78" s="10">
        <v>80479969.620000005</v>
      </c>
      <c r="H78" s="10">
        <v>77537687.239999995</v>
      </c>
      <c r="I78" s="10">
        <v>57869940.310000002</v>
      </c>
      <c r="J78" s="10">
        <v>54541384.479999997</v>
      </c>
      <c r="K78" s="10">
        <v>63480798.789999999</v>
      </c>
      <c r="L78" s="10">
        <v>60575947.340000004</v>
      </c>
      <c r="M78" s="10">
        <v>33498023.18</v>
      </c>
      <c r="N78" s="10">
        <v>39484775.020000003</v>
      </c>
      <c r="O78" s="10">
        <v>38920791.759999998</v>
      </c>
      <c r="P78" s="10">
        <v>36729746.920000002</v>
      </c>
      <c r="Q78" s="10">
        <v>40323356</v>
      </c>
      <c r="R78" s="10">
        <v>29975261.460000001</v>
      </c>
      <c r="S78" s="10">
        <v>28959457.969999999</v>
      </c>
      <c r="T78" s="10">
        <v>33677322.890000001</v>
      </c>
      <c r="U78" s="10">
        <v>43414170.810000002</v>
      </c>
      <c r="V78" s="10">
        <v>41607871.810000002</v>
      </c>
      <c r="W78" s="10">
        <v>39997533.549999997</v>
      </c>
      <c r="X78" s="10">
        <v>47371781.630000003</v>
      </c>
      <c r="Y78" s="10">
        <v>48085719.640000001</v>
      </c>
      <c r="Z78" s="10">
        <v>47041666.439999998</v>
      </c>
      <c r="AA78" s="10">
        <v>54810755.859999999</v>
      </c>
      <c r="AB78" s="10">
        <v>55981228.030000001</v>
      </c>
      <c r="AC78" s="10">
        <v>66867613.130000003</v>
      </c>
      <c r="AD78" s="10">
        <v>67227736.049999997</v>
      </c>
      <c r="AE78" s="10">
        <v>65638636.289999999</v>
      </c>
      <c r="AF78" s="10">
        <v>69158418.659999996</v>
      </c>
      <c r="AG78" s="10">
        <v>74699282.25</v>
      </c>
      <c r="AH78" s="10">
        <v>65237173.590000004</v>
      </c>
      <c r="AI78" s="10">
        <v>73728349.349999994</v>
      </c>
      <c r="AJ78" s="10">
        <v>94201434.900000006</v>
      </c>
      <c r="AK78" s="10">
        <v>102370593.90000001</v>
      </c>
      <c r="AL78" s="10">
        <v>112136214.8</v>
      </c>
      <c r="AM78" s="10">
        <v>110237121.09999999</v>
      </c>
      <c r="AN78" s="10">
        <v>132674383.40000001</v>
      </c>
      <c r="AO78" s="10">
        <v>141045081.30000001</v>
      </c>
      <c r="AP78" s="10">
        <v>132421059.7</v>
      </c>
      <c r="AQ78" s="10">
        <v>156125959.69999999</v>
      </c>
      <c r="AR78" s="10">
        <v>181712053.40000001</v>
      </c>
      <c r="AS78" s="10">
        <v>190122806</v>
      </c>
      <c r="AT78" s="10">
        <v>185105678.30000001</v>
      </c>
      <c r="AU78" s="10">
        <v>178875259.59999999</v>
      </c>
      <c r="AV78" s="10">
        <v>169141776</v>
      </c>
      <c r="AW78" s="10">
        <v>181549598.30000001</v>
      </c>
      <c r="AX78" s="10">
        <v>197211514.19999999</v>
      </c>
    </row>
    <row r="79" spans="2:50" x14ac:dyDescent="0.45">
      <c r="B79" t="s">
        <v>135</v>
      </c>
      <c r="C79" s="10">
        <v>84936692.060000002</v>
      </c>
      <c r="D79" s="10">
        <v>81564704.25</v>
      </c>
      <c r="E79" s="10">
        <v>96631519.269999996</v>
      </c>
      <c r="F79" s="10">
        <v>146266206.90000001</v>
      </c>
      <c r="G79" s="10">
        <v>166711842.19999999</v>
      </c>
      <c r="H79" s="10">
        <v>173515973.40000001</v>
      </c>
      <c r="I79" s="10">
        <v>171312845.69999999</v>
      </c>
      <c r="J79" s="10">
        <v>224281070.5</v>
      </c>
      <c r="K79" s="10">
        <v>309270386.39999998</v>
      </c>
      <c r="L79" s="10">
        <v>336609821.80000001</v>
      </c>
      <c r="M79" s="10">
        <v>442870975.5</v>
      </c>
      <c r="N79" s="10">
        <v>449761295.5</v>
      </c>
      <c r="O79" s="10">
        <v>412739744.89999998</v>
      </c>
      <c r="P79" s="10">
        <v>421354991.60000002</v>
      </c>
      <c r="Q79" s="10">
        <v>371069057.19999999</v>
      </c>
      <c r="R79" s="10">
        <v>297182853.60000002</v>
      </c>
      <c r="S79" s="10">
        <v>331982236</v>
      </c>
      <c r="T79" s="10">
        <v>444595953.89999998</v>
      </c>
      <c r="U79" s="10">
        <v>510622473.80000001</v>
      </c>
      <c r="V79" s="10">
        <v>538746603</v>
      </c>
      <c r="W79" s="10">
        <v>628643530</v>
      </c>
      <c r="X79" s="10">
        <v>699945208</v>
      </c>
      <c r="Y79" s="10">
        <v>839531179.70000005</v>
      </c>
      <c r="Z79" s="10">
        <v>834451285.20000005</v>
      </c>
      <c r="AA79" s="10">
        <v>853819601.5</v>
      </c>
      <c r="AB79" s="10">
        <v>955409277.70000005</v>
      </c>
      <c r="AC79" s="10">
        <v>957092294.60000002</v>
      </c>
      <c r="AD79" s="10">
        <v>1041532850</v>
      </c>
      <c r="AE79" s="10">
        <v>913486187.20000005</v>
      </c>
      <c r="AF79" s="10">
        <v>913606666.20000005</v>
      </c>
      <c r="AG79" s="10">
        <v>879083948</v>
      </c>
      <c r="AH79" s="10">
        <v>805150596.29999995</v>
      </c>
      <c r="AI79" s="10">
        <v>748566622.39999998</v>
      </c>
      <c r="AJ79" s="10">
        <v>1104654004</v>
      </c>
      <c r="AK79" s="10">
        <v>1406768979</v>
      </c>
      <c r="AL79" s="10">
        <v>1559647487</v>
      </c>
      <c r="AM79" s="10">
        <v>1628601318</v>
      </c>
      <c r="AN79" s="10">
        <v>1820820319</v>
      </c>
      <c r="AO79" s="10">
        <v>1870717497</v>
      </c>
      <c r="AP79" s="10">
        <v>1865968653</v>
      </c>
      <c r="AQ79" s="10">
        <v>2385943436</v>
      </c>
      <c r="AR79" s="10">
        <v>2788010590</v>
      </c>
      <c r="AS79" s="10">
        <v>2678504926</v>
      </c>
      <c r="AT79" s="10">
        <v>2526020659</v>
      </c>
      <c r="AU79" s="10">
        <v>2614576989</v>
      </c>
      <c r="AV79" s="10">
        <v>2505879992</v>
      </c>
      <c r="AW79" s="10">
        <v>2291320011</v>
      </c>
      <c r="AX79" s="10">
        <v>2631569594</v>
      </c>
    </row>
    <row r="80" spans="2:50" x14ac:dyDescent="0.45">
      <c r="B80" t="s">
        <v>136</v>
      </c>
      <c r="C80" s="10">
        <v>1069118210</v>
      </c>
      <c r="D80" s="10">
        <v>1155972823</v>
      </c>
      <c r="E80" s="10">
        <v>1321192153</v>
      </c>
      <c r="F80" s="10">
        <v>1627440548</v>
      </c>
      <c r="G80" s="10">
        <v>1843796822</v>
      </c>
      <c r="H80" s="10">
        <v>2195281880</v>
      </c>
      <c r="I80" s="10">
        <v>2097968575</v>
      </c>
      <c r="J80" s="10">
        <v>2268250745</v>
      </c>
      <c r="K80" s="10">
        <v>2567125842</v>
      </c>
      <c r="L80" s="10">
        <v>3330427159</v>
      </c>
      <c r="M80" s="10">
        <v>3886756971</v>
      </c>
      <c r="N80" s="10">
        <v>3456676708</v>
      </c>
      <c r="O80" s="10">
        <v>3390648916</v>
      </c>
      <c r="P80" s="10">
        <v>3377142410</v>
      </c>
      <c r="Q80" s="10">
        <v>2826497056</v>
      </c>
      <c r="R80" s="10">
        <v>2791464974</v>
      </c>
      <c r="S80" s="10">
        <v>3878884770</v>
      </c>
      <c r="T80" s="10">
        <v>3054310049</v>
      </c>
      <c r="U80" s="10">
        <v>2907684315</v>
      </c>
      <c r="V80" s="10">
        <v>2973740236</v>
      </c>
      <c r="W80" s="10">
        <v>3666364582</v>
      </c>
      <c r="X80" s="10">
        <v>3182450842</v>
      </c>
      <c r="Y80" s="10">
        <v>3566696606</v>
      </c>
      <c r="Z80" s="10">
        <v>3975180455</v>
      </c>
      <c r="AA80" s="10">
        <v>3510776831</v>
      </c>
      <c r="AB80" s="10">
        <v>3726420977</v>
      </c>
      <c r="AC80" s="10">
        <v>4711273306</v>
      </c>
      <c r="AD80" s="10">
        <v>4181350148</v>
      </c>
      <c r="AE80" s="10">
        <v>4408706564</v>
      </c>
      <c r="AF80" s="10">
        <v>4388577993</v>
      </c>
      <c r="AG80" s="10">
        <v>4572989502</v>
      </c>
      <c r="AH80" s="10">
        <v>5341765749</v>
      </c>
      <c r="AI80" s="10">
        <v>5185737064</v>
      </c>
      <c r="AJ80" s="10">
        <v>6455576498</v>
      </c>
      <c r="AK80" s="10">
        <v>5146434350</v>
      </c>
      <c r="AL80" s="10">
        <v>5942047599</v>
      </c>
      <c r="AM80" s="10">
        <v>6504176973</v>
      </c>
      <c r="AN80" s="10">
        <v>8659588055</v>
      </c>
      <c r="AO80" s="10">
        <v>11076283691</v>
      </c>
      <c r="AP80" s="10">
        <v>10023996282</v>
      </c>
      <c r="AQ80" s="10">
        <v>10250149525</v>
      </c>
      <c r="AR80" s="10">
        <v>11640806027</v>
      </c>
      <c r="AS80" s="10">
        <v>11656805722</v>
      </c>
      <c r="AT80" s="10">
        <v>12354218579</v>
      </c>
      <c r="AU80" s="10">
        <v>12384195593</v>
      </c>
      <c r="AV80" s="10">
        <v>11243261055</v>
      </c>
      <c r="AW80" s="10">
        <v>11487124221</v>
      </c>
      <c r="AX80" s="10">
        <v>13208391168</v>
      </c>
    </row>
    <row r="81" spans="2:50" x14ac:dyDescent="0.45">
      <c r="B81" t="s">
        <v>137</v>
      </c>
      <c r="C81" s="10">
        <v>579154347.79999995</v>
      </c>
      <c r="D81" s="10">
        <v>728514493</v>
      </c>
      <c r="E81" s="10">
        <v>832498418.10000002</v>
      </c>
      <c r="F81" s="10">
        <v>802818733.20000005</v>
      </c>
      <c r="G81" s="10">
        <v>991310464.79999995</v>
      </c>
      <c r="H81" s="10">
        <v>1107997918</v>
      </c>
      <c r="I81" s="10">
        <v>1211195441</v>
      </c>
      <c r="J81" s="10">
        <v>1456858030</v>
      </c>
      <c r="K81" s="10">
        <v>1714737269</v>
      </c>
      <c r="L81" s="10">
        <v>1840148967</v>
      </c>
      <c r="M81" s="10">
        <v>2236356796</v>
      </c>
      <c r="N81" s="10">
        <v>2236401776</v>
      </c>
      <c r="O81" s="10">
        <v>2113676343</v>
      </c>
      <c r="P81" s="10">
        <v>2203656462</v>
      </c>
      <c r="Q81" s="10">
        <v>2157877491</v>
      </c>
      <c r="R81" s="10">
        <v>2027757275</v>
      </c>
      <c r="S81" s="10">
        <v>2124237127</v>
      </c>
      <c r="T81" s="10">
        <v>2218459893</v>
      </c>
      <c r="U81" s="10">
        <v>2472883263</v>
      </c>
      <c r="V81" s="10">
        <v>2970408323</v>
      </c>
      <c r="W81" s="10">
        <v>3166319965</v>
      </c>
      <c r="X81" s="10">
        <v>3658041858</v>
      </c>
      <c r="Y81" s="10">
        <v>3285104233</v>
      </c>
      <c r="Z81" s="10">
        <v>3612298980</v>
      </c>
      <c r="AA81" s="10">
        <v>2134243006</v>
      </c>
      <c r="AB81" s="10">
        <v>2473657154</v>
      </c>
      <c r="AC81" s="10">
        <v>2976405866</v>
      </c>
      <c r="AD81" s="10">
        <v>3142156882</v>
      </c>
      <c r="AE81" s="10">
        <v>3214447154</v>
      </c>
      <c r="AF81" s="10">
        <v>3208978291</v>
      </c>
      <c r="AG81" s="10">
        <v>3150376893</v>
      </c>
      <c r="AH81" s="10">
        <v>3101595762</v>
      </c>
      <c r="AI81" s="10">
        <v>3495601873</v>
      </c>
      <c r="AJ81" s="10">
        <v>3209166776</v>
      </c>
      <c r="AK81" s="10">
        <v>3476332983</v>
      </c>
      <c r="AL81" s="10">
        <v>3655893805</v>
      </c>
      <c r="AM81" s="10">
        <v>3998013678</v>
      </c>
      <c r="AN81" s="10">
        <v>4432938184</v>
      </c>
      <c r="AO81" s="10">
        <v>5321012490</v>
      </c>
      <c r="AP81" s="10">
        <v>6191123621</v>
      </c>
      <c r="AQ81" s="10">
        <v>6868297764</v>
      </c>
      <c r="AR81" s="10">
        <v>8004003238</v>
      </c>
      <c r="AS81" s="10">
        <v>5721378910</v>
      </c>
      <c r="AT81" s="10">
        <v>5290343750</v>
      </c>
      <c r="AU81" s="10">
        <v>5964924943</v>
      </c>
      <c r="AV81" s="10">
        <v>6430436852</v>
      </c>
      <c r="AW81" s="10">
        <v>5309944189</v>
      </c>
      <c r="AX81" s="10">
        <v>6339282433</v>
      </c>
    </row>
    <row r="82" spans="2:50" x14ac:dyDescent="0.45">
      <c r="B82" t="s">
        <v>138</v>
      </c>
      <c r="C82" s="10">
        <v>3864145665</v>
      </c>
      <c r="D82" s="10">
        <v>4244395358</v>
      </c>
      <c r="E82" s="10">
        <v>5043347486</v>
      </c>
      <c r="F82" s="10">
        <v>7662903760</v>
      </c>
      <c r="G82" s="10">
        <v>9496205620</v>
      </c>
      <c r="H82" s="10">
        <v>9329165130</v>
      </c>
      <c r="I82" s="10">
        <v>11050234602</v>
      </c>
      <c r="J82" s="10">
        <v>13139486858</v>
      </c>
      <c r="K82" s="10">
        <v>16358082223</v>
      </c>
      <c r="L82" s="10">
        <v>21213268200</v>
      </c>
      <c r="M82" s="10">
        <v>24488220938</v>
      </c>
      <c r="N82" s="10">
        <v>25004285801</v>
      </c>
      <c r="O82" s="10">
        <v>26804497471</v>
      </c>
      <c r="P82" s="10">
        <v>30347442122</v>
      </c>
      <c r="Q82" s="10">
        <v>33942902257</v>
      </c>
      <c r="R82" s="10">
        <v>31199637541</v>
      </c>
      <c r="S82" s="10">
        <v>27734114981</v>
      </c>
      <c r="T82" s="10">
        <v>32181205901</v>
      </c>
      <c r="U82" s="10">
        <v>35272104731</v>
      </c>
      <c r="V82" s="10">
        <v>38847970073</v>
      </c>
      <c r="W82" s="10">
        <v>44024585240</v>
      </c>
      <c r="X82" s="10">
        <v>49134808853</v>
      </c>
      <c r="Y82" s="10">
        <v>59151678520</v>
      </c>
      <c r="Z82" s="10">
        <v>66894966969</v>
      </c>
      <c r="AA82" s="10">
        <v>74482424864</v>
      </c>
      <c r="AB82" s="10">
        <v>88832706382</v>
      </c>
      <c r="AC82" s="10">
        <v>101000000000</v>
      </c>
      <c r="AD82" s="10">
        <v>100000000000</v>
      </c>
      <c r="AE82" s="10">
        <v>72175314541</v>
      </c>
      <c r="AF82" s="10">
        <v>79148421053</v>
      </c>
      <c r="AG82" s="10">
        <v>93789736842</v>
      </c>
      <c r="AH82" s="10">
        <v>92783947368</v>
      </c>
      <c r="AI82" s="10">
        <v>101000000000</v>
      </c>
      <c r="AJ82" s="10">
        <v>110000000000</v>
      </c>
      <c r="AK82" s="10">
        <v>125000000000</v>
      </c>
      <c r="AL82" s="10">
        <v>144000000000</v>
      </c>
      <c r="AM82" s="10">
        <v>163000000000</v>
      </c>
      <c r="AN82" s="10">
        <v>194000000000</v>
      </c>
      <c r="AO82" s="10">
        <v>231000000000</v>
      </c>
      <c r="AP82" s="10">
        <v>202000000000</v>
      </c>
      <c r="AQ82" s="10">
        <v>255000000000</v>
      </c>
      <c r="AR82" s="10">
        <v>298000000000</v>
      </c>
      <c r="AS82" s="10">
        <v>314000000000</v>
      </c>
      <c r="AT82" s="10">
        <v>323000000000</v>
      </c>
      <c r="AU82" s="10">
        <v>338000000000</v>
      </c>
      <c r="AV82" s="10">
        <v>297000000000</v>
      </c>
      <c r="AW82" s="10">
        <v>297000000000</v>
      </c>
      <c r="AX82" s="10">
        <v>315000000000</v>
      </c>
    </row>
    <row r="83" spans="2:50" x14ac:dyDescent="0.45">
      <c r="B83" t="s">
        <v>220</v>
      </c>
      <c r="C83" s="10">
        <v>320367175.60000002</v>
      </c>
      <c r="D83" s="10">
        <v>382989086.10000002</v>
      </c>
      <c r="E83" s="10">
        <v>433319181.89999998</v>
      </c>
      <c r="F83" s="10">
        <v>501943094.39999998</v>
      </c>
      <c r="G83" s="10">
        <v>471060288.69999999</v>
      </c>
      <c r="H83" s="10">
        <v>701274257.29999995</v>
      </c>
      <c r="I83" s="10">
        <v>830528651.70000005</v>
      </c>
      <c r="J83" s="10">
        <v>966502145</v>
      </c>
      <c r="K83" s="10">
        <v>1120153915</v>
      </c>
      <c r="L83" s="10">
        <v>1416313677</v>
      </c>
      <c r="M83" s="10">
        <v>1651193400</v>
      </c>
      <c r="N83" s="10">
        <v>1522990648</v>
      </c>
      <c r="O83" s="10">
        <v>1336904450</v>
      </c>
      <c r="P83" s="10">
        <v>1174852922</v>
      </c>
      <c r="Q83" s="10">
        <v>1154612896</v>
      </c>
      <c r="R83" s="10">
        <v>1260360446</v>
      </c>
      <c r="S83" s="10">
        <v>1839057200</v>
      </c>
      <c r="T83" s="10">
        <v>2175631568</v>
      </c>
      <c r="U83" s="10">
        <v>2250451778</v>
      </c>
      <c r="V83" s="10">
        <v>2256769703</v>
      </c>
      <c r="W83" s="10">
        <v>2731775322</v>
      </c>
      <c r="X83" s="10">
        <v>3007730626</v>
      </c>
      <c r="Y83" s="10">
        <v>3095368597</v>
      </c>
      <c r="Z83" s="10">
        <v>3055025288</v>
      </c>
      <c r="AA83" s="10">
        <v>2233383662</v>
      </c>
      <c r="AB83" s="10">
        <v>2836814842</v>
      </c>
      <c r="AC83" s="10">
        <v>3147783998</v>
      </c>
      <c r="AD83" s="10">
        <v>2871762224</v>
      </c>
      <c r="AE83" s="10">
        <v>3275045833</v>
      </c>
      <c r="AF83" s="10">
        <v>3439462962</v>
      </c>
      <c r="AG83" s="10">
        <v>2954129672</v>
      </c>
      <c r="AH83" s="10">
        <v>3465305960</v>
      </c>
      <c r="AI83" s="10">
        <v>3889758004</v>
      </c>
      <c r="AJ83" s="10">
        <v>4703504354</v>
      </c>
      <c r="AK83" s="10">
        <v>5444474173</v>
      </c>
      <c r="AL83" s="10">
        <v>6245031183</v>
      </c>
      <c r="AM83" s="10">
        <v>6899799659</v>
      </c>
      <c r="AN83" s="10">
        <v>8145694928</v>
      </c>
      <c r="AO83" s="10">
        <v>9750823479</v>
      </c>
      <c r="AP83" s="10">
        <v>10181021970</v>
      </c>
      <c r="AQ83" s="10">
        <v>10678749002</v>
      </c>
      <c r="AR83" s="10">
        <v>12978107173</v>
      </c>
      <c r="AS83" s="10">
        <v>12442747022</v>
      </c>
      <c r="AT83" s="10">
        <v>13245776666</v>
      </c>
      <c r="AU83" s="10">
        <v>14388385464</v>
      </c>
      <c r="AV83" s="10">
        <v>13094846463</v>
      </c>
      <c r="AW83" s="10">
        <v>14031607154</v>
      </c>
      <c r="AX83" s="10">
        <v>15235824977</v>
      </c>
    </row>
    <row r="84" spans="2:50" x14ac:dyDescent="0.45">
      <c r="B84" t="s">
        <v>139</v>
      </c>
      <c r="C84" s="10">
        <v>323965031</v>
      </c>
      <c r="D84" s="10">
        <v>347362537.19999999</v>
      </c>
      <c r="E84" s="10">
        <v>405941248</v>
      </c>
      <c r="F84" s="10">
        <v>462038446.80000001</v>
      </c>
      <c r="G84" s="10">
        <v>627677552.70000005</v>
      </c>
      <c r="H84" s="10">
        <v>758805833.20000005</v>
      </c>
      <c r="I84" s="10">
        <v>846977766.29999995</v>
      </c>
      <c r="J84" s="10">
        <v>870868163.60000002</v>
      </c>
      <c r="K84" s="10">
        <v>856916477.39999998</v>
      </c>
      <c r="L84" s="10">
        <v>1069315151</v>
      </c>
      <c r="M84" s="10">
        <v>1495611103</v>
      </c>
      <c r="N84" s="10">
        <v>1444872289</v>
      </c>
      <c r="O84" s="10">
        <v>1308971672</v>
      </c>
      <c r="P84" s="10">
        <v>1330538012</v>
      </c>
      <c r="Q84" s="10">
        <v>1157440146</v>
      </c>
      <c r="R84" s="10">
        <v>1085028559</v>
      </c>
      <c r="S84" s="10">
        <v>1275103434</v>
      </c>
      <c r="T84" s="10">
        <v>1444922428</v>
      </c>
      <c r="U84" s="10">
        <v>1520238490</v>
      </c>
      <c r="V84" s="10">
        <v>1550679705</v>
      </c>
      <c r="W84" s="10">
        <v>1622500534</v>
      </c>
      <c r="X84" s="10">
        <v>1739678982</v>
      </c>
      <c r="Y84" s="10">
        <v>1762677474</v>
      </c>
      <c r="Z84" s="10">
        <v>1505821165</v>
      </c>
      <c r="AA84" s="10">
        <v>1595684542</v>
      </c>
      <c r="AB84" s="10">
        <v>1680792538</v>
      </c>
      <c r="AC84" s="10">
        <v>1700326827</v>
      </c>
      <c r="AD84" s="10">
        <v>1652408269</v>
      </c>
      <c r="AE84" s="10">
        <v>1440825363</v>
      </c>
      <c r="AF84" s="10">
        <v>1405659713</v>
      </c>
      <c r="AG84" s="10">
        <v>1293655780</v>
      </c>
      <c r="AH84" s="10">
        <v>1295539110</v>
      </c>
      <c r="AI84" s="10">
        <v>1324426282</v>
      </c>
      <c r="AJ84" s="10">
        <v>1563074859</v>
      </c>
      <c r="AK84" s="10">
        <v>1889115069</v>
      </c>
      <c r="AL84" s="10">
        <v>2184444849</v>
      </c>
      <c r="AM84" s="10">
        <v>3040718541</v>
      </c>
      <c r="AN84" s="10">
        <v>3356758534</v>
      </c>
      <c r="AO84" s="10">
        <v>4031047704</v>
      </c>
      <c r="AP84" s="10">
        <v>3662281668</v>
      </c>
      <c r="AQ84" s="10">
        <v>4337791531</v>
      </c>
      <c r="AR84" s="10">
        <v>5166340390</v>
      </c>
      <c r="AS84" s="10">
        <v>5231255478</v>
      </c>
      <c r="AT84" s="10">
        <v>5639825064</v>
      </c>
      <c r="AU84" s="10">
        <v>5363393843</v>
      </c>
      <c r="AV84" s="10">
        <v>4832552887</v>
      </c>
      <c r="AW84" s="10">
        <v>4746834419</v>
      </c>
      <c r="AX84" s="10">
        <v>4992107858</v>
      </c>
    </row>
    <row r="85" spans="2:50" x14ac:dyDescent="0.45">
      <c r="B85" t="s">
        <v>140</v>
      </c>
      <c r="C85" s="10">
        <v>45303999955</v>
      </c>
      <c r="D85" s="10">
        <v>49885304000</v>
      </c>
      <c r="E85" s="10">
        <v>57520701987</v>
      </c>
      <c r="F85" s="10">
        <v>70348726638</v>
      </c>
      <c r="G85" s="10">
        <v>91626291825</v>
      </c>
      <c r="H85" s="10">
        <v>112000000000</v>
      </c>
      <c r="I85" s="10">
        <v>113000000000</v>
      </c>
      <c r="J85" s="10">
        <v>104000000000</v>
      </c>
      <c r="K85" s="10">
        <v>131000000000</v>
      </c>
      <c r="L85" s="10">
        <v>171000000000</v>
      </c>
      <c r="M85" s="10">
        <v>237000000000</v>
      </c>
      <c r="N85" s="10">
        <v>304000000000</v>
      </c>
      <c r="O85" s="10">
        <v>211000000000</v>
      </c>
      <c r="P85" s="10">
        <v>181000000000</v>
      </c>
      <c r="Q85" s="10">
        <v>214000000000</v>
      </c>
      <c r="R85" s="10">
        <v>225000000000</v>
      </c>
      <c r="S85" s="10">
        <v>158000000000</v>
      </c>
      <c r="T85" s="10">
        <v>171000000000</v>
      </c>
      <c r="U85" s="10">
        <v>209000000000</v>
      </c>
      <c r="V85" s="10">
        <v>255000000000</v>
      </c>
      <c r="W85" s="10">
        <v>300000000000</v>
      </c>
      <c r="X85" s="10">
        <v>359000000000</v>
      </c>
      <c r="Y85" s="10">
        <v>415000000000</v>
      </c>
      <c r="Z85" s="10">
        <v>501000000000</v>
      </c>
      <c r="AA85" s="10">
        <v>528000000000</v>
      </c>
      <c r="AB85" s="10">
        <v>360000000000</v>
      </c>
      <c r="AC85" s="10">
        <v>411000000000</v>
      </c>
      <c r="AD85" s="10">
        <v>500000000000</v>
      </c>
      <c r="AE85" s="10">
        <v>527000000000</v>
      </c>
      <c r="AF85" s="10">
        <v>600000000000</v>
      </c>
      <c r="AG85" s="10">
        <v>708000000000</v>
      </c>
      <c r="AH85" s="10">
        <v>757000000000</v>
      </c>
      <c r="AI85" s="10">
        <v>772000000000</v>
      </c>
      <c r="AJ85" s="10">
        <v>729000000000</v>
      </c>
      <c r="AK85" s="10">
        <v>782000000000</v>
      </c>
      <c r="AL85" s="10">
        <v>877000000000</v>
      </c>
      <c r="AM85" s="10">
        <v>975000000000</v>
      </c>
      <c r="AN85" s="10">
        <v>1050000000000</v>
      </c>
      <c r="AO85" s="10">
        <v>1110000000000</v>
      </c>
      <c r="AP85" s="10">
        <v>900000000000</v>
      </c>
      <c r="AQ85" s="10">
        <v>1060000000000</v>
      </c>
      <c r="AR85" s="10">
        <v>1180000000000</v>
      </c>
      <c r="AS85" s="10">
        <v>1200000000000</v>
      </c>
      <c r="AT85" s="10">
        <v>1270000000000</v>
      </c>
      <c r="AU85" s="10">
        <v>1310000000000</v>
      </c>
      <c r="AV85" s="10">
        <v>1170000000000</v>
      </c>
      <c r="AW85" s="10">
        <v>1080000000000</v>
      </c>
      <c r="AX85" s="10">
        <v>1160000000000</v>
      </c>
    </row>
    <row r="86" spans="2:50" x14ac:dyDescent="0.45">
      <c r="B86" t="s">
        <v>221</v>
      </c>
      <c r="C86" s="10">
        <v>4644867410</v>
      </c>
      <c r="D86" s="10">
        <v>4970747250</v>
      </c>
      <c r="E86" s="10">
        <v>5969547339</v>
      </c>
      <c r="F86" s="10">
        <v>7327133333</v>
      </c>
      <c r="G86" s="10">
        <v>9011698026</v>
      </c>
      <c r="H86" s="10">
        <v>10548745501</v>
      </c>
      <c r="I86" s="10">
        <v>11253900173</v>
      </c>
      <c r="J86" s="10">
        <v>12973193373</v>
      </c>
      <c r="K86" s="10">
        <v>15540255107</v>
      </c>
      <c r="L86" s="10">
        <v>18681228372</v>
      </c>
      <c r="M86" s="10">
        <v>22097089255</v>
      </c>
      <c r="N86" s="10">
        <v>17939504561</v>
      </c>
      <c r="O86" s="10">
        <v>18109357741</v>
      </c>
      <c r="P86" s="10">
        <v>16368176855</v>
      </c>
      <c r="Q86" s="10">
        <v>14970417673</v>
      </c>
      <c r="R86" s="10">
        <v>15111218363</v>
      </c>
      <c r="S86" s="10">
        <v>19896939570</v>
      </c>
      <c r="T86" s="10">
        <v>21958663937</v>
      </c>
      <c r="U86" s="10">
        <v>25922784141</v>
      </c>
      <c r="V86" s="10">
        <v>26824568710</v>
      </c>
      <c r="W86" s="10">
        <v>30319697280</v>
      </c>
      <c r="X86" s="10">
        <v>32682604987</v>
      </c>
      <c r="Y86" s="10">
        <v>33403918960</v>
      </c>
      <c r="Z86" s="10">
        <v>31467877345</v>
      </c>
      <c r="AA86" s="10">
        <v>35636256682</v>
      </c>
      <c r="AB86" s="10">
        <v>38727702380</v>
      </c>
      <c r="AC86" s="10">
        <v>43017354444</v>
      </c>
      <c r="AD86" s="10">
        <v>39231483632</v>
      </c>
      <c r="AE86" s="10">
        <v>42052867952</v>
      </c>
      <c r="AF86" s="10">
        <v>41750594418</v>
      </c>
      <c r="AG86" s="10">
        <v>38900804386</v>
      </c>
      <c r="AH86" s="10">
        <v>39639357708</v>
      </c>
      <c r="AI86" s="10">
        <v>42468910881</v>
      </c>
      <c r="AJ86" s="10">
        <v>52351222750</v>
      </c>
      <c r="AK86" s="10">
        <v>59838117182</v>
      </c>
      <c r="AL86" s="10">
        <v>62544742028</v>
      </c>
      <c r="AM86" s="10">
        <v>68971576353</v>
      </c>
      <c r="AN86" s="10">
        <v>79040973268</v>
      </c>
      <c r="AO86" s="10">
        <v>92506959386</v>
      </c>
      <c r="AP86" s="10">
        <v>92897320376</v>
      </c>
      <c r="AQ86" s="10">
        <v>93217221947</v>
      </c>
      <c r="AR86" s="10">
        <v>101000000000</v>
      </c>
      <c r="AS86" s="10">
        <v>98265835438</v>
      </c>
      <c r="AT86" s="10">
        <v>107000000000</v>
      </c>
      <c r="AU86" s="10">
        <v>110000000000</v>
      </c>
      <c r="AV86" s="10">
        <v>101000000000</v>
      </c>
      <c r="AW86" s="10">
        <v>103000000000</v>
      </c>
      <c r="AX86" s="10">
        <v>110000000000</v>
      </c>
    </row>
    <row r="87" spans="2:50" x14ac:dyDescent="0.45">
      <c r="B87" t="s">
        <v>141</v>
      </c>
      <c r="C87" s="10">
        <v>1040760767</v>
      </c>
      <c r="D87" s="10">
        <v>1060939330</v>
      </c>
      <c r="E87" s="10">
        <v>1230799317</v>
      </c>
      <c r="F87" s="10">
        <v>1144162554</v>
      </c>
      <c r="G87" s="10">
        <v>1457682046</v>
      </c>
      <c r="H87" s="10">
        <v>1616818498</v>
      </c>
      <c r="I87" s="10">
        <v>1493848444</v>
      </c>
      <c r="J87" s="10">
        <v>1484057785</v>
      </c>
      <c r="K87" s="10">
        <v>1749146233</v>
      </c>
      <c r="L87" s="10">
        <v>1987385688</v>
      </c>
      <c r="M87" s="10">
        <v>2089013873</v>
      </c>
      <c r="N87" s="10">
        <v>2374579869</v>
      </c>
      <c r="O87" s="10">
        <v>2511868658</v>
      </c>
      <c r="P87" s="10">
        <v>2491862427</v>
      </c>
      <c r="Q87" s="10">
        <v>2569210292</v>
      </c>
      <c r="R87" s="10">
        <v>2740969753</v>
      </c>
      <c r="S87" s="10">
        <v>2818322676</v>
      </c>
      <c r="T87" s="10">
        <v>3142208817</v>
      </c>
      <c r="U87" s="10">
        <v>3545091543</v>
      </c>
      <c r="V87" s="10">
        <v>3524780268</v>
      </c>
      <c r="W87" s="10">
        <v>3780186252</v>
      </c>
      <c r="X87" s="10">
        <v>3468572521</v>
      </c>
      <c r="Y87" s="10">
        <v>3756770670</v>
      </c>
      <c r="Z87" s="10">
        <v>3787172382</v>
      </c>
      <c r="AA87" s="10">
        <v>4330701346</v>
      </c>
      <c r="AB87" s="10">
        <v>4534418924</v>
      </c>
      <c r="AC87" s="10">
        <v>4713497173</v>
      </c>
      <c r="AD87" s="10">
        <v>5191233802</v>
      </c>
      <c r="AE87" s="10">
        <v>4895254796</v>
      </c>
      <c r="AF87" s="10">
        <v>5380887241</v>
      </c>
      <c r="AG87" s="10">
        <v>5730380115</v>
      </c>
      <c r="AH87" s="10">
        <v>5890906180</v>
      </c>
      <c r="AI87" s="10">
        <v>5899626934</v>
      </c>
      <c r="AJ87" s="10">
        <v>6464691914</v>
      </c>
      <c r="AK87" s="10">
        <v>7285500156</v>
      </c>
      <c r="AL87" s="10">
        <v>8258829299</v>
      </c>
      <c r="AM87" s="10">
        <v>8990152614</v>
      </c>
      <c r="AN87" s="10">
        <v>10958769836</v>
      </c>
      <c r="AO87" s="10">
        <v>11692061095</v>
      </c>
      <c r="AP87" s="10">
        <v>12739825873</v>
      </c>
      <c r="AQ87" s="10">
        <v>16280802530</v>
      </c>
      <c r="AR87" s="10">
        <v>18467306133</v>
      </c>
      <c r="AS87" s="10">
        <v>17927227200</v>
      </c>
      <c r="AT87" s="10">
        <v>18227220589</v>
      </c>
      <c r="AU87" s="10">
        <v>19738004136</v>
      </c>
      <c r="AV87" s="10">
        <v>20801203122</v>
      </c>
      <c r="AW87" s="10">
        <v>20928917420</v>
      </c>
      <c r="AX87" s="10">
        <v>24870224032</v>
      </c>
    </row>
    <row r="88" spans="2:50" x14ac:dyDescent="0.45">
      <c r="B88" t="s">
        <v>142</v>
      </c>
      <c r="C88" s="10">
        <v>1140262842</v>
      </c>
      <c r="D88" s="10">
        <v>1213657366</v>
      </c>
      <c r="E88" s="10">
        <v>1293344098</v>
      </c>
      <c r="F88" s="10">
        <v>1605713039</v>
      </c>
      <c r="G88" s="10">
        <v>2233141958</v>
      </c>
      <c r="H88" s="10">
        <v>2335230907</v>
      </c>
      <c r="I88" s="10">
        <v>2713235030</v>
      </c>
      <c r="J88" s="10">
        <v>3288788542</v>
      </c>
      <c r="K88" s="10">
        <v>3143846003</v>
      </c>
      <c r="L88" s="10">
        <v>2249960689</v>
      </c>
      <c r="M88" s="10">
        <v>2847739677</v>
      </c>
      <c r="N88" s="10">
        <v>3001747397</v>
      </c>
      <c r="O88" s="10">
        <v>3356302961</v>
      </c>
      <c r="P88" s="10">
        <v>3632608763</v>
      </c>
      <c r="Q88" s="10">
        <v>3731884699</v>
      </c>
      <c r="R88" s="10">
        <v>3597520073</v>
      </c>
      <c r="S88" s="10">
        <v>3648005761</v>
      </c>
      <c r="T88" s="10">
        <v>3708691792</v>
      </c>
      <c r="U88" s="10">
        <v>3359945912</v>
      </c>
      <c r="V88" s="10">
        <v>3429925421</v>
      </c>
      <c r="W88" s="10">
        <v>3554967505</v>
      </c>
      <c r="X88" s="10">
        <v>3653862335</v>
      </c>
      <c r="Y88" s="10">
        <v>3874553066</v>
      </c>
      <c r="Z88" s="10">
        <v>4133618242</v>
      </c>
      <c r="AA88" s="10">
        <v>3848588180</v>
      </c>
      <c r="AB88" s="10">
        <v>4118083965</v>
      </c>
      <c r="AC88" s="10">
        <v>4293734931</v>
      </c>
      <c r="AD88" s="10">
        <v>4375338783</v>
      </c>
      <c r="AE88" s="10">
        <v>4619894994</v>
      </c>
      <c r="AF88" s="10">
        <v>4839838057</v>
      </c>
      <c r="AG88" s="10">
        <v>5092553708</v>
      </c>
      <c r="AH88" s="10">
        <v>5333911402</v>
      </c>
      <c r="AI88" s="10">
        <v>5206313233</v>
      </c>
      <c r="AJ88" s="10">
        <v>5304485890</v>
      </c>
      <c r="AK88" s="10">
        <v>5773621221</v>
      </c>
      <c r="AL88" s="10">
        <v>6300251491</v>
      </c>
      <c r="AM88" s="10">
        <v>6763672215</v>
      </c>
      <c r="AN88" s="10">
        <v>7423374949</v>
      </c>
      <c r="AO88" s="10">
        <v>8496967421</v>
      </c>
      <c r="AP88" s="10">
        <v>8298702543</v>
      </c>
      <c r="AQ88" s="10">
        <v>8758602361</v>
      </c>
      <c r="AR88" s="10">
        <v>9774329500</v>
      </c>
      <c r="AS88" s="10">
        <v>10532017440</v>
      </c>
      <c r="AT88" s="10">
        <v>10982988173</v>
      </c>
      <c r="AU88" s="10">
        <v>11880438655</v>
      </c>
      <c r="AV88" s="10">
        <v>12611066240</v>
      </c>
      <c r="AW88" s="10">
        <v>13184362249</v>
      </c>
      <c r="AX88" s="10">
        <v>13814104622</v>
      </c>
    </row>
    <row r="89" spans="2:50" x14ac:dyDescent="0.45">
      <c r="B89" t="s">
        <v>143</v>
      </c>
      <c r="C89" s="10">
        <v>426827239.80000001</v>
      </c>
      <c r="D89" s="10">
        <v>457398991.60000002</v>
      </c>
      <c r="E89" s="10">
        <v>573538893.60000002</v>
      </c>
      <c r="F89" s="10">
        <v>611323582.79999995</v>
      </c>
      <c r="G89" s="10">
        <v>702076973.29999995</v>
      </c>
      <c r="H89" s="10">
        <v>894168836.79999995</v>
      </c>
      <c r="I89" s="10">
        <v>1058177751</v>
      </c>
      <c r="J89" s="10">
        <v>1249521301</v>
      </c>
      <c r="K89" s="10">
        <v>1691652072</v>
      </c>
      <c r="L89" s="10">
        <v>2214615841</v>
      </c>
      <c r="M89" s="10">
        <v>2697416016</v>
      </c>
      <c r="N89" s="10">
        <v>2352546598</v>
      </c>
      <c r="O89" s="10">
        <v>2144491026</v>
      </c>
      <c r="P89" s="10">
        <v>1916542124</v>
      </c>
      <c r="Q89" s="10">
        <v>1552854297</v>
      </c>
      <c r="R89" s="10">
        <v>1530886171</v>
      </c>
      <c r="S89" s="10">
        <v>1979850429</v>
      </c>
      <c r="T89" s="10">
        <v>2290425100</v>
      </c>
      <c r="U89" s="10">
        <v>2380833275</v>
      </c>
      <c r="V89" s="10">
        <v>2221982577</v>
      </c>
      <c r="W89" s="10">
        <v>2637840459</v>
      </c>
      <c r="X89" s="10">
        <v>2503615940</v>
      </c>
      <c r="Y89" s="10">
        <v>2601072807</v>
      </c>
      <c r="Z89" s="10">
        <v>2387928384</v>
      </c>
      <c r="AA89" s="10">
        <v>1476810754</v>
      </c>
      <c r="AB89" s="10">
        <v>1786362050</v>
      </c>
      <c r="AC89" s="10">
        <v>1912512510</v>
      </c>
      <c r="AD89" s="10">
        <v>1761109206</v>
      </c>
      <c r="AE89" s="10">
        <v>2012203457</v>
      </c>
      <c r="AF89" s="10">
        <v>1979561017</v>
      </c>
      <c r="AG89" s="10">
        <v>1727057550</v>
      </c>
      <c r="AH89" s="10">
        <v>1880693834</v>
      </c>
      <c r="AI89" s="10">
        <v>2144636010</v>
      </c>
      <c r="AJ89" s="10">
        <v>2640611100</v>
      </c>
      <c r="AK89" s="10">
        <v>2897005504</v>
      </c>
      <c r="AL89" s="10">
        <v>3369007255</v>
      </c>
      <c r="AM89" s="10">
        <v>3646729905</v>
      </c>
      <c r="AN89" s="10">
        <v>4283547441</v>
      </c>
      <c r="AO89" s="10">
        <v>5403362220</v>
      </c>
      <c r="AP89" s="10">
        <v>5397121962</v>
      </c>
      <c r="AQ89" s="10">
        <v>5718587531</v>
      </c>
      <c r="AR89" s="10">
        <v>6409169698</v>
      </c>
      <c r="AS89" s="10">
        <v>6942208848</v>
      </c>
      <c r="AT89" s="10">
        <v>7667949382</v>
      </c>
      <c r="AU89" s="10">
        <v>8229732892</v>
      </c>
      <c r="AV89" s="10">
        <v>7248752161</v>
      </c>
      <c r="AW89" s="10">
        <v>7605856316</v>
      </c>
      <c r="AX89" s="10">
        <v>8119986519</v>
      </c>
    </row>
    <row r="90" spans="2:50" x14ac:dyDescent="0.45">
      <c r="B90" t="s">
        <v>144</v>
      </c>
      <c r="C90" s="10">
        <v>23922150995</v>
      </c>
      <c r="D90" s="10">
        <v>27752032625</v>
      </c>
      <c r="E90" s="10">
        <v>33748395601</v>
      </c>
      <c r="F90" s="10">
        <v>38774847477</v>
      </c>
      <c r="G90" s="10">
        <v>62784520988</v>
      </c>
      <c r="H90" s="10">
        <v>79839158471</v>
      </c>
      <c r="I90" s="10">
        <v>97388063414</v>
      </c>
      <c r="J90" s="10">
        <v>113000000000</v>
      </c>
      <c r="K90" s="10">
        <v>126000000000</v>
      </c>
      <c r="L90" s="10">
        <v>153000000000</v>
      </c>
      <c r="M90" s="10">
        <v>199000000000</v>
      </c>
      <c r="N90" s="10">
        <v>184000000000</v>
      </c>
      <c r="O90" s="10">
        <v>180000000000</v>
      </c>
      <c r="P90" s="10">
        <v>182000000000</v>
      </c>
      <c r="Q90" s="10">
        <v>180000000000</v>
      </c>
      <c r="R90" s="10">
        <v>179000000000</v>
      </c>
      <c r="S90" s="10">
        <v>90400791150</v>
      </c>
      <c r="T90" s="10">
        <v>55831893224</v>
      </c>
      <c r="U90" s="10">
        <v>66986101802</v>
      </c>
      <c r="V90" s="10">
        <v>60544389948</v>
      </c>
      <c r="W90" s="10">
        <v>68328913855</v>
      </c>
      <c r="X90" s="10">
        <v>63999799474</v>
      </c>
      <c r="Y90" s="10">
        <v>58079405069</v>
      </c>
      <c r="Z90" s="10">
        <v>56664208759</v>
      </c>
      <c r="AA90" s="10">
        <v>47068655201</v>
      </c>
      <c r="AB90" s="10">
        <v>49029998691</v>
      </c>
      <c r="AC90" s="10">
        <v>51988045961</v>
      </c>
      <c r="AD90" s="10">
        <v>54406007456</v>
      </c>
      <c r="AE90" s="10">
        <v>56544801545</v>
      </c>
      <c r="AF90" s="10">
        <v>57682378671</v>
      </c>
      <c r="AG90" s="10">
        <v>74591453578</v>
      </c>
      <c r="AH90" s="10">
        <v>70976564249</v>
      </c>
      <c r="AI90" s="10">
        <v>95063456807</v>
      </c>
      <c r="AJ90" s="10">
        <v>109000000000</v>
      </c>
      <c r="AK90" s="10">
        <v>141000000000</v>
      </c>
      <c r="AL90" s="10">
        <v>181000000000</v>
      </c>
      <c r="AM90" s="10">
        <v>234000000000</v>
      </c>
      <c r="AN90" s="10">
        <v>268000000000</v>
      </c>
      <c r="AO90" s="10">
        <v>335000000000</v>
      </c>
      <c r="AP90" s="10">
        <v>273000000000</v>
      </c>
      <c r="AQ90" s="10">
        <v>369000000000</v>
      </c>
      <c r="AR90" s="10">
        <v>414000000000</v>
      </c>
      <c r="AS90" s="10">
        <v>461000000000</v>
      </c>
      <c r="AT90" s="10">
        <v>515000000000</v>
      </c>
      <c r="AU90" s="10">
        <v>568000000000</v>
      </c>
      <c r="AV90" s="10">
        <v>495000000000</v>
      </c>
      <c r="AW90" s="10">
        <v>405000000000</v>
      </c>
      <c r="AX90" s="10">
        <v>376000000000</v>
      </c>
    </row>
    <row r="91" spans="2:50" x14ac:dyDescent="0.45">
      <c r="B91" t="s">
        <v>222</v>
      </c>
      <c r="C91" s="10">
        <v>268409418.40000001</v>
      </c>
      <c r="D91" s="10">
        <v>315323809.19999999</v>
      </c>
      <c r="E91" s="10">
        <v>384188039.19999999</v>
      </c>
      <c r="F91" s="10">
        <v>505851170.89999998</v>
      </c>
      <c r="G91" s="10">
        <v>1723549414</v>
      </c>
      <c r="H91" s="10">
        <v>2195592765</v>
      </c>
      <c r="I91" s="10">
        <v>2680975810</v>
      </c>
      <c r="J91" s="10">
        <v>2870460136</v>
      </c>
      <c r="K91" s="10">
        <v>2870763309</v>
      </c>
      <c r="L91" s="10">
        <v>3910653283</v>
      </c>
      <c r="M91" s="10">
        <v>6256014459</v>
      </c>
      <c r="N91" s="10">
        <v>7551882717</v>
      </c>
      <c r="O91" s="10">
        <v>7942132038</v>
      </c>
      <c r="P91" s="10">
        <v>8397088881</v>
      </c>
      <c r="Q91" s="10">
        <v>9254100985</v>
      </c>
      <c r="R91" s="10">
        <v>10280627288</v>
      </c>
      <c r="S91" s="10">
        <v>8138146052</v>
      </c>
      <c r="T91" s="10">
        <v>8532893254</v>
      </c>
      <c r="U91" s="10">
        <v>8293439321</v>
      </c>
      <c r="V91" s="10">
        <v>9268487498</v>
      </c>
      <c r="W91" s="10">
        <v>11556031285</v>
      </c>
      <c r="X91" s="10">
        <v>11216011847</v>
      </c>
      <c r="Y91" s="10">
        <v>12314773602</v>
      </c>
      <c r="Z91" s="10">
        <v>12355925807</v>
      </c>
      <c r="AA91" s="10">
        <v>12775839352</v>
      </c>
      <c r="AB91" s="10">
        <v>13650077268</v>
      </c>
      <c r="AC91" s="10">
        <v>15108709148</v>
      </c>
      <c r="AD91" s="10">
        <v>15662333330</v>
      </c>
      <c r="AE91" s="10">
        <v>13996914687</v>
      </c>
      <c r="AF91" s="10">
        <v>15593456224</v>
      </c>
      <c r="AG91" s="10">
        <v>19507452507</v>
      </c>
      <c r="AH91" s="10">
        <v>19452000476</v>
      </c>
      <c r="AI91" s="10">
        <v>20142756174</v>
      </c>
      <c r="AJ91" s="10">
        <v>21633708221</v>
      </c>
      <c r="AK91" s="10">
        <v>24763713001</v>
      </c>
      <c r="AL91" s="10">
        <v>31081991724</v>
      </c>
      <c r="AM91" s="10">
        <v>37215779657</v>
      </c>
      <c r="AN91" s="10">
        <v>42085379490</v>
      </c>
      <c r="AO91" s="10">
        <v>60905452458</v>
      </c>
      <c r="AP91" s="10">
        <v>48388363516</v>
      </c>
      <c r="AQ91" s="10">
        <v>57048387488</v>
      </c>
      <c r="AR91" s="10">
        <v>68016815573</v>
      </c>
      <c r="AS91" s="10">
        <v>76615928081</v>
      </c>
      <c r="AT91" s="10">
        <v>78784441056</v>
      </c>
      <c r="AU91" s="10">
        <v>81076732718</v>
      </c>
      <c r="AV91" s="10">
        <v>68921363014</v>
      </c>
      <c r="AW91" s="10">
        <v>65941435410</v>
      </c>
      <c r="AX91" s="10">
        <v>70783762689</v>
      </c>
    </row>
    <row r="92" spans="2:50" x14ac:dyDescent="0.45">
      <c r="B92" t="s">
        <v>145</v>
      </c>
      <c r="C92" s="10">
        <v>13139261768</v>
      </c>
      <c r="D92" s="10">
        <v>13975754332</v>
      </c>
      <c r="E92" s="10">
        <v>8251877546</v>
      </c>
      <c r="F92" s="10">
        <v>8848524430</v>
      </c>
      <c r="G92" s="10">
        <v>11660558124</v>
      </c>
      <c r="H92" s="10">
        <v>14715396177</v>
      </c>
      <c r="I92" s="10">
        <v>17254057789</v>
      </c>
      <c r="J92" s="10">
        <v>19819587047</v>
      </c>
      <c r="K92" s="10">
        <v>23338322130</v>
      </c>
      <c r="L92" s="10">
        <v>25797571983</v>
      </c>
      <c r="M92" s="10">
        <v>30994277554</v>
      </c>
      <c r="N92" s="10">
        <v>36820056616</v>
      </c>
      <c r="O92" s="10">
        <v>35851006582</v>
      </c>
      <c r="P92" s="10">
        <v>36399712132</v>
      </c>
      <c r="Q92" s="10">
        <v>39160686647</v>
      </c>
      <c r="R92" s="10">
        <v>38840362265</v>
      </c>
      <c r="S92" s="10">
        <v>40497845025</v>
      </c>
      <c r="T92" s="10">
        <v>43113077983</v>
      </c>
      <c r="U92" s="10">
        <v>49155354318</v>
      </c>
      <c r="V92" s="10">
        <v>49100245566</v>
      </c>
      <c r="W92" s="10">
        <v>51666173856</v>
      </c>
      <c r="X92" s="10">
        <v>55973297636</v>
      </c>
      <c r="Y92" s="10">
        <v>62958367556</v>
      </c>
      <c r="Z92" s="10">
        <v>62134067176</v>
      </c>
      <c r="AA92" s="10">
        <v>66919638536</v>
      </c>
      <c r="AB92" s="10">
        <v>77266091761</v>
      </c>
      <c r="AC92" s="10">
        <v>76999762382</v>
      </c>
      <c r="AD92" s="10">
        <v>77394422577</v>
      </c>
      <c r="AE92" s="10">
        <v>77886383085</v>
      </c>
      <c r="AF92" s="10">
        <v>77779555708</v>
      </c>
      <c r="AG92" s="10">
        <v>76865936391</v>
      </c>
      <c r="AH92" s="10">
        <v>73268805041</v>
      </c>
      <c r="AI92" s="10">
        <v>80353156003</v>
      </c>
      <c r="AJ92" s="10">
        <v>90990621089</v>
      </c>
      <c r="AK92" s="10">
        <v>104000000000</v>
      </c>
      <c r="AL92" s="10">
        <v>118000000000</v>
      </c>
      <c r="AM92" s="10">
        <v>136000000000</v>
      </c>
      <c r="AN92" s="10">
        <v>152000000000</v>
      </c>
      <c r="AO92" s="10">
        <v>151000000000</v>
      </c>
      <c r="AP92" s="10">
        <v>162000000000</v>
      </c>
      <c r="AQ92" s="10">
        <v>175000000000</v>
      </c>
      <c r="AR92" s="10">
        <v>212000000000</v>
      </c>
      <c r="AS92" s="10">
        <v>215000000000</v>
      </c>
      <c r="AT92" s="10">
        <v>220000000000</v>
      </c>
      <c r="AU92" s="10">
        <v>249000000000</v>
      </c>
      <c r="AV92" s="10">
        <v>267000000000</v>
      </c>
      <c r="AW92" s="10">
        <v>278000000000</v>
      </c>
      <c r="AX92" s="10">
        <v>302000000000</v>
      </c>
    </row>
    <row r="93" spans="2:50" x14ac:dyDescent="0.45">
      <c r="B93" t="s">
        <v>146</v>
      </c>
      <c r="C93" s="10">
        <v>1165333385</v>
      </c>
      <c r="D93" s="10">
        <v>1314855647</v>
      </c>
      <c r="E93" s="10">
        <v>1444770309</v>
      </c>
      <c r="F93" s="10">
        <v>1652542039</v>
      </c>
      <c r="G93" s="10">
        <v>1888635855</v>
      </c>
      <c r="H93" s="10">
        <v>2115327197</v>
      </c>
      <c r="I93" s="10">
        <v>2246617833</v>
      </c>
      <c r="J93" s="10">
        <v>2382036383</v>
      </c>
      <c r="K93" s="10">
        <v>2824181964</v>
      </c>
      <c r="L93" s="10">
        <v>3232501573</v>
      </c>
      <c r="M93" s="10">
        <v>4119430014</v>
      </c>
      <c r="N93" s="10">
        <v>4639007186</v>
      </c>
      <c r="O93" s="10">
        <v>4911753244</v>
      </c>
      <c r="P93" s="10">
        <v>5160443726</v>
      </c>
      <c r="Q93" s="10">
        <v>5455502197</v>
      </c>
      <c r="R93" s="10">
        <v>5817497921</v>
      </c>
      <c r="S93" s="10">
        <v>6146489863</v>
      </c>
      <c r="T93" s="10">
        <v>6338585829</v>
      </c>
      <c r="U93" s="10">
        <v>5664681106</v>
      </c>
      <c r="V93" s="10">
        <v>5679788471</v>
      </c>
      <c r="W93" s="10">
        <v>6174496595</v>
      </c>
      <c r="X93" s="10">
        <v>6789366381</v>
      </c>
      <c r="Y93" s="10">
        <v>7718004533</v>
      </c>
      <c r="Z93" s="10">
        <v>8428399355</v>
      </c>
      <c r="AA93" s="10">
        <v>8987604309</v>
      </c>
      <c r="AB93" s="10">
        <v>9187718800</v>
      </c>
      <c r="AC93" s="10">
        <v>9472434539</v>
      </c>
      <c r="AD93" s="10">
        <v>10246723070</v>
      </c>
      <c r="AE93" s="10">
        <v>11108703334</v>
      </c>
      <c r="AF93" s="10">
        <v>11641052103</v>
      </c>
      <c r="AG93" s="10">
        <v>11808001717</v>
      </c>
      <c r="AH93" s="10">
        <v>11998017406</v>
      </c>
      <c r="AI93" s="10">
        <v>12470313088</v>
      </c>
      <c r="AJ93" s="10">
        <v>13141769599</v>
      </c>
      <c r="AK93" s="10">
        <v>14407965057</v>
      </c>
      <c r="AL93" s="10">
        <v>15714094294</v>
      </c>
      <c r="AM93" s="10">
        <v>17413362943</v>
      </c>
      <c r="AN93" s="10">
        <v>21295984230</v>
      </c>
      <c r="AO93" s="10">
        <v>25155888616</v>
      </c>
      <c r="AP93" s="10">
        <v>27116635565</v>
      </c>
      <c r="AQ93" s="10">
        <v>29440287581</v>
      </c>
      <c r="AR93" s="10">
        <v>34686224301</v>
      </c>
      <c r="AS93" s="10">
        <v>40429734384</v>
      </c>
      <c r="AT93" s="10">
        <v>45599994005</v>
      </c>
      <c r="AU93" s="10">
        <v>49921464365</v>
      </c>
      <c r="AV93" s="10">
        <v>54315722547</v>
      </c>
      <c r="AW93" s="10">
        <v>57820916624</v>
      </c>
      <c r="AX93" s="10">
        <v>61838175837</v>
      </c>
    </row>
    <row r="94" spans="2:50" x14ac:dyDescent="0.45">
      <c r="B94" t="s">
        <v>147</v>
      </c>
      <c r="C94" s="10">
        <v>1090978535</v>
      </c>
      <c r="D94" s="10">
        <v>1217969544</v>
      </c>
      <c r="E94" s="10">
        <v>1457371612</v>
      </c>
      <c r="F94" s="10">
        <v>2204616660</v>
      </c>
      <c r="G94" s="10">
        <v>2496508795</v>
      </c>
      <c r="H94" s="10">
        <v>2307791399</v>
      </c>
      <c r="I94" s="10">
        <v>2482847972</v>
      </c>
      <c r="J94" s="10">
        <v>2733838351</v>
      </c>
      <c r="K94" s="10">
        <v>3321739445</v>
      </c>
      <c r="L94" s="10">
        <v>3821665171</v>
      </c>
      <c r="M94" s="10">
        <v>4241869750</v>
      </c>
      <c r="N94" s="10">
        <v>4162524348</v>
      </c>
      <c r="O94" s="10">
        <v>3946573001</v>
      </c>
      <c r="P94" s="10">
        <v>3933060325</v>
      </c>
      <c r="Q94" s="10">
        <v>3893092883</v>
      </c>
      <c r="R94" s="10">
        <v>3681537018</v>
      </c>
      <c r="S94" s="10">
        <v>4058991916</v>
      </c>
      <c r="T94" s="10">
        <v>4819048903</v>
      </c>
      <c r="U94" s="10">
        <v>5603821398</v>
      </c>
      <c r="V94" s="10">
        <v>5436012791</v>
      </c>
      <c r="W94" s="10">
        <v>4937205412</v>
      </c>
      <c r="X94" s="10">
        <v>5806913620</v>
      </c>
      <c r="Y94" s="10">
        <v>6578224455</v>
      </c>
      <c r="Z94" s="10">
        <v>7476810065</v>
      </c>
      <c r="AA94" s="10">
        <v>7995791627</v>
      </c>
      <c r="AB94" s="10">
        <v>7273583747</v>
      </c>
      <c r="AC94" s="10">
        <v>7740435122</v>
      </c>
      <c r="AD94" s="10">
        <v>7398160489</v>
      </c>
      <c r="AE94" s="10">
        <v>5655031930</v>
      </c>
      <c r="AF94" s="10">
        <v>5160294177</v>
      </c>
      <c r="AG94" s="10">
        <v>5258409593</v>
      </c>
      <c r="AH94" s="10">
        <v>4610045329</v>
      </c>
      <c r="AI94" s="10">
        <v>4579968608</v>
      </c>
      <c r="AJ94" s="10">
        <v>5583795996</v>
      </c>
      <c r="AK94" s="10">
        <v>6276112898</v>
      </c>
      <c r="AL94" s="10">
        <v>7312284812</v>
      </c>
      <c r="AM94" s="10">
        <v>8306248911</v>
      </c>
      <c r="AN94" s="10">
        <v>9544923793</v>
      </c>
      <c r="AO94" s="10">
        <v>11670729291</v>
      </c>
      <c r="AP94" s="10">
        <v>11619359186</v>
      </c>
      <c r="AQ94" s="10">
        <v>14250756860</v>
      </c>
      <c r="AR94" s="10">
        <v>17985044480</v>
      </c>
      <c r="AS94" s="10">
        <v>21295340086</v>
      </c>
      <c r="AT94" s="10">
        <v>21261210687</v>
      </c>
      <c r="AU94" s="10">
        <v>23003715388</v>
      </c>
      <c r="AV94" s="10">
        <v>22961541726</v>
      </c>
      <c r="AW94" s="10">
        <v>21480169356</v>
      </c>
      <c r="AX94" s="10">
        <v>22005827704</v>
      </c>
    </row>
    <row r="95" spans="2:50" x14ac:dyDescent="0.45">
      <c r="B95" t="s">
        <v>223</v>
      </c>
      <c r="C95" s="10">
        <v>525486942.60000002</v>
      </c>
      <c r="D95" s="10">
        <v>587314299.39999998</v>
      </c>
      <c r="E95" s="10">
        <v>679638008.70000005</v>
      </c>
      <c r="F95" s="10">
        <v>879800131</v>
      </c>
      <c r="G95" s="10">
        <v>1178458178</v>
      </c>
      <c r="H95" s="10">
        <v>1335716393</v>
      </c>
      <c r="I95" s="10">
        <v>1501454389</v>
      </c>
      <c r="J95" s="10">
        <v>1848943072</v>
      </c>
      <c r="K95" s="10">
        <v>2262271051</v>
      </c>
      <c r="L95" s="10">
        <v>3019573759</v>
      </c>
      <c r="M95" s="10">
        <v>3930992464</v>
      </c>
      <c r="N95" s="10">
        <v>4970659973</v>
      </c>
      <c r="O95" s="10">
        <v>5169510500</v>
      </c>
      <c r="P95" s="10">
        <v>5738153849</v>
      </c>
      <c r="Q95" s="10">
        <v>4706486351</v>
      </c>
      <c r="R95" s="10">
        <v>4016898320</v>
      </c>
      <c r="S95" s="10">
        <v>4778237298</v>
      </c>
      <c r="T95" s="10">
        <v>4006758645</v>
      </c>
      <c r="U95" s="10">
        <v>5333222429</v>
      </c>
      <c r="V95" s="10">
        <v>3855902648</v>
      </c>
      <c r="W95" s="10">
        <v>4652573956</v>
      </c>
      <c r="X95" s="10">
        <v>5522347996</v>
      </c>
      <c r="Y95" s="10">
        <v>5696747485</v>
      </c>
      <c r="Z95" s="10">
        <v>6075440329</v>
      </c>
      <c r="AA95" s="10">
        <v>6941028904</v>
      </c>
      <c r="AB95" s="10">
        <v>8065636989</v>
      </c>
      <c r="AC95" s="10">
        <v>8753353694</v>
      </c>
      <c r="AD95" s="10">
        <v>8872001791</v>
      </c>
      <c r="AE95" s="10">
        <v>7915671798</v>
      </c>
      <c r="AF95" s="10">
        <v>7300886374</v>
      </c>
      <c r="AG95" s="10">
        <v>7095379508</v>
      </c>
      <c r="AH95" s="10">
        <v>6445724898</v>
      </c>
      <c r="AI95" s="10">
        <v>6325153604</v>
      </c>
      <c r="AJ95" s="10">
        <v>6588104847</v>
      </c>
      <c r="AK95" s="10">
        <v>8033880889</v>
      </c>
      <c r="AL95" s="10">
        <v>8734653710</v>
      </c>
      <c r="AM95" s="10">
        <v>10646243520</v>
      </c>
      <c r="AN95" s="10">
        <v>13794987246</v>
      </c>
      <c r="AO95" s="10">
        <v>18503387942</v>
      </c>
      <c r="AP95" s="10">
        <v>15933721947</v>
      </c>
      <c r="AQ95" s="10">
        <v>20047518467</v>
      </c>
      <c r="AR95" s="10">
        <v>25099681744</v>
      </c>
      <c r="AS95" s="10">
        <v>24595319648</v>
      </c>
      <c r="AT95" s="10">
        <v>28965906726</v>
      </c>
      <c r="AU95" s="10">
        <v>30881167083</v>
      </c>
      <c r="AV95" s="10">
        <v>27282581336</v>
      </c>
      <c r="AW95" s="10">
        <v>27424184874</v>
      </c>
      <c r="AX95" s="10">
        <v>29435069062</v>
      </c>
    </row>
    <row r="96" spans="2:50" x14ac:dyDescent="0.45">
      <c r="B96" t="s">
        <v>148</v>
      </c>
      <c r="C96" s="10">
        <v>5829063411</v>
      </c>
      <c r="D96" s="10">
        <v>6502600569</v>
      </c>
      <c r="E96" s="10">
        <v>7208201034</v>
      </c>
      <c r="F96" s="10">
        <v>8619610129</v>
      </c>
      <c r="G96" s="10">
        <v>10868204083</v>
      </c>
      <c r="H96" s="10">
        <v>13272483022</v>
      </c>
      <c r="I96" s="10">
        <v>12659368515</v>
      </c>
      <c r="J96" s="10">
        <v>11411611289</v>
      </c>
      <c r="K96" s="10">
        <v>9796833320</v>
      </c>
      <c r="L96" s="10">
        <v>12513651092</v>
      </c>
      <c r="M96" s="10">
        <v>16647414631</v>
      </c>
      <c r="N96" s="10">
        <v>20334540870</v>
      </c>
      <c r="O96" s="10">
        <v>20686347331</v>
      </c>
      <c r="P96" s="10">
        <v>16053237806</v>
      </c>
      <c r="Q96" s="10">
        <v>16829112802</v>
      </c>
      <c r="R96" s="10">
        <v>14529423129</v>
      </c>
      <c r="S96" s="10">
        <v>21604569134</v>
      </c>
      <c r="T96" s="10">
        <v>35388811887</v>
      </c>
      <c r="U96" s="10">
        <v>30910513495</v>
      </c>
      <c r="V96" s="10">
        <v>34754048252</v>
      </c>
      <c r="W96" s="10">
        <v>29118873770</v>
      </c>
      <c r="X96" s="10">
        <v>34354513205</v>
      </c>
      <c r="Y96" s="10">
        <v>35884248340</v>
      </c>
      <c r="Z96" s="10">
        <v>34642889103</v>
      </c>
      <c r="AA96" s="10">
        <v>44662900518</v>
      </c>
      <c r="AB96" s="10">
        <v>53371153846</v>
      </c>
      <c r="AC96" s="10">
        <v>55274184783</v>
      </c>
      <c r="AD96" s="10">
        <v>58143884892</v>
      </c>
      <c r="AE96" s="10">
        <v>55490102389</v>
      </c>
      <c r="AF96" s="10">
        <v>50204630542</v>
      </c>
      <c r="AG96" s="10">
        <v>51743266476</v>
      </c>
      <c r="AH96" s="10">
        <v>52048952046</v>
      </c>
      <c r="AI96" s="10">
        <v>54796246268</v>
      </c>
      <c r="AJ96" s="10">
        <v>58743406219</v>
      </c>
      <c r="AK96" s="10">
        <v>66780929779</v>
      </c>
      <c r="AL96" s="10">
        <v>76080414462</v>
      </c>
      <c r="AM96" s="10">
        <v>88658557838</v>
      </c>
      <c r="AN96" s="10">
        <v>102000000000</v>
      </c>
      <c r="AO96" s="10">
        <v>121000000000</v>
      </c>
      <c r="AP96" s="10">
        <v>121000000000</v>
      </c>
      <c r="AQ96" s="10">
        <v>148000000000</v>
      </c>
      <c r="AR96" s="10">
        <v>172000000000</v>
      </c>
      <c r="AS96" s="10">
        <v>193000000000</v>
      </c>
      <c r="AT96" s="10">
        <v>201000000000</v>
      </c>
      <c r="AU96" s="10">
        <v>201000000000</v>
      </c>
      <c r="AV96" s="10">
        <v>190000000000</v>
      </c>
      <c r="AW96" s="10">
        <v>192000000000</v>
      </c>
      <c r="AX96" s="10">
        <v>211000000000</v>
      </c>
    </row>
    <row r="97" spans="2:50" x14ac:dyDescent="0.45">
      <c r="B97" t="s">
        <v>149</v>
      </c>
      <c r="C97" s="10">
        <v>7413126797</v>
      </c>
      <c r="D97" s="10">
        <v>8208735226</v>
      </c>
      <c r="E97" s="10">
        <v>8882759469</v>
      </c>
      <c r="F97" s="10">
        <v>11171721936</v>
      </c>
      <c r="G97" s="10">
        <v>15268915773</v>
      </c>
      <c r="H97" s="10">
        <v>16502281053</v>
      </c>
      <c r="I97" s="10">
        <v>18943854512</v>
      </c>
      <c r="J97" s="10">
        <v>21769709210</v>
      </c>
      <c r="K97" s="10">
        <v>25157803089</v>
      </c>
      <c r="L97" s="10">
        <v>30470874636</v>
      </c>
      <c r="M97" s="10">
        <v>35953525445</v>
      </c>
      <c r="N97" s="10">
        <v>39494815353</v>
      </c>
      <c r="O97" s="10">
        <v>41149567275</v>
      </c>
      <c r="P97" s="10">
        <v>36797490045</v>
      </c>
      <c r="Q97" s="10">
        <v>34799126032</v>
      </c>
      <c r="R97" s="10">
        <v>34052132198</v>
      </c>
      <c r="S97" s="10">
        <v>33092751969</v>
      </c>
      <c r="T97" s="10">
        <v>36779588766</v>
      </c>
      <c r="U97" s="10">
        <v>41975348561</v>
      </c>
      <c r="V97" s="10">
        <v>47171351765</v>
      </c>
      <c r="W97" s="10">
        <v>49095176624</v>
      </c>
      <c r="X97" s="10">
        <v>50320475977</v>
      </c>
      <c r="Y97" s="10">
        <v>58695335471</v>
      </c>
      <c r="Z97" s="10">
        <v>60237427713</v>
      </c>
      <c r="AA97" s="10">
        <v>71002678801</v>
      </c>
      <c r="AB97" s="10">
        <v>82121271715</v>
      </c>
      <c r="AC97" s="10">
        <v>91790470430</v>
      </c>
      <c r="AD97" s="10">
        <v>91233724399</v>
      </c>
      <c r="AE97" s="10">
        <v>72206940479</v>
      </c>
      <c r="AF97" s="10">
        <v>82995181179</v>
      </c>
      <c r="AG97" s="10">
        <v>81025841937</v>
      </c>
      <c r="AH97" s="10">
        <v>76261997690</v>
      </c>
      <c r="AI97" s="10">
        <v>81357658195</v>
      </c>
      <c r="AJ97" s="10">
        <v>83908155047</v>
      </c>
      <c r="AK97" s="10">
        <v>91371215321</v>
      </c>
      <c r="AL97" s="10">
        <v>103000000000</v>
      </c>
      <c r="AM97" s="10">
        <v>122000000000</v>
      </c>
      <c r="AN97" s="10">
        <v>149000000000</v>
      </c>
      <c r="AO97" s="10">
        <v>174000000000</v>
      </c>
      <c r="AP97" s="10">
        <v>168000000000</v>
      </c>
      <c r="AQ97" s="10">
        <v>200000000000</v>
      </c>
      <c r="AR97" s="10">
        <v>224000000000</v>
      </c>
      <c r="AS97" s="10">
        <v>250000000000</v>
      </c>
      <c r="AT97" s="10">
        <v>272000000000</v>
      </c>
      <c r="AU97" s="10">
        <v>285000000000</v>
      </c>
      <c r="AV97" s="10">
        <v>293000000000</v>
      </c>
      <c r="AW97" s="10">
        <v>305000000000</v>
      </c>
      <c r="AX97" s="10">
        <v>314000000000</v>
      </c>
    </row>
    <row r="98" spans="2:50" x14ac:dyDescent="0.45">
      <c r="B98" t="s">
        <v>150</v>
      </c>
      <c r="C98" s="10">
        <v>5105645474</v>
      </c>
      <c r="D98" s="10">
        <v>5726370760</v>
      </c>
      <c r="E98" s="10">
        <v>6417956532</v>
      </c>
      <c r="F98" s="10">
        <v>7100415807</v>
      </c>
      <c r="G98" s="10">
        <v>7793015635</v>
      </c>
      <c r="H98" s="10">
        <v>8313226047</v>
      </c>
      <c r="I98" s="10">
        <v>9095062749</v>
      </c>
      <c r="J98" s="10">
        <v>10050302922</v>
      </c>
      <c r="K98" s="10">
        <v>11321928375</v>
      </c>
      <c r="L98" s="10">
        <v>12929206160</v>
      </c>
      <c r="M98" s="10">
        <v>14638903540</v>
      </c>
      <c r="N98" s="10">
        <v>16180267725</v>
      </c>
      <c r="O98" s="10">
        <v>16999624476</v>
      </c>
      <c r="P98" s="10">
        <v>17519834889</v>
      </c>
      <c r="Q98" s="10">
        <v>19432343345</v>
      </c>
      <c r="R98" s="10">
        <v>20574169709</v>
      </c>
      <c r="S98" s="10">
        <v>22277782756</v>
      </c>
      <c r="T98" s="10">
        <v>24213614486</v>
      </c>
      <c r="U98" s="10">
        <v>26545941872</v>
      </c>
      <c r="V98" s="10">
        <v>28664303571</v>
      </c>
      <c r="W98" s="10">
        <v>31034151006</v>
      </c>
      <c r="X98" s="10">
        <v>32740806219</v>
      </c>
      <c r="Y98" s="10">
        <v>35116737987</v>
      </c>
      <c r="Z98" s="10">
        <v>37441966985</v>
      </c>
      <c r="AA98" s="10">
        <v>40248872291</v>
      </c>
      <c r="AB98" s="10">
        <v>43246420009</v>
      </c>
      <c r="AC98" s="10">
        <v>45978285217</v>
      </c>
      <c r="AD98" s="10">
        <v>48864286843</v>
      </c>
      <c r="AE98" s="10">
        <v>54846199560</v>
      </c>
      <c r="AF98" s="10">
        <v>58653977531</v>
      </c>
      <c r="AG98" s="10">
        <v>62569245373</v>
      </c>
      <c r="AH98" s="10">
        <v>70180745093</v>
      </c>
      <c r="AI98" s="10">
        <v>72630702904</v>
      </c>
      <c r="AJ98" s="10">
        <v>75878722302</v>
      </c>
      <c r="AK98" s="10">
        <v>80322313000</v>
      </c>
      <c r="AL98" s="10">
        <v>83914521341</v>
      </c>
      <c r="AM98" s="10">
        <v>87276164365</v>
      </c>
      <c r="AN98" s="10">
        <v>89524100000</v>
      </c>
      <c r="AO98" s="10">
        <v>93639300000</v>
      </c>
      <c r="AP98" s="10">
        <v>96385600000</v>
      </c>
      <c r="AQ98" s="10">
        <v>98381300000</v>
      </c>
      <c r="AR98" s="10">
        <v>100000000000</v>
      </c>
      <c r="AS98" s="10">
        <v>102000000000</v>
      </c>
      <c r="AT98" s="10">
        <v>102000000000</v>
      </c>
      <c r="AU98" s="10">
        <v>102000000000</v>
      </c>
      <c r="AV98" s="10">
        <v>103000000000</v>
      </c>
      <c r="AW98" s="10">
        <v>104000000000</v>
      </c>
      <c r="AX98" s="10">
        <v>104000000000</v>
      </c>
    </row>
    <row r="99" spans="2:50" x14ac:dyDescent="0.45">
      <c r="B99" t="s">
        <v>151</v>
      </c>
      <c r="C99" s="10">
        <v>227807454.90000001</v>
      </c>
      <c r="D99" s="10">
        <v>273832242.89999998</v>
      </c>
      <c r="E99" s="10">
        <v>308135671.10000002</v>
      </c>
      <c r="F99" s="10">
        <v>382373813.39999998</v>
      </c>
      <c r="G99" s="10">
        <v>501613181.89999998</v>
      </c>
      <c r="H99" s="10">
        <v>604242888.70000005</v>
      </c>
      <c r="I99" s="10">
        <v>673864040.29999995</v>
      </c>
      <c r="J99" s="10">
        <v>788926645.5</v>
      </c>
      <c r="K99" s="10">
        <v>956990983</v>
      </c>
      <c r="L99" s="10">
        <v>1172158250</v>
      </c>
      <c r="M99" s="10">
        <v>1325811542</v>
      </c>
      <c r="N99" s="10">
        <v>1486731611</v>
      </c>
      <c r="O99" s="10">
        <v>1486945138</v>
      </c>
      <c r="P99" s="10">
        <v>1563479713</v>
      </c>
      <c r="Q99" s="10">
        <v>1677283180</v>
      </c>
      <c r="R99" s="10">
        <v>1812787181</v>
      </c>
      <c r="S99" s="10">
        <v>2038548784</v>
      </c>
      <c r="T99" s="10">
        <v>2279575008</v>
      </c>
      <c r="U99" s="10">
        <v>2459117649</v>
      </c>
      <c r="V99" s="10">
        <v>2507710293</v>
      </c>
      <c r="W99" s="10">
        <v>2435032064</v>
      </c>
      <c r="X99" s="10">
        <v>1812575129</v>
      </c>
      <c r="Y99" s="10">
        <v>1914769388</v>
      </c>
      <c r="Z99" s="10">
        <v>1854308804</v>
      </c>
      <c r="AA99" s="10">
        <v>1141600742</v>
      </c>
      <c r="AB99" s="10">
        <v>1230119922</v>
      </c>
      <c r="AC99" s="10">
        <v>1331325324</v>
      </c>
      <c r="AD99" s="10">
        <v>1790930782</v>
      </c>
      <c r="AE99" s="10">
        <v>1925274563</v>
      </c>
      <c r="AF99" s="10">
        <v>1817681323</v>
      </c>
      <c r="AG99" s="10">
        <v>1734684534</v>
      </c>
      <c r="AH99" s="10">
        <v>1674974224</v>
      </c>
      <c r="AI99" s="10">
        <v>1676605545</v>
      </c>
      <c r="AJ99" s="10">
        <v>1846909316</v>
      </c>
      <c r="AK99" s="10">
        <v>2088496219</v>
      </c>
      <c r="AL99" s="10">
        <v>2581465675</v>
      </c>
      <c r="AM99" s="10">
        <v>3152016366</v>
      </c>
      <c r="AN99" s="10">
        <v>3824811913</v>
      </c>
      <c r="AO99" s="10">
        <v>4860577026</v>
      </c>
      <c r="AP99" s="10">
        <v>5379377881</v>
      </c>
      <c r="AQ99" s="10">
        <v>5772288798</v>
      </c>
      <c r="AR99" s="10">
        <v>6563313692</v>
      </c>
      <c r="AS99" s="10">
        <v>7335236255</v>
      </c>
      <c r="AT99" s="10">
        <v>7622526729</v>
      </c>
      <c r="AU99" s="10">
        <v>8016288124</v>
      </c>
      <c r="AV99" s="10">
        <v>8277678281</v>
      </c>
      <c r="AW99" s="10">
        <v>8475055070</v>
      </c>
      <c r="AX99" s="10">
        <v>9136162028</v>
      </c>
    </row>
    <row r="100" spans="2:50" x14ac:dyDescent="0.45">
      <c r="B100" t="s">
        <v>224</v>
      </c>
      <c r="C100" s="10">
        <v>5377268844</v>
      </c>
      <c r="D100" s="10">
        <v>7184816177</v>
      </c>
      <c r="E100" s="10">
        <v>9664177037</v>
      </c>
      <c r="F100" s="10">
        <v>14947535254</v>
      </c>
      <c r="G100" s="10">
        <v>45412971922</v>
      </c>
      <c r="H100" s="10">
        <v>46773137523</v>
      </c>
      <c r="I100" s="10">
        <v>64005623888</v>
      </c>
      <c r="J100" s="10">
        <v>74189100135</v>
      </c>
      <c r="K100" s="10">
        <v>80266637390</v>
      </c>
      <c r="L100" s="10">
        <v>112000000000</v>
      </c>
      <c r="M100" s="10">
        <v>165000000000</v>
      </c>
      <c r="N100" s="10">
        <v>184000000000</v>
      </c>
      <c r="O100" s="10">
        <v>153000000000</v>
      </c>
      <c r="P100" s="10">
        <v>129000000000</v>
      </c>
      <c r="Q100" s="10">
        <v>120000000000</v>
      </c>
      <c r="R100" s="10">
        <v>104000000000</v>
      </c>
      <c r="S100" s="10">
        <v>86885756271</v>
      </c>
      <c r="T100" s="10">
        <v>85581680504</v>
      </c>
      <c r="U100" s="10">
        <v>88138487186</v>
      </c>
      <c r="V100" s="10">
        <v>95217227020</v>
      </c>
      <c r="W100" s="10">
        <v>117000000000</v>
      </c>
      <c r="X100" s="10">
        <v>132000000000</v>
      </c>
      <c r="Y100" s="10">
        <v>137000000000</v>
      </c>
      <c r="Z100" s="10">
        <v>133000000000</v>
      </c>
      <c r="AA100" s="10">
        <v>135000000000</v>
      </c>
      <c r="AB100" s="10">
        <v>143000000000</v>
      </c>
      <c r="AC100" s="10">
        <v>158000000000</v>
      </c>
      <c r="AD100" s="10">
        <v>166000000000</v>
      </c>
      <c r="AE100" s="10">
        <v>147000000000</v>
      </c>
      <c r="AF100" s="10">
        <v>162000000000</v>
      </c>
      <c r="AG100" s="10">
        <v>190000000000</v>
      </c>
      <c r="AH100" s="10">
        <v>184000000000</v>
      </c>
      <c r="AI100" s="10">
        <v>190000000000</v>
      </c>
      <c r="AJ100" s="10">
        <v>216000000000</v>
      </c>
      <c r="AK100" s="10">
        <v>259000000000</v>
      </c>
      <c r="AL100" s="10">
        <v>328000000000</v>
      </c>
      <c r="AM100" s="10">
        <v>377000000000</v>
      </c>
      <c r="AN100" s="10">
        <v>416000000000</v>
      </c>
      <c r="AO100" s="10">
        <v>520000000000</v>
      </c>
      <c r="AP100" s="10">
        <v>429000000000</v>
      </c>
      <c r="AQ100" s="10">
        <v>528000000000</v>
      </c>
      <c r="AR100" s="10">
        <v>671000000000</v>
      </c>
      <c r="AS100" s="10">
        <v>736000000000</v>
      </c>
      <c r="AT100" s="10">
        <v>747000000000</v>
      </c>
      <c r="AU100" s="10">
        <v>756000000000</v>
      </c>
      <c r="AV100" s="10">
        <v>654000000000</v>
      </c>
      <c r="AW100" s="10">
        <v>645000000000</v>
      </c>
      <c r="AX100" s="10">
        <v>684000000000</v>
      </c>
    </row>
    <row r="101" spans="2:50" x14ac:dyDescent="0.45">
      <c r="B101" t="s">
        <v>152</v>
      </c>
      <c r="C101" s="10">
        <v>1231806686</v>
      </c>
      <c r="D101" s="10">
        <v>1273053240</v>
      </c>
      <c r="E101" s="10">
        <v>1539434824</v>
      </c>
      <c r="F101" s="10">
        <v>1769952038</v>
      </c>
      <c r="G101" s="10">
        <v>1995961934</v>
      </c>
      <c r="H101" s="10">
        <v>2689049212</v>
      </c>
      <c r="I101" s="10">
        <v>2725723992</v>
      </c>
      <c r="J101" s="10">
        <v>2791325014</v>
      </c>
      <c r="K101" s="10">
        <v>3108770474</v>
      </c>
      <c r="L101" s="10">
        <v>3879091650</v>
      </c>
      <c r="M101" s="10">
        <v>4210305419</v>
      </c>
      <c r="N101" s="10">
        <v>3492956160</v>
      </c>
      <c r="O101" s="10">
        <v>3639117228</v>
      </c>
      <c r="P101" s="10">
        <v>3492691047</v>
      </c>
      <c r="Q101" s="10">
        <v>3292922131</v>
      </c>
      <c r="R101" s="10">
        <v>3632030122</v>
      </c>
      <c r="S101" s="10">
        <v>5302137646</v>
      </c>
      <c r="T101" s="10">
        <v>6479947561</v>
      </c>
      <c r="U101" s="10">
        <v>7016176203</v>
      </c>
      <c r="V101" s="10">
        <v>6518106446</v>
      </c>
      <c r="W101" s="10">
        <v>8028359292</v>
      </c>
      <c r="X101" s="10">
        <v>7748266604</v>
      </c>
      <c r="Y101" s="10">
        <v>8491718659</v>
      </c>
      <c r="Z101" s="10">
        <v>7651216562</v>
      </c>
      <c r="AA101" s="10">
        <v>5130911438</v>
      </c>
      <c r="AB101" s="10">
        <v>6305506254</v>
      </c>
      <c r="AC101" s="10">
        <v>6554707294</v>
      </c>
      <c r="AD101" s="10">
        <v>6045780511</v>
      </c>
      <c r="AE101" s="10">
        <v>6508791979</v>
      </c>
      <c r="AF101" s="10">
        <v>6954019356</v>
      </c>
      <c r="AG101" s="10">
        <v>6054968252</v>
      </c>
      <c r="AH101" s="10">
        <v>6311157849</v>
      </c>
      <c r="AI101" s="10">
        <v>6901515768</v>
      </c>
      <c r="AJ101" s="10">
        <v>8875669253</v>
      </c>
      <c r="AK101" s="10">
        <v>10391803413</v>
      </c>
      <c r="AL101" s="10">
        <v>11267093232</v>
      </c>
      <c r="AM101" s="10">
        <v>12109219316</v>
      </c>
      <c r="AN101" s="10">
        <v>14601214765</v>
      </c>
      <c r="AO101" s="10">
        <v>17320697864</v>
      </c>
      <c r="AP101" s="10">
        <v>16533036737</v>
      </c>
      <c r="AQ101" s="10">
        <v>16724612187</v>
      </c>
      <c r="AR101" s="10">
        <v>18599108736</v>
      </c>
      <c r="AS101" s="10">
        <v>18395460188</v>
      </c>
      <c r="AT101" s="10">
        <v>19209968166</v>
      </c>
      <c r="AU101" s="10">
        <v>19770921052</v>
      </c>
      <c r="AV101" s="10">
        <v>17761318197</v>
      </c>
      <c r="AW101" s="10">
        <v>18971670031</v>
      </c>
      <c r="AX101" s="10">
        <v>21126148693</v>
      </c>
    </row>
    <row r="102" spans="2:50" x14ac:dyDescent="0.45">
      <c r="B102" t="s">
        <v>153</v>
      </c>
      <c r="C102" s="10">
        <v>22271753.07</v>
      </c>
      <c r="D102" s="10">
        <v>26541852.120000001</v>
      </c>
      <c r="E102" s="10">
        <v>37029047.619999997</v>
      </c>
      <c r="F102" s="10">
        <v>44582432.630000003</v>
      </c>
      <c r="G102" s="10">
        <v>52120185.93</v>
      </c>
      <c r="H102" s="10">
        <v>57761395.780000001</v>
      </c>
      <c r="I102" s="10">
        <v>59544671.909999996</v>
      </c>
      <c r="J102" s="10">
        <v>77935717.879999995</v>
      </c>
      <c r="K102" s="10">
        <v>103407803.2</v>
      </c>
      <c r="L102" s="10">
        <v>153846080.30000001</v>
      </c>
      <c r="M102" s="10">
        <v>178051931.59999999</v>
      </c>
      <c r="N102" s="10">
        <v>184605382.5</v>
      </c>
      <c r="O102" s="10">
        <v>177966306</v>
      </c>
      <c r="P102" s="10">
        <v>176648442.30000001</v>
      </c>
      <c r="Q102" s="10">
        <v>182831994.90000001</v>
      </c>
      <c r="R102" s="10">
        <v>204083978.30000001</v>
      </c>
      <c r="S102" s="10">
        <v>252349249.90000001</v>
      </c>
      <c r="T102" s="10">
        <v>301190240.60000002</v>
      </c>
      <c r="U102" s="10">
        <v>342925749.80000001</v>
      </c>
      <c r="V102" s="10">
        <v>368308563.80000001</v>
      </c>
      <c r="W102" s="10">
        <v>445361462.60000002</v>
      </c>
      <c r="X102" s="10">
        <v>452338445.10000002</v>
      </c>
      <c r="Y102" s="10">
        <v>523968540.80000001</v>
      </c>
      <c r="Z102" s="10">
        <v>567010679.89999998</v>
      </c>
      <c r="AA102" s="10">
        <v>583232049.89999998</v>
      </c>
      <c r="AB102" s="10">
        <v>613998942</v>
      </c>
      <c r="AC102" s="10">
        <v>603447654.60000002</v>
      </c>
      <c r="AD102" s="10">
        <v>680194245.20000005</v>
      </c>
      <c r="AE102" s="10">
        <v>735080621.20000005</v>
      </c>
      <c r="AF102" s="10">
        <v>751589035.39999998</v>
      </c>
      <c r="AG102" s="10">
        <v>746848933.70000005</v>
      </c>
      <c r="AH102" s="10">
        <v>746284513.29999995</v>
      </c>
      <c r="AI102" s="10">
        <v>837920678.70000005</v>
      </c>
      <c r="AJ102" s="10">
        <v>846384798.39999998</v>
      </c>
      <c r="AK102" s="10">
        <v>839327272.70000005</v>
      </c>
      <c r="AL102" s="10">
        <v>919102909.10000002</v>
      </c>
      <c r="AM102" s="10">
        <v>1016406955</v>
      </c>
      <c r="AN102" s="10">
        <v>1033664298</v>
      </c>
      <c r="AO102" s="10">
        <v>967187765.60000002</v>
      </c>
      <c r="AP102" s="10">
        <v>847421782.60000002</v>
      </c>
      <c r="AQ102" s="10">
        <v>969964538.39999998</v>
      </c>
      <c r="AR102" s="10">
        <v>1018480454</v>
      </c>
      <c r="AS102" s="10">
        <v>1059496471</v>
      </c>
      <c r="AT102" s="10">
        <v>1328089688</v>
      </c>
      <c r="AU102" s="10">
        <v>1342994532</v>
      </c>
      <c r="AV102" s="10">
        <v>1377492436</v>
      </c>
      <c r="AW102" s="10">
        <v>1427576366</v>
      </c>
      <c r="AX102" s="10">
        <v>1486682658</v>
      </c>
    </row>
    <row r="103" spans="2:50" x14ac:dyDescent="0.45">
      <c r="B103" t="s">
        <v>154</v>
      </c>
      <c r="C103" s="10">
        <v>455524419.5</v>
      </c>
      <c r="D103" s="10">
        <v>485017950.30000001</v>
      </c>
      <c r="E103" s="10">
        <v>534665319.30000001</v>
      </c>
      <c r="F103" s="10">
        <v>609902636.29999995</v>
      </c>
      <c r="G103" s="10">
        <v>702290679.20000005</v>
      </c>
      <c r="H103" s="10">
        <v>750561353.5</v>
      </c>
      <c r="I103" s="10">
        <v>697559144.39999998</v>
      </c>
      <c r="J103" s="10">
        <v>794748724.70000005</v>
      </c>
      <c r="K103" s="10">
        <v>1025832474</v>
      </c>
      <c r="L103" s="10">
        <v>1181685900</v>
      </c>
      <c r="M103" s="10">
        <v>1332969266</v>
      </c>
      <c r="N103" s="10">
        <v>1428704725</v>
      </c>
      <c r="O103" s="10">
        <v>1606458776</v>
      </c>
      <c r="P103" s="10">
        <v>1396531823</v>
      </c>
      <c r="Q103" s="10">
        <v>1711505242</v>
      </c>
      <c r="R103" s="10">
        <v>1376399431</v>
      </c>
      <c r="S103" s="10">
        <v>965566310.70000005</v>
      </c>
      <c r="T103" s="10">
        <v>819111932.5</v>
      </c>
      <c r="U103" s="10">
        <v>1283885411</v>
      </c>
      <c r="V103" s="10">
        <v>1211671624</v>
      </c>
      <c r="W103" s="10">
        <v>879295758</v>
      </c>
      <c r="X103" s="10">
        <v>1055725161</v>
      </c>
      <c r="Y103" s="10">
        <v>920350553.79999995</v>
      </c>
      <c r="Z103" s="10">
        <v>1040672380</v>
      </c>
      <c r="AA103" s="10">
        <v>1234192002</v>
      </c>
      <c r="AB103" s="10">
        <v>1178561806</v>
      </c>
      <c r="AC103" s="10">
        <v>1274619892</v>
      </c>
      <c r="AD103" s="10">
        <v>1150810523</v>
      </c>
      <c r="AE103" s="10">
        <v>910059688.79999995</v>
      </c>
      <c r="AF103" s="10">
        <v>906026848.29999995</v>
      </c>
      <c r="AG103" s="10">
        <v>860650531.60000002</v>
      </c>
      <c r="AH103" s="10">
        <v>1090465425</v>
      </c>
      <c r="AI103" s="10">
        <v>1253320298</v>
      </c>
      <c r="AJ103" s="10">
        <v>1385785480</v>
      </c>
      <c r="AK103" s="10">
        <v>1448538418</v>
      </c>
      <c r="AL103" s="10">
        <v>1650494367</v>
      </c>
      <c r="AM103" s="10">
        <v>1885112223</v>
      </c>
      <c r="AN103" s="10">
        <v>2158496849</v>
      </c>
      <c r="AO103" s="10">
        <v>2505458740</v>
      </c>
      <c r="AP103" s="10">
        <v>2453899847</v>
      </c>
      <c r="AQ103" s="10">
        <v>2578026280</v>
      </c>
      <c r="AR103" s="10">
        <v>2942546757</v>
      </c>
      <c r="AS103" s="10">
        <v>3801862575</v>
      </c>
      <c r="AT103" s="10">
        <v>4920343197</v>
      </c>
      <c r="AU103" s="10">
        <v>5015180997</v>
      </c>
      <c r="AV103" s="10">
        <v>4248056588</v>
      </c>
      <c r="AW103" s="10">
        <v>3862721393</v>
      </c>
      <c r="AX103" s="10">
        <v>3739578024</v>
      </c>
    </row>
    <row r="104" spans="2:50" x14ac:dyDescent="0.45">
      <c r="B104" t="s">
        <v>155</v>
      </c>
      <c r="C104" s="10">
        <v>18656441881</v>
      </c>
      <c r="D104" s="10">
        <v>20591366422</v>
      </c>
      <c r="E104" s="10">
        <v>21621180013</v>
      </c>
      <c r="F104" s="10">
        <v>29635327632</v>
      </c>
      <c r="G104" s="10">
        <v>37223457823</v>
      </c>
      <c r="H104" s="10">
        <v>38493030848</v>
      </c>
      <c r="I104" s="10">
        <v>36959093498</v>
      </c>
      <c r="J104" s="10">
        <v>41048220382</v>
      </c>
      <c r="K104" s="10">
        <v>47224443377</v>
      </c>
      <c r="L104" s="10">
        <v>58276520881</v>
      </c>
      <c r="M104" s="10">
        <v>83912563745</v>
      </c>
      <c r="N104" s="10">
        <v>86252123112</v>
      </c>
      <c r="O104" s="10">
        <v>79121434418</v>
      </c>
      <c r="P104" s="10">
        <v>88229575322</v>
      </c>
      <c r="Q104" s="10">
        <v>78093526462</v>
      </c>
      <c r="R104" s="10">
        <v>59647683836</v>
      </c>
      <c r="S104" s="10">
        <v>68114613724</v>
      </c>
      <c r="T104" s="10">
        <v>89366079240</v>
      </c>
      <c r="U104" s="10">
        <v>96056315028</v>
      </c>
      <c r="V104" s="10">
        <v>99975450759</v>
      </c>
      <c r="W104" s="10">
        <v>117000000000</v>
      </c>
      <c r="X104" s="10">
        <v>125000000000</v>
      </c>
      <c r="Y104" s="10">
        <v>136000000000</v>
      </c>
      <c r="Z104" s="10">
        <v>136000000000</v>
      </c>
      <c r="AA104" s="10">
        <v>141000000000</v>
      </c>
      <c r="AB104" s="10">
        <v>157000000000</v>
      </c>
      <c r="AC104" s="10">
        <v>150000000000</v>
      </c>
      <c r="AD104" s="10">
        <v>155000000000</v>
      </c>
      <c r="AE104" s="10">
        <v>140000000000</v>
      </c>
      <c r="AF104" s="10">
        <v>139000000000</v>
      </c>
      <c r="AG104" s="10">
        <v>138000000000</v>
      </c>
      <c r="AH104" s="10">
        <v>123000000000</v>
      </c>
      <c r="AI104" s="10">
        <v>116000000000</v>
      </c>
      <c r="AJ104" s="10">
        <v>175000000000</v>
      </c>
      <c r="AK104" s="10">
        <v>229000000000</v>
      </c>
      <c r="AL104" s="10">
        <v>258000000000</v>
      </c>
      <c r="AM104" s="10">
        <v>272000000000</v>
      </c>
      <c r="AN104" s="10">
        <v>299000000000</v>
      </c>
      <c r="AO104" s="10">
        <v>287000000000</v>
      </c>
      <c r="AP104" s="10">
        <v>296000000000</v>
      </c>
      <c r="AQ104" s="10">
        <v>375000000000</v>
      </c>
      <c r="AR104" s="10">
        <v>416000000000</v>
      </c>
      <c r="AS104" s="10">
        <v>396000000000</v>
      </c>
      <c r="AT104" s="10">
        <v>367000000000</v>
      </c>
      <c r="AU104" s="10">
        <v>351000000000</v>
      </c>
      <c r="AV104" s="10">
        <v>318000000000</v>
      </c>
      <c r="AW104" s="10">
        <v>296000000000</v>
      </c>
      <c r="AX104" s="10">
        <v>349000000000</v>
      </c>
    </row>
    <row r="105" spans="2:50" x14ac:dyDescent="0.45">
      <c r="B105" t="s">
        <v>156</v>
      </c>
      <c r="C105" s="10">
        <v>2815130072</v>
      </c>
      <c r="D105" s="10">
        <v>2881312510</v>
      </c>
      <c r="E105" s="10">
        <v>3218597319</v>
      </c>
      <c r="F105" s="10">
        <v>3502373692</v>
      </c>
      <c r="G105" s="10">
        <v>4358964299</v>
      </c>
      <c r="H105" s="10">
        <v>4509822194</v>
      </c>
      <c r="I105" s="10">
        <v>4290637978</v>
      </c>
      <c r="J105" s="10">
        <v>4854356293</v>
      </c>
      <c r="K105" s="10">
        <v>3326572048</v>
      </c>
      <c r="L105" s="10">
        <v>4062258962</v>
      </c>
      <c r="M105" s="10">
        <v>4890608252</v>
      </c>
      <c r="N105" s="10">
        <v>5196966965</v>
      </c>
      <c r="O105" s="10">
        <v>5544973228</v>
      </c>
      <c r="P105" s="10">
        <v>5994836427</v>
      </c>
      <c r="Q105" s="10">
        <v>6853904411</v>
      </c>
      <c r="R105" s="10">
        <v>6872669829</v>
      </c>
      <c r="S105" s="10">
        <v>7282870926</v>
      </c>
      <c r="T105" s="10">
        <v>7588153682</v>
      </c>
      <c r="U105" s="10">
        <v>8138939271</v>
      </c>
      <c r="V105" s="10">
        <v>8148459901</v>
      </c>
      <c r="W105" s="10">
        <v>9389550990</v>
      </c>
      <c r="X105" s="10">
        <v>10574578682</v>
      </c>
      <c r="Y105" s="10">
        <v>11386333004</v>
      </c>
      <c r="Z105" s="10">
        <v>12236614880</v>
      </c>
      <c r="AA105" s="10">
        <v>13868489459</v>
      </c>
      <c r="AB105" s="10">
        <v>15293042422</v>
      </c>
      <c r="AC105" s="10">
        <v>16514981826</v>
      </c>
      <c r="AD105" s="10">
        <v>17872670900</v>
      </c>
      <c r="AE105" s="10">
        <v>18568153866</v>
      </c>
      <c r="AF105" s="10">
        <v>18442306336</v>
      </c>
      <c r="AG105" s="10">
        <v>19131796458</v>
      </c>
      <c r="AH105" s="10">
        <v>18364211053</v>
      </c>
      <c r="AI105" s="10">
        <v>19572831562</v>
      </c>
      <c r="AJ105" s="10">
        <v>21609196009</v>
      </c>
      <c r="AK105" s="10">
        <v>23646374864</v>
      </c>
      <c r="AL105" s="10">
        <v>27931971938</v>
      </c>
      <c r="AM105" s="10">
        <v>32365078169</v>
      </c>
      <c r="AN105" s="10">
        <v>37023526063</v>
      </c>
      <c r="AO105" s="10">
        <v>46595310335</v>
      </c>
      <c r="AP105" s="10">
        <v>48143074176</v>
      </c>
      <c r="AQ105" s="10">
        <v>56725754848</v>
      </c>
      <c r="AR105" s="10">
        <v>65292745704</v>
      </c>
      <c r="AS105" s="10">
        <v>68434431855</v>
      </c>
      <c r="AT105" s="10">
        <v>74317788943</v>
      </c>
      <c r="AU105" s="10">
        <v>79356458315</v>
      </c>
      <c r="AV105" s="10">
        <v>80604076558</v>
      </c>
      <c r="AW105" s="10">
        <v>81787440721</v>
      </c>
      <c r="AX105" s="10">
        <v>87356647561</v>
      </c>
    </row>
    <row r="106" spans="2:50" x14ac:dyDescent="0.45">
      <c r="B106" t="s">
        <v>157</v>
      </c>
      <c r="C106" s="10">
        <v>1233693283</v>
      </c>
      <c r="D106" s="10">
        <v>1338753594</v>
      </c>
      <c r="E106" s="10">
        <v>1659118328</v>
      </c>
      <c r="F106" s="10">
        <v>2134480190</v>
      </c>
      <c r="G106" s="10">
        <v>2600396331</v>
      </c>
      <c r="H106" s="10">
        <v>3242133840</v>
      </c>
      <c r="I106" s="10">
        <v>4043202194</v>
      </c>
      <c r="J106" s="10">
        <v>4750817657</v>
      </c>
      <c r="K106" s="10">
        <v>5111632359</v>
      </c>
      <c r="L106" s="10">
        <v>5646498654</v>
      </c>
      <c r="M106" s="10">
        <v>6365486013</v>
      </c>
      <c r="N106" s="10">
        <v>7672758465</v>
      </c>
      <c r="O106" s="10">
        <v>5807458789</v>
      </c>
      <c r="P106" s="10">
        <v>5234454615</v>
      </c>
      <c r="Q106" s="10">
        <v>7061693846</v>
      </c>
      <c r="R106" s="10">
        <v>6623773180</v>
      </c>
      <c r="S106" s="10">
        <v>8978234800</v>
      </c>
      <c r="T106" s="10">
        <v>11623565667</v>
      </c>
      <c r="U106" s="10">
        <v>11542303111</v>
      </c>
      <c r="V106" s="10">
        <v>11335191999</v>
      </c>
      <c r="W106" s="10">
        <v>12637465294</v>
      </c>
      <c r="X106" s="10">
        <v>11327849239</v>
      </c>
      <c r="Y106" s="10">
        <v>12115514609</v>
      </c>
      <c r="Z106" s="10">
        <v>12528649868</v>
      </c>
      <c r="AA106" s="10">
        <v>11884304301</v>
      </c>
      <c r="AB106" s="10">
        <v>12847187343</v>
      </c>
      <c r="AC106" s="10">
        <v>8377204018</v>
      </c>
      <c r="AD106" s="10">
        <v>10241121411</v>
      </c>
      <c r="AE106" s="10">
        <v>10924153611</v>
      </c>
      <c r="AF106" s="10">
        <v>10714222611</v>
      </c>
      <c r="AG106" s="10">
        <v>13092089677</v>
      </c>
      <c r="AH106" s="10">
        <v>15716361227</v>
      </c>
      <c r="AI106" s="10">
        <v>18137125705</v>
      </c>
      <c r="AJ106" s="10">
        <v>21355295465</v>
      </c>
      <c r="AK106" s="10">
        <v>26646006924</v>
      </c>
      <c r="AL106" s="10">
        <v>35182655040</v>
      </c>
      <c r="AM106" s="10">
        <v>45263776748</v>
      </c>
      <c r="AN106" s="10">
        <v>59440603145</v>
      </c>
      <c r="AO106" s="10">
        <v>48662671476</v>
      </c>
      <c r="AP106" s="10">
        <v>48318470314</v>
      </c>
      <c r="AQ106" s="10">
        <v>54458734460</v>
      </c>
      <c r="AR106" s="10">
        <v>69515078921</v>
      </c>
      <c r="AS106" s="10">
        <v>61878736935</v>
      </c>
      <c r="AT106" s="10">
        <v>63911665939</v>
      </c>
      <c r="AU106" s="10">
        <v>74357657775</v>
      </c>
      <c r="AV106" s="10">
        <v>83085239819</v>
      </c>
      <c r="AW106" s="10">
        <v>91700895679</v>
      </c>
      <c r="AX106" s="10">
        <v>120000000000</v>
      </c>
    </row>
    <row r="107" spans="2:50" x14ac:dyDescent="0.45">
      <c r="B107" t="s">
        <v>158</v>
      </c>
      <c r="C107" s="10">
        <v>356362334.19999999</v>
      </c>
      <c r="D107" s="10">
        <v>389074901.60000002</v>
      </c>
      <c r="E107" s="10">
        <v>424052100.80000001</v>
      </c>
      <c r="F107" s="10">
        <v>465155742.30000001</v>
      </c>
      <c r="G107" s="10">
        <v>561749019.60000002</v>
      </c>
      <c r="H107" s="10">
        <v>637653781.5</v>
      </c>
      <c r="I107" s="10">
        <v>692938375.39999998</v>
      </c>
      <c r="J107" s="10">
        <v>878726610.60000002</v>
      </c>
      <c r="K107" s="10">
        <v>1007723249</v>
      </c>
      <c r="L107" s="10">
        <v>1072324370</v>
      </c>
      <c r="M107" s="10">
        <v>1089108683</v>
      </c>
      <c r="N107" s="10">
        <v>1218105322</v>
      </c>
      <c r="O107" s="10">
        <v>1253933894</v>
      </c>
      <c r="P107" s="10">
        <v>1210638095</v>
      </c>
      <c r="Q107" s="10">
        <v>1183989356</v>
      </c>
      <c r="R107" s="10">
        <v>1196436975</v>
      </c>
      <c r="S107" s="10">
        <v>1220797759</v>
      </c>
      <c r="T107" s="10">
        <v>1342526050</v>
      </c>
      <c r="U107" s="10">
        <v>1590551821</v>
      </c>
      <c r="V107" s="10">
        <v>755820916.70000005</v>
      </c>
      <c r="W107" s="10">
        <v>753049217.60000002</v>
      </c>
      <c r="X107" s="10">
        <v>799443526.70000005</v>
      </c>
      <c r="Y107" s="10">
        <v>820748203.10000002</v>
      </c>
      <c r="Z107" s="10">
        <v>783964461.70000005</v>
      </c>
      <c r="AA107" s="10">
        <v>827795397.60000002</v>
      </c>
      <c r="AB107" s="10">
        <v>844223262</v>
      </c>
      <c r="AC107" s="10">
        <v>1053312266</v>
      </c>
      <c r="AD107" s="10">
        <v>1128440588</v>
      </c>
      <c r="AE107" s="10">
        <v>1352949124</v>
      </c>
      <c r="AF107" s="10">
        <v>1117458404</v>
      </c>
      <c r="AG107" s="10">
        <v>1156661460</v>
      </c>
      <c r="AH107" s="10">
        <v>1021035589</v>
      </c>
      <c r="AI107" s="10">
        <v>1339110030</v>
      </c>
      <c r="AJ107" s="10">
        <v>1557921751</v>
      </c>
      <c r="AK107" s="10">
        <v>1805680925</v>
      </c>
      <c r="AL107" s="10">
        <v>2193049196</v>
      </c>
      <c r="AM107" s="10">
        <v>2626451025</v>
      </c>
      <c r="AN107" s="10">
        <v>2936441530</v>
      </c>
      <c r="AO107" s="10">
        <v>3532989071</v>
      </c>
      <c r="AP107" s="10">
        <v>3875564299</v>
      </c>
      <c r="AQ107" s="10">
        <v>4368377356</v>
      </c>
      <c r="AR107" s="10">
        <v>4422240208</v>
      </c>
      <c r="AS107" s="10">
        <v>4979901515</v>
      </c>
      <c r="AT107" s="10">
        <v>5145655455</v>
      </c>
      <c r="AU107" s="10">
        <v>5240733636</v>
      </c>
      <c r="AV107" s="10">
        <v>4826493951</v>
      </c>
      <c r="AW107" s="10">
        <v>3278445033</v>
      </c>
      <c r="AX107" s="10">
        <v>3807147444</v>
      </c>
    </row>
    <row r="108" spans="2:50" x14ac:dyDescent="0.45">
      <c r="B108" t="s">
        <v>225</v>
      </c>
      <c r="C108" s="10">
        <v>154722301.80000001</v>
      </c>
      <c r="D108" s="10">
        <v>192226876.90000001</v>
      </c>
      <c r="E108" s="10">
        <v>211230630.40000001</v>
      </c>
      <c r="F108" s="10">
        <v>274148157.39999998</v>
      </c>
      <c r="G108" s="10">
        <v>339271265.69999999</v>
      </c>
      <c r="H108" s="10">
        <v>396139644.10000002</v>
      </c>
      <c r="I108" s="10">
        <v>405063303.60000002</v>
      </c>
      <c r="J108" s="10">
        <v>450391386.19999999</v>
      </c>
      <c r="K108" s="10">
        <v>504478082.69999999</v>
      </c>
      <c r="L108" s="10">
        <v>598255665.39999998</v>
      </c>
      <c r="M108" s="10">
        <v>806255185.60000002</v>
      </c>
      <c r="N108" s="10">
        <v>891434222.10000002</v>
      </c>
      <c r="O108" s="10">
        <v>827560885.20000005</v>
      </c>
      <c r="P108" s="10">
        <v>878968285.79999995</v>
      </c>
      <c r="Q108" s="10">
        <v>718719960.29999995</v>
      </c>
      <c r="R108" s="10">
        <v>538714750.39999998</v>
      </c>
      <c r="S108" s="10">
        <v>679581469.20000005</v>
      </c>
      <c r="T108" s="10">
        <v>898369183.89999998</v>
      </c>
      <c r="U108" s="10">
        <v>1048955056</v>
      </c>
      <c r="V108" s="10">
        <v>1084195583</v>
      </c>
      <c r="W108" s="10">
        <v>1254402646</v>
      </c>
      <c r="X108" s="10">
        <v>1330617840</v>
      </c>
      <c r="Y108" s="10">
        <v>1474649319</v>
      </c>
      <c r="Z108" s="10">
        <v>1492496470</v>
      </c>
      <c r="AA108" s="10">
        <v>1590577715</v>
      </c>
      <c r="AB108" s="10">
        <v>1901652230</v>
      </c>
      <c r="AC108" s="10">
        <v>1793683570</v>
      </c>
      <c r="AD108" s="10">
        <v>1927098015</v>
      </c>
      <c r="AE108" s="10">
        <v>1774168644</v>
      </c>
      <c r="AF108" s="10">
        <v>1730527901</v>
      </c>
      <c r="AG108" s="10">
        <v>1738093759</v>
      </c>
      <c r="AH108" s="10">
        <v>1542462830</v>
      </c>
      <c r="AI108" s="10">
        <v>1432221789</v>
      </c>
      <c r="AJ108" s="10">
        <v>2197598421</v>
      </c>
      <c r="AK108" s="10">
        <v>2770043119</v>
      </c>
      <c r="AL108" s="10">
        <v>3178165828</v>
      </c>
      <c r="AM108" s="10">
        <v>3291270498</v>
      </c>
      <c r="AN108" s="10">
        <v>3469373127</v>
      </c>
      <c r="AO108" s="10">
        <v>3294064196</v>
      </c>
      <c r="AP108" s="10">
        <v>3580383129</v>
      </c>
      <c r="AQ108" s="10">
        <v>4438739895</v>
      </c>
      <c r="AR108" s="10">
        <v>4820460413</v>
      </c>
      <c r="AS108" s="10">
        <v>4823891759</v>
      </c>
      <c r="AT108" s="10">
        <v>4560719242</v>
      </c>
      <c r="AU108" s="10">
        <v>4377269664</v>
      </c>
      <c r="AV108" s="10">
        <v>4020242799</v>
      </c>
      <c r="AW108" s="10">
        <v>3720764637</v>
      </c>
      <c r="AX108" s="10">
        <v>4408584212</v>
      </c>
    </row>
    <row r="109" spans="2:50" x14ac:dyDescent="0.45">
      <c r="B109" t="s">
        <v>159</v>
      </c>
      <c r="C109" s="10">
        <v>7387430121</v>
      </c>
      <c r="D109" s="10">
        <v>7689774184</v>
      </c>
      <c r="E109" s="10">
        <v>8524767005</v>
      </c>
      <c r="F109" s="10">
        <v>11300455063</v>
      </c>
      <c r="G109" s="10">
        <v>14286583168</v>
      </c>
      <c r="H109" s="10">
        <v>15517238623</v>
      </c>
      <c r="I109" s="10">
        <v>17709013516</v>
      </c>
      <c r="J109" s="10">
        <v>20622714435</v>
      </c>
      <c r="K109" s="10">
        <v>25029755931</v>
      </c>
      <c r="L109" s="10">
        <v>28534753394</v>
      </c>
      <c r="M109" s="10">
        <v>33528377371</v>
      </c>
      <c r="N109" s="10">
        <v>36111412245</v>
      </c>
      <c r="O109" s="10">
        <v>37918466909</v>
      </c>
      <c r="P109" s="10">
        <v>41496883702</v>
      </c>
      <c r="Q109" s="10">
        <v>43315456548</v>
      </c>
      <c r="R109" s="10">
        <v>40313170585</v>
      </c>
      <c r="S109" s="10">
        <v>44661759507</v>
      </c>
      <c r="T109" s="10">
        <v>52370554672</v>
      </c>
      <c r="U109" s="10">
        <v>63906595873</v>
      </c>
      <c r="V109" s="10">
        <v>74874729964</v>
      </c>
      <c r="W109" s="10">
        <v>88460712102</v>
      </c>
      <c r="X109" s="10">
        <v>101000000000</v>
      </c>
      <c r="Y109" s="10">
        <v>116000000000</v>
      </c>
      <c r="Z109" s="10">
        <v>129000000000</v>
      </c>
      <c r="AA109" s="10">
        <v>147000000000</v>
      </c>
      <c r="AB109" s="10">
        <v>169000000000</v>
      </c>
      <c r="AC109" s="10">
        <v>183000000000</v>
      </c>
      <c r="AD109" s="10">
        <v>150000000000</v>
      </c>
      <c r="AE109" s="10">
        <v>114000000000</v>
      </c>
      <c r="AF109" s="10">
        <v>127000000000</v>
      </c>
      <c r="AG109" s="10">
        <v>126000000000</v>
      </c>
      <c r="AH109" s="10">
        <v>120000000000</v>
      </c>
      <c r="AI109" s="10">
        <v>134000000000</v>
      </c>
      <c r="AJ109" s="10">
        <v>152000000000</v>
      </c>
      <c r="AK109" s="10">
        <v>173000000000</v>
      </c>
      <c r="AL109" s="10">
        <v>189000000000</v>
      </c>
      <c r="AM109" s="10">
        <v>222000000000</v>
      </c>
      <c r="AN109" s="10">
        <v>263000000000</v>
      </c>
      <c r="AO109" s="10">
        <v>291000000000</v>
      </c>
      <c r="AP109" s="10">
        <v>282000000000</v>
      </c>
      <c r="AQ109" s="10">
        <v>341000000000</v>
      </c>
      <c r="AR109" s="10">
        <v>371000000000</v>
      </c>
      <c r="AS109" s="10">
        <v>398000000000</v>
      </c>
      <c r="AT109" s="10">
        <v>420000000000</v>
      </c>
      <c r="AU109" s="10">
        <v>407000000000</v>
      </c>
      <c r="AV109" s="10">
        <v>401000000000</v>
      </c>
      <c r="AW109" s="10">
        <v>412000000000</v>
      </c>
      <c r="AX109" s="10">
        <v>455000000000</v>
      </c>
    </row>
    <row r="110" spans="2:50" x14ac:dyDescent="0.45">
      <c r="B110" t="s">
        <v>160</v>
      </c>
      <c r="C110" s="10">
        <v>307572753.89999998</v>
      </c>
      <c r="D110" s="10">
        <v>346619960.5</v>
      </c>
      <c r="E110" s="10">
        <v>403631117</v>
      </c>
      <c r="F110" s="10">
        <v>471165652.19999999</v>
      </c>
      <c r="G110" s="10">
        <v>630555838.89999998</v>
      </c>
      <c r="H110" s="10">
        <v>695563767.39999998</v>
      </c>
      <c r="I110" s="10">
        <v>662783400.79999995</v>
      </c>
      <c r="J110" s="10">
        <v>798279600.70000005</v>
      </c>
      <c r="K110" s="10">
        <v>989000276.29999995</v>
      </c>
      <c r="L110" s="10">
        <v>1181022344</v>
      </c>
      <c r="M110" s="10">
        <v>1313589323</v>
      </c>
      <c r="N110" s="10">
        <v>1103142544</v>
      </c>
      <c r="O110" s="10">
        <v>953579622.89999998</v>
      </c>
      <c r="P110" s="10">
        <v>857672190</v>
      </c>
      <c r="Q110" s="10">
        <v>810454116.10000002</v>
      </c>
      <c r="R110" s="10">
        <v>859889946.5</v>
      </c>
      <c r="S110" s="10">
        <v>1219876368</v>
      </c>
      <c r="T110" s="10">
        <v>1436261542</v>
      </c>
      <c r="U110" s="10">
        <v>1740986708</v>
      </c>
      <c r="V110" s="10">
        <v>1708225552</v>
      </c>
      <c r="W110" s="10">
        <v>2057077763</v>
      </c>
      <c r="X110" s="10">
        <v>2032468342</v>
      </c>
      <c r="Y110" s="10">
        <v>2131363215</v>
      </c>
      <c r="Z110" s="10">
        <v>1624510801</v>
      </c>
      <c r="AA110" s="10">
        <v>1259116885</v>
      </c>
      <c r="AB110" s="10">
        <v>1662902166</v>
      </c>
      <c r="AC110" s="10">
        <v>1817561884</v>
      </c>
      <c r="AD110" s="10">
        <v>1850962627</v>
      </c>
      <c r="AE110" s="10">
        <v>1751786900</v>
      </c>
      <c r="AF110" s="10">
        <v>1754986770</v>
      </c>
      <c r="AG110" s="10">
        <v>1488185826</v>
      </c>
      <c r="AH110" s="10">
        <v>1481141836</v>
      </c>
      <c r="AI110" s="10">
        <v>1698678678</v>
      </c>
      <c r="AJ110" s="10">
        <v>2111093148</v>
      </c>
      <c r="AK110" s="10">
        <v>2255942210</v>
      </c>
      <c r="AL110" s="10">
        <v>2280575645</v>
      </c>
      <c r="AM110" s="10">
        <v>2349495577</v>
      </c>
      <c r="AN110" s="10">
        <v>2659095198</v>
      </c>
      <c r="AO110" s="10">
        <v>3310278255</v>
      </c>
      <c r="AP110" s="10">
        <v>3365711862</v>
      </c>
      <c r="AQ110" s="10">
        <v>3426022057</v>
      </c>
      <c r="AR110" s="10">
        <v>3867391503</v>
      </c>
      <c r="AS110" s="10">
        <v>3873529654</v>
      </c>
      <c r="AT110" s="10">
        <v>4320427168</v>
      </c>
      <c r="AU110" s="10">
        <v>4569131631</v>
      </c>
      <c r="AV110" s="10">
        <v>4177702922</v>
      </c>
      <c r="AW110" s="10">
        <v>4483407258</v>
      </c>
      <c r="AX110" s="10">
        <v>4785902054</v>
      </c>
    </row>
    <row r="111" spans="2:50" x14ac:dyDescent="0.45">
      <c r="B111" t="s">
        <v>161</v>
      </c>
      <c r="C111" s="10">
        <v>819720785.10000002</v>
      </c>
      <c r="D111" s="10">
        <v>894278573.70000005</v>
      </c>
      <c r="E111" s="10">
        <v>1080647449</v>
      </c>
      <c r="F111" s="10">
        <v>1305055034</v>
      </c>
      <c r="G111" s="10">
        <v>2036484920</v>
      </c>
      <c r="H111" s="10">
        <v>2435851319</v>
      </c>
      <c r="I111" s="10">
        <v>2493696080</v>
      </c>
      <c r="J111" s="10">
        <v>3130046978</v>
      </c>
      <c r="K111" s="10">
        <v>3552622019</v>
      </c>
      <c r="L111" s="10">
        <v>4589738341</v>
      </c>
      <c r="M111" s="10">
        <v>6218542822</v>
      </c>
      <c r="N111" s="10">
        <v>6972695917</v>
      </c>
      <c r="O111" s="10">
        <v>8117845190</v>
      </c>
      <c r="P111" s="10">
        <v>7742222932</v>
      </c>
      <c r="Q111" s="10">
        <v>7735574749</v>
      </c>
      <c r="R111" s="10">
        <v>7355466663</v>
      </c>
      <c r="S111" s="10">
        <v>4781150567</v>
      </c>
      <c r="T111" s="10">
        <v>4784474657</v>
      </c>
      <c r="U111" s="10">
        <v>4484441683</v>
      </c>
      <c r="V111" s="10">
        <v>4311071988</v>
      </c>
      <c r="W111" s="10">
        <v>5053947616</v>
      </c>
      <c r="X111" s="10">
        <v>5293282152</v>
      </c>
      <c r="Y111" s="10">
        <v>5424446864</v>
      </c>
      <c r="Z111" s="10">
        <v>4564128380</v>
      </c>
      <c r="AA111" s="10">
        <v>4933514617</v>
      </c>
      <c r="AB111" s="10">
        <v>5314424450</v>
      </c>
      <c r="AC111" s="10">
        <v>5743666974</v>
      </c>
      <c r="AD111" s="10">
        <v>5721909568</v>
      </c>
      <c r="AE111" s="10">
        <v>6026929397</v>
      </c>
      <c r="AF111" s="10">
        <v>6790086966</v>
      </c>
      <c r="AG111" s="10">
        <v>8131779943</v>
      </c>
      <c r="AH111" s="10">
        <v>8800348413</v>
      </c>
      <c r="AI111" s="10">
        <v>8983319836</v>
      </c>
      <c r="AJ111" s="10">
        <v>11274112395</v>
      </c>
      <c r="AK111" s="10">
        <v>13243476974</v>
      </c>
      <c r="AL111" s="10">
        <v>15938074854</v>
      </c>
      <c r="AM111" s="10">
        <v>18318172486</v>
      </c>
      <c r="AN111" s="10">
        <v>21582260085</v>
      </c>
      <c r="AO111" s="10">
        <v>27792801149</v>
      </c>
      <c r="AP111" s="10">
        <v>19121971364</v>
      </c>
      <c r="AQ111" s="10">
        <v>22061600065</v>
      </c>
      <c r="AR111" s="10">
        <v>25362519913</v>
      </c>
      <c r="AS111" s="10">
        <v>25622909971</v>
      </c>
      <c r="AT111" s="10">
        <v>26578401369</v>
      </c>
      <c r="AU111" s="10">
        <v>27199884144</v>
      </c>
      <c r="AV111" s="10">
        <v>24402347859</v>
      </c>
      <c r="AW111" s="10">
        <v>22304056600</v>
      </c>
      <c r="AX111" s="10">
        <v>22104866444</v>
      </c>
    </row>
    <row r="112" spans="2:50" x14ac:dyDescent="0.45">
      <c r="B112" t="s">
        <v>226</v>
      </c>
      <c r="C112" s="10">
        <v>1580150283</v>
      </c>
      <c r="D112" s="10">
        <v>1850153457</v>
      </c>
      <c r="E112" s="10">
        <v>2456627935</v>
      </c>
      <c r="F112" s="10">
        <v>2998181653</v>
      </c>
      <c r="G112" s="10">
        <v>3893032694</v>
      </c>
      <c r="H112" s="10">
        <v>4752807683</v>
      </c>
      <c r="I112" s="10">
        <v>4949577701</v>
      </c>
      <c r="J112" s="10">
        <v>5610218971</v>
      </c>
      <c r="K112" s="10">
        <v>6552819653</v>
      </c>
      <c r="L112" s="10">
        <v>7892697818</v>
      </c>
      <c r="M112" s="10">
        <v>9598966475</v>
      </c>
      <c r="N112" s="10">
        <v>9253650094</v>
      </c>
      <c r="O112" s="10">
        <v>8929910897</v>
      </c>
      <c r="P112" s="10">
        <v>8892063984</v>
      </c>
      <c r="Q112" s="10">
        <v>8819063797</v>
      </c>
      <c r="R112" s="10">
        <v>9233652000</v>
      </c>
      <c r="S112" s="10">
        <v>9900715369</v>
      </c>
      <c r="T112" s="10">
        <v>10646090580</v>
      </c>
      <c r="U112" s="10">
        <v>11084741665</v>
      </c>
      <c r="V112" s="10">
        <v>11090784965</v>
      </c>
      <c r="W112" s="10">
        <v>13519511970</v>
      </c>
      <c r="X112" s="10">
        <v>14283162471</v>
      </c>
      <c r="Y112" s="10">
        <v>17014069538</v>
      </c>
      <c r="Z112" s="10">
        <v>16038489353</v>
      </c>
      <c r="AA112" s="10">
        <v>17163868140</v>
      </c>
      <c r="AB112" s="10">
        <v>19795275586</v>
      </c>
      <c r="AC112" s="10">
        <v>21504388977</v>
      </c>
      <c r="AD112" s="10">
        <v>20746659179</v>
      </c>
      <c r="AE112" s="10">
        <v>21802978475</v>
      </c>
      <c r="AF112" s="10">
        <v>22943285282</v>
      </c>
      <c r="AG112" s="10">
        <v>21473485916</v>
      </c>
      <c r="AH112" s="10">
        <v>22065910933</v>
      </c>
      <c r="AI112" s="10">
        <v>23141732074</v>
      </c>
      <c r="AJ112" s="10">
        <v>27454007208</v>
      </c>
      <c r="AK112" s="10">
        <v>31183951432</v>
      </c>
      <c r="AL112" s="10">
        <v>32272178404</v>
      </c>
      <c r="AM112" s="10">
        <v>34376664601</v>
      </c>
      <c r="AN112" s="10">
        <v>38909880791</v>
      </c>
      <c r="AO112" s="10">
        <v>44855069425</v>
      </c>
      <c r="AP112" s="10">
        <v>43455740497</v>
      </c>
      <c r="AQ112" s="10">
        <v>44051138745</v>
      </c>
      <c r="AR112" s="10">
        <v>45811190963</v>
      </c>
      <c r="AS112" s="10">
        <v>45044376164</v>
      </c>
      <c r="AT112" s="10">
        <v>46252257244</v>
      </c>
      <c r="AU112" s="10">
        <v>47633086427</v>
      </c>
      <c r="AV112" s="10">
        <v>43152080545</v>
      </c>
      <c r="AW112" s="10">
        <v>41807731103</v>
      </c>
      <c r="AX112" s="10">
        <v>40068818004</v>
      </c>
    </row>
    <row r="113" spans="2:50" x14ac:dyDescent="0.45">
      <c r="B113" t="s">
        <v>162</v>
      </c>
      <c r="C113" s="10">
        <v>25032440308</v>
      </c>
      <c r="D113" s="10">
        <v>23612085201</v>
      </c>
      <c r="E113" s="10">
        <v>29672296820</v>
      </c>
      <c r="F113" s="10">
        <v>37260636042</v>
      </c>
      <c r="G113" s="10">
        <v>51398557967</v>
      </c>
      <c r="H113" s="10">
        <v>64244816944</v>
      </c>
      <c r="I113" s="10">
        <v>73490367899</v>
      </c>
      <c r="J113" s="10">
        <v>83809190523</v>
      </c>
      <c r="K113" s="10">
        <v>92521068278</v>
      </c>
      <c r="L113" s="10">
        <v>126000000000</v>
      </c>
      <c r="M113" s="10">
        <v>94702531736</v>
      </c>
      <c r="N113" s="10">
        <v>97794115642</v>
      </c>
      <c r="O113" s="10">
        <v>88852607938</v>
      </c>
      <c r="P113" s="10">
        <v>84907556317</v>
      </c>
      <c r="Q113" s="10">
        <v>82582267722</v>
      </c>
      <c r="R113" s="10">
        <v>92554348105</v>
      </c>
      <c r="S113" s="10">
        <v>104000000000</v>
      </c>
      <c r="T113" s="10">
        <v>120000000000</v>
      </c>
      <c r="U113" s="10">
        <v>125000000000</v>
      </c>
      <c r="V113" s="10">
        <v>147000000000</v>
      </c>
      <c r="W113" s="10">
        <v>207000000000</v>
      </c>
      <c r="X113" s="10">
        <v>208000000000</v>
      </c>
      <c r="Y113" s="10">
        <v>219000000000</v>
      </c>
      <c r="Z113" s="10">
        <v>248000000000</v>
      </c>
      <c r="AA113" s="10">
        <v>180000000000</v>
      </c>
      <c r="AB113" s="10">
        <v>233000000000</v>
      </c>
      <c r="AC113" s="10">
        <v>250000000000</v>
      </c>
      <c r="AD113" s="10">
        <v>261000000000</v>
      </c>
      <c r="AE113" s="10">
        <v>276000000000</v>
      </c>
      <c r="AF113" s="10">
        <v>256000000000</v>
      </c>
      <c r="AG113" s="10">
        <v>273000000000</v>
      </c>
      <c r="AH113" s="10">
        <v>200000000000</v>
      </c>
      <c r="AI113" s="10">
        <v>238000000000</v>
      </c>
      <c r="AJ113" s="10">
        <v>312000000000</v>
      </c>
      <c r="AK113" s="10">
        <v>405000000000</v>
      </c>
      <c r="AL113" s="10">
        <v>501000000000</v>
      </c>
      <c r="AM113" s="10">
        <v>553000000000</v>
      </c>
      <c r="AN113" s="10">
        <v>676000000000</v>
      </c>
      <c r="AO113" s="10">
        <v>764000000000</v>
      </c>
      <c r="AP113" s="10">
        <v>645000000000</v>
      </c>
      <c r="AQ113" s="10">
        <v>772000000000</v>
      </c>
      <c r="AR113" s="10">
        <v>833000000000</v>
      </c>
      <c r="AS113" s="10">
        <v>874000000000</v>
      </c>
      <c r="AT113" s="10">
        <v>951000000000</v>
      </c>
      <c r="AU113" s="10">
        <v>934000000000</v>
      </c>
      <c r="AV113" s="10">
        <v>860000000000</v>
      </c>
      <c r="AW113" s="10">
        <v>864000000000</v>
      </c>
      <c r="AX113" s="10">
        <v>852000000000</v>
      </c>
    </row>
    <row r="114" spans="2:50" x14ac:dyDescent="0.45">
      <c r="B114" t="s">
        <v>163</v>
      </c>
      <c r="C114" s="10">
        <v>2537647177</v>
      </c>
      <c r="D114" s="10">
        <v>3048554435</v>
      </c>
      <c r="E114" s="10">
        <v>2450067081</v>
      </c>
      <c r="F114" s="10">
        <v>3128677119</v>
      </c>
      <c r="G114" s="10">
        <v>4334170546</v>
      </c>
      <c r="H114" s="10">
        <v>3824532836</v>
      </c>
      <c r="I114" s="10">
        <v>4007226949</v>
      </c>
      <c r="J114" s="10">
        <v>4487941894</v>
      </c>
      <c r="K114" s="10">
        <v>5377141229</v>
      </c>
      <c r="L114" s="10">
        <v>7698314225</v>
      </c>
      <c r="M114" s="10">
        <v>10642194985</v>
      </c>
      <c r="N114" s="10">
        <v>11880159358</v>
      </c>
      <c r="O114" s="10">
        <v>9727902141</v>
      </c>
      <c r="P114" s="10">
        <v>5635610957</v>
      </c>
      <c r="Q114" s="10">
        <v>5355153238</v>
      </c>
      <c r="R114" s="10">
        <v>5225664528</v>
      </c>
      <c r="S114" s="10">
        <v>6493946628</v>
      </c>
      <c r="T114" s="10">
        <v>8136331259</v>
      </c>
      <c r="U114" s="10">
        <v>8395984290</v>
      </c>
      <c r="V114" s="10">
        <v>8603748975</v>
      </c>
      <c r="W114" s="10">
        <v>9239418920</v>
      </c>
      <c r="X114" s="10">
        <v>11095737334</v>
      </c>
      <c r="Y114" s="10">
        <v>14222511106</v>
      </c>
      <c r="Z114" s="10">
        <v>16568270579</v>
      </c>
      <c r="AA114" s="10">
        <v>19298684424</v>
      </c>
      <c r="AB114" s="10">
        <v>21312174665</v>
      </c>
      <c r="AC114" s="10">
        <v>22657097698</v>
      </c>
      <c r="AD114" s="10">
        <v>23969738389</v>
      </c>
      <c r="AE114" s="10">
        <v>25385887793</v>
      </c>
      <c r="AF114" s="10">
        <v>23983931989</v>
      </c>
      <c r="AG114" s="10">
        <v>22823249545</v>
      </c>
      <c r="AH114" s="10">
        <v>20898758301</v>
      </c>
      <c r="AI114" s="10">
        <v>13606503907</v>
      </c>
      <c r="AJ114" s="10">
        <v>12045652609</v>
      </c>
      <c r="AK114" s="10">
        <v>13686372969</v>
      </c>
      <c r="AL114" s="10">
        <v>17362839378</v>
      </c>
      <c r="AM114" s="10">
        <v>19579486729</v>
      </c>
      <c r="AN114" s="10">
        <v>23410566858</v>
      </c>
      <c r="AO114" s="10">
        <v>30366193329</v>
      </c>
      <c r="AP114" s="10">
        <v>31660914910</v>
      </c>
      <c r="AQ114" s="10">
        <v>40284556645</v>
      </c>
      <c r="AR114" s="10">
        <v>47962411092</v>
      </c>
      <c r="AS114" s="10">
        <v>51264476757</v>
      </c>
      <c r="AT114" s="10">
        <v>57531224151</v>
      </c>
      <c r="AU114" s="10">
        <v>57235936036</v>
      </c>
      <c r="AV114" s="10">
        <v>53274361111</v>
      </c>
      <c r="AW114" s="10">
        <v>52687599875</v>
      </c>
      <c r="AX114" s="10">
        <v>59180196956</v>
      </c>
    </row>
    <row r="115" spans="2:50" x14ac:dyDescent="0.45">
      <c r="B115" t="s">
        <v>164</v>
      </c>
      <c r="C115" s="10">
        <v>1544192.3829999999</v>
      </c>
      <c r="D115" s="10">
        <v>1574164.973</v>
      </c>
      <c r="E115" s="10">
        <v>1851647204</v>
      </c>
      <c r="F115" s="10">
        <v>2349834205</v>
      </c>
      <c r="G115" s="10">
        <v>2894548228</v>
      </c>
      <c r="H115" s="10">
        <v>2658265319</v>
      </c>
      <c r="I115" s="10">
        <v>2813702552</v>
      </c>
      <c r="J115" s="10">
        <v>2767425574</v>
      </c>
      <c r="K115" s="10">
        <v>3098138218</v>
      </c>
      <c r="L115" s="10">
        <v>3827221008</v>
      </c>
      <c r="M115" s="10">
        <v>4314873626</v>
      </c>
      <c r="N115" s="10">
        <v>4016122281</v>
      </c>
      <c r="O115" s="10">
        <v>4275405653</v>
      </c>
      <c r="P115" s="10">
        <v>3992301827</v>
      </c>
      <c r="Q115" s="10">
        <v>3194055408</v>
      </c>
      <c r="R115" s="10">
        <v>2772255858</v>
      </c>
      <c r="S115" s="10">
        <v>2105408105</v>
      </c>
      <c r="T115" s="10">
        <v>2108490542</v>
      </c>
      <c r="U115" s="10">
        <v>3470831506</v>
      </c>
      <c r="V115" s="10">
        <v>3955741799</v>
      </c>
      <c r="W115" s="10">
        <v>3794810423</v>
      </c>
      <c r="X115" s="10">
        <v>3376806697</v>
      </c>
      <c r="Y115" s="10">
        <v>3307307865</v>
      </c>
      <c r="Z115" s="10">
        <v>3273507754</v>
      </c>
      <c r="AA115" s="10">
        <v>3656867990</v>
      </c>
      <c r="AB115" s="10">
        <v>3806998070</v>
      </c>
      <c r="AC115" s="10">
        <v>3597234870</v>
      </c>
      <c r="AD115" s="10">
        <v>4303317427</v>
      </c>
      <c r="AE115" s="10">
        <v>3537731099</v>
      </c>
      <c r="AF115" s="10">
        <v>3404285909</v>
      </c>
      <c r="AG115" s="10">
        <v>3600630376</v>
      </c>
      <c r="AH115" s="10">
        <v>4094451991</v>
      </c>
      <c r="AI115" s="10">
        <v>4193839169</v>
      </c>
      <c r="AJ115" s="10">
        <v>4901869723</v>
      </c>
      <c r="AK115" s="10">
        <v>6221109722</v>
      </c>
      <c r="AL115" s="10">
        <v>8331863980</v>
      </c>
      <c r="AM115" s="10">
        <v>12756947254</v>
      </c>
      <c r="AN115" s="10">
        <v>14056884797</v>
      </c>
      <c r="AO115" s="10">
        <v>17911045754</v>
      </c>
      <c r="AP115" s="10">
        <v>15328304688</v>
      </c>
      <c r="AQ115" s="10">
        <v>20265400495</v>
      </c>
      <c r="AR115" s="10">
        <v>23460367566</v>
      </c>
      <c r="AS115" s="10">
        <v>25503702371</v>
      </c>
      <c r="AT115" s="10">
        <v>28045620321</v>
      </c>
      <c r="AU115" s="10">
        <v>27150656425</v>
      </c>
      <c r="AV115" s="10">
        <v>21243447420</v>
      </c>
      <c r="AW115" s="10">
        <v>20953840859</v>
      </c>
      <c r="AX115" s="10">
        <v>25868140477</v>
      </c>
    </row>
    <row r="116" spans="2:50" x14ac:dyDescent="0.45">
      <c r="B116" t="s">
        <v>165</v>
      </c>
      <c r="C116" s="10">
        <v>2022508268</v>
      </c>
      <c r="D116" s="10">
        <v>2338633665</v>
      </c>
      <c r="E116" s="10">
        <v>2888075680</v>
      </c>
      <c r="F116" s="10">
        <v>3552264735</v>
      </c>
      <c r="G116" s="10">
        <v>4274456487</v>
      </c>
      <c r="H116" s="10">
        <v>4692159286</v>
      </c>
      <c r="I116" s="10">
        <v>4637294993</v>
      </c>
      <c r="J116" s="10">
        <v>4683462732</v>
      </c>
      <c r="K116" s="10">
        <v>4685667406</v>
      </c>
      <c r="L116" s="10">
        <v>5558591590</v>
      </c>
      <c r="M116" s="10">
        <v>7147652745</v>
      </c>
      <c r="N116" s="10">
        <v>8599417215</v>
      </c>
      <c r="O116" s="10">
        <v>9166515154</v>
      </c>
      <c r="P116" s="10">
        <v>8333928987</v>
      </c>
      <c r="Q116" s="10">
        <v>6818383918</v>
      </c>
      <c r="R116" s="10">
        <v>7547808636</v>
      </c>
      <c r="S116" s="10">
        <v>8323685043</v>
      </c>
      <c r="T116" s="10">
        <v>9024830893</v>
      </c>
      <c r="U116" s="10">
        <v>10461540564</v>
      </c>
      <c r="V116" s="10">
        <v>11063309169</v>
      </c>
      <c r="W116" s="10">
        <v>11737754241</v>
      </c>
      <c r="X116" s="10">
        <v>10952078269</v>
      </c>
      <c r="Y116" s="10">
        <v>9031463630</v>
      </c>
      <c r="Z116" s="10">
        <v>8773058453</v>
      </c>
      <c r="AA116" s="10">
        <v>9224030543</v>
      </c>
      <c r="AB116" s="10">
        <v>9576463535</v>
      </c>
      <c r="AC116" s="10">
        <v>11656610461</v>
      </c>
      <c r="AD116" s="10">
        <v>11992240001</v>
      </c>
      <c r="AE116" s="10">
        <v>8401377596</v>
      </c>
      <c r="AF116" s="10">
        <v>7985300000</v>
      </c>
      <c r="AG116" s="10">
        <v>7548600000</v>
      </c>
      <c r="AH116" s="10">
        <v>7495500000</v>
      </c>
      <c r="AI116" s="10">
        <v>7111400000</v>
      </c>
      <c r="AJ116" s="10">
        <v>6705400000</v>
      </c>
      <c r="AK116" s="10">
        <v>6419600000</v>
      </c>
      <c r="AL116" s="10">
        <v>6222900000</v>
      </c>
      <c r="AM116" s="10">
        <v>7082932167</v>
      </c>
      <c r="AN116" s="10">
        <v>7032746175</v>
      </c>
      <c r="AO116" s="10">
        <v>6450546701</v>
      </c>
      <c r="AP116" s="10">
        <v>8621573608</v>
      </c>
      <c r="AQ116" s="10">
        <v>10141859710</v>
      </c>
      <c r="AR116" s="10">
        <v>12098450749</v>
      </c>
      <c r="AS116" s="10">
        <v>14242490252</v>
      </c>
      <c r="AT116" s="10">
        <v>15451768659</v>
      </c>
      <c r="AU116" s="10">
        <v>15891049236</v>
      </c>
      <c r="AV116" s="10">
        <v>16304667807</v>
      </c>
      <c r="AW116" s="10">
        <v>16619960402</v>
      </c>
      <c r="AX116" s="10">
        <v>18036873279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183EB-A44F-4F40-830A-296B566B3DFF}">
  <dimension ref="B1:AX13"/>
  <sheetViews>
    <sheetView workbookViewId="0">
      <selection activeCell="F11" sqref="F11"/>
    </sheetView>
  </sheetViews>
  <sheetFormatPr defaultRowHeight="14.25" x14ac:dyDescent="0.45"/>
  <cols>
    <col min="3" max="4" width="19.3984375" bestFit="1" customWidth="1"/>
    <col min="12" max="12" width="13.265625" customWidth="1"/>
  </cols>
  <sheetData>
    <row r="1" spans="2:50" x14ac:dyDescent="0.45">
      <c r="C1" t="str">
        <f>GDP!C12</f>
        <v>1970</v>
      </c>
      <c r="D1" t="str">
        <f>GDP!D12</f>
        <v>1971</v>
      </c>
      <c r="E1" t="str">
        <f>GDP!E12</f>
        <v>1972</v>
      </c>
      <c r="F1" t="str">
        <f>GDP!F12</f>
        <v>1973</v>
      </c>
      <c r="G1" t="str">
        <f>GDP!G12</f>
        <v>1974</v>
      </c>
      <c r="H1" t="str">
        <f>GDP!H12</f>
        <v>1975</v>
      </c>
      <c r="I1" t="str">
        <f>GDP!I12</f>
        <v>1976</v>
      </c>
      <c r="J1" t="str">
        <f>GDP!J12</f>
        <v>1977</v>
      </c>
      <c r="K1" t="str">
        <f>GDP!K12</f>
        <v>1978</v>
      </c>
      <c r="L1" t="str">
        <f>GDP!L12</f>
        <v>1979</v>
      </c>
      <c r="M1" t="str">
        <f>GDP!M12</f>
        <v>1980</v>
      </c>
      <c r="N1" t="str">
        <f>GDP!N12</f>
        <v>1981</v>
      </c>
      <c r="O1" t="str">
        <f>GDP!O12</f>
        <v>1982</v>
      </c>
      <c r="P1" t="str">
        <f>GDP!P12</f>
        <v>1983</v>
      </c>
      <c r="Q1" t="str">
        <f>GDP!Q12</f>
        <v>1984</v>
      </c>
      <c r="R1" t="str">
        <f>GDP!R12</f>
        <v>1985</v>
      </c>
      <c r="S1" t="str">
        <f>GDP!S12</f>
        <v>1986</v>
      </c>
      <c r="T1" t="str">
        <f>GDP!T12</f>
        <v>1987</v>
      </c>
      <c r="U1" t="str">
        <f>GDP!U12</f>
        <v>1988</v>
      </c>
      <c r="V1" t="str">
        <f>GDP!V12</f>
        <v>1989</v>
      </c>
      <c r="W1" t="str">
        <f>GDP!W12</f>
        <v>1990</v>
      </c>
      <c r="X1" t="str">
        <f>GDP!X12</f>
        <v>1991</v>
      </c>
      <c r="Y1" t="str">
        <f>GDP!Y12</f>
        <v>1992</v>
      </c>
      <c r="Z1" t="str">
        <f>GDP!Z12</f>
        <v>1993</v>
      </c>
      <c r="AA1" t="str">
        <f>GDP!AA12</f>
        <v>1994</v>
      </c>
      <c r="AB1" t="str">
        <f>GDP!AB12</f>
        <v>1995</v>
      </c>
      <c r="AC1" t="str">
        <f>GDP!AC12</f>
        <v>1996</v>
      </c>
      <c r="AD1" t="str">
        <f>GDP!AD12</f>
        <v>1997</v>
      </c>
      <c r="AE1" t="str">
        <f>GDP!AE12</f>
        <v>1998</v>
      </c>
      <c r="AF1" t="str">
        <f>GDP!AF12</f>
        <v>1999</v>
      </c>
      <c r="AG1" t="str">
        <f>GDP!AG12</f>
        <v>2000</v>
      </c>
      <c r="AH1" t="str">
        <f>GDP!AH12</f>
        <v>2001</v>
      </c>
      <c r="AI1" t="str">
        <f>GDP!AI12</f>
        <v>2002</v>
      </c>
      <c r="AJ1" t="str">
        <f>GDP!AJ12</f>
        <v>2003</v>
      </c>
      <c r="AK1" t="str">
        <f>GDP!AK12</f>
        <v>2004</v>
      </c>
      <c r="AL1" t="str">
        <f>GDP!AL12</f>
        <v>2005</v>
      </c>
      <c r="AM1" t="str">
        <f>GDP!AM12</f>
        <v>2006</v>
      </c>
      <c r="AN1" t="str">
        <f>GDP!AN12</f>
        <v>2007</v>
      </c>
      <c r="AO1" t="str">
        <f>GDP!AO12</f>
        <v>2008</v>
      </c>
      <c r="AP1" t="str">
        <f>GDP!AP12</f>
        <v>2009</v>
      </c>
      <c r="AQ1" t="str">
        <f>GDP!AQ12</f>
        <v>2010</v>
      </c>
      <c r="AR1" t="str">
        <f>GDP!AR12</f>
        <v>2011</v>
      </c>
      <c r="AS1" t="str">
        <f>GDP!AS12</f>
        <v>2012</v>
      </c>
      <c r="AT1" t="str">
        <f>GDP!AT12</f>
        <v>2013</v>
      </c>
      <c r="AU1" t="str">
        <f>GDP!AU12</f>
        <v>2014</v>
      </c>
      <c r="AV1" t="str">
        <f>GDP!AV12</f>
        <v>2015</v>
      </c>
      <c r="AW1" t="str">
        <f>GDP!AW12</f>
        <v>2016</v>
      </c>
      <c r="AX1" t="str">
        <f>GDP!AX12</f>
        <v>2017</v>
      </c>
    </row>
    <row r="2" spans="2:50" x14ac:dyDescent="0.45">
      <c r="B2" t="s">
        <v>29</v>
      </c>
      <c r="C2" cm="1">
        <f t="array" ref="C2">[3]!TheilT2(Population!C42:C116,GDP!C42:C116)</f>
        <v>0.37183267793205416</v>
      </c>
      <c r="D2" cm="1">
        <f t="array" ref="D2">[3]!TheilT2(Population!D42:D116,GDP!D42:D116)</f>
        <v>0.3948442873447327</v>
      </c>
      <c r="E2" cm="1">
        <f t="array" ref="E2">[3]!TheilT2(Population!E42:E116,GDP!E42:E116)</f>
        <v>0.3945501113636623</v>
      </c>
      <c r="F2" cm="1">
        <f t="array" ref="F2">[3]!TheilT2(Population!F42:F116,GDP!F42:F116)</f>
        <v>0.41056232860861647</v>
      </c>
      <c r="G2" cm="1">
        <f t="array" ref="G2">[3]!TheilT2(Population!G42:G116,GDP!G42:G116)</f>
        <v>0.49328000631536661</v>
      </c>
      <c r="H2" cm="1">
        <f t="array" ref="H2">[3]!TheilT2(Population!H42:H116,GDP!H42:H116)</f>
        <v>0.50270303527852589</v>
      </c>
      <c r="I2" cm="1">
        <f t="array" ref="I2">[3]!TheilT2(Population!I42:I116,GDP!I42:I116)</f>
        <v>0.54053063973737314</v>
      </c>
      <c r="J2" cm="1">
        <f t="array" ref="J2">[3]!TheilT2(Population!J42:J116,GDP!J42:J116)</f>
        <v>0.52780794536993159</v>
      </c>
      <c r="K2" cm="1">
        <f t="array" ref="K2">[3]!TheilT2(Population!K42:K116,GDP!K42:K116)</f>
        <v>0.50874503290132023</v>
      </c>
      <c r="L2" cm="1">
        <f t="array" ref="L2">[3]!TheilT2(Population!L42:L116,GDP!L42:L116)</f>
        <v>0.56009593254349244</v>
      </c>
      <c r="M2" cm="1">
        <f t="array" ref="M2">[3]!TheilT2(Population!M42:M116,GDP!M42:M116)</f>
        <v>0.60078745615010742</v>
      </c>
      <c r="N2" cm="1">
        <f t="array" ref="N2">[3]!TheilT2(Population!N42:N116,GDP!N42:N116)</f>
        <v>0.62527232936773303</v>
      </c>
      <c r="O2" cm="1">
        <f t="array" ref="O2">[3]!TheilT2(Population!O42:O116,GDP!O42:O116)</f>
        <v>0.54954155347434686</v>
      </c>
      <c r="P2" cm="1">
        <f t="array" ref="P2">[3]!TheilT2(Population!P42:P116,GDP!P42:P116)</f>
        <v>0.50288669834923094</v>
      </c>
      <c r="Q2" cm="1">
        <f t="array" ref="Q2">[3]!TheilT2(Population!Q42:Q116,GDP!Q42:Q116)</f>
        <v>0.50456902775848234</v>
      </c>
      <c r="R2" cm="1">
        <f t="array" ref="R2">[3]!TheilT2(Population!R42:R116,GDP!R42:R116)</f>
        <v>0.48007442126163191</v>
      </c>
      <c r="S2" cm="1">
        <f t="array" ref="S2">[3]!TheilT2(Population!S42:S116,GDP!S42:S116)</f>
        <v>0.41437285113862299</v>
      </c>
      <c r="T2" cm="1">
        <f t="array" ref="T2">[3]!TheilT2(Population!T42:T116,GDP!T42:T116)</f>
        <v>0.41560284803528641</v>
      </c>
      <c r="U2" cm="1">
        <f t="array" ref="U2">[3]!TheilT2(Population!U42:U116,GDP!U42:U116)</f>
        <v>0.40910013698003406</v>
      </c>
      <c r="V2" cm="1">
        <f t="array" ref="V2">[3]!TheilT2(Population!V42:V116,GDP!V42:V116)</f>
        <v>0.43177720191860058</v>
      </c>
      <c r="W2" cm="1">
        <f t="array" ref="W2">[3]!TheilT2(Population!W42:W116,GDP!W42:W116)</f>
        <v>0.48502838836200579</v>
      </c>
      <c r="X2" cm="1">
        <f t="array" ref="X2">[3]!TheilT2(Population!X42:X116,GDP!X42:X116)</f>
        <v>0.55800871833313503</v>
      </c>
      <c r="Y2" cm="1">
        <f t="array" ref="Y2">[3]!TheilT2(Population!Y42:Y116,GDP!Y42:Y116)</f>
        <v>0.59673493484689055</v>
      </c>
      <c r="Z2" cm="1">
        <f t="array" ref="Z2">[3]!TheilT2(Population!Z42:Z116,GDP!Z42:Z116)</f>
        <v>0.64060900370412055</v>
      </c>
      <c r="AA2" cm="1">
        <f t="array" ref="AA2">[3]!TheilT2(Population!AA42:AA116,GDP!AA42:AA116)</f>
        <v>0.64724923362491038</v>
      </c>
      <c r="AB2" cm="1">
        <f t="array" ref="AB2">[3]!TheilT2(Population!AB42:AB116,GDP!AB42:AB116)</f>
        <v>0.61521022597345421</v>
      </c>
      <c r="AC2" cm="1">
        <f t="array" ref="AC2">[3]!TheilT2(Population!AC42:AC116,GDP!AC42:AC116)</f>
        <v>0.62890355875127046</v>
      </c>
      <c r="AD2" cm="1">
        <f t="array" ref="AD2">[3]!TheilT2(Population!AD42:AD116,GDP!AD42:AD116)</f>
        <v>0.63962617618747175</v>
      </c>
      <c r="AE2" cm="1">
        <f t="array" ref="AE2">[3]!TheilT2(Population!AE42:AE116,GDP!AE42:AE116)</f>
        <v>0.64167581663042939</v>
      </c>
      <c r="AF2" cm="1">
        <f t="array" ref="AF2">[3]!TheilT2(Population!AF42:AF116,GDP!AF42:AF116)</f>
        <v>0.60853598872825521</v>
      </c>
      <c r="AG2" cm="1">
        <f t="array" ref="AG2">[3]!TheilT2(Population!AG42:AG116,GDP!AG42:AG116)</f>
        <v>0.64456727484551646</v>
      </c>
      <c r="AH2" cm="1">
        <f t="array" ref="AH2">[3]!TheilT2(Population!AH42:AH116,GDP!AH42:AH116)</f>
        <v>0.63838469990908842</v>
      </c>
      <c r="AI2" cm="1">
        <f t="array" ref="AI2">[3]!TheilT2(Population!AI42:AI116,GDP!AI42:AI116)</f>
        <v>0.58667109468891954</v>
      </c>
      <c r="AJ2" cm="1">
        <f t="array" ref="AJ2">[3]!TheilT2(Population!AJ42:AJ116,GDP!AJ42:AJ116)</f>
        <v>0.54951379626703267</v>
      </c>
      <c r="AK2" cm="1">
        <f t="array" ref="AK2">[3]!TheilT2(Population!AK42:AK116,GDP!AK42:AK116)</f>
        <v>0.53870082776963413</v>
      </c>
      <c r="AL2" cm="1">
        <f t="array" ref="AL2">[3]!TheilT2(Population!AL42:AL116,GDP!AL42:AL116)</f>
        <v>0.54867116955269835</v>
      </c>
      <c r="AM2" cm="1">
        <f t="array" ref="AM2">[3]!TheilT2(Population!AM42:AM116,GDP!AM42:AM116)</f>
        <v>0.54087197381701502</v>
      </c>
      <c r="AN2" cm="1">
        <f t="array" ref="AN2">[3]!TheilT2(Population!AN42:AN116,GDP!AN42:AN116)</f>
        <v>0.51945630414012556</v>
      </c>
      <c r="AO2" cm="1">
        <f t="array" ref="AO2">[3]!TheilT2(Population!AO42:AO116,GDP!AO42:AO116)</f>
        <v>0.53937183651372345</v>
      </c>
      <c r="AP2" cm="1">
        <f t="array" ref="AP2">[3]!TheilT2(Population!AP42:AP116,GDP!AP42:AP116)</f>
        <v>0.48895919051506648</v>
      </c>
      <c r="AQ2" cm="1">
        <f t="array" ref="AQ2">[3]!TheilT2(Population!AQ42:AQ116,GDP!AQ42:AQ116)</f>
        <v>0.50125871514229781</v>
      </c>
      <c r="AR2" cm="1">
        <f t="array" ref="AR2">[3]!TheilT2(Population!AR42:AR116,GDP!AR42:AR116)</f>
        <v>0.51709237193889768</v>
      </c>
      <c r="AS2" cm="1">
        <f t="array" ref="AS2">[3]!TheilT2(Population!AS42:AS116,GDP!AS42:AS116)</f>
        <v>0.51695552544060785</v>
      </c>
      <c r="AT2" cm="1">
        <f t="array" ref="AT2">[3]!TheilT2(Population!AT42:AT116,GDP!AT42:AT116)</f>
        <v>0.50715429036094983</v>
      </c>
      <c r="AU2" cm="1">
        <f t="array" ref="AU2">[3]!TheilT2(Population!AU42:AU116,GDP!AU42:AU116)</f>
        <v>0.47895446242765166</v>
      </c>
      <c r="AV2" cm="1">
        <f t="array" ref="AV2">[3]!TheilT2(Population!AV42:AV116,GDP!AV42:AV116)</f>
        <v>0.41992655792342432</v>
      </c>
      <c r="AW2" cm="1">
        <f t="array" ref="AW2">[3]!TheilT2(Population!AW42:AW116,GDP!AW42:AW116)</f>
        <v>0.39597875118586784</v>
      </c>
      <c r="AX2" cm="1">
        <f t="array" ref="AX2">[3]!TheilT2(Population!AX42:AX116,GDP!AX42:AX116)</f>
        <v>0.39237865368373587</v>
      </c>
    </row>
    <row r="3" spans="2:50" x14ac:dyDescent="0.45">
      <c r="B3" t="s">
        <v>28</v>
      </c>
      <c r="C3" cm="1">
        <f t="array" ref="C3">[3]!TheilT2(Population!C14:C41,GDP!C14:C41)</f>
        <v>0.12375501843218234</v>
      </c>
      <c r="D3" cm="1">
        <f t="array" ref="D3">[3]!TheilT2(Population!D14:D41,GDP!D14:D41)</f>
        <v>0.11635719499193405</v>
      </c>
      <c r="E3" cm="1">
        <f t="array" ref="E3">[3]!TheilT2(Population!E14:E41,GDP!E14:E41)</f>
        <v>9.9280031058850055E-2</v>
      </c>
      <c r="F3" cm="1">
        <f t="array" ref="F3">[3]!TheilT2(Population!F14:F41,GDP!F14:F41)</f>
        <v>8.2371972947823419E-2</v>
      </c>
      <c r="G3" cm="1">
        <f t="array" ref="G3">[3]!TheilT2(Population!G14:G41,GDP!G14:G41)</f>
        <v>7.6945011317216538E-2</v>
      </c>
      <c r="H3" cm="1">
        <f t="array" ref="H3">[3]!TheilT2(Population!H14:H41,GDP!H14:H41)</f>
        <v>7.4351821068048413E-2</v>
      </c>
      <c r="I3" cm="1">
        <f t="array" ref="I3">[3]!TheilT2(Population!I14:I41,GDP!I14:I41)</f>
        <v>7.9504724759073817E-2</v>
      </c>
      <c r="J3" cm="1">
        <f t="array" ref="J3">[3]!TheilT2(Population!J14:J41,GDP!J14:J41)</f>
        <v>7.2243331442540776E-2</v>
      </c>
      <c r="K3" cm="1">
        <f t="array" ref="K3">[3]!TheilT2(Population!K14:K41,GDP!K14:K41)</f>
        <v>6.310886931804266E-2</v>
      </c>
      <c r="L3" cm="1">
        <f t="array" ref="L3">[3]!TheilT2(Population!L14:L41,GDP!L14:L41)</f>
        <v>5.434866369985674E-2</v>
      </c>
      <c r="M3" cm="1">
        <f t="array" ref="M3">[3]!TheilT2(Population!M14:M41,GDP!M14:M41)</f>
        <v>5.2973626061762778E-2</v>
      </c>
      <c r="N3" cm="1">
        <f t="array" ref="N3">[3]!TheilT2(Population!N14:N41,GDP!N14:N41)</f>
        <v>6.0184483582481796E-2</v>
      </c>
      <c r="O3" cm="1">
        <f t="array" ref="O3">[3]!TheilT2(Population!O14:O41,GDP!O14:O41)</f>
        <v>6.4998822150331245E-2</v>
      </c>
      <c r="P3" cm="1">
        <f t="array" ref="P3">[3]!TheilT2(Population!P14:P41,GDP!P14:P41)</f>
        <v>7.4316621235007194E-2</v>
      </c>
      <c r="Q3" cm="1">
        <f t="array" ref="Q3">[3]!TheilT2(Population!Q14:Q41,GDP!Q14:Q41)</f>
        <v>8.9347045134097677E-2</v>
      </c>
      <c r="R3" cm="1">
        <f t="array" ref="R3">[3]!TheilT2(Population!R14:R41,GDP!R14:R41)</f>
        <v>9.3954781278663649E-2</v>
      </c>
      <c r="S3" cm="1">
        <f t="array" ref="S3">[3]!TheilT2(Population!S14:S41,GDP!S14:S41)</f>
        <v>6.6562358640741059E-2</v>
      </c>
      <c r="T3" cm="1">
        <f t="array" ref="T3">[3]!TheilT2(Population!T14:T41,GDP!T14:T41)</f>
        <v>5.5371261537667707E-2</v>
      </c>
      <c r="U3" cm="1">
        <f t="array" ref="U3">[3]!TheilT2(Population!U14:U41,GDP!U14:U41)</f>
        <v>5.0746984097786427E-2</v>
      </c>
      <c r="V3" cm="1">
        <f t="array" ref="V3">[3]!TheilT2(Population!V14:V41,GDP!V14:V41)</f>
        <v>4.6025982589932068E-2</v>
      </c>
      <c r="W3" cm="1">
        <f t="array" ref="W3">[3]!TheilT2(Population!W14:W41,GDP!W14:W41)</f>
        <v>3.5702139788241952E-2</v>
      </c>
      <c r="X3" cm="1">
        <f t="array" ref="X3">[3]!TheilT2(Population!X14:X41,GDP!X14:X41)</f>
        <v>3.5069749277673604E-2</v>
      </c>
      <c r="Y3" cm="1">
        <f t="array" ref="Y3">[3]!TheilT2(Population!Y14:Y41,GDP!Y14:Y41)</f>
        <v>3.5677105507420162E-2</v>
      </c>
      <c r="Z3" cm="1">
        <f t="array" ref="Z3">[3]!TheilT2(Population!Z14:Z41,GDP!Z14:Z41)</f>
        <v>4.9476099902826177E-2</v>
      </c>
      <c r="AA3" cm="1">
        <f t="array" ref="AA3">[3]!TheilT2(Population!AA14:AA41,GDP!AA14:AA41)</f>
        <v>5.1341195965844591E-2</v>
      </c>
      <c r="AB3" cm="1">
        <f t="array" ref="AB3">[3]!TheilT2(Population!AB14:AB41,GDP!AB14:AB41)</f>
        <v>4.8687507295866447E-2</v>
      </c>
      <c r="AC3" cm="1">
        <f t="array" ref="AC3">[3]!TheilT2(Population!AC14:AC41,GDP!AC14:AC41)</f>
        <v>3.418560706805808E-2</v>
      </c>
      <c r="AD3" cm="1">
        <f t="array" ref="AD3">[3]!TheilT2(Population!AD14:AD41,GDP!AD14:AD41)</f>
        <v>3.3690241025396944E-2</v>
      </c>
      <c r="AE3" cm="1">
        <f t="array" ref="AE3">[3]!TheilT2(Population!AE14:AE41,GDP!AE14:AE41)</f>
        <v>4.0500730122236421E-2</v>
      </c>
      <c r="AF3" cm="1">
        <f t="array" ref="AF3">[3]!TheilT2(Population!AF14:AF41,GDP!AF14:AF41)</f>
        <v>4.0810619856364257E-2</v>
      </c>
      <c r="AG3" cm="1">
        <f t="array" ref="AG3">[3]!TheilT2(Population!AG14:AG41,GDP!AG14:AG41)</f>
        <v>5.0895526240408523E-2</v>
      </c>
      <c r="AH3" cm="1">
        <f t="array" ref="AH3">[3]!TheilT2(Population!AH14:AH41,GDP!AH14:AH41)</f>
        <v>4.8712052099264561E-2</v>
      </c>
      <c r="AI3" cm="1">
        <f t="array" ref="AI3">[3]!TheilT2(Population!AI14:AI41,GDP!AI14:AI41)</f>
        <v>4.0539892378644041E-2</v>
      </c>
      <c r="AJ3" cm="1">
        <f t="array" ref="AJ3">[3]!TheilT2(Population!AJ14:AJ41,GDP!AJ14:AJ41)</f>
        <v>2.9046183899062515E-2</v>
      </c>
      <c r="AK3" cm="1">
        <f t="array" ref="AK3">[3]!TheilT2(Population!AK14:AK41,GDP!AK14:AK41)</f>
        <v>2.4542497394843921E-2</v>
      </c>
      <c r="AL3" cm="1">
        <f t="array" ref="AL3">[3]!TheilT2(Population!AL14:AL41,GDP!AL14:AL41)</f>
        <v>2.3248552036493154E-2</v>
      </c>
      <c r="AM3" cm="1">
        <f t="array" ref="AM3">[3]!TheilT2(Population!AM14:AM41,GDP!AM14:AM41)</f>
        <v>2.3261977724254167E-2</v>
      </c>
      <c r="AN3" cm="1">
        <f t="array" ref="AN3">[3]!TheilT2(Population!AN14:AN41,GDP!AN14:AN41)</f>
        <v>2.1989750906901147E-2</v>
      </c>
      <c r="AO3" cm="1">
        <f t="array" ref="AO3">[3]!TheilT2(Population!AO14:AO41,GDP!AO14:AO41)</f>
        <v>2.2117874756862711E-2</v>
      </c>
      <c r="AP3" cm="1">
        <f t="array" ref="AP3">[3]!TheilT2(Population!AP14:AP41,GDP!AP14:AP41)</f>
        <v>2.2293992391913646E-2</v>
      </c>
      <c r="AQ3" cm="1">
        <f t="array" ref="AQ3">[3]!TheilT2(Population!AQ14:AQ41,GDP!AQ14:AQ41)</f>
        <v>2.303039454100236E-2</v>
      </c>
      <c r="AR3" cm="1">
        <f t="array" ref="AR3">[3]!TheilT2(Population!AR14:AR41,GDP!AR14:AR41)</f>
        <v>2.5079463001766635E-2</v>
      </c>
      <c r="AS3" cm="1">
        <f t="array" ref="AS3">[3]!TheilT2(Population!AS14:AS41,GDP!AS14:AS41)</f>
        <v>2.9596414705589099E-2</v>
      </c>
      <c r="AT3" cm="1">
        <f t="array" ref="AT3">[3]!TheilT2(Population!AT14:AT41,GDP!AT14:AT41)</f>
        <v>2.9472798882367444E-2</v>
      </c>
      <c r="AU3" cm="1">
        <f t="array" ref="AU3">[3]!TheilT2(Population!AU14:AU41,GDP!AU14:AU41)</f>
        <v>2.934692941614836E-2</v>
      </c>
      <c r="AV3" cm="1">
        <f t="array" ref="AV3">[3]!TheilT2(Population!AV14:AV41,GDP!AV14:AV41)</f>
        <v>3.9083122218397132E-2</v>
      </c>
      <c r="AW3" cm="1">
        <f t="array" ref="AW3">[3]!TheilT2(Population!AW14:AW41,GDP!AW14:AW41)</f>
        <v>3.6811069207304759E-2</v>
      </c>
      <c r="AX3" cm="1">
        <f t="array" ref="AX3">[3]!TheilT2(Population!AX14:AX41,GDP!AX14:AX41)</f>
        <v>3.7106777308865357E-2</v>
      </c>
    </row>
    <row r="4" spans="2:50" x14ac:dyDescent="0.45">
      <c r="B4" t="s">
        <v>176</v>
      </c>
      <c r="C4" cm="1">
        <f t="array" ref="C4">[3]!TheilT2(Population!C1:C3,GDP!C1:C3)</f>
        <v>0.74303580288330218</v>
      </c>
      <c r="D4" cm="1">
        <f t="array" ref="D4">[3]!TheilT2(Population!D1:D3,GDP!D1:D3)</f>
        <v>0.75729861918384456</v>
      </c>
      <c r="E4" cm="1">
        <f t="array" ref="E4">[3]!TheilT2(Population!E1:E3,GDP!E1:E3)</f>
        <v>0.77878545317761183</v>
      </c>
      <c r="F4" cm="1">
        <f t="array" ref="F4">[3]!TheilT2(Population!F1:F3,GDP!F1:F3)</f>
        <v>0.78184391844939649</v>
      </c>
      <c r="G4" cm="1">
        <f t="array" ref="G4">[3]!TheilT2(Population!G1:G3,GDP!G1:G3)</f>
        <v>0.75063613584906486</v>
      </c>
      <c r="H4" cm="1">
        <f t="array" ref="H4">[3]!TheilT2(Population!H1:H3,GDP!H1:H3)</f>
        <v>0.75469447632757025</v>
      </c>
      <c r="I4" cm="1">
        <f t="array" ref="I4">[3]!TheilT2(Population!I1:I3,GDP!I1:I3)</f>
        <v>0.7666724028816494</v>
      </c>
      <c r="J4" cm="1">
        <f t="array" ref="J4">[3]!TheilT2(Population!J1:J3,GDP!J1:J3)</f>
        <v>0.77411591582056138</v>
      </c>
      <c r="K4" cm="1">
        <f t="array" ref="K4">[3]!TheilT2(Population!K1:K3,GDP!K1:K3)</f>
        <v>0.79409175545707811</v>
      </c>
      <c r="L4" cm="1">
        <f t="array" ref="L4">[3]!TheilT2(Population!L1:L3,GDP!L1:L3)</f>
        <v>0.78227127420361764</v>
      </c>
      <c r="M4" cm="1">
        <f t="array" ref="M4">[3]!TheilT2(Population!M1:M3,GDP!M1:M3)</f>
        <v>0.76104092569301252</v>
      </c>
      <c r="N4" cm="1">
        <f t="array" ref="N4">[3]!TheilT2(Population!N1:N3,GDP!N1:N3)</f>
        <v>0.75076915025915825</v>
      </c>
      <c r="O4" cm="1">
        <f t="array" ref="O4">[3]!TheilT2(Population!O1:O3,GDP!O1:O3)</f>
        <v>0.77896238306570087</v>
      </c>
      <c r="P4" cm="1">
        <f t="array" ref="P4">[3]!TheilT2(Population!P1:P3,GDP!P1:P3)</f>
        <v>0.81594132875086645</v>
      </c>
      <c r="Q4" cm="1">
        <f t="array" ref="Q4">[3]!TheilT2(Population!Q1:Q3,GDP!Q1:Q3)</f>
        <v>0.83417154701325413</v>
      </c>
      <c r="R4" cm="1">
        <f t="array" ref="R4">[3]!TheilT2(Population!R1:R3,GDP!R1:R3)</f>
        <v>0.86537667486390646</v>
      </c>
      <c r="S4" cm="1">
        <f t="array" ref="S4">[3]!TheilT2(Population!S1:S3,GDP!S1:S3)</f>
        <v>0.96075157334242189</v>
      </c>
      <c r="T4" cm="1">
        <f t="array" ref="T4">[3]!TheilT2(Population!T1:T3,GDP!T1:T3)</f>
        <v>0.99791528295784659</v>
      </c>
      <c r="U4" cm="1">
        <f t="array" ref="U4">[3]!TheilT2(Population!U1:U3,GDP!U1:U3)</f>
        <v>1.0062978355811745</v>
      </c>
      <c r="V4" cm="1">
        <f t="array" ref="V4">[3]!TheilT2(Population!V1:V3,GDP!V1:V3)</f>
        <v>0.9989880842394927</v>
      </c>
      <c r="W4" cm="1">
        <f t="array" ref="W4">[3]!TheilT2(Population!W1:W3,GDP!W1:W3)</f>
        <v>1.0179883777225172</v>
      </c>
      <c r="X4" cm="1">
        <f t="array" ref="X4">[3]!TheilT2(Population!X1:X3,GDP!X1:X3)</f>
        <v>1.0316775162273413</v>
      </c>
      <c r="Y4" cm="1">
        <f t="array" ref="Y4">[3]!TheilT2(Population!Y1:Y3,GDP!Y1:Y3)</f>
        <v>1.031603733265877</v>
      </c>
      <c r="Z4" cm="1">
        <f t="array" ref="Z4">[3]!TheilT2(Population!Z1:Z3,GDP!Z1:Z3)</f>
        <v>1.0015206774990482</v>
      </c>
      <c r="AA4" cm="1">
        <f t="array" ref="AA4">[3]!TheilT2(Population!AA1:AA3,GDP!AA1:AA3)</f>
        <v>1.0170971098321162</v>
      </c>
      <c r="AB4" cm="1">
        <f t="array" ref="AB4">[3]!TheilT2(Population!AB1:AB3,GDP!AB1:AB3)</f>
        <v>1.0151474076389035</v>
      </c>
      <c r="AC4" cm="1">
        <f t="array" ref="AC4">[3]!TheilT2(Population!AC1:AC3,GDP!AC1:AC3)</f>
        <v>0.98656348013301476</v>
      </c>
      <c r="AD4" cm="1">
        <f t="array" ref="AD4">[3]!TheilT2(Population!AD1:AD3,GDP!AD1:AD3)</f>
        <v>0.95677173382893499</v>
      </c>
      <c r="AE4" cm="1">
        <f t="array" ref="AE4">[3]!TheilT2(Population!AE1:AE3,GDP!AE1:AE3)</f>
        <v>0.96485088988441636</v>
      </c>
      <c r="AF4" cm="1">
        <f t="array" ref="AF4">[3]!TheilT2(Population!AF1:AF3,GDP!AF1:AF3)</f>
        <v>1.0005488190872445</v>
      </c>
      <c r="AG4" cm="1">
        <f t="array" ref="AG4">[3]!TheilT2(Population!AG1:AG3,GDP!AG1:AG3)</f>
        <v>0.98108391266275374</v>
      </c>
      <c r="AH4" cm="1">
        <f t="array" ref="AH4">[3]!TheilT2(Population!AH1:AH3,GDP!AH1:AH3)</f>
        <v>0.98113830268544144</v>
      </c>
      <c r="AI4" cm="1">
        <f t="array" ref="AI4">[3]!TheilT2(Population!AI1:AI3,GDP!AI1:AI3)</f>
        <v>0.99774888485133417</v>
      </c>
      <c r="AJ4" cm="1">
        <f t="array" ref="AJ4">[3]!TheilT2(Population!AJ1:AJ3,GDP!AJ1:AJ3)</f>
        <v>1.0078409860571431</v>
      </c>
      <c r="AK4" cm="1">
        <f t="array" ref="AK4">[3]!TheilT2(Population!AK1:AK3,GDP!AK1:AK3)</f>
        <v>0.985920941010754</v>
      </c>
      <c r="AL4" cm="1">
        <f t="array" ref="AL4">[3]!TheilT2(Population!AL1:AL3,GDP!AL1:AL3)</f>
        <v>0.93718231492033477</v>
      </c>
      <c r="AM4" cm="1">
        <f t="array" ref="AM4">[3]!TheilT2(Population!AM1:AM3,GDP!AM1:AM3)</f>
        <v>0.89274490531683015</v>
      </c>
      <c r="AN4" cm="1">
        <f t="array" ref="AN4">[3]!TheilT2(Population!AN1:AN3,GDP!AN1:AN3)</f>
        <v>0.84666189232709366</v>
      </c>
      <c r="AO4" cm="1">
        <f t="array" ref="AO4">[3]!TheilT2(Population!AO1:AO3,GDP!AO1:AO3)</f>
        <v>0.79050651973339559</v>
      </c>
      <c r="AP4" cm="1">
        <f t="array" ref="AP4">[3]!TheilT2(Population!AP1:AP3,GDP!AP1:AP3)</f>
        <v>0.77155532335144272</v>
      </c>
      <c r="AQ4" cm="1">
        <f t="array" ref="AQ4">[3]!TheilT2(Population!AQ1:AQ3,GDP!AQ1:AQ3)</f>
        <v>0.69998606747438796</v>
      </c>
      <c r="AR4" cm="1">
        <f t="array" ref="AR4">[3]!TheilT2(Population!AR1:AR3,GDP!AR1:AR3)</f>
        <v>0.6569272740108979</v>
      </c>
      <c r="AS4" cm="1">
        <f t="array" ref="AS4">[3]!TheilT2(Population!AS1:AS3,GDP!AS1:AS3)</f>
        <v>0.63191321218226104</v>
      </c>
      <c r="AT4" cm="1">
        <f t="array" ref="AT4">[3]!TheilT2(Population!AT1:AT3,GDP!AT1:AT3)</f>
        <v>0.60848753152049784</v>
      </c>
      <c r="AU4" cm="1">
        <f t="array" ref="AU4">[3]!TheilT2(Population!AU1:AU3,GDP!AU1:AU3)</f>
        <v>0.6027419125352631</v>
      </c>
      <c r="AV4" cm="1">
        <f t="array" ref="AV4">[3]!TheilT2(Population!AV1:AV3,GDP!AV1:AV3)</f>
        <v>0.60066092427839091</v>
      </c>
      <c r="AW4" cm="1">
        <f t="array" ref="AW4">[3]!TheilT2(Population!AW1:AW3,GDP!AW1:AW3)</f>
        <v>0.61896569354369413</v>
      </c>
      <c r="AX4" cm="1">
        <f t="array" ref="AX4">[3]!TheilT2(Population!AX1:AX3,GDP!AX1:AX3)</f>
        <v>0.59936027110055257</v>
      </c>
    </row>
    <row r="5" spans="2:50" x14ac:dyDescent="0.45">
      <c r="B5" t="s">
        <v>177</v>
      </c>
      <c r="C5" cm="1">
        <f t="array" ref="C5">[3]!TheilT2(Population!C13:C116,GDP!C13:C116)</f>
        <v>0.89685368511545305</v>
      </c>
      <c r="D5" cm="1">
        <f t="array" ref="D5">[3]!TheilT2(Population!D13:D116,GDP!D13:D116)</f>
        <v>0.9079599931003407</v>
      </c>
      <c r="E5" cm="1">
        <f t="array" ref="E5">[3]!TheilT2(Population!E13:E116,GDP!E13:E116)</f>
        <v>0.91388427265894956</v>
      </c>
      <c r="F5" cm="1">
        <f t="array" ref="F5">[3]!TheilT2(Population!F13:F116,GDP!F13:F116)</f>
        <v>0.90570272618360681</v>
      </c>
      <c r="G5" cm="1">
        <f t="array" ref="G5">[3]!TheilT2(Population!G13:G116,GDP!G13:G116)</f>
        <v>0.88980597855279897</v>
      </c>
      <c r="H5" cm="1">
        <f t="array" ref="H5">[3]!TheilT2(Population!H13:H116,GDP!H13:H116)</f>
        <v>0.89356836816725083</v>
      </c>
      <c r="I5" cm="1">
        <f t="array" ref="I5">[3]!TheilT2(Population!I13:I116,GDP!I13:I116)</f>
        <v>0.91781175157529327</v>
      </c>
      <c r="J5" cm="1">
        <f t="array" ref="J5">[3]!TheilT2(Population!J13:J116,GDP!J13:J116)</f>
        <v>0.91713328948139716</v>
      </c>
      <c r="K5" cm="1">
        <f t="array" ref="K5">[3]!TheilT2(Population!K13:K116,GDP!K13:K116)</f>
        <v>0.92338963340726365</v>
      </c>
      <c r="L5" cm="1">
        <f t="array" ref="L5">[3]!TheilT2(Population!L13:L116,GDP!L13:L116)</f>
        <v>0.91541213687682843</v>
      </c>
      <c r="M5" cm="1">
        <f t="array" ref="M5">[3]!TheilT2(Population!M13:M116,GDP!M13:M116)</f>
        <v>0.90535496559145334</v>
      </c>
      <c r="N5" cm="1">
        <f t="array" ref="N5">[3]!TheilT2(Population!N13:N116,GDP!N13:N116)</f>
        <v>0.91128880658518896</v>
      </c>
      <c r="O5" cm="1">
        <f t="array" ref="O5">[3]!TheilT2(Population!O13:O116,GDP!O13:O116)</f>
        <v>0.92542419411509313</v>
      </c>
      <c r="P5" cm="1">
        <f t="array" ref="P5">[3]!TheilT2(Population!P13:P116,GDP!P13:P116)</f>
        <v>0.95586985570549066</v>
      </c>
      <c r="Q5" cm="1">
        <f t="array" ref="Q5">[3]!TheilT2(Population!Q13:Q116,GDP!Q13:Q116)</f>
        <v>0.98519322214545924</v>
      </c>
      <c r="R5" cm="1">
        <f t="array" ref="R5">[3]!TheilT2(Population!R13:R116,GDP!R13:R116)</f>
        <v>1.0139054307462814</v>
      </c>
      <c r="S5" cm="1">
        <f t="array" ref="S5">[3]!TheilT2(Population!S13:S116,GDP!S13:S116)</f>
        <v>1.0684544807990826</v>
      </c>
      <c r="T5" cm="1">
        <f t="array" ref="T5">[3]!TheilT2(Population!T13:T116,GDP!T13:T116)</f>
        <v>1.0933945362861148</v>
      </c>
      <c r="U5" cm="1">
        <f t="array" ref="U5">[3]!TheilT2(Population!U13:U116,GDP!U13:U116)</f>
        <v>1.0960028396896275</v>
      </c>
      <c r="V5" cm="1">
        <f t="array" ref="V5">[3]!TheilT2(Population!V13:V116,GDP!V13:V116)</f>
        <v>1.0883745335629509</v>
      </c>
      <c r="W5" cm="1">
        <f t="array" ref="W5">[3]!TheilT2(Population!W13:W116,GDP!W13:W116)</f>
        <v>1.1064786458649869</v>
      </c>
      <c r="X5" cm="1">
        <f t="array" ref="X5">[3]!TheilT2(Population!X13:X116,GDP!X13:X116)</f>
        <v>1.1272058347309095</v>
      </c>
      <c r="Y5" cm="1">
        <f t="array" ref="Y5">[3]!TheilT2(Population!Y13:Y116,GDP!Y13:Y116)</f>
        <v>1.1317655748806077</v>
      </c>
      <c r="Z5" cm="1">
        <f t="array" ref="Z5">[3]!TheilT2(Population!Z13:Z116,GDP!Z13:Z116)</f>
        <v>1.1219866771327727</v>
      </c>
      <c r="AA5" cm="1">
        <f t="array" ref="AA5">[3]!TheilT2(Population!AA13:AA116,GDP!AA13:AA116)</f>
        <v>1.1413560627265213</v>
      </c>
      <c r="AB5" cm="1">
        <f t="array" ref="AB5">[3]!TheilT2(Population!AB13:AB116,GDP!AB13:AB116)</f>
        <v>1.1318062344709516</v>
      </c>
      <c r="AC5" cm="1">
        <f t="array" ref="AC5">[3]!TheilT2(Population!AC13:AC116,GDP!AC13:AC116)</f>
        <v>1.0965079483594999</v>
      </c>
      <c r="AD5" cm="1">
        <f t="array" ref="AD5">[3]!TheilT2(Population!AD13:AD116,GDP!AD13:AD116)</f>
        <v>1.0724722156502411</v>
      </c>
      <c r="AE5" cm="1">
        <f t="array" ref="AE5">[3]!TheilT2(Population!AE13:AE116,GDP!AE13:AE116)</f>
        <v>1.0843619080008433</v>
      </c>
      <c r="AF5" cm="1">
        <f t="array" ref="AF5">[3]!TheilT2(Population!AF13:AF116,GDP!AF13:AF116)</f>
        <v>1.1097283291613556</v>
      </c>
      <c r="AG5" cm="1">
        <f t="array" ref="AG5">[3]!TheilT2(Population!AG13:AG116,GDP!AG13:AG116)</f>
        <v>1.106059517089617</v>
      </c>
      <c r="AH5" cm="1">
        <f t="array" ref="AH5">[3]!TheilT2(Population!AH13:AH116,GDP!AH13:AH116)</f>
        <v>1.1012948885283484</v>
      </c>
      <c r="AI5" cm="1">
        <f t="array" ref="AI5">[3]!TheilT2(Population!AI13:AI116,GDP!AI13:AI116)</f>
        <v>1.1009608355446505</v>
      </c>
      <c r="AJ5" cm="1">
        <f t="array" ref="AJ5">[3]!TheilT2(Population!AJ13:AJ116,GDP!AJ13:AJ116)</f>
        <v>1.0960809401140472</v>
      </c>
      <c r="AK5" cm="1">
        <f t="array" ref="AK5">[3]!TheilT2(Population!AK13:AK116,GDP!AK13:AK116)</f>
        <v>1.0721776718180462</v>
      </c>
      <c r="AL5" cm="1">
        <f t="array" ref="AL5">[3]!TheilT2(Population!AL13:AL116,GDP!AL13:AL116)</f>
        <v>1.0305604422591321</v>
      </c>
      <c r="AM5" cm="1">
        <f t="array" ref="AM5">[3]!TheilT2(Population!AM13:AM116,GDP!AM13:AM116)</f>
        <v>0.99029536716733035</v>
      </c>
      <c r="AN5" cm="1">
        <f t="array" ref="AN5">[3]!TheilT2(Population!AN13:AN116,GDP!AN13:AN116)</f>
        <v>0.94411591235149495</v>
      </c>
      <c r="AO5" cm="1">
        <f t="array" ref="AO5">[3]!TheilT2(Population!AO13:AO116,GDP!AO13:AO116)</f>
        <v>0.89534792400094565</v>
      </c>
      <c r="AP5" cm="1">
        <f t="array" ref="AP5">[3]!TheilT2(Population!AP13:AP116,GDP!AP13:AP116)</f>
        <v>0.86638829097948811</v>
      </c>
      <c r="AQ5" cm="1">
        <f t="array" ref="AQ5">[3]!TheilT2(Population!AQ13:AQ116,GDP!AQ13:AQ116)</f>
        <v>0.80704295826854688</v>
      </c>
      <c r="AR5" cm="1">
        <f t="array" ref="AR5">[3]!TheilT2(Population!AR13:AR116,GDP!AR13:AR116)</f>
        <v>0.77188280672782073</v>
      </c>
      <c r="AS5" cm="1">
        <f t="array" ref="AS5">[3]!TheilT2(Population!AS13:AS116,GDP!AS13:AS116)</f>
        <v>0.75014568077347832</v>
      </c>
      <c r="AT5" cm="1">
        <f t="array" ref="AT5">[3]!TheilT2(Population!AT13:AT116,GDP!AT13:AT116)</f>
        <v>0.72537557092458183</v>
      </c>
      <c r="AU5" cm="1">
        <f t="array" ref="AU5">[3]!TheilT2(Population!AU13:AU116,GDP!AU13:AU116)</f>
        <v>0.71283880970948221</v>
      </c>
      <c r="AV5" cm="1">
        <f t="array" ref="AV5">[3]!TheilT2(Population!AV13:AV116,GDP!AV13:AV116)</f>
        <v>0.702160804277146</v>
      </c>
      <c r="AW5" cm="1">
        <f t="array" ref="AW5">[3]!TheilT2(Population!AW13:AW116,GDP!AW13:AW116)</f>
        <v>0.71304893853889872</v>
      </c>
      <c r="AX5" cm="1">
        <f t="array" ref="AX5">[3]!TheilT2(Population!AX13:AX116,GDP!AX13:AX116)</f>
        <v>0.69500831634271809</v>
      </c>
    </row>
    <row r="7" spans="2:50" x14ac:dyDescent="0.45">
      <c r="B7" t="s">
        <v>228</v>
      </c>
      <c r="C7" s="11">
        <f>'[5]Major Blocs'!$C$7</f>
        <v>1686571899</v>
      </c>
      <c r="D7" s="11">
        <f>Population!C1</f>
        <v>1348536991</v>
      </c>
      <c r="F7" cm="1">
        <f t="array" ref="F7">[3]!TheilT2(C7:C9,C11:C13)</f>
        <v>0.52638923291527107</v>
      </c>
    </row>
    <row r="8" spans="2:50" x14ac:dyDescent="0.45">
      <c r="B8" t="s">
        <v>229</v>
      </c>
      <c r="C8" s="11">
        <f>'[5]Major Blocs'!$C$8</f>
        <v>740953508</v>
      </c>
      <c r="D8" s="11">
        <f>Population!C2</f>
        <v>735851375</v>
      </c>
    </row>
    <row r="9" spans="2:50" x14ac:dyDescent="0.45">
      <c r="B9" t="s">
        <v>230</v>
      </c>
      <c r="C9" s="11">
        <f>'[5]Major Blocs'!$C$10</f>
        <v>824788480</v>
      </c>
      <c r="D9" s="11">
        <f>Population!C3</f>
        <v>818315008</v>
      </c>
    </row>
    <row r="11" spans="2:50" x14ac:dyDescent="0.45">
      <c r="B11" t="s">
        <v>231</v>
      </c>
      <c r="C11" s="11">
        <f>'[5]Major Blocs'!C2</f>
        <v>458583960395.57288</v>
      </c>
      <c r="D11" s="11">
        <f>GDP!C1</f>
        <v>382334684879.85303</v>
      </c>
      <c r="F11" cm="1">
        <f t="array" ref="F11">[3]!TheilT2(D7:D9,D11:D13)</f>
        <v>0.74303580288330218</v>
      </c>
    </row>
    <row r="12" spans="2:50" x14ac:dyDescent="0.45">
      <c r="B12" t="s">
        <v>232</v>
      </c>
      <c r="C12" s="11">
        <f>'[5]Major Blocs'!C3</f>
        <v>2299382120892.3999</v>
      </c>
      <c r="D12" s="11">
        <f>GDP!C2</f>
        <v>2298872127345.1099</v>
      </c>
    </row>
    <row r="13" spans="2:50" x14ac:dyDescent="0.45">
      <c r="B13" t="s">
        <v>233</v>
      </c>
      <c r="C13" s="11">
        <f>'[5]Major Blocs'!C4</f>
        <v>535893508327</v>
      </c>
      <c r="D13" s="11">
        <f>GDP!C3</f>
        <v>92602617774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50C59-33DF-4B1E-8FAD-4C0510923648}">
  <sheetPr codeName="Sheet10"/>
  <dimension ref="A1:BG58"/>
  <sheetViews>
    <sheetView topLeftCell="AM15" workbookViewId="0">
      <selection activeCell="B46" sqref="B46:AX50"/>
    </sheetView>
  </sheetViews>
  <sheetFormatPr defaultRowHeight="14.25" x14ac:dyDescent="0.45"/>
  <cols>
    <col min="1" max="1" width="37.9296875" customWidth="1"/>
    <col min="2" max="2" width="19.33203125" customWidth="1"/>
    <col min="3" max="4" width="17.9296875" bestFit="1" customWidth="1"/>
    <col min="5" max="27" width="19.3984375" bestFit="1" customWidth="1"/>
    <col min="28" max="59" width="20.3984375" bestFit="1" customWidth="1"/>
  </cols>
  <sheetData>
    <row r="1" spans="1:59" x14ac:dyDescent="0.45">
      <c r="A1" s="12" t="s">
        <v>178</v>
      </c>
    </row>
    <row r="2" spans="1:59" x14ac:dyDescent="0.45">
      <c r="A2" s="12" t="s">
        <v>195</v>
      </c>
    </row>
    <row r="3" spans="1:59" x14ac:dyDescent="0.45">
      <c r="A3" s="12"/>
    </row>
    <row r="4" spans="1:59" x14ac:dyDescent="0.45">
      <c r="A4" s="12"/>
    </row>
    <row r="5" spans="1:59" x14ac:dyDescent="0.45">
      <c r="A5" s="12"/>
    </row>
    <row r="6" spans="1:59" x14ac:dyDescent="0.45">
      <c r="A6" t="s">
        <v>197</v>
      </c>
      <c r="C6" t="str">
        <f>Population!C12</f>
        <v>1970</v>
      </c>
      <c r="D6" t="str">
        <f>Population!D12</f>
        <v>1971</v>
      </c>
      <c r="E6" t="str">
        <f>Population!E12</f>
        <v>1972</v>
      </c>
      <c r="F6" t="str">
        <f>Population!F12</f>
        <v>1973</v>
      </c>
      <c r="G6" t="str">
        <f>Population!G12</f>
        <v>1974</v>
      </c>
      <c r="H6" t="str">
        <f>Population!H12</f>
        <v>1975</v>
      </c>
      <c r="I6" t="str">
        <f>Population!I12</f>
        <v>1976</v>
      </c>
      <c r="J6" t="str">
        <f>Population!J12</f>
        <v>1977</v>
      </c>
      <c r="K6" t="str">
        <f>Population!K12</f>
        <v>1978</v>
      </c>
      <c r="L6" t="str">
        <f>Population!L12</f>
        <v>1979</v>
      </c>
      <c r="M6" t="str">
        <f>Population!M12</f>
        <v>1980</v>
      </c>
      <c r="N6" t="str">
        <f>Population!N12</f>
        <v>1981</v>
      </c>
      <c r="O6" t="str">
        <f>Population!O12</f>
        <v>1982</v>
      </c>
      <c r="P6" t="str">
        <f>Population!P12</f>
        <v>1983</v>
      </c>
      <c r="Q6" t="str">
        <f>Population!Q12</f>
        <v>1984</v>
      </c>
      <c r="R6" t="str">
        <f>Population!R12</f>
        <v>1985</v>
      </c>
      <c r="S6" t="str">
        <f>Population!S12</f>
        <v>1986</v>
      </c>
      <c r="T6" t="str">
        <f>Population!T12</f>
        <v>1987</v>
      </c>
      <c r="U6" t="str">
        <f>Population!U12</f>
        <v>1988</v>
      </c>
      <c r="V6" t="str">
        <f>Population!V12</f>
        <v>1989</v>
      </c>
      <c r="W6" t="str">
        <f>Population!W12</f>
        <v>1990</v>
      </c>
      <c r="X6" t="str">
        <f>Population!X12</f>
        <v>1991</v>
      </c>
      <c r="Y6" t="str">
        <f>Population!Y12</f>
        <v>1992</v>
      </c>
      <c r="Z6" t="str">
        <f>Population!Z12</f>
        <v>1993</v>
      </c>
      <c r="AA6" t="str">
        <f>Population!AA12</f>
        <v>1994</v>
      </c>
      <c r="AB6" t="str">
        <f>Population!AB12</f>
        <v>1995</v>
      </c>
      <c r="AC6" t="str">
        <f>Population!AC12</f>
        <v>1996</v>
      </c>
      <c r="AD6" t="str">
        <f>Population!AD12</f>
        <v>1997</v>
      </c>
      <c r="AE6" t="str">
        <f>Population!AE12</f>
        <v>1998</v>
      </c>
      <c r="AF6" t="str">
        <f>Population!AF12</f>
        <v>1999</v>
      </c>
      <c r="AG6" t="str">
        <f>Population!AG12</f>
        <v>2000</v>
      </c>
      <c r="AH6" t="str">
        <f>Population!AH12</f>
        <v>2001</v>
      </c>
      <c r="AI6" t="str">
        <f>Population!AI12</f>
        <v>2002</v>
      </c>
      <c r="AJ6" t="str">
        <f>Population!AJ12</f>
        <v>2003</v>
      </c>
      <c r="AK6" t="str">
        <f>Population!AK12</f>
        <v>2004</v>
      </c>
      <c r="AL6" t="str">
        <f>Population!AL12</f>
        <v>2005</v>
      </c>
      <c r="AM6" t="str">
        <f>Population!AM12</f>
        <v>2006</v>
      </c>
      <c r="AN6" t="str">
        <f>Population!AN12</f>
        <v>2007</v>
      </c>
      <c r="AO6" t="str">
        <f>Population!AO12</f>
        <v>2008</v>
      </c>
      <c r="AP6" t="str">
        <f>Population!AP12</f>
        <v>2009</v>
      </c>
      <c r="AQ6" t="str">
        <f>Population!AQ12</f>
        <v>2010</v>
      </c>
      <c r="AR6" t="str">
        <f>Population!AR12</f>
        <v>2011</v>
      </c>
      <c r="AS6" t="str">
        <f>Population!AS12</f>
        <v>2012</v>
      </c>
      <c r="AT6" t="str">
        <f>Population!AT12</f>
        <v>2013</v>
      </c>
      <c r="AU6" t="str">
        <f>Population!AU12</f>
        <v>2014</v>
      </c>
      <c r="AV6" t="str">
        <f>Population!AV12</f>
        <v>2015</v>
      </c>
      <c r="AW6" t="str">
        <f>Population!AW12</f>
        <v>2016</v>
      </c>
      <c r="AX6" t="str">
        <f>Population!AX12</f>
        <v>2017</v>
      </c>
    </row>
    <row r="7" spans="1:59" x14ac:dyDescent="0.45">
      <c r="B7" t="s">
        <v>29</v>
      </c>
      <c r="C7" s="11">
        <f>GDP!C1</f>
        <v>382334684879.85303</v>
      </c>
      <c r="D7" s="11">
        <f>GDP!D1</f>
        <v>419803804742.27301</v>
      </c>
      <c r="E7" s="11">
        <f>GDP!E1</f>
        <v>469297693645.47998</v>
      </c>
      <c r="F7" s="11">
        <f>GDP!F1</f>
        <v>581814127081.14014</v>
      </c>
      <c r="G7" s="11">
        <f>GDP!G1</f>
        <v>762849082929.53003</v>
      </c>
      <c r="H7" s="11">
        <f>GDP!H1</f>
        <v>858611487961.71997</v>
      </c>
      <c r="I7" s="11">
        <f>GDP!I1</f>
        <v>955388532475.78003</v>
      </c>
      <c r="J7" s="11">
        <f>GDP!J1</f>
        <v>1075260074259.6598</v>
      </c>
      <c r="K7" s="11">
        <f>GDP!K1</f>
        <v>1229563666001.29</v>
      </c>
      <c r="L7" s="11">
        <f>GDP!L1</f>
        <v>1488682513906.4402</v>
      </c>
      <c r="M7" s="11">
        <f>GDP!M1</f>
        <v>1785309548153.7803</v>
      </c>
      <c r="N7" s="11">
        <f>GDP!N1</f>
        <v>1941877546651.4204</v>
      </c>
      <c r="O7" s="11">
        <f>GDP!O1</f>
        <v>1812068953392.96</v>
      </c>
      <c r="P7" s="11">
        <f>GDP!P1</f>
        <v>1708791989197.02</v>
      </c>
      <c r="Q7" s="11">
        <f>GDP!Q1</f>
        <v>1738908359647.7</v>
      </c>
      <c r="R7" s="11">
        <f>GDP!R1</f>
        <v>1730710906234.1599</v>
      </c>
      <c r="S7" s="11">
        <f>GDP!S1</f>
        <v>1692763871428.4697</v>
      </c>
      <c r="T7" s="11">
        <f>GDP!T1</f>
        <v>1818769220705.3901</v>
      </c>
      <c r="U7" s="11">
        <f>GDP!U1</f>
        <v>2006028175773.51</v>
      </c>
      <c r="V7" s="11">
        <f>GDP!V1</f>
        <v>2162630932706.4102</v>
      </c>
      <c r="W7" s="11">
        <f>GDP!W1</f>
        <v>2500406305326.8506</v>
      </c>
      <c r="X7" s="11">
        <f>GDP!X1</f>
        <v>2588989579427.1304</v>
      </c>
      <c r="Y7" s="11">
        <f>GDP!Y1</f>
        <v>2770412867483.8394</v>
      </c>
      <c r="Z7" s="11">
        <f>GDP!Z1</f>
        <v>2966667590337.4399</v>
      </c>
      <c r="AA7" s="11">
        <f>GDP!AA1</f>
        <v>3231484401096.2603</v>
      </c>
      <c r="AB7" s="11">
        <f>GDP!AB1</f>
        <v>3528939308909.4297</v>
      </c>
      <c r="AC7" s="11">
        <f>GDP!AC1</f>
        <v>3797308251756.9302</v>
      </c>
      <c r="AD7" s="11">
        <f>GDP!AD1</f>
        <v>4007474137811.0503</v>
      </c>
      <c r="AE7" s="11">
        <f>GDP!AE1</f>
        <v>3919785870511.79</v>
      </c>
      <c r="AF7" s="11">
        <f>GDP!AF1</f>
        <v>3750814509142.8599</v>
      </c>
      <c r="AG7" s="11">
        <f>GDP!AG1</f>
        <v>4013618926662.9502</v>
      </c>
      <c r="AH7" s="11">
        <f>GDP!AH1</f>
        <v>3872308234608.3896</v>
      </c>
      <c r="AI7" s="11">
        <f>GDP!AI1</f>
        <v>3799719682878.6504</v>
      </c>
      <c r="AJ7" s="11">
        <f>GDP!AJ1</f>
        <v>4205684921924.1997</v>
      </c>
      <c r="AK7" s="11">
        <f>GDP!AK1</f>
        <v>4948927309253.0996</v>
      </c>
      <c r="AL7" s="11">
        <f>GDP!AL1</f>
        <v>5900179647822.1992</v>
      </c>
      <c r="AM7" s="11">
        <f>GDP!AM1</f>
        <v>6817194082208.5</v>
      </c>
      <c r="AN7" s="11">
        <f>GDP!AN1</f>
        <v>8062793552161.0996</v>
      </c>
      <c r="AO7" s="11">
        <f>GDP!AO1</f>
        <v>9207397564738</v>
      </c>
      <c r="AP7" s="11">
        <f>GDP!AP1</f>
        <v>8626836927689.0996</v>
      </c>
      <c r="AQ7" s="11">
        <f>GDP!AQ1</f>
        <v>10613445937297.6</v>
      </c>
      <c r="AR7" s="11">
        <f>GDP!AR1</f>
        <v>12225352300010.4</v>
      </c>
      <c r="AS7" s="11">
        <f>GDP!AS1</f>
        <v>12516599159510.4</v>
      </c>
      <c r="AT7" s="11">
        <f>GDP!AT1</f>
        <v>13017842843380.301</v>
      </c>
      <c r="AU7" s="11">
        <f>GDP!AU1</f>
        <v>13258935718482.6</v>
      </c>
      <c r="AV7" s="11">
        <f>GDP!AV1</f>
        <v>12119547154201</v>
      </c>
      <c r="AW7" s="11">
        <f>GDP!AW1</f>
        <v>12023066285972.301</v>
      </c>
      <c r="AX7" s="11">
        <f>GDP!AX1</f>
        <v>13157585571842.199</v>
      </c>
      <c r="AY7" s="11"/>
      <c r="AZ7" s="11"/>
      <c r="BA7" s="11"/>
      <c r="BB7" s="11"/>
      <c r="BC7" s="11"/>
      <c r="BD7" s="11"/>
      <c r="BE7" s="11"/>
      <c r="BF7" s="11"/>
      <c r="BG7" s="11"/>
    </row>
    <row r="8" spans="1:59" x14ac:dyDescent="0.45">
      <c r="B8" t="s">
        <v>196</v>
      </c>
      <c r="C8" s="11">
        <f>GDP!C2</f>
        <v>2298872127345.1099</v>
      </c>
      <c r="D8" s="11">
        <f>GDP!D2</f>
        <v>2549917446027.6001</v>
      </c>
      <c r="E8" s="11">
        <f>GDP!E2</f>
        <v>2969353017146.4004</v>
      </c>
      <c r="F8" s="11">
        <f>GDP!F2</f>
        <v>3605765183673.7002</v>
      </c>
      <c r="G8" s="11">
        <f>GDP!G2</f>
        <v>4019169689096.2998</v>
      </c>
      <c r="H8" s="11">
        <f>GDP!H2</f>
        <v>4490733703627.2998</v>
      </c>
      <c r="I8" s="11">
        <f>GDP!I2</f>
        <v>4868379217413.5996</v>
      </c>
      <c r="J8" s="11">
        <f>GDP!J2</f>
        <v>5492436013767.9004</v>
      </c>
      <c r="K8" s="11">
        <f>GDP!K2</f>
        <v>6621011685791.7002</v>
      </c>
      <c r="L8" s="11">
        <f>GDP!L2</f>
        <v>7620695536076.0996</v>
      </c>
      <c r="M8" s="11">
        <f>GDP!M2</f>
        <v>8438611343296.0996</v>
      </c>
      <c r="N8" s="11">
        <f>GDP!N2</f>
        <v>8530827792354.5</v>
      </c>
      <c r="O8" s="11">
        <f>GDP!O2</f>
        <v>8455534739897</v>
      </c>
      <c r="P8" s="11">
        <f>GDP!P2</f>
        <v>8802393538751.5</v>
      </c>
      <c r="Q8" s="11">
        <f>GDP!Q2</f>
        <v>9199335951250.1992</v>
      </c>
      <c r="R8" s="11">
        <f>GDP!R2</f>
        <v>9670649581515.3008</v>
      </c>
      <c r="S8" s="11">
        <f>GDP!S2</f>
        <v>11830207422635.1</v>
      </c>
      <c r="T8" s="11">
        <f>GDP!T2</f>
        <v>13738140466197.199</v>
      </c>
      <c r="U8" s="11">
        <f>GDP!U2</f>
        <v>15506845417289.4</v>
      </c>
      <c r="V8" s="11">
        <f>GDP!V2</f>
        <v>16136925279044</v>
      </c>
      <c r="W8" s="11">
        <f>GDP!W2</f>
        <v>18120603817667</v>
      </c>
      <c r="X8" s="11">
        <f>GDP!X2</f>
        <v>19152020220322</v>
      </c>
      <c r="Y8" s="11">
        <f>GDP!Y2</f>
        <v>20568165108304</v>
      </c>
      <c r="Z8" s="11">
        <f>GDP!Z2</f>
        <v>20686364459027</v>
      </c>
      <c r="AA8" s="11">
        <f>GDP!AA2</f>
        <v>22216164524373</v>
      </c>
      <c r="AB8" s="11">
        <f>GDP!AB2</f>
        <v>24624062949907</v>
      </c>
      <c r="AC8" s="11">
        <f>GDP!AC2</f>
        <v>24758234054020</v>
      </c>
      <c r="AD8" s="11">
        <f>GDP!AD2</f>
        <v>24244713678419</v>
      </c>
      <c r="AE8" s="11">
        <f>GDP!AE2</f>
        <v>24347181860359</v>
      </c>
      <c r="AF8" s="11">
        <f>GDP!AF2</f>
        <v>25654765695383</v>
      </c>
      <c r="AG8" s="11">
        <f>GDP!AG2</f>
        <v>26109887145420</v>
      </c>
      <c r="AH8" s="11">
        <f>GDP!AH2</f>
        <v>25834435075151</v>
      </c>
      <c r="AI8" s="11">
        <f>GDP!AI2</f>
        <v>26890574573550</v>
      </c>
      <c r="AJ8" s="11">
        <f>GDP!AJ2</f>
        <v>30298697220068</v>
      </c>
      <c r="AK8" s="11">
        <f>GDP!AK2</f>
        <v>33542501308417</v>
      </c>
      <c r="AL8" s="11">
        <f>GDP!AL2</f>
        <v>35255807827178</v>
      </c>
      <c r="AM8" s="11">
        <f>GDP!AM2</f>
        <v>37070954538861</v>
      </c>
      <c r="AN8" s="11">
        <f>GDP!AN2</f>
        <v>40503347611036</v>
      </c>
      <c r="AO8" s="11">
        <f>GDP!AO2</f>
        <v>42534741987558</v>
      </c>
      <c r="AP8" s="11">
        <f>GDP!AP2</f>
        <v>40191720102228</v>
      </c>
      <c r="AQ8" s="11">
        <f>GDP!AQ2</f>
        <v>42019992201282</v>
      </c>
      <c r="AR8" s="11">
        <f>GDP!AR2</f>
        <v>45018113970240</v>
      </c>
      <c r="AS8" s="11">
        <f>GDP!AS2</f>
        <v>44886776573238</v>
      </c>
      <c r="AT8" s="11">
        <f>GDP!AT2</f>
        <v>45268200827925</v>
      </c>
      <c r="AU8" s="11">
        <f>GDP!AU2</f>
        <v>46249446660227</v>
      </c>
      <c r="AV8" s="11">
        <f>GDP!AV2</f>
        <v>43778923600824</v>
      </c>
      <c r="AW8" s="11">
        <f>GDP!AW2</f>
        <v>44977815195306</v>
      </c>
      <c r="AX8" s="11">
        <f>GDP!AX2</f>
        <v>46759359970119</v>
      </c>
      <c r="AY8" s="11"/>
      <c r="AZ8" s="11"/>
      <c r="BA8" s="11"/>
      <c r="BB8" s="11"/>
      <c r="BC8" s="11"/>
      <c r="BD8" s="11"/>
      <c r="BE8" s="11"/>
      <c r="BF8" s="11"/>
      <c r="BG8" s="11"/>
    </row>
    <row r="9" spans="1:59" x14ac:dyDescent="0.45">
      <c r="B9" t="s">
        <v>182</v>
      </c>
      <c r="C9" s="11">
        <f>GDP!C3</f>
        <v>92602617774</v>
      </c>
      <c r="D9" s="11">
        <f>GDP!D3</f>
        <v>99800575343</v>
      </c>
      <c r="E9" s="11">
        <f>GDP!E3</f>
        <v>114000000000</v>
      </c>
      <c r="F9" s="11">
        <f>GDP!F3</f>
        <v>139000000000</v>
      </c>
      <c r="G9" s="11">
        <f>GDP!G3</f>
        <v>144000000000</v>
      </c>
      <c r="H9" s="11">
        <f>GDP!H3</f>
        <v>163000000000</v>
      </c>
      <c r="I9" s="11">
        <f>GDP!I3</f>
        <v>154000000000</v>
      </c>
      <c r="J9" s="11">
        <f>GDP!J3</f>
        <v>175000000000</v>
      </c>
      <c r="K9" s="11">
        <f>GDP!K3</f>
        <v>219000000000</v>
      </c>
      <c r="L9" s="11">
        <f>GDP!L3</f>
        <v>264000000000</v>
      </c>
      <c r="M9" s="11">
        <f>GDP!M3</f>
        <v>306000000000</v>
      </c>
      <c r="N9" s="11">
        <f>GDP!N3</f>
        <v>290000000000</v>
      </c>
      <c r="O9" s="11">
        <f>GDP!O3</f>
        <v>284000000000</v>
      </c>
      <c r="P9" s="11">
        <f>GDP!P3</f>
        <v>305000000000</v>
      </c>
      <c r="Q9" s="11">
        <f>GDP!Q3</f>
        <v>314000000000</v>
      </c>
      <c r="R9" s="11">
        <f>GDP!R3</f>
        <v>310000000000</v>
      </c>
      <c r="S9" s="11">
        <f>GDP!S3</f>
        <v>301000000000</v>
      </c>
      <c r="T9" s="11">
        <f>GDP!T3</f>
        <v>327000000000</v>
      </c>
      <c r="U9" s="11">
        <f>GDP!U3</f>
        <v>408000000000</v>
      </c>
      <c r="V9" s="11">
        <f>GDP!V3</f>
        <v>456000000000</v>
      </c>
      <c r="W9" s="11">
        <f>GDP!W3</f>
        <v>395000000000</v>
      </c>
      <c r="X9" s="11">
        <f>GDP!X3</f>
        <v>413000000000</v>
      </c>
      <c r="Y9" s="11">
        <f>GDP!Y3</f>
        <v>493000000000</v>
      </c>
      <c r="Z9" s="11">
        <f>GDP!Z3</f>
        <v>619000000000</v>
      </c>
      <c r="AA9" s="11">
        <f>GDP!AA3</f>
        <v>564000000000</v>
      </c>
      <c r="AB9" s="11">
        <f>GDP!AB3</f>
        <v>734000000000</v>
      </c>
      <c r="AC9" s="11">
        <f>GDP!AC3</f>
        <v>864000000000</v>
      </c>
      <c r="AD9" s="11">
        <f>GDP!AD3</f>
        <v>962000000000</v>
      </c>
      <c r="AE9" s="11">
        <f>GDP!AE3</f>
        <v>1030000000000</v>
      </c>
      <c r="AF9" s="11">
        <f>GDP!AF3</f>
        <v>1090000000000</v>
      </c>
      <c r="AG9" s="11">
        <f>GDP!AG3</f>
        <v>1210000000000</v>
      </c>
      <c r="AH9" s="11">
        <f>GDP!AH3</f>
        <v>1340000000000</v>
      </c>
      <c r="AI9" s="11">
        <f>GDP!AI3</f>
        <v>1470000000000</v>
      </c>
      <c r="AJ9" s="11">
        <f>GDP!AJ3</f>
        <v>1660000000000</v>
      </c>
      <c r="AK9" s="11">
        <f>GDP!AK3</f>
        <v>1960000000000</v>
      </c>
      <c r="AL9" s="11">
        <f>GDP!AL3</f>
        <v>2290000000000</v>
      </c>
      <c r="AM9" s="11">
        <f>GDP!AM3</f>
        <v>2750000000000</v>
      </c>
      <c r="AN9" s="11">
        <f>GDP!AN3</f>
        <v>3550000000000</v>
      </c>
      <c r="AO9" s="11">
        <f>GDP!AO3</f>
        <v>4600000000000</v>
      </c>
      <c r="AP9" s="11">
        <f>GDP!AP3</f>
        <v>5110000000000</v>
      </c>
      <c r="AQ9" s="11">
        <f>GDP!AQ3</f>
        <v>6100000000000</v>
      </c>
      <c r="AR9" s="11">
        <f>GDP!AR3</f>
        <v>7570000000000</v>
      </c>
      <c r="AS9" s="11">
        <f>GDP!AS3</f>
        <v>8560000000000</v>
      </c>
      <c r="AT9" s="11">
        <f>GDP!AT3</f>
        <v>9610000000000</v>
      </c>
      <c r="AU9" s="11">
        <f>GDP!AU3</f>
        <v>10500000000000</v>
      </c>
      <c r="AV9" s="11">
        <f>GDP!AV3</f>
        <v>11100000000000</v>
      </c>
      <c r="AW9" s="11">
        <f>GDP!AW3</f>
        <v>11200000000000</v>
      </c>
      <c r="AX9" s="11">
        <f>GDP!AX3</f>
        <v>12200000000000</v>
      </c>
      <c r="AY9" s="11"/>
      <c r="AZ9" s="11"/>
      <c r="BA9" s="11"/>
      <c r="BB9" s="11"/>
      <c r="BC9" s="11"/>
      <c r="BD9" s="11"/>
      <c r="BE9" s="11"/>
      <c r="BF9" s="11"/>
      <c r="BG9" s="11"/>
    </row>
    <row r="10" spans="1:59" x14ac:dyDescent="0.45">
      <c r="B10" t="s">
        <v>199</v>
      </c>
      <c r="C10" s="11">
        <f>SUM(C7:C9)</f>
        <v>2773809429998.9629</v>
      </c>
      <c r="D10" s="11">
        <f t="shared" ref="D10:AX10" si="0">SUM(D7:D9)</f>
        <v>3069521826112.873</v>
      </c>
      <c r="E10" s="11">
        <f t="shared" si="0"/>
        <v>3552650710791.8804</v>
      </c>
      <c r="F10" s="11">
        <f t="shared" si="0"/>
        <v>4326579310754.8403</v>
      </c>
      <c r="G10" s="11">
        <f t="shared" si="0"/>
        <v>4926018772025.8301</v>
      </c>
      <c r="H10" s="11">
        <f t="shared" si="0"/>
        <v>5512345191589.0195</v>
      </c>
      <c r="I10" s="11">
        <f t="shared" si="0"/>
        <v>5977767749889.3799</v>
      </c>
      <c r="J10" s="11">
        <f t="shared" si="0"/>
        <v>6742696088027.5605</v>
      </c>
      <c r="K10" s="11">
        <f t="shared" si="0"/>
        <v>8069575351792.9902</v>
      </c>
      <c r="L10" s="11">
        <f t="shared" si="0"/>
        <v>9373378049982.5391</v>
      </c>
      <c r="M10" s="11">
        <f t="shared" si="0"/>
        <v>10529920891449.879</v>
      </c>
      <c r="N10" s="11">
        <f t="shared" si="0"/>
        <v>10762705339005.92</v>
      </c>
      <c r="O10" s="11">
        <f t="shared" si="0"/>
        <v>10551603693289.961</v>
      </c>
      <c r="P10" s="11">
        <f t="shared" si="0"/>
        <v>10816185527948.52</v>
      </c>
      <c r="Q10" s="11">
        <f t="shared" si="0"/>
        <v>11252244310897.898</v>
      </c>
      <c r="R10" s="11">
        <f t="shared" si="0"/>
        <v>11711360487749.461</v>
      </c>
      <c r="S10" s="11">
        <f t="shared" si="0"/>
        <v>13823971294063.57</v>
      </c>
      <c r="T10" s="11">
        <f t="shared" si="0"/>
        <v>15883909686902.59</v>
      </c>
      <c r="U10" s="11">
        <f t="shared" si="0"/>
        <v>17920873593062.91</v>
      </c>
      <c r="V10" s="11">
        <f t="shared" si="0"/>
        <v>18755556211750.41</v>
      </c>
      <c r="W10" s="11">
        <f t="shared" si="0"/>
        <v>21016010122993.852</v>
      </c>
      <c r="X10" s="11">
        <f t="shared" si="0"/>
        <v>22154009799749.129</v>
      </c>
      <c r="Y10" s="11">
        <f t="shared" si="0"/>
        <v>23831577975787.84</v>
      </c>
      <c r="Z10" s="11">
        <f t="shared" si="0"/>
        <v>24272032049364.441</v>
      </c>
      <c r="AA10" s="11">
        <f t="shared" si="0"/>
        <v>26011648925469.262</v>
      </c>
      <c r="AB10" s="11">
        <f t="shared" si="0"/>
        <v>28887002258816.43</v>
      </c>
      <c r="AC10" s="11">
        <f t="shared" si="0"/>
        <v>29419542305776.93</v>
      </c>
      <c r="AD10" s="11">
        <f t="shared" si="0"/>
        <v>29214187816230.051</v>
      </c>
      <c r="AE10" s="11">
        <f t="shared" si="0"/>
        <v>29296967730870.789</v>
      </c>
      <c r="AF10" s="11">
        <f t="shared" si="0"/>
        <v>30495580204525.859</v>
      </c>
      <c r="AG10" s="11">
        <f t="shared" si="0"/>
        <v>31333506072082.949</v>
      </c>
      <c r="AH10" s="11">
        <f t="shared" si="0"/>
        <v>31046743309759.391</v>
      </c>
      <c r="AI10" s="11">
        <f t="shared" si="0"/>
        <v>32160294256428.648</v>
      </c>
      <c r="AJ10" s="11">
        <f t="shared" si="0"/>
        <v>36164382141992.203</v>
      </c>
      <c r="AK10" s="11">
        <f t="shared" si="0"/>
        <v>40451428617670.102</v>
      </c>
      <c r="AL10" s="11">
        <f t="shared" si="0"/>
        <v>43445987475000.203</v>
      </c>
      <c r="AM10" s="11">
        <f t="shared" si="0"/>
        <v>46638148621069.5</v>
      </c>
      <c r="AN10" s="11">
        <f t="shared" si="0"/>
        <v>52116141163197.102</v>
      </c>
      <c r="AO10" s="11">
        <f t="shared" si="0"/>
        <v>56342139552296</v>
      </c>
      <c r="AP10" s="11">
        <f t="shared" si="0"/>
        <v>53928557029917.102</v>
      </c>
      <c r="AQ10" s="11">
        <f t="shared" si="0"/>
        <v>58733438138579.602</v>
      </c>
      <c r="AR10" s="11">
        <f t="shared" si="0"/>
        <v>64813466270250.398</v>
      </c>
      <c r="AS10" s="11">
        <f t="shared" si="0"/>
        <v>65963375732748.398</v>
      </c>
      <c r="AT10" s="11">
        <f t="shared" si="0"/>
        <v>67896043671305.297</v>
      </c>
      <c r="AU10" s="11">
        <f t="shared" si="0"/>
        <v>70008382378709.602</v>
      </c>
      <c r="AV10" s="11">
        <f t="shared" si="0"/>
        <v>66998470755025</v>
      </c>
      <c r="AW10" s="11">
        <f t="shared" si="0"/>
        <v>68200881481278.297</v>
      </c>
      <c r="AX10" s="11">
        <f t="shared" si="0"/>
        <v>72116945541961.203</v>
      </c>
      <c r="AY10" s="11"/>
      <c r="AZ10" s="11"/>
      <c r="BA10" s="11"/>
      <c r="BB10" s="11"/>
      <c r="BC10" s="11"/>
      <c r="BD10" s="11"/>
      <c r="BE10" s="11"/>
      <c r="BF10" s="11"/>
      <c r="BG10" s="11"/>
    </row>
    <row r="11" spans="1:59" x14ac:dyDescent="0.45">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row>
    <row r="12" spans="1:59" x14ac:dyDescent="0.45">
      <c r="A12" t="s">
        <v>198</v>
      </c>
      <c r="B12" t="s">
        <v>29</v>
      </c>
      <c r="C12" s="11">
        <f>Population!C1</f>
        <v>1348536991</v>
      </c>
      <c r="D12" s="11">
        <f>Population!D1</f>
        <v>1381512127</v>
      </c>
      <c r="E12" s="11">
        <f>Population!E1</f>
        <v>1415272829</v>
      </c>
      <c r="F12" s="11">
        <f>Population!F1</f>
        <v>1449912221</v>
      </c>
      <c r="G12" s="11">
        <f>Population!G1</f>
        <v>1485552889</v>
      </c>
      <c r="H12" s="11">
        <f>Population!H1</f>
        <v>1522285377</v>
      </c>
      <c r="I12" s="11">
        <f>Population!I1</f>
        <v>1560118064</v>
      </c>
      <c r="J12" s="11">
        <f>Population!J1</f>
        <v>1599031725</v>
      </c>
      <c r="K12" s="11">
        <f>Population!K1</f>
        <v>1639055489</v>
      </c>
      <c r="L12" s="11">
        <f>Population!L1</f>
        <v>1680219349</v>
      </c>
      <c r="M12" s="11">
        <f>Population!M1</f>
        <v>1722521956</v>
      </c>
      <c r="N12" s="11">
        <f>Population!N1</f>
        <v>1765953745</v>
      </c>
      <c r="O12" s="11">
        <f>Population!O1</f>
        <v>1810444439</v>
      </c>
      <c r="P12" s="11">
        <f>Population!P1</f>
        <v>1855847300</v>
      </c>
      <c r="Q12" s="11">
        <f>Population!Q1</f>
        <v>1901974069</v>
      </c>
      <c r="R12" s="11">
        <f>Population!R1</f>
        <v>1948663494</v>
      </c>
      <c r="S12" s="11">
        <f>Population!S1</f>
        <v>1995864961</v>
      </c>
      <c r="T12" s="11">
        <f>Population!T1</f>
        <v>2043535857</v>
      </c>
      <c r="U12" s="11">
        <f>Population!U1</f>
        <v>2091523389</v>
      </c>
      <c r="V12" s="11">
        <f>Population!V1</f>
        <v>2139662698</v>
      </c>
      <c r="W12" s="11">
        <f>Population!W1</f>
        <v>2187833879</v>
      </c>
      <c r="X12" s="11">
        <f>Population!X1</f>
        <v>2235927086</v>
      </c>
      <c r="Y12" s="11">
        <f>Population!Y1</f>
        <v>2283954535</v>
      </c>
      <c r="Z12" s="11">
        <f>Population!Z1</f>
        <v>2332065412</v>
      </c>
      <c r="AA12" s="11">
        <f>Population!AA1</f>
        <v>2380469264</v>
      </c>
      <c r="AB12" s="11">
        <f>Population!AB1</f>
        <v>2429308012</v>
      </c>
      <c r="AC12" s="11">
        <f>Population!AC1</f>
        <v>2478635095</v>
      </c>
      <c r="AD12" s="11">
        <f>Population!AD1</f>
        <v>2528354982</v>
      </c>
      <c r="AE12" s="11">
        <f>Population!AE1</f>
        <v>2578331690</v>
      </c>
      <c r="AF12" s="11">
        <f>Population!AF1</f>
        <v>2628381129</v>
      </c>
      <c r="AG12" s="11">
        <f>Population!AG1</f>
        <v>2678363921</v>
      </c>
      <c r="AH12" s="11">
        <f>Population!AH1</f>
        <v>2728238927</v>
      </c>
      <c r="AI12" s="11">
        <f>Population!AI1</f>
        <v>2778045625</v>
      </c>
      <c r="AJ12" s="11">
        <f>Population!AJ1</f>
        <v>2827822988</v>
      </c>
      <c r="AK12" s="11">
        <f>Population!AK1</f>
        <v>2877661313</v>
      </c>
      <c r="AL12" s="11">
        <f>Population!AL1</f>
        <v>2927621042</v>
      </c>
      <c r="AM12" s="11">
        <f>Population!AM1</f>
        <v>2977695999</v>
      </c>
      <c r="AN12" s="11">
        <f>Population!AN1</f>
        <v>3027885860</v>
      </c>
      <c r="AO12" s="11">
        <f>Population!AO1</f>
        <v>3078263848</v>
      </c>
      <c r="AP12" s="11">
        <f>Population!AP1</f>
        <v>3128907919</v>
      </c>
      <c r="AQ12" s="11">
        <f>Population!AQ1</f>
        <v>3179768730</v>
      </c>
      <c r="AR12" s="11">
        <f>Population!AR1</f>
        <v>3231078164</v>
      </c>
      <c r="AS12" s="11">
        <f>Population!AS1</f>
        <v>3282560798</v>
      </c>
      <c r="AT12" s="11">
        <f>Population!AT1</f>
        <v>3334461849</v>
      </c>
      <c r="AU12" s="11">
        <f>Population!AU1</f>
        <v>3386648556</v>
      </c>
      <c r="AV12" s="11">
        <f>Population!AV1</f>
        <v>3439069637</v>
      </c>
      <c r="AW12" s="11">
        <f>Population!AW1</f>
        <v>3491774140</v>
      </c>
      <c r="AX12" s="11">
        <f>Population!AX1</f>
        <v>3544658773</v>
      </c>
      <c r="AY12" s="11"/>
      <c r="AZ12" s="11"/>
      <c r="BA12" s="11"/>
      <c r="BB12" s="11"/>
      <c r="BC12" s="11"/>
      <c r="BD12" s="11"/>
      <c r="BE12" s="11"/>
      <c r="BF12" s="11"/>
      <c r="BG12" s="11"/>
    </row>
    <row r="13" spans="1:59" x14ac:dyDescent="0.45">
      <c r="B13" t="s">
        <v>28</v>
      </c>
      <c r="C13" s="11">
        <f>Population!C2</f>
        <v>735851375</v>
      </c>
      <c r="D13" s="11">
        <f>Population!D2</f>
        <v>743554795</v>
      </c>
      <c r="E13" s="11">
        <f>Population!E2</f>
        <v>750715039</v>
      </c>
      <c r="F13" s="11">
        <f>Population!F2</f>
        <v>756875205</v>
      </c>
      <c r="G13" s="11">
        <f>Population!G2</f>
        <v>764038240</v>
      </c>
      <c r="H13" s="11">
        <f>Population!H2</f>
        <v>770657375</v>
      </c>
      <c r="I13" s="11">
        <f>Population!I2</f>
        <v>775906593</v>
      </c>
      <c r="J13" s="11">
        <f>Population!J2</f>
        <v>781405677</v>
      </c>
      <c r="K13" s="11">
        <f>Population!K2</f>
        <v>787001495</v>
      </c>
      <c r="L13" s="11">
        <f>Population!L2</f>
        <v>792750940</v>
      </c>
      <c r="M13" s="11">
        <f>Population!M2</f>
        <v>798375862</v>
      </c>
      <c r="N13" s="11">
        <f>Population!N2</f>
        <v>803987124</v>
      </c>
      <c r="O13" s="11">
        <f>Population!O2</f>
        <v>809134076</v>
      </c>
      <c r="P13" s="11">
        <f>Population!P2</f>
        <v>813822613</v>
      </c>
      <c r="Q13" s="11">
        <f>Population!Q2</f>
        <v>818200101</v>
      </c>
      <c r="R13" s="11">
        <f>Population!R2</f>
        <v>822641584</v>
      </c>
      <c r="S13" s="11">
        <f>Population!S2</f>
        <v>827418447</v>
      </c>
      <c r="T13" s="11">
        <f>Population!T2</f>
        <v>832240800</v>
      </c>
      <c r="U13" s="11">
        <f>Population!U2</f>
        <v>837299914</v>
      </c>
      <c r="V13" s="11">
        <f>Population!V2</f>
        <v>842999619</v>
      </c>
      <c r="W13" s="11">
        <f>Population!W2</f>
        <v>849304609</v>
      </c>
      <c r="X13" s="11">
        <f>Population!X2</f>
        <v>856377307</v>
      </c>
      <c r="Y13" s="11">
        <f>Population!Y2</f>
        <v>863356560</v>
      </c>
      <c r="Z13" s="11">
        <f>Population!Z2</f>
        <v>869922097</v>
      </c>
      <c r="AA13" s="11">
        <f>Population!AA2</f>
        <v>876087526</v>
      </c>
      <c r="AB13" s="11">
        <f>Population!AB2</f>
        <v>882161142</v>
      </c>
      <c r="AC13" s="11">
        <f>Population!AC2</f>
        <v>888042246</v>
      </c>
      <c r="AD13" s="11">
        <f>Population!AD2</f>
        <v>893875180</v>
      </c>
      <c r="AE13" s="11">
        <f>Population!AE2</f>
        <v>899449516</v>
      </c>
      <c r="AF13" s="11">
        <f>Population!AF2</f>
        <v>904992399</v>
      </c>
      <c r="AG13" s="11">
        <f>Population!AG2</f>
        <v>910878659</v>
      </c>
      <c r="AH13" s="11">
        <f>Population!AH2</f>
        <v>916870440</v>
      </c>
      <c r="AI13" s="11">
        <f>Population!AI2</f>
        <v>922917048</v>
      </c>
      <c r="AJ13" s="11">
        <f>Population!AJ2</f>
        <v>928801764</v>
      </c>
      <c r="AK13" s="11">
        <f>Population!AK2</f>
        <v>934815920</v>
      </c>
      <c r="AL13" s="11">
        <f>Population!AL2</f>
        <v>940792077</v>
      </c>
      <c r="AM13" s="11">
        <f>Population!AM2</f>
        <v>947137200</v>
      </c>
      <c r="AN13" s="11">
        <f>Population!AN2</f>
        <v>953627884</v>
      </c>
      <c r="AO13" s="11">
        <f>Population!AO2</f>
        <v>960533359</v>
      </c>
      <c r="AP13" s="11">
        <f>Population!AP2</f>
        <v>966493752</v>
      </c>
      <c r="AQ13" s="11">
        <f>Population!AQ2</f>
        <v>971914811</v>
      </c>
      <c r="AR13" s="11">
        <f>Population!AR2</f>
        <v>975314503</v>
      </c>
      <c r="AS13" s="11">
        <f>Population!AS2</f>
        <v>980182914</v>
      </c>
      <c r="AT13" s="11">
        <f>Population!AT2</f>
        <v>985293123</v>
      </c>
      <c r="AU13" s="11">
        <f>Population!AU2</f>
        <v>990694868</v>
      </c>
      <c r="AV13" s="11">
        <f>Population!AV2</f>
        <v>995941759</v>
      </c>
      <c r="AW13" s="11">
        <f>Population!AW2</f>
        <v>1001255958</v>
      </c>
      <c r="AX13" s="11">
        <f>Population!AX2</f>
        <v>1005818888</v>
      </c>
      <c r="AY13" s="11"/>
      <c r="AZ13" s="11"/>
      <c r="BA13" s="11"/>
      <c r="BB13" s="11"/>
      <c r="BC13" s="11"/>
      <c r="BD13" s="11"/>
      <c r="BE13" s="11"/>
      <c r="BF13" s="11"/>
      <c r="BG13" s="11"/>
    </row>
    <row r="14" spans="1:59" x14ac:dyDescent="0.45">
      <c r="B14" t="s">
        <v>182</v>
      </c>
      <c r="C14" s="11">
        <f>Population!C3</f>
        <v>818315008</v>
      </c>
      <c r="D14" s="11">
        <f>Population!D3</f>
        <v>841105024</v>
      </c>
      <c r="E14" s="11">
        <f>Population!E3</f>
        <v>862030016</v>
      </c>
      <c r="F14" s="11">
        <f>Population!F3</f>
        <v>881939968</v>
      </c>
      <c r="G14" s="11">
        <f>Population!G3</f>
        <v>900350016</v>
      </c>
      <c r="H14" s="11">
        <f>Population!H3</f>
        <v>916395008</v>
      </c>
      <c r="I14" s="11">
        <f>Population!I3</f>
        <v>930684992</v>
      </c>
      <c r="J14" s="11">
        <f>Population!J3</f>
        <v>943454976</v>
      </c>
      <c r="K14" s="11">
        <f>Population!K3</f>
        <v>956164992</v>
      </c>
      <c r="L14" s="11">
        <f>Population!L3</f>
        <v>969004992</v>
      </c>
      <c r="M14" s="11">
        <f>Population!M3</f>
        <v>981235008</v>
      </c>
      <c r="N14" s="11">
        <f>Population!N3</f>
        <v>993884992</v>
      </c>
      <c r="O14" s="11">
        <f>Population!O3</f>
        <v>1008630016</v>
      </c>
      <c r="P14" s="11">
        <f>Population!P3</f>
        <v>1023310016</v>
      </c>
      <c r="Q14" s="11">
        <f>Population!Q3</f>
        <v>1036825024</v>
      </c>
      <c r="R14" s="11">
        <f>Population!R3</f>
        <v>1051040000</v>
      </c>
      <c r="S14" s="11">
        <f>Population!S3</f>
        <v>1066790016</v>
      </c>
      <c r="T14" s="11">
        <f>Population!T3</f>
        <v>1084034944</v>
      </c>
      <c r="U14" s="11">
        <f>Population!U3</f>
        <v>1101629952</v>
      </c>
      <c r="V14" s="11">
        <f>Population!V3</f>
        <v>1118649984</v>
      </c>
      <c r="W14" s="11">
        <f>Population!W3</f>
        <v>1135185024</v>
      </c>
      <c r="X14" s="11">
        <f>Population!X3</f>
        <v>1150780032</v>
      </c>
      <c r="Y14" s="11">
        <f>Population!Y3</f>
        <v>1164969984</v>
      </c>
      <c r="Z14" s="11">
        <f>Population!Z3</f>
        <v>1178439936</v>
      </c>
      <c r="AA14" s="11">
        <f>Population!AA3</f>
        <v>1191835008</v>
      </c>
      <c r="AB14" s="11">
        <f>Population!AB3</f>
        <v>1204855040</v>
      </c>
      <c r="AC14" s="11">
        <f>Population!AC3</f>
        <v>1217549952</v>
      </c>
      <c r="AD14" s="11">
        <f>Population!AD3</f>
        <v>1230075008</v>
      </c>
      <c r="AE14" s="11">
        <f>Population!AE3</f>
        <v>1241934976</v>
      </c>
      <c r="AF14" s="11">
        <f>Population!AF3</f>
        <v>1252734976</v>
      </c>
      <c r="AG14" s="11">
        <f>Population!AG3</f>
        <v>1262644992</v>
      </c>
      <c r="AH14" s="11">
        <f>Population!AH3</f>
        <v>1271849984</v>
      </c>
      <c r="AI14" s="11">
        <f>Population!AI3</f>
        <v>1280400000</v>
      </c>
      <c r="AJ14" s="11">
        <f>Population!AJ3</f>
        <v>1288400000</v>
      </c>
      <c r="AK14" s="11">
        <f>Population!AK3</f>
        <v>1296075008</v>
      </c>
      <c r="AL14" s="11">
        <f>Population!AL3</f>
        <v>1303719936</v>
      </c>
      <c r="AM14" s="11">
        <f>Population!AM3</f>
        <v>1311020032</v>
      </c>
      <c r="AN14" s="11">
        <f>Population!AN3</f>
        <v>1317885056</v>
      </c>
      <c r="AO14" s="11">
        <f>Population!AO3</f>
        <v>1324654976</v>
      </c>
      <c r="AP14" s="11">
        <f>Population!AP3</f>
        <v>1331260032</v>
      </c>
      <c r="AQ14" s="11">
        <f>Population!AQ3</f>
        <v>1337704960</v>
      </c>
      <c r="AR14" s="11">
        <f>Population!AR3</f>
        <v>1344130048</v>
      </c>
      <c r="AS14" s="11">
        <f>Population!AS3</f>
        <v>1350695040</v>
      </c>
      <c r="AT14" s="11">
        <f>Population!AT3</f>
        <v>1357379968</v>
      </c>
      <c r="AU14" s="11">
        <f>Population!AU3</f>
        <v>1364269952</v>
      </c>
      <c r="AV14" s="11">
        <f>Population!AV3</f>
        <v>1371219968</v>
      </c>
      <c r="AW14" s="11">
        <f>Population!AW3</f>
        <v>1378664960</v>
      </c>
      <c r="AX14" s="11">
        <f>Population!AX3</f>
        <v>1386395008</v>
      </c>
      <c r="AY14" s="11"/>
      <c r="AZ14" s="11"/>
      <c r="BA14" s="11"/>
      <c r="BB14" s="11"/>
      <c r="BC14" s="11"/>
      <c r="BD14" s="11"/>
      <c r="BE14" s="11"/>
      <c r="BF14" s="11"/>
      <c r="BG14" s="11"/>
    </row>
    <row r="15" spans="1:59" x14ac:dyDescent="0.45">
      <c r="B15" t="s">
        <v>179</v>
      </c>
      <c r="C15" s="11">
        <f>Population!C4</f>
        <v>2902703374</v>
      </c>
      <c r="D15" s="11">
        <f>Population!D4</f>
        <v>2966171946</v>
      </c>
      <c r="E15" s="11">
        <f>Population!E4</f>
        <v>3028017884</v>
      </c>
      <c r="F15" s="11">
        <f>Population!F4</f>
        <v>3088727394</v>
      </c>
      <c r="G15" s="11">
        <f>Population!G4</f>
        <v>3149941145</v>
      </c>
      <c r="H15" s="11">
        <f>Population!H4</f>
        <v>3209337760</v>
      </c>
      <c r="I15" s="11">
        <f>Population!I4</f>
        <v>3266709649</v>
      </c>
      <c r="J15" s="11">
        <f>Population!J4</f>
        <v>3323892378</v>
      </c>
      <c r="K15" s="11">
        <f>Population!K4</f>
        <v>3382221976</v>
      </c>
      <c r="L15" s="11">
        <f>Population!L4</f>
        <v>3441975281</v>
      </c>
      <c r="M15" s="11">
        <f>Population!M4</f>
        <v>3502132826</v>
      </c>
      <c r="N15" s="11">
        <f>Population!N4</f>
        <v>3563825861</v>
      </c>
      <c r="O15" s="11">
        <f>Population!O4</f>
        <v>3628208531</v>
      </c>
      <c r="P15" s="11">
        <f>Population!P4</f>
        <v>3692979929</v>
      </c>
      <c r="Q15" s="11">
        <f>Population!Q4</f>
        <v>3756999194</v>
      </c>
      <c r="R15" s="11">
        <f>Population!R4</f>
        <v>3822345078</v>
      </c>
      <c r="S15" s="11">
        <f>Population!S4</f>
        <v>3890073424</v>
      </c>
      <c r="T15" s="11">
        <f>Population!T4</f>
        <v>3959811601</v>
      </c>
      <c r="U15" s="11">
        <f>Population!U4</f>
        <v>4030453255</v>
      </c>
      <c r="V15" s="11">
        <f>Population!V4</f>
        <v>4101312301</v>
      </c>
      <c r="W15" s="11">
        <f>Population!W4</f>
        <v>4172323512</v>
      </c>
      <c r="X15" s="11">
        <f>Population!X4</f>
        <v>4243084425</v>
      </c>
      <c r="Y15" s="11">
        <f>Population!Y4</f>
        <v>4312281079</v>
      </c>
      <c r="Z15" s="11">
        <f>Population!Z4</f>
        <v>4380427445</v>
      </c>
      <c r="AA15" s="11">
        <f>Population!AA4</f>
        <v>4448391798</v>
      </c>
      <c r="AB15" s="11">
        <f>Population!AB4</f>
        <v>4516324194</v>
      </c>
      <c r="AC15" s="11">
        <f>Population!AC4</f>
        <v>4584227293</v>
      </c>
      <c r="AD15" s="11">
        <f>Population!AD4</f>
        <v>4652305170</v>
      </c>
      <c r="AE15" s="11">
        <f>Population!AE4</f>
        <v>4719716182</v>
      </c>
      <c r="AF15" s="11">
        <f>Population!AF4</f>
        <v>4786108504</v>
      </c>
      <c r="AG15" s="11">
        <f>Population!AG4</f>
        <v>4851887572</v>
      </c>
      <c r="AH15" s="11">
        <f>Population!AH4</f>
        <v>4916959351</v>
      </c>
      <c r="AI15" s="11">
        <f>Population!AI4</f>
        <v>4981362673</v>
      </c>
      <c r="AJ15" s="11">
        <f>Population!AJ4</f>
        <v>5045024752</v>
      </c>
      <c r="AK15" s="11">
        <f>Population!AK4</f>
        <v>5108552241</v>
      </c>
      <c r="AL15" s="11">
        <f>Population!AL4</f>
        <v>5172133055</v>
      </c>
      <c r="AM15" s="11">
        <f>Population!AM4</f>
        <v>5235853231</v>
      </c>
      <c r="AN15" s="11">
        <f>Population!AN4</f>
        <v>5299398800</v>
      </c>
      <c r="AO15" s="11">
        <f>Population!AO4</f>
        <v>5363452183</v>
      </c>
      <c r="AP15" s="11">
        <f>Population!AP4</f>
        <v>5426661703</v>
      </c>
      <c r="AQ15" s="11">
        <f>Population!AQ4</f>
        <v>5489388501</v>
      </c>
      <c r="AR15" s="11">
        <f>Population!AR4</f>
        <v>5550522715</v>
      </c>
      <c r="AS15" s="11">
        <f>Population!AS4</f>
        <v>5613438752</v>
      </c>
      <c r="AT15" s="11">
        <f>Population!AT4</f>
        <v>5677134940</v>
      </c>
      <c r="AU15" s="11">
        <f>Population!AU4</f>
        <v>5741613376</v>
      </c>
      <c r="AV15" s="11">
        <f>Population!AV4</f>
        <v>5806231364</v>
      </c>
      <c r="AW15" s="11">
        <f>Population!AW4</f>
        <v>5871695058</v>
      </c>
      <c r="AX15" s="11">
        <f>Population!AX4</f>
        <v>5936872669</v>
      </c>
      <c r="AY15" s="11"/>
      <c r="AZ15" s="11"/>
      <c r="BA15" s="11"/>
      <c r="BB15" s="11"/>
      <c r="BC15" s="11"/>
      <c r="BD15" s="11"/>
      <c r="BE15" s="11"/>
      <c r="BF15" s="11"/>
      <c r="BG15" s="11"/>
    </row>
    <row r="17" spans="1:59" x14ac:dyDescent="0.45">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row>
    <row r="18" spans="1:59" x14ac:dyDescent="0.45">
      <c r="A18" t="s">
        <v>200</v>
      </c>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row>
    <row r="19" spans="1:59" x14ac:dyDescent="0.45">
      <c r="B19" t="s">
        <v>180</v>
      </c>
      <c r="C19" s="13">
        <f>Theil!C2</f>
        <v>0.37183267793205416</v>
      </c>
      <c r="D19" s="13">
        <f>Theil!D2</f>
        <v>0.3948442873447327</v>
      </c>
      <c r="E19" s="13">
        <f>Theil!E2</f>
        <v>0.3945501113636623</v>
      </c>
      <c r="F19" s="13">
        <f>Theil!F2</f>
        <v>0.41056232860861647</v>
      </c>
      <c r="G19" s="13">
        <f>Theil!G2</f>
        <v>0.49328000631536661</v>
      </c>
      <c r="H19" s="13">
        <f>Theil!H2</f>
        <v>0.50270303527852589</v>
      </c>
      <c r="I19" s="13">
        <f>Theil!I2</f>
        <v>0.54053063973737314</v>
      </c>
      <c r="J19" s="13">
        <f>Theil!J2</f>
        <v>0.52780794536993159</v>
      </c>
      <c r="K19" s="13">
        <f>Theil!K2</f>
        <v>0.50874503290132023</v>
      </c>
      <c r="L19" s="13">
        <f>Theil!L2</f>
        <v>0.56009593254349244</v>
      </c>
      <c r="M19" s="13">
        <f>Theil!M2</f>
        <v>0.60078745615010742</v>
      </c>
      <c r="N19" s="13">
        <f>Theil!N2</f>
        <v>0.62527232936773303</v>
      </c>
      <c r="O19" s="13">
        <f>Theil!O2</f>
        <v>0.54954155347434686</v>
      </c>
      <c r="P19" s="13">
        <f>Theil!P2</f>
        <v>0.50288669834923094</v>
      </c>
      <c r="Q19" s="13">
        <f>Theil!Q2</f>
        <v>0.50456902775848234</v>
      </c>
      <c r="R19" s="13">
        <f>Theil!R2</f>
        <v>0.48007442126163191</v>
      </c>
      <c r="S19" s="13">
        <f>Theil!S2</f>
        <v>0.41437285113862299</v>
      </c>
      <c r="T19" s="13">
        <f>Theil!T2</f>
        <v>0.41560284803528641</v>
      </c>
      <c r="U19" s="13">
        <f>Theil!U2</f>
        <v>0.40910013698003406</v>
      </c>
      <c r="V19" s="13">
        <f>Theil!V2</f>
        <v>0.43177720191860058</v>
      </c>
      <c r="W19" s="13">
        <f>Theil!W2</f>
        <v>0.48502838836200579</v>
      </c>
      <c r="X19" s="13">
        <f>Theil!X2</f>
        <v>0.55800871833313503</v>
      </c>
      <c r="Y19" s="13">
        <f>Theil!Y2</f>
        <v>0.59673493484689055</v>
      </c>
      <c r="Z19" s="13">
        <f>Theil!Z2</f>
        <v>0.64060900370412055</v>
      </c>
      <c r="AA19" s="13">
        <f>Theil!AA2</f>
        <v>0.64724923362491038</v>
      </c>
      <c r="AB19" s="13">
        <f>Theil!AB2</f>
        <v>0.61521022597345421</v>
      </c>
      <c r="AC19" s="13">
        <f>Theil!AC2</f>
        <v>0.62890355875127046</v>
      </c>
      <c r="AD19" s="13">
        <f>Theil!AD2</f>
        <v>0.63962617618747175</v>
      </c>
      <c r="AE19" s="13">
        <f>Theil!AE2</f>
        <v>0.64167581663042939</v>
      </c>
      <c r="AF19" s="13">
        <f>Theil!AF2</f>
        <v>0.60853598872825521</v>
      </c>
      <c r="AG19" s="13">
        <f>Theil!AG2</f>
        <v>0.64456727484551646</v>
      </c>
      <c r="AH19" s="13">
        <f>Theil!AH2</f>
        <v>0.63838469990908842</v>
      </c>
      <c r="AI19" s="13">
        <f>Theil!AI2</f>
        <v>0.58667109468891954</v>
      </c>
      <c r="AJ19" s="13">
        <f>Theil!AJ2</f>
        <v>0.54951379626703267</v>
      </c>
      <c r="AK19" s="13">
        <f>Theil!AK2</f>
        <v>0.53870082776963413</v>
      </c>
      <c r="AL19" s="13">
        <f>Theil!AL2</f>
        <v>0.54867116955269835</v>
      </c>
      <c r="AM19" s="13">
        <f>Theil!AM2</f>
        <v>0.54087197381701502</v>
      </c>
      <c r="AN19" s="13">
        <f>Theil!AN2</f>
        <v>0.51945630414012556</v>
      </c>
      <c r="AO19" s="13">
        <f>Theil!AO2</f>
        <v>0.53937183651372345</v>
      </c>
      <c r="AP19" s="13">
        <f>Theil!AP2</f>
        <v>0.48895919051506648</v>
      </c>
      <c r="AQ19" s="13">
        <f>Theil!AQ2</f>
        <v>0.50125871514229781</v>
      </c>
      <c r="AR19" s="13">
        <f>Theil!AR2</f>
        <v>0.51709237193889768</v>
      </c>
      <c r="AS19" s="13">
        <f>Theil!AS2</f>
        <v>0.51695552544060785</v>
      </c>
      <c r="AT19" s="13">
        <f>Theil!AT2</f>
        <v>0.50715429036094983</v>
      </c>
      <c r="AU19" s="13">
        <f>Theil!AU2</f>
        <v>0.47895446242765166</v>
      </c>
      <c r="AV19" s="13">
        <f>Theil!AV2</f>
        <v>0.41992655792342432</v>
      </c>
      <c r="AW19" s="13">
        <f>Theil!AW2</f>
        <v>0.39597875118586784</v>
      </c>
      <c r="AX19" s="13">
        <f>Theil!AX2</f>
        <v>0.39237865368373587</v>
      </c>
      <c r="AY19" s="13"/>
      <c r="AZ19" s="13"/>
      <c r="BA19" s="13"/>
      <c r="BB19" s="13"/>
      <c r="BC19" s="13"/>
      <c r="BD19" s="13"/>
      <c r="BE19" s="13"/>
      <c r="BF19" s="13"/>
      <c r="BG19" s="13"/>
    </row>
    <row r="20" spans="1:59" x14ac:dyDescent="0.45">
      <c r="B20" t="s">
        <v>201</v>
      </c>
      <c r="C20" s="13">
        <f>Theil!C3</f>
        <v>0.12375501843218234</v>
      </c>
      <c r="D20" s="13">
        <f>Theil!D3</f>
        <v>0.11635719499193405</v>
      </c>
      <c r="E20" s="13">
        <f>Theil!E3</f>
        <v>9.9280031058850055E-2</v>
      </c>
      <c r="F20" s="13">
        <f>Theil!F3</f>
        <v>8.2371972947823419E-2</v>
      </c>
      <c r="G20" s="13">
        <f>Theil!G3</f>
        <v>7.6945011317216538E-2</v>
      </c>
      <c r="H20" s="13">
        <f>Theil!H3</f>
        <v>7.4351821068048413E-2</v>
      </c>
      <c r="I20" s="13">
        <f>Theil!I3</f>
        <v>7.9504724759073817E-2</v>
      </c>
      <c r="J20" s="13">
        <f>Theil!J3</f>
        <v>7.2243331442540776E-2</v>
      </c>
      <c r="K20" s="13">
        <f>Theil!K3</f>
        <v>6.310886931804266E-2</v>
      </c>
      <c r="L20" s="13">
        <f>Theil!L3</f>
        <v>5.434866369985674E-2</v>
      </c>
      <c r="M20" s="13">
        <f>Theil!M3</f>
        <v>5.2973626061762778E-2</v>
      </c>
      <c r="N20" s="13">
        <f>Theil!N3</f>
        <v>6.0184483582481796E-2</v>
      </c>
      <c r="O20" s="13">
        <f>Theil!O3</f>
        <v>6.4998822150331245E-2</v>
      </c>
      <c r="P20" s="13">
        <f>Theil!P3</f>
        <v>7.4316621235007194E-2</v>
      </c>
      <c r="Q20" s="13">
        <f>Theil!Q3</f>
        <v>8.9347045134097677E-2</v>
      </c>
      <c r="R20" s="13">
        <f>Theil!R3</f>
        <v>9.3954781278663649E-2</v>
      </c>
      <c r="S20" s="13">
        <f>Theil!S3</f>
        <v>6.6562358640741059E-2</v>
      </c>
      <c r="T20" s="13">
        <f>Theil!T3</f>
        <v>5.5371261537667707E-2</v>
      </c>
      <c r="U20" s="13">
        <f>Theil!U3</f>
        <v>5.0746984097786427E-2</v>
      </c>
      <c r="V20" s="13">
        <f>Theil!V3</f>
        <v>4.6025982589932068E-2</v>
      </c>
      <c r="W20" s="13">
        <f>Theil!W3</f>
        <v>3.5702139788241952E-2</v>
      </c>
      <c r="X20" s="13">
        <f>Theil!X3</f>
        <v>3.5069749277673604E-2</v>
      </c>
      <c r="Y20" s="13">
        <f>Theil!Y3</f>
        <v>3.5677105507420162E-2</v>
      </c>
      <c r="Z20" s="13">
        <f>Theil!Z3</f>
        <v>4.9476099902826177E-2</v>
      </c>
      <c r="AA20" s="13">
        <f>Theil!AA3</f>
        <v>5.1341195965844591E-2</v>
      </c>
      <c r="AB20" s="13">
        <f>Theil!AB3</f>
        <v>4.8687507295866447E-2</v>
      </c>
      <c r="AC20" s="13">
        <f>Theil!AC3</f>
        <v>3.418560706805808E-2</v>
      </c>
      <c r="AD20" s="13">
        <f>Theil!AD3</f>
        <v>3.3690241025396944E-2</v>
      </c>
      <c r="AE20" s="13">
        <f>Theil!AE3</f>
        <v>4.0500730122236421E-2</v>
      </c>
      <c r="AF20" s="13">
        <f>Theil!AF3</f>
        <v>4.0810619856364257E-2</v>
      </c>
      <c r="AG20" s="13">
        <f>Theil!AG3</f>
        <v>5.0895526240408523E-2</v>
      </c>
      <c r="AH20" s="13">
        <f>Theil!AH3</f>
        <v>4.8712052099264561E-2</v>
      </c>
      <c r="AI20" s="13">
        <f>Theil!AI3</f>
        <v>4.0539892378644041E-2</v>
      </c>
      <c r="AJ20" s="13">
        <f>Theil!AJ3</f>
        <v>2.9046183899062515E-2</v>
      </c>
      <c r="AK20" s="13">
        <f>Theil!AK3</f>
        <v>2.4542497394843921E-2</v>
      </c>
      <c r="AL20" s="13">
        <f>Theil!AL3</f>
        <v>2.3248552036493154E-2</v>
      </c>
      <c r="AM20" s="13">
        <f>Theil!AM3</f>
        <v>2.3261977724254167E-2</v>
      </c>
      <c r="AN20" s="13">
        <f>Theil!AN3</f>
        <v>2.1989750906901147E-2</v>
      </c>
      <c r="AO20" s="13">
        <f>Theil!AO3</f>
        <v>2.2117874756862711E-2</v>
      </c>
      <c r="AP20" s="13">
        <f>Theil!AP3</f>
        <v>2.2293992391913646E-2</v>
      </c>
      <c r="AQ20" s="13">
        <f>Theil!AQ3</f>
        <v>2.303039454100236E-2</v>
      </c>
      <c r="AR20" s="13">
        <f>Theil!AR3</f>
        <v>2.5079463001766635E-2</v>
      </c>
      <c r="AS20" s="13">
        <f>Theil!AS3</f>
        <v>2.9596414705589099E-2</v>
      </c>
      <c r="AT20" s="13">
        <f>Theil!AT3</f>
        <v>2.9472798882367444E-2</v>
      </c>
      <c r="AU20" s="13">
        <f>Theil!AU3</f>
        <v>2.934692941614836E-2</v>
      </c>
      <c r="AV20" s="13">
        <f>Theil!AV3</f>
        <v>3.9083122218397132E-2</v>
      </c>
      <c r="AW20" s="13">
        <f>Theil!AW3</f>
        <v>3.6811069207304759E-2</v>
      </c>
      <c r="AX20" s="13">
        <f>Theil!AX3</f>
        <v>3.7106777308865357E-2</v>
      </c>
      <c r="AY20" s="13"/>
      <c r="AZ20" s="13"/>
      <c r="BA20" s="13"/>
      <c r="BB20" s="13"/>
      <c r="BC20" s="13"/>
      <c r="BD20" s="13"/>
      <c r="BE20" s="13"/>
      <c r="BF20" s="13"/>
      <c r="BG20" s="13"/>
    </row>
    <row r="21" spans="1:59" x14ac:dyDescent="0.45">
      <c r="B21" t="s">
        <v>202</v>
      </c>
      <c r="C21" s="13">
        <v>0</v>
      </c>
      <c r="D21" s="13">
        <v>0</v>
      </c>
      <c r="E21" s="13">
        <v>0</v>
      </c>
      <c r="F21" s="13">
        <v>0</v>
      </c>
      <c r="G21" s="13">
        <v>0</v>
      </c>
      <c r="H21" s="13">
        <v>0</v>
      </c>
      <c r="I21" s="13">
        <v>0</v>
      </c>
      <c r="J21" s="13">
        <v>0</v>
      </c>
      <c r="K21" s="13">
        <v>0</v>
      </c>
      <c r="L21" s="13">
        <v>0</v>
      </c>
      <c r="M21" s="13">
        <v>0</v>
      </c>
      <c r="N21" s="13">
        <v>0</v>
      </c>
      <c r="O21" s="13">
        <v>0</v>
      </c>
      <c r="P21" s="13">
        <v>0</v>
      </c>
      <c r="Q21" s="13">
        <v>0</v>
      </c>
      <c r="R21" s="13">
        <v>0</v>
      </c>
      <c r="S21" s="13">
        <v>0</v>
      </c>
      <c r="T21" s="13">
        <v>0</v>
      </c>
      <c r="U21" s="13">
        <v>0</v>
      </c>
      <c r="V21" s="13">
        <v>0</v>
      </c>
      <c r="W21" s="13">
        <v>0</v>
      </c>
      <c r="X21" s="13">
        <v>0</v>
      </c>
      <c r="Y21" s="13">
        <v>0</v>
      </c>
      <c r="Z21" s="13">
        <v>0</v>
      </c>
      <c r="AA21" s="13">
        <v>0</v>
      </c>
      <c r="AB21" s="13">
        <v>0</v>
      </c>
      <c r="AC21" s="13">
        <v>0</v>
      </c>
      <c r="AD21" s="13">
        <v>0</v>
      </c>
      <c r="AE21" s="13">
        <v>0</v>
      </c>
      <c r="AF21" s="13">
        <v>0</v>
      </c>
      <c r="AG21" s="13">
        <v>0</v>
      </c>
      <c r="AH21" s="13">
        <v>0</v>
      </c>
      <c r="AI21" s="13">
        <v>0</v>
      </c>
      <c r="AJ21" s="13">
        <v>0</v>
      </c>
      <c r="AK21" s="13">
        <v>0</v>
      </c>
      <c r="AL21" s="13">
        <v>0</v>
      </c>
      <c r="AM21" s="13">
        <v>0</v>
      </c>
      <c r="AN21" s="13">
        <v>0</v>
      </c>
      <c r="AO21" s="13">
        <v>0</v>
      </c>
      <c r="AP21" s="13">
        <v>0</v>
      </c>
      <c r="AQ21" s="13">
        <v>0</v>
      </c>
      <c r="AR21" s="13">
        <v>0</v>
      </c>
      <c r="AS21" s="13">
        <v>0</v>
      </c>
      <c r="AT21" s="13">
        <v>0</v>
      </c>
      <c r="AU21" s="13">
        <v>0</v>
      </c>
      <c r="AV21" s="13">
        <v>0</v>
      </c>
      <c r="AW21" s="13">
        <v>0</v>
      </c>
      <c r="AX21" s="13">
        <v>0</v>
      </c>
      <c r="AY21" s="13"/>
      <c r="AZ21" s="13"/>
      <c r="BA21" s="13"/>
      <c r="BB21" s="13"/>
      <c r="BC21" s="13"/>
      <c r="BD21" s="13"/>
      <c r="BE21" s="13"/>
      <c r="BF21" s="13"/>
      <c r="BG21" s="13"/>
    </row>
    <row r="22" spans="1:59" x14ac:dyDescent="0.45">
      <c r="B22" t="s">
        <v>176</v>
      </c>
      <c r="C22" s="13">
        <f>Theil!C4</f>
        <v>0.74303580288330218</v>
      </c>
      <c r="D22" s="13">
        <f>Theil!D4</f>
        <v>0.75729861918384456</v>
      </c>
      <c r="E22" s="13">
        <f>Theil!E4</f>
        <v>0.77878545317761183</v>
      </c>
      <c r="F22" s="13">
        <f>Theil!F4</f>
        <v>0.78184391844939649</v>
      </c>
      <c r="G22" s="13">
        <f>Theil!G4</f>
        <v>0.75063613584906486</v>
      </c>
      <c r="H22" s="13">
        <f>Theil!H4</f>
        <v>0.75469447632757025</v>
      </c>
      <c r="I22" s="13">
        <f>Theil!I4</f>
        <v>0.7666724028816494</v>
      </c>
      <c r="J22" s="13">
        <f>Theil!J4</f>
        <v>0.77411591582056138</v>
      </c>
      <c r="K22" s="13">
        <f>Theil!K4</f>
        <v>0.79409175545707811</v>
      </c>
      <c r="L22" s="13">
        <f>Theil!L4</f>
        <v>0.78227127420361764</v>
      </c>
      <c r="M22" s="13">
        <f>Theil!M4</f>
        <v>0.76104092569301252</v>
      </c>
      <c r="N22" s="13">
        <f>Theil!N4</f>
        <v>0.75076915025915825</v>
      </c>
      <c r="O22" s="13">
        <f>Theil!O4</f>
        <v>0.77896238306570087</v>
      </c>
      <c r="P22" s="13">
        <f>Theil!P4</f>
        <v>0.81594132875086645</v>
      </c>
      <c r="Q22" s="13">
        <f>Theil!Q4</f>
        <v>0.83417154701325413</v>
      </c>
      <c r="R22" s="13">
        <f>Theil!R4</f>
        <v>0.86537667486390646</v>
      </c>
      <c r="S22" s="13">
        <f>Theil!S4</f>
        <v>0.96075157334242189</v>
      </c>
      <c r="T22" s="13">
        <f>Theil!T4</f>
        <v>0.99791528295784659</v>
      </c>
      <c r="U22" s="13">
        <f>Theil!U4</f>
        <v>1.0062978355811745</v>
      </c>
      <c r="V22" s="13">
        <f>Theil!V4</f>
        <v>0.9989880842394927</v>
      </c>
      <c r="W22" s="13">
        <f>Theil!W4</f>
        <v>1.0179883777225172</v>
      </c>
      <c r="X22" s="13">
        <f>Theil!X4</f>
        <v>1.0316775162273413</v>
      </c>
      <c r="Y22" s="13">
        <f>Theil!Y4</f>
        <v>1.031603733265877</v>
      </c>
      <c r="Z22" s="13">
        <f>Theil!Z4</f>
        <v>1.0015206774990482</v>
      </c>
      <c r="AA22" s="13">
        <f>Theil!AA4</f>
        <v>1.0170971098321162</v>
      </c>
      <c r="AB22" s="13">
        <f>Theil!AB4</f>
        <v>1.0151474076389035</v>
      </c>
      <c r="AC22" s="13">
        <f>Theil!AC4</f>
        <v>0.98656348013301476</v>
      </c>
      <c r="AD22" s="13">
        <f>Theil!AD4</f>
        <v>0.95677173382893499</v>
      </c>
      <c r="AE22" s="13">
        <f>Theil!AE4</f>
        <v>0.96485088988441636</v>
      </c>
      <c r="AF22" s="13">
        <f>Theil!AF4</f>
        <v>1.0005488190872445</v>
      </c>
      <c r="AG22" s="13">
        <f>Theil!AG4</f>
        <v>0.98108391266275374</v>
      </c>
      <c r="AH22" s="13">
        <f>Theil!AH4</f>
        <v>0.98113830268544144</v>
      </c>
      <c r="AI22" s="13">
        <f>Theil!AI4</f>
        <v>0.99774888485133417</v>
      </c>
      <c r="AJ22" s="13">
        <f>Theil!AJ4</f>
        <v>1.0078409860571431</v>
      </c>
      <c r="AK22" s="13">
        <f>Theil!AK4</f>
        <v>0.985920941010754</v>
      </c>
      <c r="AL22" s="13">
        <f>Theil!AL4</f>
        <v>0.93718231492033477</v>
      </c>
      <c r="AM22" s="13">
        <f>Theil!AM4</f>
        <v>0.89274490531683015</v>
      </c>
      <c r="AN22" s="13">
        <f>Theil!AN4</f>
        <v>0.84666189232709366</v>
      </c>
      <c r="AO22" s="13">
        <f>Theil!AO4</f>
        <v>0.79050651973339559</v>
      </c>
      <c r="AP22" s="13">
        <f>Theil!AP4</f>
        <v>0.77155532335144272</v>
      </c>
      <c r="AQ22" s="13">
        <f>Theil!AQ4</f>
        <v>0.69998606747438796</v>
      </c>
      <c r="AR22" s="13">
        <f>Theil!AR4</f>
        <v>0.6569272740108979</v>
      </c>
      <c r="AS22" s="13">
        <f>Theil!AS4</f>
        <v>0.63191321218226104</v>
      </c>
      <c r="AT22" s="13">
        <f>Theil!AT4</f>
        <v>0.60848753152049784</v>
      </c>
      <c r="AU22" s="13">
        <f>Theil!AU4</f>
        <v>0.6027419125352631</v>
      </c>
      <c r="AV22" s="13">
        <f>Theil!AV4</f>
        <v>0.60066092427839091</v>
      </c>
      <c r="AW22" s="13">
        <f>Theil!AW4</f>
        <v>0.61896569354369413</v>
      </c>
      <c r="AX22" s="13">
        <f>Theil!AX4</f>
        <v>0.59936027110055257</v>
      </c>
      <c r="AY22" s="13"/>
      <c r="AZ22" s="13"/>
      <c r="BA22" s="13"/>
      <c r="BB22" s="13"/>
      <c r="BC22" s="13"/>
      <c r="BD22" s="13"/>
      <c r="BE22" s="13"/>
      <c r="BF22" s="13"/>
      <c r="BG22" s="13"/>
    </row>
    <row r="23" spans="1:59" x14ac:dyDescent="0.45">
      <c r="B23" t="s">
        <v>234</v>
      </c>
      <c r="C23" s="13">
        <f>Theil!C5</f>
        <v>0.89685368511545305</v>
      </c>
      <c r="D23" s="13">
        <f>Theil!D5</f>
        <v>0.9079599931003407</v>
      </c>
      <c r="E23" s="13">
        <f>Theil!E5</f>
        <v>0.91388427265894956</v>
      </c>
      <c r="F23" s="13">
        <f>Theil!F5</f>
        <v>0.90570272618360681</v>
      </c>
      <c r="G23" s="13">
        <f>Theil!G5</f>
        <v>0.88980597855279897</v>
      </c>
      <c r="H23" s="13">
        <f>Theil!H5</f>
        <v>0.89356836816725083</v>
      </c>
      <c r="I23" s="13">
        <f>Theil!I5</f>
        <v>0.91781175157529327</v>
      </c>
      <c r="J23" s="13">
        <f>Theil!J5</f>
        <v>0.91713328948139716</v>
      </c>
      <c r="K23" s="13">
        <f>Theil!K5</f>
        <v>0.92338963340726365</v>
      </c>
      <c r="L23" s="13">
        <f>Theil!L5</f>
        <v>0.91541213687682843</v>
      </c>
      <c r="M23" s="13">
        <f>Theil!M5</f>
        <v>0.90535496559145334</v>
      </c>
      <c r="N23" s="13">
        <f>Theil!N5</f>
        <v>0.91128880658518896</v>
      </c>
      <c r="O23" s="13">
        <f>Theil!O5</f>
        <v>0.92542419411509313</v>
      </c>
      <c r="P23" s="13">
        <f>Theil!P5</f>
        <v>0.95586985570549066</v>
      </c>
      <c r="Q23" s="13">
        <f>Theil!Q5</f>
        <v>0.98519322214545924</v>
      </c>
      <c r="R23" s="13">
        <f>Theil!R5</f>
        <v>1.0139054307462814</v>
      </c>
      <c r="S23" s="13">
        <f>Theil!S5</f>
        <v>1.0684544807990826</v>
      </c>
      <c r="T23" s="13">
        <f>Theil!T5</f>
        <v>1.0933945362861148</v>
      </c>
      <c r="U23" s="13">
        <f>Theil!U5</f>
        <v>1.0960028396896275</v>
      </c>
      <c r="V23" s="13">
        <f>Theil!V5</f>
        <v>1.0883745335629509</v>
      </c>
      <c r="W23" s="13">
        <f>Theil!W5</f>
        <v>1.1064786458649869</v>
      </c>
      <c r="X23" s="13">
        <f>Theil!X5</f>
        <v>1.1272058347309095</v>
      </c>
      <c r="Y23" s="13">
        <f>Theil!Y5</f>
        <v>1.1317655748806077</v>
      </c>
      <c r="Z23" s="13">
        <f>Theil!Z5</f>
        <v>1.1219866771327727</v>
      </c>
      <c r="AA23" s="13">
        <f>Theil!AA5</f>
        <v>1.1413560627265213</v>
      </c>
      <c r="AB23" s="13">
        <f>Theil!AB5</f>
        <v>1.1318062344709516</v>
      </c>
      <c r="AC23" s="13">
        <f>Theil!AC5</f>
        <v>1.0965079483594999</v>
      </c>
      <c r="AD23" s="13">
        <f>Theil!AD5</f>
        <v>1.0724722156502411</v>
      </c>
      <c r="AE23" s="13">
        <f>Theil!AE5</f>
        <v>1.0843619080008433</v>
      </c>
      <c r="AF23" s="13">
        <f>Theil!AF5</f>
        <v>1.1097283291613556</v>
      </c>
      <c r="AG23" s="13">
        <f>Theil!AG5</f>
        <v>1.106059517089617</v>
      </c>
      <c r="AH23" s="13">
        <f>Theil!AH5</f>
        <v>1.1012948885283484</v>
      </c>
      <c r="AI23" s="13">
        <f>Theil!AI5</f>
        <v>1.1009608355446505</v>
      </c>
      <c r="AJ23" s="13">
        <f>Theil!AJ5</f>
        <v>1.0960809401140472</v>
      </c>
      <c r="AK23" s="13">
        <f>Theil!AK5</f>
        <v>1.0721776718180462</v>
      </c>
      <c r="AL23" s="13">
        <f>Theil!AL5</f>
        <v>1.0305604422591321</v>
      </c>
      <c r="AM23" s="13">
        <f>Theil!AM5</f>
        <v>0.99029536716733035</v>
      </c>
      <c r="AN23" s="13">
        <f>Theil!AN5</f>
        <v>0.94411591235149495</v>
      </c>
      <c r="AO23" s="13">
        <f>Theil!AO5</f>
        <v>0.89534792400094565</v>
      </c>
      <c r="AP23" s="13">
        <f>Theil!AP5</f>
        <v>0.86638829097948811</v>
      </c>
      <c r="AQ23" s="13">
        <f>Theil!AQ5</f>
        <v>0.80704295826854688</v>
      </c>
      <c r="AR23" s="13">
        <f>Theil!AR5</f>
        <v>0.77188280672782073</v>
      </c>
      <c r="AS23" s="13">
        <f>Theil!AS5</f>
        <v>0.75014568077347832</v>
      </c>
      <c r="AT23" s="13">
        <f>Theil!AT5</f>
        <v>0.72537557092458183</v>
      </c>
      <c r="AU23" s="13">
        <f>Theil!AU5</f>
        <v>0.71283880970948221</v>
      </c>
      <c r="AV23" s="13">
        <f>Theil!AV5</f>
        <v>0.702160804277146</v>
      </c>
      <c r="AW23" s="13">
        <f>Theil!AW5</f>
        <v>0.71304893853889872</v>
      </c>
      <c r="AX23" s="13">
        <f>Theil!AX5</f>
        <v>0.69500831634271809</v>
      </c>
      <c r="AY23" s="13"/>
      <c r="AZ23" s="13"/>
      <c r="BA23" s="13"/>
      <c r="BB23" s="13"/>
      <c r="BC23" s="13"/>
      <c r="BD23" s="13"/>
      <c r="BE23" s="13"/>
      <c r="BF23" s="13"/>
      <c r="BG23" s="13"/>
    </row>
    <row r="24" spans="1:59" x14ac:dyDescent="0.45">
      <c r="A24" t="s">
        <v>181</v>
      </c>
    </row>
    <row r="25" spans="1:59" x14ac:dyDescent="0.45">
      <c r="B25" t="s">
        <v>29</v>
      </c>
      <c r="C25">
        <f>COUNT(Population!C42:C116)</f>
        <v>75</v>
      </c>
      <c r="D25">
        <f>COUNT(Population!D42:D116)</f>
        <v>75</v>
      </c>
      <c r="E25">
        <f>COUNT(Population!E42:E116)</f>
        <v>75</v>
      </c>
      <c r="F25">
        <f>COUNT(Population!F42:F116)</f>
        <v>75</v>
      </c>
      <c r="G25">
        <f>COUNT(Population!G42:G116)</f>
        <v>75</v>
      </c>
      <c r="H25">
        <f>COUNT(Population!H42:H116)</f>
        <v>75</v>
      </c>
      <c r="I25">
        <f>COUNT(Population!I42:I116)</f>
        <v>75</v>
      </c>
      <c r="J25">
        <f>COUNT(Population!J42:J116)</f>
        <v>75</v>
      </c>
      <c r="K25">
        <f>COUNT(Population!K42:K116)</f>
        <v>75</v>
      </c>
      <c r="L25">
        <f>COUNT(Population!L42:L116)</f>
        <v>75</v>
      </c>
      <c r="M25">
        <f>COUNT(Population!M42:M116)</f>
        <v>75</v>
      </c>
      <c r="N25">
        <f>COUNT(Population!N42:N116)</f>
        <v>75</v>
      </c>
      <c r="O25">
        <f>COUNT(Population!O42:O116)</f>
        <v>75</v>
      </c>
      <c r="P25">
        <f>COUNT(Population!P42:P116)</f>
        <v>75</v>
      </c>
      <c r="Q25">
        <f>COUNT(Population!Q42:Q116)</f>
        <v>75</v>
      </c>
      <c r="R25">
        <f>COUNT(Population!R42:R116)</f>
        <v>75</v>
      </c>
      <c r="S25">
        <f>COUNT(Population!S42:S116)</f>
        <v>75</v>
      </c>
      <c r="T25">
        <f>COUNT(Population!T42:T116)</f>
        <v>75</v>
      </c>
      <c r="U25">
        <f>COUNT(Population!U42:U116)</f>
        <v>75</v>
      </c>
      <c r="V25">
        <f>COUNT(Population!V42:V116)</f>
        <v>75</v>
      </c>
      <c r="W25">
        <f>COUNT(Population!W42:W116)</f>
        <v>75</v>
      </c>
      <c r="X25">
        <f>COUNT(Population!X42:X116)</f>
        <v>75</v>
      </c>
      <c r="Y25">
        <f>COUNT(Population!Y42:Y116)</f>
        <v>75</v>
      </c>
      <c r="Z25">
        <f>COUNT(Population!Z42:Z116)</f>
        <v>75</v>
      </c>
      <c r="AA25">
        <f>COUNT(Population!AA42:AA116)</f>
        <v>75</v>
      </c>
      <c r="AB25">
        <f>COUNT(Population!AB42:AB116)</f>
        <v>75</v>
      </c>
      <c r="AC25">
        <f>COUNT(Population!AC42:AC116)</f>
        <v>75</v>
      </c>
      <c r="AD25">
        <f>COUNT(Population!AD42:AD116)</f>
        <v>75</v>
      </c>
      <c r="AE25">
        <f>COUNT(Population!AE42:AE116)</f>
        <v>75</v>
      </c>
      <c r="AF25">
        <f>COUNT(Population!AF42:AF116)</f>
        <v>75</v>
      </c>
      <c r="AG25">
        <f>COUNT(Population!AG42:AG116)</f>
        <v>75</v>
      </c>
      <c r="AH25">
        <f>COUNT(Population!AH42:AH116)</f>
        <v>75</v>
      </c>
      <c r="AI25">
        <f>COUNT(Population!AI42:AI116)</f>
        <v>75</v>
      </c>
      <c r="AJ25">
        <f>COUNT(Population!AJ42:AJ116)</f>
        <v>75</v>
      </c>
      <c r="AK25">
        <f>COUNT(Population!AK42:AK116)</f>
        <v>75</v>
      </c>
      <c r="AL25">
        <f>COUNT(Population!AL42:AL116)</f>
        <v>75</v>
      </c>
      <c r="AM25">
        <f>COUNT(Population!AM42:AM116)</f>
        <v>75</v>
      </c>
      <c r="AN25">
        <f>COUNT(Population!AN42:AN116)</f>
        <v>75</v>
      </c>
      <c r="AO25">
        <f>COUNT(Population!AO42:AO116)</f>
        <v>75</v>
      </c>
      <c r="AP25">
        <f>COUNT(Population!AP42:AP116)</f>
        <v>75</v>
      </c>
      <c r="AQ25">
        <f>COUNT(Population!AQ42:AQ116)</f>
        <v>75</v>
      </c>
      <c r="AR25">
        <f>COUNT(Population!AR42:AR116)</f>
        <v>75</v>
      </c>
      <c r="AS25">
        <f>COUNT(Population!AS42:AS116)</f>
        <v>75</v>
      </c>
      <c r="AT25">
        <f>COUNT(Population!AT42:AT116)</f>
        <v>75</v>
      </c>
      <c r="AU25">
        <f>COUNT(Population!AU42:AU116)</f>
        <v>75</v>
      </c>
      <c r="AV25">
        <f>COUNT(Population!AV42:AV116)</f>
        <v>75</v>
      </c>
      <c r="AW25">
        <f>COUNT(Population!AW42:AW116)</f>
        <v>75</v>
      </c>
      <c r="AX25">
        <f>COUNT(Population!AX42:AX116)</f>
        <v>75</v>
      </c>
    </row>
    <row r="26" spans="1:59" x14ac:dyDescent="0.45">
      <c r="B26" t="s">
        <v>28</v>
      </c>
      <c r="C26">
        <f>COUNT(Population!C14:C41)</f>
        <v>28</v>
      </c>
      <c r="D26">
        <f>COUNT(Population!D14:D41)</f>
        <v>28</v>
      </c>
      <c r="E26">
        <f>COUNT(Population!E14:E41)</f>
        <v>28</v>
      </c>
      <c r="F26">
        <f>COUNT(Population!F14:F41)</f>
        <v>28</v>
      </c>
      <c r="G26">
        <f>COUNT(Population!G14:G41)</f>
        <v>28</v>
      </c>
      <c r="H26">
        <f>COUNT(Population!H14:H41)</f>
        <v>28</v>
      </c>
      <c r="I26">
        <f>COUNT(Population!I14:I41)</f>
        <v>28</v>
      </c>
      <c r="J26">
        <f>COUNT(Population!J14:J41)</f>
        <v>28</v>
      </c>
      <c r="K26">
        <f>COUNT(Population!K14:K41)</f>
        <v>28</v>
      </c>
      <c r="L26">
        <f>COUNT(Population!L14:L41)</f>
        <v>28</v>
      </c>
      <c r="M26">
        <f>COUNT(Population!M14:M41)</f>
        <v>28</v>
      </c>
      <c r="N26">
        <f>COUNT(Population!N14:N41)</f>
        <v>28</v>
      </c>
      <c r="O26">
        <f>COUNT(Population!O14:O41)</f>
        <v>28</v>
      </c>
      <c r="P26">
        <f>COUNT(Population!P14:P41)</f>
        <v>28</v>
      </c>
      <c r="Q26">
        <f>COUNT(Population!Q14:Q41)</f>
        <v>28</v>
      </c>
      <c r="R26">
        <f>COUNT(Population!R14:R41)</f>
        <v>28</v>
      </c>
      <c r="S26">
        <f>COUNT(Population!S14:S41)</f>
        <v>28</v>
      </c>
      <c r="T26">
        <f>COUNT(Population!T14:T41)</f>
        <v>28</v>
      </c>
      <c r="U26">
        <f>COUNT(Population!U14:U41)</f>
        <v>28</v>
      </c>
      <c r="V26">
        <f>COUNT(Population!V14:V41)</f>
        <v>28</v>
      </c>
      <c r="W26">
        <f>COUNT(Population!W14:W41)</f>
        <v>28</v>
      </c>
      <c r="X26">
        <f>COUNT(Population!X14:X41)</f>
        <v>28</v>
      </c>
      <c r="Y26">
        <f>COUNT(Population!Y14:Y41)</f>
        <v>28</v>
      </c>
      <c r="Z26">
        <f>COUNT(Population!Z14:Z41)</f>
        <v>28</v>
      </c>
      <c r="AA26">
        <f>COUNT(Population!AA14:AA41)</f>
        <v>28</v>
      </c>
      <c r="AB26">
        <f>COUNT(Population!AB14:AB41)</f>
        <v>28</v>
      </c>
      <c r="AC26">
        <f>COUNT(Population!AC14:AC41)</f>
        <v>28</v>
      </c>
      <c r="AD26">
        <f>COUNT(Population!AD14:AD41)</f>
        <v>28</v>
      </c>
      <c r="AE26">
        <f>COUNT(Population!AE14:AE41)</f>
        <v>28</v>
      </c>
      <c r="AF26">
        <f>COUNT(Population!AF14:AF41)</f>
        <v>28</v>
      </c>
      <c r="AG26">
        <f>COUNT(Population!AG14:AG41)</f>
        <v>28</v>
      </c>
      <c r="AH26">
        <f>COUNT(Population!AH14:AH41)</f>
        <v>28</v>
      </c>
      <c r="AI26">
        <f>COUNT(Population!AI14:AI41)</f>
        <v>28</v>
      </c>
      <c r="AJ26">
        <f>COUNT(Population!AJ14:AJ41)</f>
        <v>28</v>
      </c>
      <c r="AK26">
        <f>COUNT(Population!AK14:AK41)</f>
        <v>28</v>
      </c>
      <c r="AL26">
        <f>COUNT(Population!AL14:AL41)</f>
        <v>28</v>
      </c>
      <c r="AM26">
        <f>COUNT(Population!AM14:AM41)</f>
        <v>28</v>
      </c>
      <c r="AN26">
        <f>COUNT(Population!AN14:AN41)</f>
        <v>28</v>
      </c>
      <c r="AO26">
        <f>COUNT(Population!AO14:AO41)</f>
        <v>28</v>
      </c>
      <c r="AP26">
        <f>COUNT(Population!AP14:AP41)</f>
        <v>28</v>
      </c>
      <c r="AQ26">
        <f>COUNT(Population!AQ14:AQ41)</f>
        <v>28</v>
      </c>
      <c r="AR26">
        <f>COUNT(Population!AR14:AR41)</f>
        <v>28</v>
      </c>
      <c r="AS26">
        <f>COUNT(Population!AS14:AS41)</f>
        <v>28</v>
      </c>
      <c r="AT26">
        <f>COUNT(Population!AT14:AT41)</f>
        <v>28</v>
      </c>
      <c r="AU26">
        <f>COUNT(Population!AU14:AU41)</f>
        <v>28</v>
      </c>
      <c r="AV26">
        <f>COUNT(Population!AV14:AV41)</f>
        <v>28</v>
      </c>
      <c r="AW26">
        <f>COUNT(Population!AW14:AW41)</f>
        <v>28</v>
      </c>
      <c r="AX26">
        <f>COUNT(Population!AX14:AX41)</f>
        <v>28</v>
      </c>
    </row>
    <row r="27" spans="1:59" x14ac:dyDescent="0.45">
      <c r="B27" t="s">
        <v>182</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c r="Z27">
        <v>1</v>
      </c>
      <c r="AA27">
        <v>1</v>
      </c>
      <c r="AB27">
        <v>1</v>
      </c>
      <c r="AC27">
        <v>1</v>
      </c>
      <c r="AD27">
        <v>1</v>
      </c>
      <c r="AE27">
        <v>1</v>
      </c>
      <c r="AF27">
        <v>1</v>
      </c>
      <c r="AG27">
        <v>1</v>
      </c>
      <c r="AH27">
        <v>1</v>
      </c>
      <c r="AI27">
        <v>1</v>
      </c>
      <c r="AJ27">
        <v>1</v>
      </c>
      <c r="AK27">
        <v>1</v>
      </c>
      <c r="AL27">
        <v>1</v>
      </c>
      <c r="AM27">
        <v>1</v>
      </c>
      <c r="AN27">
        <v>1</v>
      </c>
      <c r="AO27">
        <v>1</v>
      </c>
      <c r="AP27">
        <v>1</v>
      </c>
      <c r="AQ27">
        <v>1</v>
      </c>
      <c r="AR27">
        <v>1</v>
      </c>
      <c r="AS27">
        <v>1</v>
      </c>
      <c r="AT27">
        <v>1</v>
      </c>
      <c r="AU27">
        <v>1</v>
      </c>
      <c r="AV27">
        <v>1</v>
      </c>
      <c r="AW27">
        <v>1</v>
      </c>
      <c r="AX27">
        <v>1</v>
      </c>
    </row>
    <row r="28" spans="1:59" x14ac:dyDescent="0.45">
      <c r="B28" t="s">
        <v>84</v>
      </c>
      <c r="C28">
        <f>C25+C26+C27</f>
        <v>104</v>
      </c>
      <c r="D28">
        <f t="shared" ref="D28:AX28" si="1">D25+D26+D27</f>
        <v>104</v>
      </c>
      <c r="E28">
        <f t="shared" si="1"/>
        <v>104</v>
      </c>
      <c r="F28">
        <f t="shared" si="1"/>
        <v>104</v>
      </c>
      <c r="G28">
        <f t="shared" si="1"/>
        <v>104</v>
      </c>
      <c r="H28">
        <f t="shared" si="1"/>
        <v>104</v>
      </c>
      <c r="I28">
        <f t="shared" si="1"/>
        <v>104</v>
      </c>
      <c r="J28">
        <f t="shared" si="1"/>
        <v>104</v>
      </c>
      <c r="K28">
        <f t="shared" si="1"/>
        <v>104</v>
      </c>
      <c r="L28">
        <f t="shared" si="1"/>
        <v>104</v>
      </c>
      <c r="M28">
        <f t="shared" si="1"/>
        <v>104</v>
      </c>
      <c r="N28">
        <f t="shared" si="1"/>
        <v>104</v>
      </c>
      <c r="O28">
        <f t="shared" si="1"/>
        <v>104</v>
      </c>
      <c r="P28">
        <f t="shared" si="1"/>
        <v>104</v>
      </c>
      <c r="Q28">
        <f t="shared" si="1"/>
        <v>104</v>
      </c>
      <c r="R28">
        <f t="shared" si="1"/>
        <v>104</v>
      </c>
      <c r="S28">
        <f t="shared" si="1"/>
        <v>104</v>
      </c>
      <c r="T28">
        <f t="shared" si="1"/>
        <v>104</v>
      </c>
      <c r="U28">
        <f t="shared" si="1"/>
        <v>104</v>
      </c>
      <c r="V28">
        <f t="shared" si="1"/>
        <v>104</v>
      </c>
      <c r="W28">
        <f t="shared" si="1"/>
        <v>104</v>
      </c>
      <c r="X28">
        <f t="shared" si="1"/>
        <v>104</v>
      </c>
      <c r="Y28">
        <f t="shared" si="1"/>
        <v>104</v>
      </c>
      <c r="Z28">
        <f t="shared" si="1"/>
        <v>104</v>
      </c>
      <c r="AA28">
        <f t="shared" si="1"/>
        <v>104</v>
      </c>
      <c r="AB28">
        <f t="shared" si="1"/>
        <v>104</v>
      </c>
      <c r="AC28">
        <f t="shared" si="1"/>
        <v>104</v>
      </c>
      <c r="AD28">
        <f t="shared" si="1"/>
        <v>104</v>
      </c>
      <c r="AE28">
        <f t="shared" si="1"/>
        <v>104</v>
      </c>
      <c r="AF28">
        <f t="shared" si="1"/>
        <v>104</v>
      </c>
      <c r="AG28">
        <f t="shared" si="1"/>
        <v>104</v>
      </c>
      <c r="AH28">
        <f t="shared" si="1"/>
        <v>104</v>
      </c>
      <c r="AI28">
        <f t="shared" si="1"/>
        <v>104</v>
      </c>
      <c r="AJ28">
        <f t="shared" si="1"/>
        <v>104</v>
      </c>
      <c r="AK28">
        <f t="shared" si="1"/>
        <v>104</v>
      </c>
      <c r="AL28">
        <f t="shared" si="1"/>
        <v>104</v>
      </c>
      <c r="AM28">
        <f t="shared" si="1"/>
        <v>104</v>
      </c>
      <c r="AN28">
        <f t="shared" si="1"/>
        <v>104</v>
      </c>
      <c r="AO28">
        <f t="shared" si="1"/>
        <v>104</v>
      </c>
      <c r="AP28">
        <f t="shared" si="1"/>
        <v>104</v>
      </c>
      <c r="AQ28">
        <f t="shared" si="1"/>
        <v>104</v>
      </c>
      <c r="AR28">
        <f t="shared" si="1"/>
        <v>104</v>
      </c>
      <c r="AS28">
        <f t="shared" si="1"/>
        <v>104</v>
      </c>
      <c r="AT28">
        <f t="shared" si="1"/>
        <v>104</v>
      </c>
      <c r="AU28">
        <f t="shared" si="1"/>
        <v>104</v>
      </c>
      <c r="AV28">
        <f t="shared" si="1"/>
        <v>104</v>
      </c>
      <c r="AW28">
        <f t="shared" si="1"/>
        <v>104</v>
      </c>
      <c r="AX28">
        <f t="shared" si="1"/>
        <v>104</v>
      </c>
    </row>
    <row r="29" spans="1:59" x14ac:dyDescent="0.45">
      <c r="A29" t="s">
        <v>183</v>
      </c>
    </row>
    <row r="30" spans="1:59" x14ac:dyDescent="0.45">
      <c r="B30" t="s">
        <v>29</v>
      </c>
      <c r="C30" s="13">
        <f>C25/C28</f>
        <v>0.72115384615384615</v>
      </c>
      <c r="D30" s="13">
        <f t="shared" ref="D30:AX30" si="2">D25/D28</f>
        <v>0.72115384615384615</v>
      </c>
      <c r="E30" s="13">
        <f t="shared" si="2"/>
        <v>0.72115384615384615</v>
      </c>
      <c r="F30" s="13">
        <f t="shared" si="2"/>
        <v>0.72115384615384615</v>
      </c>
      <c r="G30" s="13">
        <f t="shared" si="2"/>
        <v>0.72115384615384615</v>
      </c>
      <c r="H30" s="13">
        <f t="shared" si="2"/>
        <v>0.72115384615384615</v>
      </c>
      <c r="I30" s="13">
        <f t="shared" si="2"/>
        <v>0.72115384615384615</v>
      </c>
      <c r="J30" s="13">
        <f t="shared" si="2"/>
        <v>0.72115384615384615</v>
      </c>
      <c r="K30" s="13">
        <f t="shared" si="2"/>
        <v>0.72115384615384615</v>
      </c>
      <c r="L30" s="13">
        <f t="shared" si="2"/>
        <v>0.72115384615384615</v>
      </c>
      <c r="M30" s="13">
        <f t="shared" si="2"/>
        <v>0.72115384615384615</v>
      </c>
      <c r="N30" s="13">
        <f t="shared" si="2"/>
        <v>0.72115384615384615</v>
      </c>
      <c r="O30" s="13">
        <f t="shared" si="2"/>
        <v>0.72115384615384615</v>
      </c>
      <c r="P30" s="13">
        <f t="shared" si="2"/>
        <v>0.72115384615384615</v>
      </c>
      <c r="Q30" s="13">
        <f t="shared" si="2"/>
        <v>0.72115384615384615</v>
      </c>
      <c r="R30" s="13">
        <f t="shared" si="2"/>
        <v>0.72115384615384615</v>
      </c>
      <c r="S30" s="13">
        <f t="shared" si="2"/>
        <v>0.72115384615384615</v>
      </c>
      <c r="T30" s="13">
        <f t="shared" si="2"/>
        <v>0.72115384615384615</v>
      </c>
      <c r="U30" s="13">
        <f t="shared" si="2"/>
        <v>0.72115384615384615</v>
      </c>
      <c r="V30" s="13">
        <f t="shared" si="2"/>
        <v>0.72115384615384615</v>
      </c>
      <c r="W30" s="13">
        <f t="shared" si="2"/>
        <v>0.72115384615384615</v>
      </c>
      <c r="X30" s="13">
        <f t="shared" si="2"/>
        <v>0.72115384615384615</v>
      </c>
      <c r="Y30" s="13">
        <f t="shared" si="2"/>
        <v>0.72115384615384615</v>
      </c>
      <c r="Z30" s="13">
        <f t="shared" si="2"/>
        <v>0.72115384615384615</v>
      </c>
      <c r="AA30" s="13">
        <f t="shared" si="2"/>
        <v>0.72115384615384615</v>
      </c>
      <c r="AB30" s="13">
        <f t="shared" si="2"/>
        <v>0.72115384615384615</v>
      </c>
      <c r="AC30" s="13">
        <f t="shared" si="2"/>
        <v>0.72115384615384615</v>
      </c>
      <c r="AD30" s="13">
        <f t="shared" si="2"/>
        <v>0.72115384615384615</v>
      </c>
      <c r="AE30" s="13">
        <f t="shared" si="2"/>
        <v>0.72115384615384615</v>
      </c>
      <c r="AF30" s="13">
        <f t="shared" si="2"/>
        <v>0.72115384615384615</v>
      </c>
      <c r="AG30" s="13">
        <f t="shared" si="2"/>
        <v>0.72115384615384615</v>
      </c>
      <c r="AH30" s="13">
        <f t="shared" si="2"/>
        <v>0.72115384615384615</v>
      </c>
      <c r="AI30" s="13">
        <f t="shared" si="2"/>
        <v>0.72115384615384615</v>
      </c>
      <c r="AJ30" s="13">
        <f t="shared" si="2"/>
        <v>0.72115384615384615</v>
      </c>
      <c r="AK30" s="13">
        <f t="shared" si="2"/>
        <v>0.72115384615384615</v>
      </c>
      <c r="AL30" s="13">
        <f t="shared" si="2"/>
        <v>0.72115384615384615</v>
      </c>
      <c r="AM30" s="13">
        <f t="shared" si="2"/>
        <v>0.72115384615384615</v>
      </c>
      <c r="AN30" s="13">
        <f t="shared" si="2"/>
        <v>0.72115384615384615</v>
      </c>
      <c r="AO30" s="13">
        <f t="shared" si="2"/>
        <v>0.72115384615384615</v>
      </c>
      <c r="AP30" s="13">
        <f t="shared" si="2"/>
        <v>0.72115384615384615</v>
      </c>
      <c r="AQ30" s="13">
        <f t="shared" si="2"/>
        <v>0.72115384615384615</v>
      </c>
      <c r="AR30" s="13">
        <f t="shared" si="2"/>
        <v>0.72115384615384615</v>
      </c>
      <c r="AS30" s="13">
        <f t="shared" si="2"/>
        <v>0.72115384615384615</v>
      </c>
      <c r="AT30" s="13">
        <f t="shared" si="2"/>
        <v>0.72115384615384615</v>
      </c>
      <c r="AU30" s="13">
        <f t="shared" si="2"/>
        <v>0.72115384615384615</v>
      </c>
      <c r="AV30" s="13">
        <f t="shared" si="2"/>
        <v>0.72115384615384615</v>
      </c>
      <c r="AW30" s="13">
        <f t="shared" si="2"/>
        <v>0.72115384615384615</v>
      </c>
      <c r="AX30" s="13">
        <f t="shared" si="2"/>
        <v>0.72115384615384615</v>
      </c>
      <c r="AY30" s="13"/>
      <c r="AZ30" s="13"/>
      <c r="BA30" s="13"/>
      <c r="BB30" s="13"/>
      <c r="BC30" s="13"/>
      <c r="BD30" s="13"/>
      <c r="BE30" s="13"/>
      <c r="BF30" s="13"/>
      <c r="BG30" s="13"/>
    </row>
    <row r="31" spans="1:59" x14ac:dyDescent="0.45">
      <c r="B31" t="s">
        <v>28</v>
      </c>
      <c r="C31" s="13">
        <f>C26/C28</f>
        <v>0.26923076923076922</v>
      </c>
      <c r="D31" s="13">
        <f t="shared" ref="D31:AX31" si="3">D26/D28</f>
        <v>0.26923076923076922</v>
      </c>
      <c r="E31" s="13">
        <f t="shared" si="3"/>
        <v>0.26923076923076922</v>
      </c>
      <c r="F31" s="13">
        <f t="shared" si="3"/>
        <v>0.26923076923076922</v>
      </c>
      <c r="G31" s="13">
        <f t="shared" si="3"/>
        <v>0.26923076923076922</v>
      </c>
      <c r="H31" s="13">
        <f t="shared" si="3"/>
        <v>0.26923076923076922</v>
      </c>
      <c r="I31" s="13">
        <f t="shared" si="3"/>
        <v>0.26923076923076922</v>
      </c>
      <c r="J31" s="13">
        <f t="shared" si="3"/>
        <v>0.26923076923076922</v>
      </c>
      <c r="K31" s="13">
        <f t="shared" si="3"/>
        <v>0.26923076923076922</v>
      </c>
      <c r="L31" s="13">
        <f t="shared" si="3"/>
        <v>0.26923076923076922</v>
      </c>
      <c r="M31" s="13">
        <f t="shared" si="3"/>
        <v>0.26923076923076922</v>
      </c>
      <c r="N31" s="13">
        <f t="shared" si="3"/>
        <v>0.26923076923076922</v>
      </c>
      <c r="O31" s="13">
        <f t="shared" si="3"/>
        <v>0.26923076923076922</v>
      </c>
      <c r="P31" s="13">
        <f t="shared" si="3"/>
        <v>0.26923076923076922</v>
      </c>
      <c r="Q31" s="13">
        <f t="shared" si="3"/>
        <v>0.26923076923076922</v>
      </c>
      <c r="R31" s="13">
        <f t="shared" si="3"/>
        <v>0.26923076923076922</v>
      </c>
      <c r="S31" s="13">
        <f t="shared" si="3"/>
        <v>0.26923076923076922</v>
      </c>
      <c r="T31" s="13">
        <f t="shared" si="3"/>
        <v>0.26923076923076922</v>
      </c>
      <c r="U31" s="13">
        <f t="shared" si="3"/>
        <v>0.26923076923076922</v>
      </c>
      <c r="V31" s="13">
        <f t="shared" si="3"/>
        <v>0.26923076923076922</v>
      </c>
      <c r="W31" s="13">
        <f t="shared" si="3"/>
        <v>0.26923076923076922</v>
      </c>
      <c r="X31" s="13">
        <f t="shared" si="3"/>
        <v>0.26923076923076922</v>
      </c>
      <c r="Y31" s="13">
        <f t="shared" si="3"/>
        <v>0.26923076923076922</v>
      </c>
      <c r="Z31" s="13">
        <f t="shared" si="3"/>
        <v>0.26923076923076922</v>
      </c>
      <c r="AA31" s="13">
        <f t="shared" si="3"/>
        <v>0.26923076923076922</v>
      </c>
      <c r="AB31" s="13">
        <f t="shared" si="3"/>
        <v>0.26923076923076922</v>
      </c>
      <c r="AC31" s="13">
        <f t="shared" si="3"/>
        <v>0.26923076923076922</v>
      </c>
      <c r="AD31" s="13">
        <f t="shared" si="3"/>
        <v>0.26923076923076922</v>
      </c>
      <c r="AE31" s="13">
        <f t="shared" si="3"/>
        <v>0.26923076923076922</v>
      </c>
      <c r="AF31" s="13">
        <f t="shared" si="3"/>
        <v>0.26923076923076922</v>
      </c>
      <c r="AG31" s="13">
        <f t="shared" si="3"/>
        <v>0.26923076923076922</v>
      </c>
      <c r="AH31" s="13">
        <f t="shared" si="3"/>
        <v>0.26923076923076922</v>
      </c>
      <c r="AI31" s="13">
        <f t="shared" si="3"/>
        <v>0.26923076923076922</v>
      </c>
      <c r="AJ31" s="13">
        <f t="shared" si="3"/>
        <v>0.26923076923076922</v>
      </c>
      <c r="AK31" s="13">
        <f t="shared" si="3"/>
        <v>0.26923076923076922</v>
      </c>
      <c r="AL31" s="13">
        <f t="shared" si="3"/>
        <v>0.26923076923076922</v>
      </c>
      <c r="AM31" s="13">
        <f t="shared" si="3"/>
        <v>0.26923076923076922</v>
      </c>
      <c r="AN31" s="13">
        <f t="shared" si="3"/>
        <v>0.26923076923076922</v>
      </c>
      <c r="AO31" s="13">
        <f t="shared" si="3"/>
        <v>0.26923076923076922</v>
      </c>
      <c r="AP31" s="13">
        <f t="shared" si="3"/>
        <v>0.26923076923076922</v>
      </c>
      <c r="AQ31" s="13">
        <f t="shared" si="3"/>
        <v>0.26923076923076922</v>
      </c>
      <c r="AR31" s="13">
        <f t="shared" si="3"/>
        <v>0.26923076923076922</v>
      </c>
      <c r="AS31" s="13">
        <f t="shared" si="3"/>
        <v>0.26923076923076922</v>
      </c>
      <c r="AT31" s="13">
        <f t="shared" si="3"/>
        <v>0.26923076923076922</v>
      </c>
      <c r="AU31" s="13">
        <f t="shared" si="3"/>
        <v>0.26923076923076922</v>
      </c>
      <c r="AV31" s="13">
        <f t="shared" si="3"/>
        <v>0.26923076923076922</v>
      </c>
      <c r="AW31" s="13">
        <f t="shared" si="3"/>
        <v>0.26923076923076922</v>
      </c>
      <c r="AX31" s="13">
        <f t="shared" si="3"/>
        <v>0.26923076923076922</v>
      </c>
      <c r="AY31" s="13"/>
      <c r="AZ31" s="13"/>
      <c r="BA31" s="13"/>
      <c r="BB31" s="13"/>
      <c r="BC31" s="13"/>
      <c r="BD31" s="13"/>
      <c r="BE31" s="13"/>
      <c r="BF31" s="13"/>
      <c r="BG31" s="13"/>
    </row>
    <row r="32" spans="1:59" x14ac:dyDescent="0.45">
      <c r="B32" t="s">
        <v>182</v>
      </c>
      <c r="C32" s="13">
        <f>C27/C28</f>
        <v>9.6153846153846159E-3</v>
      </c>
      <c r="D32" s="13">
        <f t="shared" ref="D32:AX32" si="4">D27/D28</f>
        <v>9.6153846153846159E-3</v>
      </c>
      <c r="E32" s="13">
        <f t="shared" si="4"/>
        <v>9.6153846153846159E-3</v>
      </c>
      <c r="F32" s="13">
        <f t="shared" si="4"/>
        <v>9.6153846153846159E-3</v>
      </c>
      <c r="G32" s="13">
        <f t="shared" si="4"/>
        <v>9.6153846153846159E-3</v>
      </c>
      <c r="H32" s="13">
        <f t="shared" si="4"/>
        <v>9.6153846153846159E-3</v>
      </c>
      <c r="I32" s="13">
        <f t="shared" si="4"/>
        <v>9.6153846153846159E-3</v>
      </c>
      <c r="J32" s="13">
        <f t="shared" si="4"/>
        <v>9.6153846153846159E-3</v>
      </c>
      <c r="K32" s="13">
        <f t="shared" si="4"/>
        <v>9.6153846153846159E-3</v>
      </c>
      <c r="L32" s="13">
        <f t="shared" si="4"/>
        <v>9.6153846153846159E-3</v>
      </c>
      <c r="M32" s="13">
        <f t="shared" si="4"/>
        <v>9.6153846153846159E-3</v>
      </c>
      <c r="N32" s="13">
        <f t="shared" si="4"/>
        <v>9.6153846153846159E-3</v>
      </c>
      <c r="O32" s="13">
        <f t="shared" si="4"/>
        <v>9.6153846153846159E-3</v>
      </c>
      <c r="P32" s="13">
        <f t="shared" si="4"/>
        <v>9.6153846153846159E-3</v>
      </c>
      <c r="Q32" s="13">
        <f t="shared" si="4"/>
        <v>9.6153846153846159E-3</v>
      </c>
      <c r="R32" s="13">
        <f t="shared" si="4"/>
        <v>9.6153846153846159E-3</v>
      </c>
      <c r="S32" s="13">
        <f t="shared" si="4"/>
        <v>9.6153846153846159E-3</v>
      </c>
      <c r="T32" s="13">
        <f t="shared" si="4"/>
        <v>9.6153846153846159E-3</v>
      </c>
      <c r="U32" s="13">
        <f t="shared" si="4"/>
        <v>9.6153846153846159E-3</v>
      </c>
      <c r="V32" s="13">
        <f t="shared" si="4"/>
        <v>9.6153846153846159E-3</v>
      </c>
      <c r="W32" s="13">
        <f t="shared" si="4"/>
        <v>9.6153846153846159E-3</v>
      </c>
      <c r="X32" s="13">
        <f t="shared" si="4"/>
        <v>9.6153846153846159E-3</v>
      </c>
      <c r="Y32" s="13">
        <f t="shared" si="4"/>
        <v>9.6153846153846159E-3</v>
      </c>
      <c r="Z32" s="13">
        <f t="shared" si="4"/>
        <v>9.6153846153846159E-3</v>
      </c>
      <c r="AA32" s="13">
        <f t="shared" si="4"/>
        <v>9.6153846153846159E-3</v>
      </c>
      <c r="AB32" s="13">
        <f t="shared" si="4"/>
        <v>9.6153846153846159E-3</v>
      </c>
      <c r="AC32" s="13">
        <f t="shared" si="4"/>
        <v>9.6153846153846159E-3</v>
      </c>
      <c r="AD32" s="13">
        <f t="shared" si="4"/>
        <v>9.6153846153846159E-3</v>
      </c>
      <c r="AE32" s="13">
        <f t="shared" si="4"/>
        <v>9.6153846153846159E-3</v>
      </c>
      <c r="AF32" s="13">
        <f t="shared" si="4"/>
        <v>9.6153846153846159E-3</v>
      </c>
      <c r="AG32" s="13">
        <f t="shared" si="4"/>
        <v>9.6153846153846159E-3</v>
      </c>
      <c r="AH32" s="13">
        <f t="shared" si="4"/>
        <v>9.6153846153846159E-3</v>
      </c>
      <c r="AI32" s="13">
        <f t="shared" si="4"/>
        <v>9.6153846153846159E-3</v>
      </c>
      <c r="AJ32" s="13">
        <f t="shared" si="4"/>
        <v>9.6153846153846159E-3</v>
      </c>
      <c r="AK32" s="13">
        <f t="shared" si="4"/>
        <v>9.6153846153846159E-3</v>
      </c>
      <c r="AL32" s="13">
        <f t="shared" si="4"/>
        <v>9.6153846153846159E-3</v>
      </c>
      <c r="AM32" s="13">
        <f t="shared" si="4"/>
        <v>9.6153846153846159E-3</v>
      </c>
      <c r="AN32" s="13">
        <f t="shared" si="4"/>
        <v>9.6153846153846159E-3</v>
      </c>
      <c r="AO32" s="13">
        <f t="shared" si="4"/>
        <v>9.6153846153846159E-3</v>
      </c>
      <c r="AP32" s="13">
        <f t="shared" si="4"/>
        <v>9.6153846153846159E-3</v>
      </c>
      <c r="AQ32" s="13">
        <f t="shared" si="4"/>
        <v>9.6153846153846159E-3</v>
      </c>
      <c r="AR32" s="13">
        <f t="shared" si="4"/>
        <v>9.6153846153846159E-3</v>
      </c>
      <c r="AS32" s="13">
        <f t="shared" si="4"/>
        <v>9.6153846153846159E-3</v>
      </c>
      <c r="AT32" s="13">
        <f t="shared" si="4"/>
        <v>9.6153846153846159E-3</v>
      </c>
      <c r="AU32" s="13">
        <f t="shared" si="4"/>
        <v>9.6153846153846159E-3</v>
      </c>
      <c r="AV32" s="13">
        <f t="shared" si="4"/>
        <v>9.6153846153846159E-3</v>
      </c>
      <c r="AW32" s="13">
        <f t="shared" si="4"/>
        <v>9.6153846153846159E-3</v>
      </c>
      <c r="AX32" s="13">
        <f t="shared" si="4"/>
        <v>9.6153846153846159E-3</v>
      </c>
      <c r="AY32" s="13"/>
      <c r="AZ32" s="13"/>
      <c r="BA32" s="13"/>
      <c r="BB32" s="13"/>
      <c r="BC32" s="13"/>
      <c r="BD32" s="13"/>
      <c r="BE32" s="13"/>
      <c r="BF32" s="13"/>
      <c r="BG32" s="13"/>
    </row>
    <row r="33" spans="1:59" x14ac:dyDescent="0.45">
      <c r="A33" t="s">
        <v>184</v>
      </c>
    </row>
    <row r="34" spans="1:59" x14ac:dyDescent="0.45">
      <c r="B34" t="s">
        <v>29</v>
      </c>
      <c r="C34" s="11">
        <f>C7/C12</f>
        <v>283.51812922560981</v>
      </c>
      <c r="D34" s="11">
        <f>D7/D12</f>
        <v>303.87268887309085</v>
      </c>
      <c r="E34" s="11">
        <f>E7/E12</f>
        <v>331.59521191195</v>
      </c>
      <c r="F34" s="11">
        <f>F7/F12</f>
        <v>401.27541423153514</v>
      </c>
      <c r="G34" s="11">
        <f>G7/G12</f>
        <v>513.51189754209418</v>
      </c>
      <c r="H34" s="11">
        <f>H7/H12</f>
        <v>564.02794176069915</v>
      </c>
      <c r="I34" s="11">
        <f>I7/I12</f>
        <v>612.38220011775979</v>
      </c>
      <c r="J34" s="11">
        <f>J7/J12</f>
        <v>672.44449090568219</v>
      </c>
      <c r="K34" s="11">
        <f>K7/K12</f>
        <v>750.16597928082103</v>
      </c>
      <c r="L34" s="11">
        <f>L7/L12</f>
        <v>886.00486287248452</v>
      </c>
      <c r="M34" s="11">
        <f>M7/M12</f>
        <v>1036.4509676843738</v>
      </c>
      <c r="N34" s="11">
        <f>N7/N12</f>
        <v>1099.6197109632792</v>
      </c>
      <c r="O34" s="11">
        <f>O7/O12</f>
        <v>1000.8973014349212</v>
      </c>
      <c r="P34" s="11">
        <f>P7/P12</f>
        <v>920.76109343533813</v>
      </c>
      <c r="Q34" s="11">
        <f>Q7/Q12</f>
        <v>914.26501969186415</v>
      </c>
      <c r="R34" s="11">
        <f>R7/R12</f>
        <v>888.15278346573257</v>
      </c>
      <c r="S34" s="11">
        <f>S7/S12</f>
        <v>848.13547234194357</v>
      </c>
      <c r="T34" s="11">
        <f>T7/T12</f>
        <v>890.01091636112653</v>
      </c>
      <c r="U34" s="11">
        <f>U7/U12</f>
        <v>959.12299442782376</v>
      </c>
      <c r="V34" s="11">
        <f>V7/V12</f>
        <v>1010.7345119059556</v>
      </c>
      <c r="W34" s="11">
        <f>W7/W12</f>
        <v>1142.8684459670765</v>
      </c>
      <c r="X34" s="11">
        <f>X7/X12</f>
        <v>1157.904296449464</v>
      </c>
      <c r="Y34" s="11">
        <f>Y7/Y12</f>
        <v>1212.9894991468555</v>
      </c>
      <c r="Z34" s="11">
        <f>Z7/Z12</f>
        <v>1272.120230878601</v>
      </c>
      <c r="AA34" s="11">
        <f>AA7/AA12</f>
        <v>1357.498897367095</v>
      </c>
      <c r="AB34" s="11">
        <f>AB7/AB12</f>
        <v>1452.6520686045594</v>
      </c>
      <c r="AC34" s="11">
        <f>AC7/AC12</f>
        <v>1532.0158499397548</v>
      </c>
      <c r="AD34" s="11">
        <f>AD7/AD12</f>
        <v>1585.0124552688505</v>
      </c>
      <c r="AE34" s="11">
        <f>AE7/AE12</f>
        <v>1520.2799103445802</v>
      </c>
      <c r="AF34" s="11">
        <f>AF7/AF12</f>
        <v>1427.0436154629917</v>
      </c>
      <c r="AG34" s="11">
        <f>AG7/AG12</f>
        <v>1498.5338232768668</v>
      </c>
      <c r="AH34" s="11">
        <f>AH7/AH12</f>
        <v>1419.3435172726679</v>
      </c>
      <c r="AI34" s="11">
        <f>AI7/AI12</f>
        <v>1367.7671988841616</v>
      </c>
      <c r="AJ34" s="11">
        <f>AJ7/AJ12</f>
        <v>1487.251832866209</v>
      </c>
      <c r="AK34" s="11">
        <f>AK7/AK12</f>
        <v>1719.7740703174611</v>
      </c>
      <c r="AL34" s="11">
        <f>AL7/AL12</f>
        <v>2015.349515247199</v>
      </c>
      <c r="AM34" s="11">
        <f>AM7/AM12</f>
        <v>2289.4190960050719</v>
      </c>
      <c r="AN34" s="11">
        <f>AN7/AN12</f>
        <v>2662.8459344108496</v>
      </c>
      <c r="AO34" s="11">
        <f>AO7/AO12</f>
        <v>2991.1008345565315</v>
      </c>
      <c r="AP34" s="11">
        <f>AP7/AP12</f>
        <v>2757.1399194279388</v>
      </c>
      <c r="AQ34" s="11">
        <f>AQ7/AQ12</f>
        <v>3337.804362047928</v>
      </c>
      <c r="AR34" s="11">
        <f>AR7/AR12</f>
        <v>3783.6758133005665</v>
      </c>
      <c r="AS34" s="11">
        <f>AS7/AS12</f>
        <v>3813.0593551036491</v>
      </c>
      <c r="AT34" s="11">
        <f>AT7/AT12</f>
        <v>3904.0311249277997</v>
      </c>
      <c r="AU34" s="11">
        <f>AU7/AU12</f>
        <v>3915.0610106833296</v>
      </c>
      <c r="AV34" s="11">
        <f>AV7/AV12</f>
        <v>3524.0772747984342</v>
      </c>
      <c r="AW34" s="11">
        <f>AW7/AW12</f>
        <v>3443.2542896294835</v>
      </c>
      <c r="AX34" s="11">
        <f>AX7/AX12</f>
        <v>3711.947020701899</v>
      </c>
      <c r="AY34" s="11"/>
      <c r="AZ34" s="11"/>
      <c r="BA34" s="11"/>
      <c r="BB34" s="11"/>
      <c r="BC34" s="11"/>
      <c r="BD34" s="11"/>
      <c r="BE34" s="11"/>
      <c r="BF34" s="11"/>
      <c r="BG34" s="11"/>
    </row>
    <row r="35" spans="1:59" x14ac:dyDescent="0.45">
      <c r="B35" t="s">
        <v>28</v>
      </c>
      <c r="C35" s="11">
        <f>C8/C13</f>
        <v>3124.0984327101514</v>
      </c>
      <c r="D35" s="11">
        <f>D8/D13</f>
        <v>3429.360503320539</v>
      </c>
      <c r="E35" s="11">
        <f>E8/E13</f>
        <v>3955.3663679120732</v>
      </c>
      <c r="F35" s="11">
        <f>F8/F13</f>
        <v>4764.015467614242</v>
      </c>
      <c r="G35" s="11">
        <f>G8/G13</f>
        <v>5260.4300134196164</v>
      </c>
      <c r="H35" s="11">
        <f>H8/H13</f>
        <v>5827.1468609864396</v>
      </c>
      <c r="I35" s="11">
        <f>I8/I13</f>
        <v>6274.4398118725612</v>
      </c>
      <c r="J35" s="11">
        <f>J8/J13</f>
        <v>7028.9174694182575</v>
      </c>
      <c r="K35" s="11">
        <f>K8/K13</f>
        <v>8412.9594770232306</v>
      </c>
      <c r="L35" s="11">
        <f>L8/L13</f>
        <v>9612.9757172865666</v>
      </c>
      <c r="M35" s="11">
        <f>M8/M13</f>
        <v>10569.72253915174</v>
      </c>
      <c r="N35" s="11">
        <f>N8/N13</f>
        <v>10610.652257603195</v>
      </c>
      <c r="O35" s="11">
        <f>O8/O13</f>
        <v>10450.103376806739</v>
      </c>
      <c r="P35" s="11">
        <f>P8/P13</f>
        <v>10816.108324027979</v>
      </c>
      <c r="Q35" s="11">
        <f>Q8/Q13</f>
        <v>11243.381588448618</v>
      </c>
      <c r="R35" s="11">
        <f>R8/R13</f>
        <v>11755.605077113754</v>
      </c>
      <c r="S35" s="11">
        <f>S8/S13</f>
        <v>14297.732260536728</v>
      </c>
      <c r="T35" s="11">
        <f>T8/T13</f>
        <v>16507.410434813097</v>
      </c>
      <c r="U35" s="11">
        <f>U8/U13</f>
        <v>18520.060922028712</v>
      </c>
      <c r="V35" s="11">
        <f>V8/V13</f>
        <v>19142.268768977938</v>
      </c>
      <c r="W35" s="11">
        <f>W8/W13</f>
        <v>21335.812411288822</v>
      </c>
      <c r="X35" s="11">
        <f>X8/X13</f>
        <v>22363.99781238248</v>
      </c>
      <c r="Y35" s="11">
        <f>Y8/Y13</f>
        <v>23823.488534452092</v>
      </c>
      <c r="Z35" s="11">
        <f>Z8/Z13</f>
        <v>23779.55972191726</v>
      </c>
      <c r="AA35" s="11">
        <f>AA8/AA13</f>
        <v>25358.384710494098</v>
      </c>
      <c r="AB35" s="11">
        <f>AB8/AB13</f>
        <v>27913.338932703748</v>
      </c>
      <c r="AC35" s="11">
        <f>AC8/AC13</f>
        <v>27879.567853374399</v>
      </c>
      <c r="AD35" s="11">
        <f>AD8/AD13</f>
        <v>27123.15345686072</v>
      </c>
      <c r="AE35" s="11">
        <f>AE8/AE13</f>
        <v>27068.981001440665</v>
      </c>
      <c r="AF35" s="11">
        <f>AF8/AF13</f>
        <v>28348.045490471573</v>
      </c>
      <c r="AG35" s="11">
        <f>AG8/AG13</f>
        <v>28664.506394391221</v>
      </c>
      <c r="AH35" s="11">
        <f>AH8/AH13</f>
        <v>28176.756440256708</v>
      </c>
      <c r="AI35" s="11">
        <f>AI8/AI13</f>
        <v>29136.502171915672</v>
      </c>
      <c r="AJ35" s="11">
        <f>AJ8/AJ13</f>
        <v>32621.274414448679</v>
      </c>
      <c r="AK35" s="11">
        <f>AK8/AK13</f>
        <v>35881.397172201563</v>
      </c>
      <c r="AL35" s="11">
        <f>AL8/AL13</f>
        <v>37474.601125045403</v>
      </c>
      <c r="AM35" s="11">
        <f>AM8/AM13</f>
        <v>39140.004783743054</v>
      </c>
      <c r="AN35" s="11">
        <f>AN8/AN13</f>
        <v>42472.906141486106</v>
      </c>
      <c r="AO35" s="11">
        <f>AO8/AO13</f>
        <v>44282.420375113696</v>
      </c>
      <c r="AP35" s="11">
        <f>AP8/AP13</f>
        <v>41585.080109475966</v>
      </c>
      <c r="AQ35" s="11">
        <f>AQ8/AQ13</f>
        <v>43234.233829658144</v>
      </c>
      <c r="AR35" s="11">
        <f>AR8/AR13</f>
        <v>46157.535678765562</v>
      </c>
      <c r="AS35" s="11">
        <f>AS8/AS13</f>
        <v>45794.285874726032</v>
      </c>
      <c r="AT35" s="11">
        <f>AT8/AT13</f>
        <v>45943.891996417595</v>
      </c>
      <c r="AU35" s="11">
        <f>AU8/AU13</f>
        <v>46683.846009614135</v>
      </c>
      <c r="AV35" s="11">
        <f>AV8/AV13</f>
        <v>43957.312970571002</v>
      </c>
      <c r="AW35" s="11">
        <f>AW8/AW13</f>
        <v>44921.395808868685</v>
      </c>
      <c r="AX35" s="11">
        <f>AX8/AX13</f>
        <v>46488.846578628778</v>
      </c>
      <c r="AY35" s="11"/>
      <c r="AZ35" s="11"/>
      <c r="BA35" s="11"/>
      <c r="BB35" s="11"/>
      <c r="BC35" s="11"/>
      <c r="BD35" s="11"/>
      <c r="BE35" s="11"/>
      <c r="BF35" s="11"/>
      <c r="BG35" s="11"/>
    </row>
    <row r="36" spans="1:59" x14ac:dyDescent="0.45">
      <c r="B36" t="s">
        <v>182</v>
      </c>
      <c r="C36" s="11">
        <f>C9/C14</f>
        <v>113.16255582349041</v>
      </c>
      <c r="D36" s="11">
        <f>D9/D14</f>
        <v>118.65411868351889</v>
      </c>
      <c r="E36" s="11">
        <f>E9/E14</f>
        <v>132.24597506358757</v>
      </c>
      <c r="F36" s="11">
        <f>F9/F14</f>
        <v>157.60709917162978</v>
      </c>
      <c r="G36" s="11">
        <f>G9/G14</f>
        <v>159.93779912366881</v>
      </c>
      <c r="H36" s="11">
        <f>H9/H14</f>
        <v>177.87089473101975</v>
      </c>
      <c r="I36" s="11">
        <f>I9/I14</f>
        <v>165.46952118467169</v>
      </c>
      <c r="J36" s="11">
        <f>J9/J14</f>
        <v>185.48844878846663</v>
      </c>
      <c r="K36" s="11">
        <f>K9/K14</f>
        <v>229.03996886763241</v>
      </c>
      <c r="L36" s="11">
        <f>L9/L14</f>
        <v>272.44441688077495</v>
      </c>
      <c r="M36" s="11">
        <f>M9/M14</f>
        <v>311.85189837825271</v>
      </c>
      <c r="N36" s="11">
        <f>N9/N14</f>
        <v>291.78426310314984</v>
      </c>
      <c r="O36" s="11">
        <f>O9/O14</f>
        <v>281.57004599791725</v>
      </c>
      <c r="P36" s="11">
        <f>P9/P14</f>
        <v>298.05239392868407</v>
      </c>
      <c r="Q36" s="11">
        <f>Q9/Q14</f>
        <v>302.84762880105797</v>
      </c>
      <c r="R36" s="11">
        <f>R9/R14</f>
        <v>294.94595828893284</v>
      </c>
      <c r="S36" s="11">
        <f>S9/S14</f>
        <v>282.15487161064692</v>
      </c>
      <c r="T36" s="11">
        <f>T9/T14</f>
        <v>301.65079254124117</v>
      </c>
      <c r="U36" s="11">
        <f>U9/U14</f>
        <v>370.36030044324718</v>
      </c>
      <c r="V36" s="11">
        <f>V9/V14</f>
        <v>407.63420777021173</v>
      </c>
      <c r="W36" s="11">
        <f>W9/W14</f>
        <v>347.9608976941542</v>
      </c>
      <c r="X36" s="11">
        <f>X9/X14</f>
        <v>358.88700578356924</v>
      </c>
      <c r="Y36" s="11">
        <f>Y9/Y14</f>
        <v>423.18686899318431</v>
      </c>
      <c r="Z36" s="11">
        <f>Z9/Z14</f>
        <v>525.27072538044058</v>
      </c>
      <c r="AA36" s="11">
        <f>AA9/AA14</f>
        <v>473.21986366757233</v>
      </c>
      <c r="AB36" s="11">
        <f>AB9/AB14</f>
        <v>609.20191693765912</v>
      </c>
      <c r="AC36" s="11">
        <f>AC9/AC14</f>
        <v>709.62180942207453</v>
      </c>
      <c r="AD36" s="11">
        <f>AD9/AD14</f>
        <v>782.06612909251146</v>
      </c>
      <c r="AE36" s="11">
        <f>AE9/AE14</f>
        <v>829.35098850134966</v>
      </c>
      <c r="AF36" s="11">
        <f>AF9/AF14</f>
        <v>870.09624611933884</v>
      </c>
      <c r="AG36" s="11">
        <f>AG9/AG14</f>
        <v>958.30578481397879</v>
      </c>
      <c r="AH36" s="11">
        <f>AH9/AH14</f>
        <v>1053.5833760721264</v>
      </c>
      <c r="AI36" s="11">
        <f>AI9/AI14</f>
        <v>1148.0787253983131</v>
      </c>
      <c r="AJ36" s="11">
        <f>AJ9/AJ14</f>
        <v>1288.4197454206769</v>
      </c>
      <c r="AK36" s="11">
        <f>AK9/AK14</f>
        <v>1512.2581547379084</v>
      </c>
      <c r="AL36" s="11">
        <f>AL9/AL14</f>
        <v>1756.5122207351135</v>
      </c>
      <c r="AM36" s="11">
        <f>AM9/AM14</f>
        <v>2097.6033415788415</v>
      </c>
      <c r="AN36" s="11">
        <f>AN9/AN14</f>
        <v>2693.7098829960478</v>
      </c>
      <c r="AO36" s="11">
        <f>AO9/AO14</f>
        <v>3472.6023631379167</v>
      </c>
      <c r="AP36" s="11">
        <f>AP9/AP14</f>
        <v>3838.4687267468421</v>
      </c>
      <c r="AQ36" s="11">
        <f>AQ9/AQ14</f>
        <v>4560.0488765474865</v>
      </c>
      <c r="AR36" s="11">
        <f>AR9/AR14</f>
        <v>5631.8955232522267</v>
      </c>
      <c r="AS36" s="11">
        <f>AS9/AS14</f>
        <v>6337.4779254390387</v>
      </c>
      <c r="AT36" s="11">
        <f>AT9/AT14</f>
        <v>7079.8156938765142</v>
      </c>
      <c r="AU36" s="11">
        <f>AU9/AU14</f>
        <v>7696.4239992291496</v>
      </c>
      <c r="AV36" s="11">
        <f>AV9/AV14</f>
        <v>8094.9813006223667</v>
      </c>
      <c r="AW36" s="11">
        <f>AW9/AW14</f>
        <v>8123.8011590575279</v>
      </c>
      <c r="AX36" s="11">
        <f>AX9/AX14</f>
        <v>8799.8008717584762</v>
      </c>
      <c r="AY36" s="11"/>
      <c r="AZ36" s="11"/>
      <c r="BA36" s="11"/>
      <c r="BB36" s="11"/>
      <c r="BC36" s="11"/>
      <c r="BD36" s="11"/>
      <c r="BE36" s="11"/>
      <c r="BF36" s="11"/>
      <c r="BG36" s="11"/>
    </row>
    <row r="37" spans="1:59" x14ac:dyDescent="0.45">
      <c r="B37" t="s">
        <v>84</v>
      </c>
      <c r="C37" s="11">
        <f>C10/C15</f>
        <v>955.59520647009208</v>
      </c>
      <c r="D37" s="11">
        <f>D10/D15</f>
        <v>1034.8428486259013</v>
      </c>
      <c r="E37" s="11">
        <f>E10/E15</f>
        <v>1173.2594875228551</v>
      </c>
      <c r="F37" s="11">
        <f>F10/F15</f>
        <v>1400.7643792584049</v>
      </c>
      <c r="G37" s="11">
        <f>G10/G15</f>
        <v>1563.8447022558037</v>
      </c>
      <c r="H37" s="11">
        <f>H10/H15</f>
        <v>1717.5958418253301</v>
      </c>
      <c r="I37" s="11">
        <f>I10/I15</f>
        <v>1829.9048254010836</v>
      </c>
      <c r="J37" s="11">
        <f>J10/J15</f>
        <v>2028.5542734944593</v>
      </c>
      <c r="K37" s="11">
        <f>K10/K15</f>
        <v>2385.8798769134928</v>
      </c>
      <c r="L37" s="11">
        <f>L10/L15</f>
        <v>2723.255481154787</v>
      </c>
      <c r="M37" s="11">
        <f>M10/M15</f>
        <v>3006.7165966051452</v>
      </c>
      <c r="N37" s="11">
        <f>N10/N15</f>
        <v>3019.9863177338116</v>
      </c>
      <c r="O37" s="11">
        <f>O10/O15</f>
        <v>2908.2131313940072</v>
      </c>
      <c r="P37" s="11">
        <f>P10/P15</f>
        <v>2928.8503419723079</v>
      </c>
      <c r="Q37" s="11">
        <f>Q10/Q15</f>
        <v>2995.0084442040734</v>
      </c>
      <c r="R37" s="11">
        <f>R10/R15</f>
        <v>3063.9202502033913</v>
      </c>
      <c r="S37" s="11">
        <f>S10/S15</f>
        <v>3553.6530515788977</v>
      </c>
      <c r="T37" s="11">
        <f>T10/T15</f>
        <v>4011.2791434045271</v>
      </c>
      <c r="U37" s="11">
        <f>U10/U15</f>
        <v>4446.3668126732582</v>
      </c>
      <c r="V37" s="11">
        <f>V10/V15</f>
        <v>4573.0621896745943</v>
      </c>
      <c r="W37" s="11">
        <f>W10/W15</f>
        <v>5037.0039769327104</v>
      </c>
      <c r="X37" s="11">
        <f>X10/X15</f>
        <v>5221.2041007760836</v>
      </c>
      <c r="Y37" s="11">
        <f>Y10/Y15</f>
        <v>5526.4435548608262</v>
      </c>
      <c r="Z37" s="11">
        <f>Z10/Z15</f>
        <v>5541.0190795579865</v>
      </c>
      <c r="AA37" s="11">
        <f>AA10/AA15</f>
        <v>5847.4275888117854</v>
      </c>
      <c r="AB37" s="11">
        <f>AB10/AB15</f>
        <v>6396.1312381412336</v>
      </c>
      <c r="AC37" s="11">
        <f>AC10/AC15</f>
        <v>6417.5575130621974</v>
      </c>
      <c r="AD37" s="11">
        <f>AD10/AD15</f>
        <v>6279.5080607814152</v>
      </c>
      <c r="AE37" s="11">
        <f>AE10/AE15</f>
        <v>6207.3579429634419</v>
      </c>
      <c r="AF37" s="11">
        <f>AF10/AF15</f>
        <v>6371.6859279389746</v>
      </c>
      <c r="AG37" s="11">
        <f>AG10/AG15</f>
        <v>6458.003324913595</v>
      </c>
      <c r="AH37" s="11">
        <f>AH10/AH15</f>
        <v>6314.2159805419533</v>
      </c>
      <c r="AI37" s="11">
        <f>AI10/AI15</f>
        <v>6456.1238294782252</v>
      </c>
      <c r="AJ37" s="11">
        <f>AJ10/AJ15</f>
        <v>7168.3260082431807</v>
      </c>
      <c r="AK37" s="11">
        <f>AK10/AK15</f>
        <v>7918.3742691357356</v>
      </c>
      <c r="AL37" s="11">
        <f>AL10/AL15</f>
        <v>8400.0134979126524</v>
      </c>
      <c r="AM37" s="11">
        <f>AM10/AM15</f>
        <v>8907.4591214547927</v>
      </c>
      <c r="AN37" s="11">
        <f>AN10/AN15</f>
        <v>9834.3497309915801</v>
      </c>
      <c r="AO37" s="11">
        <f>AO10/AO15</f>
        <v>10504.827418966848</v>
      </c>
      <c r="AP37" s="11">
        <f>AP10/AP15</f>
        <v>9937.7038742075983</v>
      </c>
      <c r="AQ37" s="11">
        <f>AQ10/AQ15</f>
        <v>10699.450062220983</v>
      </c>
      <c r="AR37" s="11">
        <f>AR10/AR15</f>
        <v>11677.002256939759</v>
      </c>
      <c r="AS37" s="11">
        <f>AS10/AS15</f>
        <v>11750.974517936345</v>
      </c>
      <c r="AT37" s="11">
        <f>AT10/AT15</f>
        <v>11959.561361299138</v>
      </c>
      <c r="AU37" s="11">
        <f>AU10/AU15</f>
        <v>12193.155093191284</v>
      </c>
      <c r="AV37" s="11">
        <f>AV10/AV15</f>
        <v>11539.063215846216</v>
      </c>
      <c r="AW37" s="11">
        <f>AW10/AW15</f>
        <v>11615.194727859162</v>
      </c>
      <c r="AX37" s="11">
        <f>AX10/AX15</f>
        <v>12147.295312316088</v>
      </c>
      <c r="AY37" s="11"/>
      <c r="AZ37" s="11"/>
      <c r="BA37" s="11"/>
      <c r="BB37" s="11"/>
      <c r="BC37" s="11"/>
      <c r="BD37" s="11"/>
      <c r="BE37" s="11"/>
      <c r="BF37" s="11"/>
      <c r="BG37" s="11"/>
    </row>
    <row r="38" spans="1:59" x14ac:dyDescent="0.45">
      <c r="A38" t="s">
        <v>185</v>
      </c>
    </row>
    <row r="39" spans="1:59" x14ac:dyDescent="0.45">
      <c r="B39" t="s">
        <v>29</v>
      </c>
      <c r="C39" s="13">
        <f>C34/C$37</f>
        <v>0.29669270765066702</v>
      </c>
      <c r="D39" s="13">
        <f>D34/D$37</f>
        <v>0.2936413864932082</v>
      </c>
      <c r="E39" s="13">
        <f>E34/E$37</f>
        <v>0.28262734325895705</v>
      </c>
      <c r="F39" s="13">
        <f>F34/F$37</f>
        <v>0.28646888811091775</v>
      </c>
      <c r="G39" s="13">
        <f>G34/G$37</f>
        <v>0.32836502038940768</v>
      </c>
      <c r="H39" s="13">
        <f>H34/H$37</f>
        <v>0.32838222358601732</v>
      </c>
      <c r="I39" s="13">
        <f>I34/I$37</f>
        <v>0.33465248663057445</v>
      </c>
      <c r="J39" s="13">
        <f>J34/J$37</f>
        <v>0.33148952418576683</v>
      </c>
      <c r="K39" s="13">
        <f>K34/K$37</f>
        <v>0.31441900597748346</v>
      </c>
      <c r="L39" s="13">
        <f>L34/L$37</f>
        <v>0.32534768368363925</v>
      </c>
      <c r="M39" s="13">
        <f>M34/M$37</f>
        <v>0.34471189231955568</v>
      </c>
      <c r="N39" s="13">
        <f>N34/N$37</f>
        <v>0.36411413671186116</v>
      </c>
      <c r="O39" s="13">
        <f>O34/O$37</f>
        <v>0.34416229355073319</v>
      </c>
      <c r="P39" s="13">
        <f>P34/P$37</f>
        <v>0.31437628623089403</v>
      </c>
      <c r="Q39" s="13">
        <f>Q34/Q$37</f>
        <v>0.3052629188612625</v>
      </c>
      <c r="R39" s="13">
        <f>R34/R$37</f>
        <v>0.28987464128897433</v>
      </c>
      <c r="S39" s="13">
        <f>S34/S$37</f>
        <v>0.23866580671546275</v>
      </c>
      <c r="T39" s="13">
        <f>T34/T$37</f>
        <v>0.22187708323029845</v>
      </c>
      <c r="U39" s="13">
        <f>U34/U$37</f>
        <v>0.21570937235634344</v>
      </c>
      <c r="V39" s="13">
        <f>V34/V$37</f>
        <v>0.22101919238886986</v>
      </c>
      <c r="W39" s="13">
        <f>W34/W$37</f>
        <v>0.22689448950227503</v>
      </c>
      <c r="X39" s="13">
        <f>X34/X$37</f>
        <v>0.22176959071133653</v>
      </c>
      <c r="Y39" s="13">
        <f>Y34/Y$37</f>
        <v>0.2194882634927052</v>
      </c>
      <c r="Z39" s="13">
        <f>Z34/Z$37</f>
        <v>0.22958235887902401</v>
      </c>
      <c r="AA39" s="13">
        <f>AA34/AA$37</f>
        <v>0.23215317791441736</v>
      </c>
      <c r="AB39" s="13">
        <f>AB34/AB$37</f>
        <v>0.22711417488467789</v>
      </c>
      <c r="AC39" s="13">
        <f>AC34/AC$37</f>
        <v>0.23872257425375829</v>
      </c>
      <c r="AD39" s="13">
        <f>AD34/AD$37</f>
        <v>0.25241029073089738</v>
      </c>
      <c r="AE39" s="13">
        <f>AE34/AE$37</f>
        <v>0.2449157796785256</v>
      </c>
      <c r="AF39" s="13">
        <f>AF34/AF$37</f>
        <v>0.22396640882840754</v>
      </c>
      <c r="AG39" s="13">
        <f>AG34/AG$37</f>
        <v>0.2320429005503673</v>
      </c>
      <c r="AH39" s="13">
        <f>AH34/AH$37</f>
        <v>0.22478539246147938</v>
      </c>
      <c r="AI39" s="13">
        <f>AI34/AI$37</f>
        <v>0.21185578762275734</v>
      </c>
      <c r="AJ39" s="13">
        <f>AJ34/AJ$37</f>
        <v>0.20747547351445111</v>
      </c>
      <c r="AK39" s="13">
        <f>AK34/AK$37</f>
        <v>0.21718777262408548</v>
      </c>
      <c r="AL39" s="13">
        <f>AL34/AL$37</f>
        <v>0.23992217580936029</v>
      </c>
      <c r="AM39" s="13">
        <f>AM34/AM$37</f>
        <v>0.25702268905065234</v>
      </c>
      <c r="AN39" s="13">
        <f>AN34/AN$37</f>
        <v>0.27076990418789587</v>
      </c>
      <c r="AO39" s="13">
        <f>AO34/AO$37</f>
        <v>0.28473583765459964</v>
      </c>
      <c r="AP39" s="13">
        <f>AP34/AP$37</f>
        <v>0.27744235029822567</v>
      </c>
      <c r="AQ39" s="13">
        <f>AQ34/AQ$37</f>
        <v>0.31196036643355007</v>
      </c>
      <c r="AR39" s="13">
        <f>AR34/AR$37</f>
        <v>0.32402801078948923</v>
      </c>
      <c r="AS39" s="13">
        <f>AS34/AS$37</f>
        <v>0.3244887774442457</v>
      </c>
      <c r="AT39" s="13">
        <f>AT34/AT$37</f>
        <v>0.3264359792961265</v>
      </c>
      <c r="AU39" s="13">
        <f>AU34/AU$37</f>
        <v>0.3210867885105077</v>
      </c>
      <c r="AV39" s="13">
        <f>AV34/AV$37</f>
        <v>0.30540410507145282</v>
      </c>
      <c r="AW39" s="13">
        <f>AW34/AW$37</f>
        <v>0.29644395727355338</v>
      </c>
      <c r="AX39" s="13">
        <f>AX34/AX$37</f>
        <v>0.30557806699063061</v>
      </c>
      <c r="AY39" s="13"/>
      <c r="AZ39" s="13"/>
      <c r="BA39" s="13"/>
      <c r="BB39" s="13"/>
      <c r="BC39" s="13"/>
      <c r="BD39" s="13"/>
      <c r="BE39" s="13"/>
      <c r="BF39" s="13"/>
      <c r="BG39" s="13"/>
    </row>
    <row r="40" spans="1:59" x14ac:dyDescent="0.45">
      <c r="B40" t="s">
        <v>28</v>
      </c>
      <c r="C40" s="13">
        <f t="shared" ref="C40:R41" si="5">C35/C$37</f>
        <v>3.2692696777439605</v>
      </c>
      <c r="D40" s="13">
        <f t="shared" si="5"/>
        <v>3.3138949627705867</v>
      </c>
      <c r="E40" s="13">
        <f t="shared" si="5"/>
        <v>3.3712630581519356</v>
      </c>
      <c r="F40" s="13">
        <f t="shared" si="5"/>
        <v>3.4010112893764584</v>
      </c>
      <c r="G40" s="13">
        <f t="shared" si="5"/>
        <v>3.3637803074893489</v>
      </c>
      <c r="H40" s="13">
        <f t="shared" si="5"/>
        <v>3.3926181695885984</v>
      </c>
      <c r="I40" s="13">
        <f t="shared" si="5"/>
        <v>3.4288339616227375</v>
      </c>
      <c r="J40" s="13">
        <f t="shared" si="5"/>
        <v>3.4649886183769665</v>
      </c>
      <c r="K40" s="13">
        <f t="shared" si="5"/>
        <v>3.5261454520110642</v>
      </c>
      <c r="L40" s="13">
        <f t="shared" si="5"/>
        <v>3.529957355749163</v>
      </c>
      <c r="M40" s="13">
        <f t="shared" si="5"/>
        <v>3.515370404741808</v>
      </c>
      <c r="N40" s="13">
        <f t="shared" si="5"/>
        <v>3.5134769304403326</v>
      </c>
      <c r="O40" s="13">
        <f t="shared" si="5"/>
        <v>3.5933072662379608</v>
      </c>
      <c r="P40" s="13">
        <f t="shared" si="5"/>
        <v>3.6929535691961433</v>
      </c>
      <c r="Q40" s="13">
        <f t="shared" si="5"/>
        <v>3.7540400295721228</v>
      </c>
      <c r="R40" s="13">
        <f t="shared" si="5"/>
        <v>3.8367855939897213</v>
      </c>
      <c r="S40" s="13">
        <f>S35/S$37</f>
        <v>4.0233900307696633</v>
      </c>
      <c r="T40" s="13">
        <f>T35/T$37</f>
        <v>4.1152484892394252</v>
      </c>
      <c r="U40" s="13">
        <f>U35/U$37</f>
        <v>4.1652121163827287</v>
      </c>
      <c r="V40" s="13">
        <f>V35/V$37</f>
        <v>4.1858754539133098</v>
      </c>
      <c r="W40" s="13">
        <f>W35/W$37</f>
        <v>4.2358140888904536</v>
      </c>
      <c r="X40" s="13">
        <f>X35/X$37</f>
        <v>4.2833027364431659</v>
      </c>
      <c r="Y40" s="13">
        <f>Y35/Y$37</f>
        <v>4.3108173091712763</v>
      </c>
      <c r="Z40" s="13">
        <f>Z35/Z$37</f>
        <v>4.2915498720524496</v>
      </c>
      <c r="AA40" s="13">
        <f>AA35/AA$37</f>
        <v>4.3366735757470058</v>
      </c>
      <c r="AB40" s="13">
        <f>AB35/AB$37</f>
        <v>4.3640972790320021</v>
      </c>
      <c r="AC40" s="13">
        <f>AC35/AC$37</f>
        <v>4.3442645892348857</v>
      </c>
      <c r="AD40" s="13">
        <f>AD35/AD$37</f>
        <v>4.3193118305330342</v>
      </c>
      <c r="AE40" s="13">
        <f>AE35/AE$37</f>
        <v>4.3607894453912737</v>
      </c>
      <c r="AF40" s="13">
        <f>AF35/AF$37</f>
        <v>4.4490651000497774</v>
      </c>
      <c r="AG40" s="13">
        <f>AG35/AG$37</f>
        <v>4.4386019876777842</v>
      </c>
      <c r="AH40" s="13">
        <f>AH35/AH$37</f>
        <v>4.4624315238957468</v>
      </c>
      <c r="AI40" s="13">
        <f>AI35/AI$37</f>
        <v>4.5130023744092966</v>
      </c>
      <c r="AJ40" s="13">
        <f>AJ35/AJ$37</f>
        <v>4.55075206916315</v>
      </c>
      <c r="AK40" s="13">
        <f>AK35/AK$37</f>
        <v>4.531409599071389</v>
      </c>
      <c r="AL40" s="13">
        <f>AL35/AL$37</f>
        <v>4.4612548699305776</v>
      </c>
      <c r="AM40" s="13">
        <f>AM35/AM$37</f>
        <v>4.3940706603378263</v>
      </c>
      <c r="AN40" s="13">
        <f>AN35/AN$37</f>
        <v>4.3188321854813312</v>
      </c>
      <c r="AO40" s="13">
        <f>AO35/AO$37</f>
        <v>4.2154353050255899</v>
      </c>
      <c r="AP40" s="13">
        <f>AP35/AP$37</f>
        <v>4.1845763001055243</v>
      </c>
      <c r="AQ40" s="13">
        <f>AQ35/AQ$37</f>
        <v>4.0407902815786043</v>
      </c>
      <c r="AR40" s="13">
        <f>AR35/AR$37</f>
        <v>3.9528583332536122</v>
      </c>
      <c r="AS40" s="13">
        <f>AS35/AS$37</f>
        <v>3.8970628184774774</v>
      </c>
      <c r="AT40" s="13">
        <f>AT35/AT$37</f>
        <v>3.8416034341435763</v>
      </c>
      <c r="AU40" s="13">
        <f>AU35/AU$37</f>
        <v>3.8286928734042442</v>
      </c>
      <c r="AV40" s="13">
        <f>AV35/AV$37</f>
        <v>3.8094351463649034</v>
      </c>
      <c r="AW40" s="13">
        <f>AW35/AW$37</f>
        <v>3.8674681622964329</v>
      </c>
      <c r="AX40" s="13">
        <f>AX35/AX$37</f>
        <v>3.8270944587552709</v>
      </c>
      <c r="AY40" s="13"/>
      <c r="AZ40" s="13"/>
      <c r="BA40" s="13"/>
      <c r="BB40" s="13"/>
      <c r="BC40" s="13"/>
      <c r="BD40" s="13"/>
      <c r="BE40" s="13"/>
      <c r="BF40" s="13"/>
      <c r="BG40" s="13"/>
    </row>
    <row r="41" spans="1:59" x14ac:dyDescent="0.45">
      <c r="B41" t="s">
        <v>182</v>
      </c>
      <c r="C41" s="13">
        <f t="shared" si="5"/>
        <v>0.11842101661592223</v>
      </c>
      <c r="D41" s="13">
        <f>D36/D$37</f>
        <v>0.11465907006177002</v>
      </c>
      <c r="E41" s="13">
        <f>E36/E$37</f>
        <v>0.11271673186534654</v>
      </c>
      <c r="F41" s="13">
        <f>F36/F$37</f>
        <v>0.11251506784822042</v>
      </c>
      <c r="G41" s="13">
        <f>G36/G$37</f>
        <v>0.10227217503947986</v>
      </c>
      <c r="H41" s="13">
        <f>H36/H$37</f>
        <v>0.10355806086604873</v>
      </c>
      <c r="I41" s="13">
        <f>I36/I$37</f>
        <v>9.0425206211696627E-2</v>
      </c>
      <c r="J41" s="13">
        <f>J36/J$37</f>
        <v>9.1438740985193195E-2</v>
      </c>
      <c r="K41" s="13">
        <f>K36/K$37</f>
        <v>9.5998114190028405E-2</v>
      </c>
      <c r="L41" s="13">
        <f>L36/L$37</f>
        <v>0.1000436495092432</v>
      </c>
      <c r="M41" s="13">
        <f>M36/M$37</f>
        <v>0.1037184211941896</v>
      </c>
      <c r="N41" s="13">
        <f>N36/N$37</f>
        <v>9.6617743394977973E-2</v>
      </c>
      <c r="O41" s="13">
        <f>O36/O$37</f>
        <v>9.6818917072611865E-2</v>
      </c>
      <c r="P41" s="13">
        <f>P36/P$37</f>
        <v>0.10176429626922266</v>
      </c>
      <c r="Q41" s="13">
        <f>Q36/Q$37</f>
        <v>0.10111745407166624</v>
      </c>
      <c r="R41" s="13">
        <f>R36/R$37</f>
        <v>9.6264241299803266E-2</v>
      </c>
      <c r="S41" s="13">
        <f>S36/S$37</f>
        <v>7.9398542152359169E-2</v>
      </c>
      <c r="T41" s="13">
        <f>T36/T$37</f>
        <v>7.5200648410925233E-2</v>
      </c>
      <c r="U41" s="13">
        <f>U36/U$37</f>
        <v>8.3295039758669406E-2</v>
      </c>
      <c r="V41" s="13">
        <f>V36/V$37</f>
        <v>8.9138129083527237E-2</v>
      </c>
      <c r="W41" s="13">
        <f>W36/W$37</f>
        <v>6.9080925742299182E-2</v>
      </c>
      <c r="X41" s="13">
        <f>X36/X$37</f>
        <v>6.8736444478434397E-2</v>
      </c>
      <c r="Y41" s="13">
        <f>Y36/Y$37</f>
        <v>7.6574901162424255E-2</v>
      </c>
      <c r="Z41" s="13">
        <f>Z36/Z$37</f>
        <v>9.479677255006709E-2</v>
      </c>
      <c r="AA41" s="13">
        <f>AA36/AA$37</f>
        <v>8.0927870671371929E-2</v>
      </c>
      <c r="AB41" s="13">
        <f>AB36/AB$37</f>
        <v>9.5245374782944259E-2</v>
      </c>
      <c r="AC41" s="13">
        <f>AC36/AC$37</f>
        <v>0.11057506036801716</v>
      </c>
      <c r="AD41" s="13">
        <f>AD36/AD$37</f>
        <v>0.12454257905597656</v>
      </c>
      <c r="AE41" s="13">
        <f>AE36/AE$37</f>
        <v>0.13360772749402799</v>
      </c>
      <c r="AF41" s="13">
        <f>AF36/AF$37</f>
        <v>0.13655667525985318</v>
      </c>
      <c r="AG41" s="13">
        <f>AG36/AG$37</f>
        <v>0.14839041366191932</v>
      </c>
      <c r="AH41" s="13">
        <f>AH36/AH$37</f>
        <v>0.16685893851570416</v>
      </c>
      <c r="AI41" s="13">
        <f>AI36/AI$37</f>
        <v>0.17782786633618505</v>
      </c>
      <c r="AJ41" s="13">
        <f>AJ36/AJ$37</f>
        <v>0.17973788356431683</v>
      </c>
      <c r="AK41" s="13">
        <f>AK36/AK$37</f>
        <v>0.19098088866958374</v>
      </c>
      <c r="AL41" s="13">
        <f>AL36/AL$37</f>
        <v>0.20910826169167407</v>
      </c>
      <c r="AM41" s="13">
        <f>AM36/AM$37</f>
        <v>0.2354884050521755</v>
      </c>
      <c r="AN41" s="13">
        <f>AN36/AN$37</f>
        <v>0.27390828643272641</v>
      </c>
      <c r="AO41" s="13">
        <f>AO36/AO$37</f>
        <v>0.33057205269912449</v>
      </c>
      <c r="AP41" s="13">
        <f>AP36/AP$37</f>
        <v>0.38625307971887113</v>
      </c>
      <c r="AQ41" s="13">
        <f>AQ36/AQ$37</f>
        <v>0.42619469692640588</v>
      </c>
      <c r="AR41" s="13">
        <f>AR36/AR$37</f>
        <v>0.48230662282394737</v>
      </c>
      <c r="AS41" s="13">
        <f>AS36/AS$37</f>
        <v>0.53931509388993204</v>
      </c>
      <c r="AT41" s="13">
        <f>AT36/AT$37</f>
        <v>0.59197954506815209</v>
      </c>
      <c r="AU41" s="13">
        <f>AU36/AU$37</f>
        <v>0.63120857074366821</v>
      </c>
      <c r="AV41" s="13">
        <f>AV36/AV$37</f>
        <v>0.70152846459024465</v>
      </c>
      <c r="AW41" s="13">
        <f>AW36/AW$37</f>
        <v>0.69941153371906106</v>
      </c>
      <c r="AX41" s="13">
        <f>AX36/AX$37</f>
        <v>0.7244247089997391</v>
      </c>
      <c r="AY41" s="13"/>
      <c r="AZ41" s="13"/>
      <c r="BA41" s="13"/>
      <c r="BB41" s="13"/>
      <c r="BC41" s="13"/>
      <c r="BD41" s="13"/>
      <c r="BE41" s="13"/>
      <c r="BF41" s="13"/>
      <c r="BG41" s="13"/>
    </row>
    <row r="42" spans="1:59" x14ac:dyDescent="0.45">
      <c r="A42" t="s">
        <v>186</v>
      </c>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row>
    <row r="43" spans="1:59" x14ac:dyDescent="0.45">
      <c r="B43" t="s">
        <v>29</v>
      </c>
      <c r="C43" s="13">
        <f>C30*C39</f>
        <v>0.21396108724807716</v>
      </c>
      <c r="D43" s="13">
        <f t="shared" ref="D43:AX45" si="6">D30*D39</f>
        <v>0.21176061525952514</v>
      </c>
      <c r="E43" s="13">
        <f t="shared" si="6"/>
        <v>0.20381779561944019</v>
      </c>
      <c r="F43" s="13">
        <f t="shared" si="6"/>
        <v>0.20658814046460414</v>
      </c>
      <c r="G43" s="13">
        <f t="shared" si="6"/>
        <v>0.23680169739620746</v>
      </c>
      <c r="H43" s="13">
        <f t="shared" si="6"/>
        <v>0.23681410354760865</v>
      </c>
      <c r="I43" s="13">
        <f t="shared" si="6"/>
        <v>0.24133592785858735</v>
      </c>
      <c r="J43" s="13">
        <f t="shared" si="6"/>
        <v>0.23905494532627414</v>
      </c>
      <c r="K43" s="13">
        <f t="shared" si="6"/>
        <v>0.22674447546453133</v>
      </c>
      <c r="L43" s="13">
        <f t="shared" si="6"/>
        <v>0.23462573342570139</v>
      </c>
      <c r="M43" s="13">
        <f t="shared" si="6"/>
        <v>0.24859030696121803</v>
      </c>
      <c r="N43" s="13">
        <f t="shared" si="6"/>
        <v>0.262582310128746</v>
      </c>
      <c r="O43" s="13">
        <f t="shared" si="6"/>
        <v>0.24819396169524027</v>
      </c>
      <c r="P43" s="13">
        <f t="shared" si="6"/>
        <v>0.22671366795497166</v>
      </c>
      <c r="Q43" s="13">
        <f t="shared" si="6"/>
        <v>0.22014152802494891</v>
      </c>
      <c r="R43" s="13">
        <f t="shared" si="6"/>
        <v>0.20904421246801033</v>
      </c>
      <c r="S43" s="13">
        <f t="shared" si="6"/>
        <v>0.1721147644582664</v>
      </c>
      <c r="T43" s="13">
        <f t="shared" si="6"/>
        <v>0.16000751194492677</v>
      </c>
      <c r="U43" s="13">
        <f t="shared" si="6"/>
        <v>0.15555964352620921</v>
      </c>
      <c r="V43" s="13">
        <f t="shared" si="6"/>
        <v>0.15938884066505038</v>
      </c>
      <c r="W43" s="13">
        <f t="shared" si="6"/>
        <v>0.1636258337756791</v>
      </c>
      <c r="X43" s="13">
        <f t="shared" si="6"/>
        <v>0.15992999330144461</v>
      </c>
      <c r="Y43" s="13">
        <f t="shared" si="6"/>
        <v>0.15828480540339318</v>
      </c>
      <c r="Z43" s="13">
        <f t="shared" si="6"/>
        <v>0.16556420111468076</v>
      </c>
      <c r="AA43" s="13">
        <f t="shared" si="6"/>
        <v>0.16741815714982022</v>
      </c>
      <c r="AB43" s="13">
        <f t="shared" si="6"/>
        <v>0.16378426073414271</v>
      </c>
      <c r="AC43" s="13">
        <f t="shared" si="6"/>
        <v>0.17215570258684493</v>
      </c>
      <c r="AD43" s="13">
        <f t="shared" si="6"/>
        <v>0.18202665196939716</v>
      </c>
      <c r="AE43" s="13">
        <f t="shared" si="6"/>
        <v>0.17662195649893672</v>
      </c>
      <c r="AF43" s="13">
        <f t="shared" si="6"/>
        <v>0.16151423713587082</v>
      </c>
      <c r="AG43" s="13">
        <f t="shared" si="6"/>
        <v>0.1673386302045918</v>
      </c>
      <c r="AH43" s="13">
        <f t="shared" si="6"/>
        <v>0.16210485033279762</v>
      </c>
      <c r="AI43" s="13">
        <f t="shared" si="6"/>
        <v>0.15278061607410384</v>
      </c>
      <c r="AJ43" s="13">
        <f t="shared" si="6"/>
        <v>0.14962173570753687</v>
      </c>
      <c r="AK43" s="13">
        <f t="shared" si="6"/>
        <v>0.15662579756544626</v>
      </c>
      <c r="AL43" s="13">
        <f t="shared" si="6"/>
        <v>0.17302079986251945</v>
      </c>
      <c r="AM43" s="13">
        <f t="shared" si="6"/>
        <v>0.18535290075768199</v>
      </c>
      <c r="AN43" s="13">
        <f t="shared" si="6"/>
        <v>0.19526675782780953</v>
      </c>
      <c r="AO43" s="13">
        <f t="shared" si="6"/>
        <v>0.20533834446245167</v>
      </c>
      <c r="AP43" s="13">
        <f t="shared" si="6"/>
        <v>0.20007861800352814</v>
      </c>
      <c r="AQ43" s="13">
        <f t="shared" si="6"/>
        <v>0.22497141810111784</v>
      </c>
      <c r="AR43" s="13">
        <f t="shared" si="6"/>
        <v>0.23367404624242011</v>
      </c>
      <c r="AS43" s="13">
        <f t="shared" si="6"/>
        <v>0.23400632988767719</v>
      </c>
      <c r="AT43" s="13">
        <f t="shared" si="6"/>
        <v>0.2354105619923989</v>
      </c>
      <c r="AU43" s="13">
        <f t="shared" si="6"/>
        <v>0.2315529724835392</v>
      </c>
      <c r="AV43" s="13">
        <f t="shared" si="6"/>
        <v>0.22024334500345155</v>
      </c>
      <c r="AW43" s="13">
        <f t="shared" si="6"/>
        <v>0.21378169995688945</v>
      </c>
      <c r="AX43" s="13">
        <f t="shared" si="6"/>
        <v>0.22036879831055092</v>
      </c>
      <c r="AY43" s="13"/>
      <c r="AZ43" s="13"/>
      <c r="BA43" s="13"/>
      <c r="BB43" s="13"/>
      <c r="BC43" s="13"/>
      <c r="BD43" s="13"/>
      <c r="BE43" s="13"/>
      <c r="BF43" s="13"/>
      <c r="BG43" s="13"/>
    </row>
    <row r="44" spans="1:59" x14ac:dyDescent="0.45">
      <c r="B44" t="s">
        <v>28</v>
      </c>
      <c r="C44" s="13">
        <f t="shared" ref="C44:R45" si="7">C31*C40</f>
        <v>0.88018799016183547</v>
      </c>
      <c r="D44" s="13">
        <f t="shared" si="7"/>
        <v>0.89220248997669638</v>
      </c>
      <c r="E44" s="13">
        <f t="shared" si="7"/>
        <v>0.90764774642552104</v>
      </c>
      <c r="F44" s="13">
        <f t="shared" si="7"/>
        <v>0.91565688560135416</v>
      </c>
      <c r="G44" s="13">
        <f t="shared" si="7"/>
        <v>0.90563315970867075</v>
      </c>
      <c r="H44" s="13">
        <f t="shared" si="7"/>
        <v>0.91339719950462261</v>
      </c>
      <c r="I44" s="13">
        <f t="shared" si="7"/>
        <v>0.92314760505227544</v>
      </c>
      <c r="J44" s="13">
        <f t="shared" si="7"/>
        <v>0.93288155110149096</v>
      </c>
      <c r="K44" s="13">
        <f t="shared" si="7"/>
        <v>0.94934685246451722</v>
      </c>
      <c r="L44" s="13">
        <f t="shared" si="7"/>
        <v>0.95037313424015923</v>
      </c>
      <c r="M44" s="13">
        <f t="shared" si="7"/>
        <v>0.94644587819971748</v>
      </c>
      <c r="N44" s="13">
        <f t="shared" si="7"/>
        <v>0.94593609665701262</v>
      </c>
      <c r="O44" s="13">
        <f t="shared" si="7"/>
        <v>0.96742887937175859</v>
      </c>
      <c r="P44" s="13">
        <f t="shared" si="7"/>
        <v>0.99425673016819238</v>
      </c>
      <c r="Q44" s="13">
        <f t="shared" si="7"/>
        <v>1.0107030848848022</v>
      </c>
      <c r="R44" s="13">
        <f t="shared" si="7"/>
        <v>1.0329807368433865</v>
      </c>
      <c r="S44" s="13">
        <f t="shared" si="6"/>
        <v>1.0832203928995248</v>
      </c>
      <c r="T44" s="13">
        <f t="shared" si="6"/>
        <v>1.1079515163336913</v>
      </c>
      <c r="U44" s="13">
        <f t="shared" si="6"/>
        <v>1.1214032621030423</v>
      </c>
      <c r="V44" s="13">
        <f t="shared" si="6"/>
        <v>1.1269664683612757</v>
      </c>
      <c r="W44" s="13">
        <f t="shared" si="6"/>
        <v>1.1404114854705067</v>
      </c>
      <c r="X44" s="13">
        <f t="shared" si="6"/>
        <v>1.1531968905808523</v>
      </c>
      <c r="Y44" s="13">
        <f t="shared" si="6"/>
        <v>1.1606046601614974</v>
      </c>
      <c r="Z44" s="13">
        <f t="shared" si="6"/>
        <v>1.1554172732448902</v>
      </c>
      <c r="AA44" s="13">
        <f t="shared" si="6"/>
        <v>1.167565962701117</v>
      </c>
      <c r="AB44" s="13">
        <f t="shared" si="6"/>
        <v>1.1749492674316928</v>
      </c>
      <c r="AC44" s="13">
        <f t="shared" si="6"/>
        <v>1.1696096971017</v>
      </c>
      <c r="AD44" s="13">
        <f t="shared" si="6"/>
        <v>1.1628916466819708</v>
      </c>
      <c r="AE44" s="13">
        <f t="shared" si="6"/>
        <v>1.1740586968361122</v>
      </c>
      <c r="AF44" s="13">
        <f t="shared" si="6"/>
        <v>1.1978252192441707</v>
      </c>
      <c r="AG44" s="13">
        <f t="shared" si="6"/>
        <v>1.1950082274517111</v>
      </c>
      <c r="AH44" s="13">
        <f t="shared" si="6"/>
        <v>1.2014238718180856</v>
      </c>
      <c r="AI44" s="13">
        <f t="shared" si="6"/>
        <v>1.215039100802503</v>
      </c>
      <c r="AJ44" s="13">
        <f t="shared" si="6"/>
        <v>1.2252024801593095</v>
      </c>
      <c r="AK44" s="13">
        <f t="shared" si="6"/>
        <v>1.2199948920576815</v>
      </c>
      <c r="AL44" s="13">
        <f t="shared" si="6"/>
        <v>1.2011070803659247</v>
      </c>
      <c r="AM44" s="13">
        <f t="shared" si="6"/>
        <v>1.183019023937107</v>
      </c>
      <c r="AN44" s="13">
        <f t="shared" si="6"/>
        <v>1.1627625114757429</v>
      </c>
      <c r="AO44" s="13">
        <f t="shared" si="6"/>
        <v>1.1349248898145818</v>
      </c>
      <c r="AP44" s="13">
        <f t="shared" si="6"/>
        <v>1.1266166961822566</v>
      </c>
      <c r="AQ44" s="13">
        <f t="shared" si="6"/>
        <v>1.0879050758096243</v>
      </c>
      <c r="AR44" s="13">
        <f t="shared" si="6"/>
        <v>1.0642310897221263</v>
      </c>
      <c r="AS44" s="13">
        <f t="shared" si="6"/>
        <v>1.0492092203593208</v>
      </c>
      <c r="AT44" s="13">
        <f t="shared" si="6"/>
        <v>1.0342778476540397</v>
      </c>
      <c r="AU44" s="13">
        <f t="shared" si="6"/>
        <v>1.0308019274549889</v>
      </c>
      <c r="AV44" s="13">
        <f t="shared" si="6"/>
        <v>1.0256171547905508</v>
      </c>
      <c r="AW44" s="13">
        <f t="shared" si="6"/>
        <v>1.041241428310578</v>
      </c>
      <c r="AX44" s="13">
        <f t="shared" si="6"/>
        <v>1.0303715850494959</v>
      </c>
      <c r="AY44" s="13"/>
      <c r="AZ44" s="13"/>
      <c r="BA44" s="13"/>
      <c r="BB44" s="13"/>
      <c r="BC44" s="13"/>
      <c r="BD44" s="13"/>
      <c r="BE44" s="13"/>
      <c r="BF44" s="13"/>
      <c r="BG44" s="13"/>
    </row>
    <row r="45" spans="1:59" x14ac:dyDescent="0.45">
      <c r="B45" t="s">
        <v>182</v>
      </c>
      <c r="C45" s="13">
        <f t="shared" si="7"/>
        <v>1.1386636213069445E-3</v>
      </c>
      <c r="D45" s="13">
        <f t="shared" si="6"/>
        <v>1.1024910582862503E-3</v>
      </c>
      <c r="E45" s="13">
        <f t="shared" si="6"/>
        <v>1.083814729474486E-3</v>
      </c>
      <c r="F45" s="13">
        <f t="shared" si="6"/>
        <v>1.0818756523867348E-3</v>
      </c>
      <c r="G45" s="13">
        <f t="shared" si="6"/>
        <v>9.833862984565372E-4</v>
      </c>
      <c r="H45" s="13">
        <f t="shared" si="6"/>
        <v>9.9575058525046864E-4</v>
      </c>
      <c r="I45" s="13">
        <f t="shared" si="6"/>
        <v>8.6947313665092913E-4</v>
      </c>
      <c r="J45" s="13">
        <f t="shared" si="6"/>
        <v>8.7921866331916541E-4</v>
      </c>
      <c r="K45" s="13">
        <f t="shared" si="6"/>
        <v>9.2305879028873467E-4</v>
      </c>
      <c r="L45" s="13">
        <f t="shared" si="6"/>
        <v>9.6195816835810779E-4</v>
      </c>
      <c r="M45" s="13">
        <f t="shared" si="6"/>
        <v>9.9729251148259227E-4</v>
      </c>
      <c r="N45" s="13">
        <f t="shared" si="6"/>
        <v>9.2901676341324978E-4</v>
      </c>
      <c r="O45" s="13">
        <f t="shared" si="6"/>
        <v>9.3095112569819107E-4</v>
      </c>
      <c r="P45" s="13">
        <f t="shared" si="6"/>
        <v>9.7850284874252571E-4</v>
      </c>
      <c r="Q45" s="13">
        <f t="shared" si="6"/>
        <v>9.7228321222756007E-4</v>
      </c>
      <c r="R45" s="13">
        <f t="shared" si="6"/>
        <v>9.2561770480580063E-4</v>
      </c>
      <c r="S45" s="13">
        <f t="shared" si="6"/>
        <v>7.6344752069576124E-4</v>
      </c>
      <c r="T45" s="13">
        <f t="shared" si="6"/>
        <v>7.230831577973581E-4</v>
      </c>
      <c r="U45" s="13">
        <f t="shared" si="6"/>
        <v>8.0091384383335973E-4</v>
      </c>
      <c r="V45" s="13">
        <f t="shared" si="6"/>
        <v>8.5709739503391576E-4</v>
      </c>
      <c r="W45" s="13">
        <f t="shared" si="6"/>
        <v>6.6423967059903058E-4</v>
      </c>
      <c r="X45" s="13">
        <f t="shared" si="6"/>
        <v>6.6092735075417696E-4</v>
      </c>
      <c r="Y45" s="13">
        <f t="shared" si="6"/>
        <v>7.3629712656177171E-4</v>
      </c>
      <c r="Z45" s="13">
        <f t="shared" si="6"/>
        <v>9.1150742836602981E-4</v>
      </c>
      <c r="AA45" s="13">
        <f t="shared" si="6"/>
        <v>7.7815260260934551E-4</v>
      </c>
      <c r="AB45" s="13">
        <f t="shared" si="6"/>
        <v>9.1582091137446409E-4</v>
      </c>
      <c r="AC45" s="13">
        <f t="shared" si="6"/>
        <v>1.0632217343078574E-3</v>
      </c>
      <c r="AD45" s="13">
        <f t="shared" si="6"/>
        <v>1.1975247986151592E-3</v>
      </c>
      <c r="AE45" s="13">
        <f t="shared" si="6"/>
        <v>1.2846896874425769E-3</v>
      </c>
      <c r="AF45" s="13">
        <f t="shared" si="6"/>
        <v>1.3130449544216654E-3</v>
      </c>
      <c r="AG45" s="13">
        <f t="shared" si="6"/>
        <v>1.4268309005953782E-3</v>
      </c>
      <c r="AH45" s="13">
        <f t="shared" si="6"/>
        <v>1.6044128703433093E-3</v>
      </c>
      <c r="AI45" s="13">
        <f t="shared" si="6"/>
        <v>1.7098833301556256E-3</v>
      </c>
      <c r="AJ45" s="13">
        <f t="shared" si="6"/>
        <v>1.7282488804261234E-3</v>
      </c>
      <c r="AK45" s="13">
        <f t="shared" si="6"/>
        <v>1.8363546987459976E-3</v>
      </c>
      <c r="AL45" s="13">
        <f t="shared" si="6"/>
        <v>2.010656362419943E-3</v>
      </c>
      <c r="AM45" s="13">
        <f t="shared" si="6"/>
        <v>2.2643115870401493E-3</v>
      </c>
      <c r="AN45" s="13">
        <f t="shared" si="6"/>
        <v>2.6337335233916001E-3</v>
      </c>
      <c r="AO45" s="13">
        <f t="shared" si="6"/>
        <v>3.178577429799274E-3</v>
      </c>
      <c r="AP45" s="13">
        <f t="shared" si="6"/>
        <v>3.7139719203737611E-3</v>
      </c>
      <c r="AQ45" s="13">
        <f t="shared" si="6"/>
        <v>4.0980259319846725E-3</v>
      </c>
      <c r="AR45" s="13">
        <f t="shared" si="6"/>
        <v>4.6375636809994946E-3</v>
      </c>
      <c r="AS45" s="13">
        <f t="shared" si="6"/>
        <v>5.1857220566339625E-3</v>
      </c>
      <c r="AT45" s="13">
        <f t="shared" si="6"/>
        <v>5.6921110102706937E-3</v>
      </c>
      <c r="AU45" s="13">
        <f t="shared" si="6"/>
        <v>6.0693131802275792E-3</v>
      </c>
      <c r="AV45" s="13">
        <f t="shared" si="6"/>
        <v>6.7454660056754301E-3</v>
      </c>
      <c r="AW45" s="13">
        <f t="shared" si="6"/>
        <v>6.7251109011448179E-3</v>
      </c>
      <c r="AX45" s="13">
        <f t="shared" si="6"/>
        <v>6.9656222019205682E-3</v>
      </c>
      <c r="AY45" s="13"/>
      <c r="AZ45" s="13"/>
      <c r="BA45" s="13"/>
      <c r="BB45" s="13"/>
      <c r="BC45" s="13"/>
      <c r="BD45" s="13"/>
      <c r="BE45" s="13"/>
      <c r="BF45" s="13"/>
      <c r="BG45" s="13"/>
    </row>
    <row r="46" spans="1:59" x14ac:dyDescent="0.45">
      <c r="A46" t="s">
        <v>187</v>
      </c>
      <c r="C46" t="str">
        <f>C6</f>
        <v>1970</v>
      </c>
      <c r="D46" t="str">
        <f>D6</f>
        <v>1971</v>
      </c>
      <c r="E46" t="str">
        <f>E6</f>
        <v>1972</v>
      </c>
      <c r="F46" t="str">
        <f>F6</f>
        <v>1973</v>
      </c>
      <c r="G46" t="str">
        <f>G6</f>
        <v>1974</v>
      </c>
      <c r="H46" t="str">
        <f>H6</f>
        <v>1975</v>
      </c>
      <c r="I46" t="str">
        <f>I6</f>
        <v>1976</v>
      </c>
      <c r="J46" t="str">
        <f>J6</f>
        <v>1977</v>
      </c>
      <c r="K46" t="str">
        <f>K6</f>
        <v>1978</v>
      </c>
      <c r="L46" t="str">
        <f>L6</f>
        <v>1979</v>
      </c>
      <c r="M46" t="str">
        <f>M6</f>
        <v>1980</v>
      </c>
      <c r="N46" t="str">
        <f>N6</f>
        <v>1981</v>
      </c>
      <c r="O46" t="str">
        <f>O6</f>
        <v>1982</v>
      </c>
      <c r="P46" t="str">
        <f>P6</f>
        <v>1983</v>
      </c>
      <c r="Q46" t="str">
        <f>Q6</f>
        <v>1984</v>
      </c>
      <c r="R46" t="str">
        <f>R6</f>
        <v>1985</v>
      </c>
      <c r="S46" t="str">
        <f>S6</f>
        <v>1986</v>
      </c>
      <c r="T46" t="str">
        <f>T6</f>
        <v>1987</v>
      </c>
      <c r="U46" t="str">
        <f>U6</f>
        <v>1988</v>
      </c>
      <c r="V46" t="str">
        <f>V6</f>
        <v>1989</v>
      </c>
      <c r="W46" t="str">
        <f>W6</f>
        <v>1990</v>
      </c>
      <c r="X46" t="str">
        <f>X6</f>
        <v>1991</v>
      </c>
      <c r="Y46" t="str">
        <f>Y6</f>
        <v>1992</v>
      </c>
      <c r="Z46" t="str">
        <f>Z6</f>
        <v>1993</v>
      </c>
      <c r="AA46" t="str">
        <f>AA6</f>
        <v>1994</v>
      </c>
      <c r="AB46" t="str">
        <f>AB6</f>
        <v>1995</v>
      </c>
      <c r="AC46" t="str">
        <f>AC6</f>
        <v>1996</v>
      </c>
      <c r="AD46" t="str">
        <f>AD6</f>
        <v>1997</v>
      </c>
      <c r="AE46" t="str">
        <f>AE6</f>
        <v>1998</v>
      </c>
      <c r="AF46" t="str">
        <f>AF6</f>
        <v>1999</v>
      </c>
      <c r="AG46" t="str">
        <f>AG6</f>
        <v>2000</v>
      </c>
      <c r="AH46" t="str">
        <f>AH6</f>
        <v>2001</v>
      </c>
      <c r="AI46" t="str">
        <f>AI6</f>
        <v>2002</v>
      </c>
      <c r="AJ46" t="str">
        <f>AJ6</f>
        <v>2003</v>
      </c>
      <c r="AK46" t="str">
        <f>AK6</f>
        <v>2004</v>
      </c>
      <c r="AL46" t="str">
        <f>AL6</f>
        <v>2005</v>
      </c>
      <c r="AM46" t="str">
        <f>AM6</f>
        <v>2006</v>
      </c>
      <c r="AN46" t="str">
        <f>AN6</f>
        <v>2007</v>
      </c>
      <c r="AO46" t="str">
        <f>AO6</f>
        <v>2008</v>
      </c>
      <c r="AP46" t="str">
        <f>AP6</f>
        <v>2009</v>
      </c>
      <c r="AQ46" t="str">
        <f>AQ6</f>
        <v>2010</v>
      </c>
      <c r="AR46" t="str">
        <f>AR6</f>
        <v>2011</v>
      </c>
      <c r="AS46" t="str">
        <f>AS6</f>
        <v>2012</v>
      </c>
      <c r="AT46" t="str">
        <f>AT6</f>
        <v>2013</v>
      </c>
      <c r="AU46" t="str">
        <f>AU6</f>
        <v>2014</v>
      </c>
      <c r="AV46" t="str">
        <f>AV6</f>
        <v>2015</v>
      </c>
      <c r="AW46" t="str">
        <f>AW6</f>
        <v>2016</v>
      </c>
      <c r="AX46" t="str">
        <f>AX6</f>
        <v>2017</v>
      </c>
    </row>
    <row r="47" spans="1:59" x14ac:dyDescent="0.45">
      <c r="B47" t="s">
        <v>29</v>
      </c>
      <c r="C47" s="13">
        <f>C19*C43</f>
        <v>7.9557724044706415E-2</v>
      </c>
      <c r="D47" s="13">
        <f>D19*D43</f>
        <v>8.361246921982933E-2</v>
      </c>
      <c r="E47" s="13">
        <f>E19*E43</f>
        <v>8.0416333959546296E-2</v>
      </c>
      <c r="F47" s="13">
        <f>F19*F43</f>
        <v>8.4817308012071824E-2</v>
      </c>
      <c r="G47" s="13">
        <f>G19*G43</f>
        <v>0.11680954278709076</v>
      </c>
      <c r="H47" s="13">
        <f>H19*H43</f>
        <v>0.119047168650146</v>
      </c>
      <c r="I47" s="13">
        <f>I19*I43</f>
        <v>0.13044946347701475</v>
      </c>
      <c r="J47" s="13">
        <f>J19*J43</f>
        <v>0.12617509952318209</v>
      </c>
      <c r="K47" s="13">
        <f>K19*K43</f>
        <v>0.11535512563039559</v>
      </c>
      <c r="L47" s="13">
        <f>L19*L43</f>
        <v>0.1314129189617691</v>
      </c>
      <c r="M47" s="13">
        <f>M19*M43</f>
        <v>0.14934993814280453</v>
      </c>
      <c r="N47" s="13">
        <f>N19*N43</f>
        <v>0.16418545270496149</v>
      </c>
      <c r="O47" s="13">
        <f>O19*O43</f>
        <v>0.13639289527295487</v>
      </c>
      <c r="P47" s="13">
        <f>P19*P43</f>
        <v>0.11401128794851954</v>
      </c>
      <c r="Q47" s="13">
        <f>Q19*Q43</f>
        <v>0.11107659676481516</v>
      </c>
      <c r="R47" s="13">
        <f>R19*R43</f>
        <v>0.10035677931867368</v>
      </c>
      <c r="S47" s="13">
        <f>S19*S43</f>
        <v>7.1319685671624389E-2</v>
      </c>
      <c r="T47" s="13">
        <f>T19*T43</f>
        <v>6.6499577671351673E-2</v>
      </c>
      <c r="U47" s="13">
        <f>U19*U43</f>
        <v>6.363947147513746E-2</v>
      </c>
      <c r="V47" s="13">
        <f>V19*V43</f>
        <v>6.8820467639405108E-2</v>
      </c>
      <c r="W47" s="13">
        <f>W19*W43</f>
        <v>7.9363174450607088E-2</v>
      </c>
      <c r="X47" s="13">
        <f>X19*X43</f>
        <v>8.924233058516598E-2</v>
      </c>
      <c r="Y47" s="13">
        <f>Y19*Y43</f>
        <v>9.4454073039646577E-2</v>
      </c>
      <c r="Z47" s="13">
        <f>Z19*Z43</f>
        <v>0.10606191792514429</v>
      </c>
      <c r="AA47" s="13">
        <f>AA19*AA43</f>
        <v>0.10836127391011595</v>
      </c>
      <c r="AB47" s="13">
        <f>AB19*AB43</f>
        <v>0.10076175205714707</v>
      </c>
      <c r="AC47" s="13">
        <f>AC19*AC43</f>
        <v>0.10826933401619207</v>
      </c>
      <c r="AD47" s="13">
        <f>AD19*AD43</f>
        <v>0.11642901136339323</v>
      </c>
      <c r="AE47" s="13">
        <f>AE19*AE43</f>
        <v>0.1133340381713194</v>
      </c>
      <c r="AF47" s="13">
        <f>AF19*AF43</f>
        <v>9.8287225989167018E-2</v>
      </c>
      <c r="AG47" s="13">
        <f>AG19*AG43</f>
        <v>0.10786100484735536</v>
      </c>
      <c r="AH47" s="13">
        <f>AH19*AH43</f>
        <v>0.10348525623351069</v>
      </c>
      <c r="AI47" s="13">
        <f>AI19*AI43</f>
        <v>8.9631971279442044E-2</v>
      </c>
      <c r="AJ47" s="13">
        <f>AJ19*AJ43</f>
        <v>8.2219207992711221E-2</v>
      </c>
      <c r="AK47" s="13">
        <f>AK19*AK43</f>
        <v>8.4374446798585037E-2</v>
      </c>
      <c r="AL47" s="13">
        <f>AL19*AL43</f>
        <v>9.4931524617511892E-2</v>
      </c>
      <c r="AM47" s="13">
        <f>AM19*AM43</f>
        <v>0.10025218928551675</v>
      </c>
      <c r="AN47" s="13">
        <f>AN19*AN43</f>
        <v>0.10143254834265887</v>
      </c>
      <c r="AO47" s="13">
        <f>AO19*AO43</f>
        <v>0.11075371995940012</v>
      </c>
      <c r="AP47" s="13">
        <f>AP19*AP43</f>
        <v>9.7830279098378325E-2</v>
      </c>
      <c r="AQ47" s="13">
        <f>AQ19*AQ43</f>
        <v>0.11276888398110702</v>
      </c>
      <c r="AR47" s="13">
        <f>AR19*AR43</f>
        <v>0.12083106683205268</v>
      </c>
      <c r="AS47" s="13">
        <f>AS19*AS43</f>
        <v>0.12097086522351239</v>
      </c>
      <c r="AT47" s="13">
        <f>AT19*AT43</f>
        <v>0.11938947651072745</v>
      </c>
      <c r="AU47" s="13">
        <f>AU19*AU43</f>
        <v>0.11090332945937834</v>
      </c>
      <c r="AV47" s="13">
        <f>AV19*AV43</f>
        <v>9.2486029772840622E-2</v>
      </c>
      <c r="AW47" s="13">
        <f>AW19*AW43</f>
        <v>8.4653010575320986E-2</v>
      </c>
      <c r="AX47" s="13">
        <f>AX19*AX43</f>
        <v>8.6468012394996699E-2</v>
      </c>
      <c r="AY47" s="13"/>
      <c r="AZ47" s="13"/>
      <c r="BA47" s="13"/>
      <c r="BB47" s="13"/>
      <c r="BC47" s="13"/>
      <c r="BD47" s="13"/>
      <c r="BE47" s="13"/>
      <c r="BF47" s="13"/>
      <c r="BG47" s="13"/>
    </row>
    <row r="48" spans="1:59" x14ac:dyDescent="0.45">
      <c r="B48" t="s">
        <v>28</v>
      </c>
      <c r="C48" s="13">
        <f>C20*C44</f>
        <v>0.10892768094626347</v>
      </c>
      <c r="D48" s="13">
        <f>D20*D44</f>
        <v>0.10381417909850754</v>
      </c>
      <c r="E48" s="13">
        <f>E20*E44</f>
        <v>9.0111296455620993E-2</v>
      </c>
      <c r="F48" s="13">
        <f>F20*F44</f>
        <v>7.5424464210242986E-2</v>
      </c>
      <c r="G48" s="13">
        <f>G20*G44</f>
        <v>6.968395372303024E-2</v>
      </c>
      <c r="H48" s="13">
        <f>H20*H44</f>
        <v>6.7912745141624223E-2</v>
      </c>
      <c r="I48" s="13">
        <f>I20*I44</f>
        <v>7.3394596251679337E-2</v>
      </c>
      <c r="J48" s="13">
        <f>J20*J44</f>
        <v>6.7394471092856553E-2</v>
      </c>
      <c r="K48" s="13">
        <f>K20*K44</f>
        <v>5.9912206449678346E-2</v>
      </c>
      <c r="L48" s="13">
        <f>L20*L44</f>
        <v>5.1651509862197222E-2</v>
      </c>
      <c r="M48" s="13">
        <f>M20*M44</f>
        <v>5.0136670039448515E-2</v>
      </c>
      <c r="N48" s="13">
        <f>N20*N44</f>
        <v>5.6930675479330888E-2</v>
      </c>
      <c r="O48" s="13">
        <f>O20*O44</f>
        <v>6.2881737673379193E-2</v>
      </c>
      <c r="P48" s="13">
        <f>P20*P44</f>
        <v>7.3889800826266297E-2</v>
      </c>
      <c r="Q48" s="13">
        <f>Q20*Q44</f>
        <v>9.0303334142374181E-2</v>
      </c>
      <c r="R48" s="13">
        <f>R20*R44</f>
        <v>9.7053479195193193E-2</v>
      </c>
      <c r="S48" s="13">
        <f>S20*S44</f>
        <v>7.2101704279142614E-2</v>
      </c>
      <c r="T48" s="13">
        <f>T20*T44</f>
        <v>6.1348673181968336E-2</v>
      </c>
      <c r="U48" s="13">
        <f>U20*U44</f>
        <v>5.6907833509148915E-2</v>
      </c>
      <c r="V48" s="13">
        <f>V20*V44</f>
        <v>5.1869739052233306E-2</v>
      </c>
      <c r="W48" s="13">
        <f>W20*W44</f>
        <v>4.0715130270384689E-2</v>
      </c>
      <c r="X48" s="13">
        <f>X20*X44</f>
        <v>4.0442325820463289E-2</v>
      </c>
      <c r="Y48" s="13">
        <f>Y20*Y44</f>
        <v>4.1407014912985263E-2</v>
      </c>
      <c r="Z48" s="13">
        <f>Z20*Z44</f>
        <v>5.7165540440515202E-2</v>
      </c>
      <c r="AA48" s="13">
        <f>AA20*AA44</f>
        <v>5.9944232894088047E-2</v>
      </c>
      <c r="AB48" s="13">
        <f>AB20*AB44</f>
        <v>5.7205351030353478E-2</v>
      </c>
      <c r="AC48" s="13">
        <f>AC20*AC44</f>
        <v>3.9983817528109145E-2</v>
      </c>
      <c r="AD48" s="13">
        <f>AD20*AD44</f>
        <v>3.9178099863136341E-2</v>
      </c>
      <c r="AE48" s="13">
        <f>AE20*AE44</f>
        <v>4.7550234428223967E-2</v>
      </c>
      <c r="AF48" s="13">
        <f>AF20*AF44</f>
        <v>4.8883989676940021E-2</v>
      </c>
      <c r="AG48" s="13">
        <f>AG20*AG44</f>
        <v>6.082057259777264E-2</v>
      </c>
      <c r="AH48" s="13">
        <f>AH20*AH44</f>
        <v>5.8523822237302736E-2</v>
      </c>
      <c r="AI48" s="13">
        <f>AI20*AI44</f>
        <v>4.9257554382377902E-2</v>
      </c>
      <c r="AJ48" s="13">
        <f>AJ20*AJ44</f>
        <v>3.5587456552294797E-2</v>
      </c>
      <c r="AK48" s="13">
        <f>AK20*AK44</f>
        <v>2.9941721460048538E-2</v>
      </c>
      <c r="AL48" s="13">
        <f>AL20*AL44</f>
        <v>2.7924000459287567E-2</v>
      </c>
      <c r="AM48" s="13">
        <f>AM20*AM44</f>
        <v>2.7519362182193891E-2</v>
      </c>
      <c r="AN48" s="13">
        <f>AN20*AN44</f>
        <v>2.5568857991234373E-2</v>
      </c>
      <c r="AO48" s="13">
        <f>AO20*AO44</f>
        <v>2.5102126571365131E-2</v>
      </c>
      <c r="AP48" s="13">
        <f>AP20*AP44</f>
        <v>2.5116784053290115E-2</v>
      </c>
      <c r="AQ48" s="13">
        <f>AQ20*AQ44</f>
        <v>2.5054883119054728E-2</v>
      </c>
      <c r="AR48" s="13">
        <f>AR20*AR44</f>
        <v>2.6690344240015856E-2</v>
      </c>
      <c r="AS48" s="13">
        <f>AS20*AS44</f>
        <v>3.1052831198682278E-2</v>
      </c>
      <c r="AT48" s="13">
        <f>AT20*AT44</f>
        <v>3.048306299239539E-2</v>
      </c>
      <c r="AU48" s="13">
        <f>AU20*AU44</f>
        <v>3.0250871407051242E-2</v>
      </c>
      <c r="AV48" s="13">
        <f>AV20*AV44</f>
        <v>4.0084320609963829E-2</v>
      </c>
      <c r="AW48" s="13">
        <f>AW20*AW44</f>
        <v>3.832921027905354E-2</v>
      </c>
      <c r="AX48" s="13">
        <f>AX20*AX44</f>
        <v>3.8233768951814268E-2</v>
      </c>
      <c r="AY48" s="13"/>
      <c r="AZ48" s="13"/>
      <c r="BA48" s="13"/>
      <c r="BB48" s="13"/>
      <c r="BC48" s="13"/>
      <c r="BD48" s="13"/>
      <c r="BE48" s="13"/>
      <c r="BF48" s="13"/>
      <c r="BG48" s="13"/>
    </row>
    <row r="49" spans="1:59" x14ac:dyDescent="0.45">
      <c r="B49" t="s">
        <v>182</v>
      </c>
      <c r="C49" s="13">
        <v>0</v>
      </c>
      <c r="D49" s="13">
        <v>0</v>
      </c>
      <c r="E49" s="13">
        <v>0</v>
      </c>
      <c r="F49" s="13">
        <v>0</v>
      </c>
      <c r="G49" s="13">
        <v>0</v>
      </c>
      <c r="H49" s="13">
        <v>0</v>
      </c>
      <c r="I49" s="13">
        <v>0</v>
      </c>
      <c r="J49" s="13">
        <v>0</v>
      </c>
      <c r="K49" s="13">
        <v>0</v>
      </c>
      <c r="L49" s="13">
        <v>0</v>
      </c>
      <c r="M49" s="13">
        <v>0</v>
      </c>
      <c r="N49" s="13">
        <v>0</v>
      </c>
      <c r="O49" s="13">
        <v>0</v>
      </c>
      <c r="P49" s="13">
        <v>0</v>
      </c>
      <c r="Q49" s="13">
        <v>0</v>
      </c>
      <c r="R49" s="13">
        <v>0</v>
      </c>
      <c r="S49" s="13">
        <v>0</v>
      </c>
      <c r="T49" s="13">
        <v>0</v>
      </c>
      <c r="U49" s="13">
        <v>0</v>
      </c>
      <c r="V49" s="13">
        <v>0</v>
      </c>
      <c r="W49" s="13">
        <v>0</v>
      </c>
      <c r="X49" s="13">
        <v>0</v>
      </c>
      <c r="Y49" s="13">
        <v>0</v>
      </c>
      <c r="Z49" s="13">
        <v>0</v>
      </c>
      <c r="AA49" s="13">
        <v>0</v>
      </c>
      <c r="AB49" s="13">
        <v>0</v>
      </c>
      <c r="AC49" s="13">
        <v>0</v>
      </c>
      <c r="AD49" s="13">
        <v>0</v>
      </c>
      <c r="AE49" s="13">
        <v>0</v>
      </c>
      <c r="AF49" s="13">
        <v>0</v>
      </c>
      <c r="AG49" s="13">
        <v>0</v>
      </c>
      <c r="AH49" s="13">
        <v>0</v>
      </c>
      <c r="AI49" s="13">
        <v>0</v>
      </c>
      <c r="AJ49" s="13">
        <v>0</v>
      </c>
      <c r="AK49" s="13">
        <v>0</v>
      </c>
      <c r="AL49" s="13">
        <v>0</v>
      </c>
      <c r="AM49" s="13">
        <v>0</v>
      </c>
      <c r="AN49" s="13">
        <v>0</v>
      </c>
      <c r="AO49" s="13">
        <v>0</v>
      </c>
      <c r="AP49" s="13">
        <v>0</v>
      </c>
      <c r="AQ49" s="13">
        <v>0</v>
      </c>
      <c r="AR49" s="13">
        <v>0</v>
      </c>
      <c r="AS49" s="13">
        <v>0</v>
      </c>
      <c r="AT49" s="13">
        <v>0</v>
      </c>
      <c r="AU49" s="13">
        <v>0</v>
      </c>
      <c r="AV49" s="13">
        <v>0</v>
      </c>
      <c r="AW49" s="13">
        <v>0</v>
      </c>
      <c r="AX49" s="13">
        <v>0</v>
      </c>
      <c r="AY49" s="13"/>
      <c r="AZ49" s="13"/>
      <c r="BA49" s="13"/>
      <c r="BB49" s="13"/>
      <c r="BC49" s="13"/>
      <c r="BD49" s="13"/>
      <c r="BE49" s="13"/>
      <c r="BF49" s="13"/>
      <c r="BG49" s="13"/>
    </row>
    <row r="50" spans="1:59" x14ac:dyDescent="0.45">
      <c r="B50" s="13" t="str">
        <f>Theil!B4</f>
        <v>Interbloc</v>
      </c>
      <c r="C50" s="13">
        <f>Theil!C4</f>
        <v>0.74303580288330218</v>
      </c>
      <c r="D50" s="13">
        <f>Theil!D4</f>
        <v>0.75729861918384456</v>
      </c>
      <c r="E50" s="13">
        <f>Theil!E4</f>
        <v>0.77878545317761183</v>
      </c>
      <c r="F50" s="13">
        <f>Theil!F4</f>
        <v>0.78184391844939649</v>
      </c>
      <c r="G50" s="13">
        <f>Theil!G4</f>
        <v>0.75063613584906486</v>
      </c>
      <c r="H50" s="13">
        <f>Theil!H4</f>
        <v>0.75469447632757025</v>
      </c>
      <c r="I50" s="13">
        <f>Theil!I4</f>
        <v>0.7666724028816494</v>
      </c>
      <c r="J50" s="13">
        <f>Theil!J4</f>
        <v>0.77411591582056138</v>
      </c>
      <c r="K50" s="13">
        <f>Theil!K4</f>
        <v>0.79409175545707811</v>
      </c>
      <c r="L50" s="13">
        <f>Theil!L4</f>
        <v>0.78227127420361764</v>
      </c>
      <c r="M50" s="13">
        <f>Theil!M4</f>
        <v>0.76104092569301252</v>
      </c>
      <c r="N50" s="13">
        <f>Theil!N4</f>
        <v>0.75076915025915825</v>
      </c>
      <c r="O50" s="13">
        <f>Theil!O4</f>
        <v>0.77896238306570087</v>
      </c>
      <c r="P50" s="13">
        <f>Theil!P4</f>
        <v>0.81594132875086645</v>
      </c>
      <c r="Q50" s="13">
        <f>Theil!Q4</f>
        <v>0.83417154701325413</v>
      </c>
      <c r="R50" s="13">
        <f>Theil!R4</f>
        <v>0.86537667486390646</v>
      </c>
      <c r="S50" s="13">
        <f>Theil!S4</f>
        <v>0.96075157334242189</v>
      </c>
      <c r="T50" s="13">
        <f>Theil!T4</f>
        <v>0.99791528295784659</v>
      </c>
      <c r="U50" s="13">
        <f>Theil!U4</f>
        <v>1.0062978355811745</v>
      </c>
      <c r="V50" s="13">
        <f>Theil!V4</f>
        <v>0.9989880842394927</v>
      </c>
      <c r="W50" s="13">
        <f>Theil!W4</f>
        <v>1.0179883777225172</v>
      </c>
      <c r="X50" s="13">
        <f>Theil!X4</f>
        <v>1.0316775162273413</v>
      </c>
      <c r="Y50" s="13">
        <f>Theil!Y4</f>
        <v>1.031603733265877</v>
      </c>
      <c r="Z50" s="13">
        <f>Theil!Z4</f>
        <v>1.0015206774990482</v>
      </c>
      <c r="AA50" s="13">
        <f>Theil!AA4</f>
        <v>1.0170971098321162</v>
      </c>
      <c r="AB50" s="13">
        <f>Theil!AB4</f>
        <v>1.0151474076389035</v>
      </c>
      <c r="AC50" s="13">
        <f>Theil!AC4</f>
        <v>0.98656348013301476</v>
      </c>
      <c r="AD50" s="13">
        <f>Theil!AD4</f>
        <v>0.95677173382893499</v>
      </c>
      <c r="AE50" s="13">
        <f>Theil!AE4</f>
        <v>0.96485088988441636</v>
      </c>
      <c r="AF50" s="13">
        <f>Theil!AF4</f>
        <v>1.0005488190872445</v>
      </c>
      <c r="AG50" s="13">
        <f>Theil!AG4</f>
        <v>0.98108391266275374</v>
      </c>
      <c r="AH50" s="13">
        <f>Theil!AH4</f>
        <v>0.98113830268544144</v>
      </c>
      <c r="AI50" s="13">
        <f>Theil!AI4</f>
        <v>0.99774888485133417</v>
      </c>
      <c r="AJ50" s="13">
        <f>Theil!AJ4</f>
        <v>1.0078409860571431</v>
      </c>
      <c r="AK50" s="13">
        <f>Theil!AK4</f>
        <v>0.985920941010754</v>
      </c>
      <c r="AL50" s="13">
        <f>Theil!AL4</f>
        <v>0.93718231492033477</v>
      </c>
      <c r="AM50" s="13">
        <f>Theil!AM4</f>
        <v>0.89274490531683015</v>
      </c>
      <c r="AN50" s="13">
        <f>Theil!AN4</f>
        <v>0.84666189232709366</v>
      </c>
      <c r="AO50" s="13">
        <f>Theil!AO4</f>
        <v>0.79050651973339559</v>
      </c>
      <c r="AP50" s="13">
        <f>Theil!AP4</f>
        <v>0.77155532335144272</v>
      </c>
      <c r="AQ50" s="13">
        <f>Theil!AQ4</f>
        <v>0.69998606747438796</v>
      </c>
      <c r="AR50" s="13">
        <f>Theil!AR4</f>
        <v>0.6569272740108979</v>
      </c>
      <c r="AS50" s="13">
        <f>Theil!AS4</f>
        <v>0.63191321218226104</v>
      </c>
      <c r="AT50" s="13">
        <f>Theil!AT4</f>
        <v>0.60848753152049784</v>
      </c>
      <c r="AU50" s="13">
        <f>Theil!AU4</f>
        <v>0.6027419125352631</v>
      </c>
      <c r="AV50" s="13">
        <f>Theil!AV4</f>
        <v>0.60066092427839091</v>
      </c>
      <c r="AW50" s="13">
        <f>Theil!AW4</f>
        <v>0.61896569354369413</v>
      </c>
      <c r="AX50" s="13">
        <f>Theil!AX4</f>
        <v>0.59936027110055257</v>
      </c>
      <c r="AY50" s="13"/>
      <c r="AZ50" s="13"/>
      <c r="BA50" s="13"/>
      <c r="BB50" s="13"/>
      <c r="BC50" s="13"/>
      <c r="BD50" s="13"/>
      <c r="BE50" s="13"/>
      <c r="BF50" s="13"/>
      <c r="BG50" s="13"/>
    </row>
    <row r="51" spans="1:59" x14ac:dyDescent="0.45">
      <c r="B51" t="s">
        <v>188</v>
      </c>
      <c r="C51" s="13">
        <f>SUM(C47:C50)</f>
        <v>0.93152120787427206</v>
      </c>
      <c r="D51" s="13">
        <f>SUM(D47:D50)</f>
        <v>0.94472526750218144</v>
      </c>
      <c r="E51" s="13">
        <f>SUM(E47:E50)</f>
        <v>0.94931308359277911</v>
      </c>
      <c r="F51" s="13">
        <f>SUM(F47:F50)</f>
        <v>0.94208569067171133</v>
      </c>
      <c r="G51" s="13">
        <f>SUM(G47:G50)</f>
        <v>0.93712963235918578</v>
      </c>
      <c r="H51" s="13">
        <f>SUM(H47:H50)</f>
        <v>0.94165439011934049</v>
      </c>
      <c r="I51" s="13">
        <f>SUM(I47:I50)</f>
        <v>0.97051646261034352</v>
      </c>
      <c r="J51" s="13">
        <f>SUM(J47:J50)</f>
        <v>0.96768548643660002</v>
      </c>
      <c r="K51" s="13">
        <f>SUM(K47:K50)</f>
        <v>0.96935908753715205</v>
      </c>
      <c r="L51" s="13">
        <f>SUM(L47:L50)</f>
        <v>0.96533570302758398</v>
      </c>
      <c r="M51" s="13">
        <f>SUM(M47:M50)</f>
        <v>0.96052753387526557</v>
      </c>
      <c r="N51" s="13">
        <f>SUM(N47:N50)</f>
        <v>0.97188527844345063</v>
      </c>
      <c r="O51" s="13">
        <f>SUM(O47:O50)</f>
        <v>0.97823701601203494</v>
      </c>
      <c r="P51" s="13">
        <f>SUM(P47:P50)</f>
        <v>1.0038424175256524</v>
      </c>
      <c r="Q51" s="13">
        <f>SUM(Q47:Q50)</f>
        <v>1.0355514779204436</v>
      </c>
      <c r="R51" s="13">
        <f>SUM(R47:R50)</f>
        <v>1.0627869333777733</v>
      </c>
      <c r="S51" s="13">
        <f>SUM(S47:S50)</f>
        <v>1.1041729632931889</v>
      </c>
      <c r="T51" s="13">
        <f>SUM(T47:T50)</f>
        <v>1.1257635338111667</v>
      </c>
      <c r="U51" s="13">
        <f>SUM(U47:U50)</f>
        <v>1.1268451405654609</v>
      </c>
      <c r="V51" s="13">
        <f>SUM(V47:V50)</f>
        <v>1.1196782909311311</v>
      </c>
      <c r="W51" s="13">
        <f>SUM(W47:W50)</f>
        <v>1.1380666824435088</v>
      </c>
      <c r="X51" s="13">
        <f>SUM(X47:X50)</f>
        <v>1.1613621726329706</v>
      </c>
      <c r="Y51" s="13">
        <f>SUM(Y47:Y50)</f>
        <v>1.1674648212185088</v>
      </c>
      <c r="Z51" s="13">
        <f>SUM(Z47:Z50)</f>
        <v>1.1647481358647076</v>
      </c>
      <c r="AA51" s="13">
        <f>SUM(AA47:AA50)</f>
        <v>1.1854026166363203</v>
      </c>
      <c r="AB51" s="13">
        <f>SUM(AB47:AB50)</f>
        <v>1.173114510726404</v>
      </c>
      <c r="AC51" s="13">
        <f>SUM(AC47:AC50)</f>
        <v>1.1348166316773161</v>
      </c>
      <c r="AD51" s="13">
        <f>SUM(AD47:AD50)</f>
        <v>1.1123788450554646</v>
      </c>
      <c r="AE51" s="13">
        <f>SUM(AE47:AE50)</f>
        <v>1.1257351624839598</v>
      </c>
      <c r="AF51" s="13">
        <f>SUM(AF47:AF50)</f>
        <v>1.1477200347533514</v>
      </c>
      <c r="AG51" s="13">
        <f>SUM(AG47:AG50)</f>
        <v>1.1497654901078818</v>
      </c>
      <c r="AH51" s="13">
        <f>SUM(AH47:AH50)</f>
        <v>1.1431473811562549</v>
      </c>
      <c r="AI51" s="13">
        <f>SUM(AI47:AI50)</f>
        <v>1.1366384105131542</v>
      </c>
      <c r="AJ51" s="13">
        <f>SUM(AJ47:AJ50)</f>
        <v>1.1256476506021491</v>
      </c>
      <c r="AK51" s="13">
        <f>SUM(AK47:AK50)</f>
        <v>1.1002371092693877</v>
      </c>
      <c r="AL51" s="13">
        <f>SUM(AL47:AL50)</f>
        <v>1.0600378399971342</v>
      </c>
      <c r="AM51" s="13">
        <f>SUM(AM47:AM50)</f>
        <v>1.0205164567845408</v>
      </c>
      <c r="AN51" s="13">
        <f>SUM(AN47:AN50)</f>
        <v>0.97366329866098689</v>
      </c>
      <c r="AO51" s="13">
        <f>SUM(AO47:AO50)</f>
        <v>0.9263623662641608</v>
      </c>
      <c r="AP51" s="13">
        <f>SUM(AP47:AP50)</f>
        <v>0.8945023865031112</v>
      </c>
      <c r="AQ51" s="13">
        <f>SUM(AQ47:AQ50)</f>
        <v>0.83780983457454972</v>
      </c>
      <c r="AR51" s="13">
        <f>SUM(AR47:AR50)</f>
        <v>0.80444868508296641</v>
      </c>
      <c r="AS51" s="13">
        <f>SUM(AS47:AS50)</f>
        <v>0.78393690860445564</v>
      </c>
      <c r="AT51" s="13">
        <f>SUM(AT47:AT50)</f>
        <v>0.75836007102362069</v>
      </c>
      <c r="AU51" s="13">
        <f>SUM(AU47:AU50)</f>
        <v>0.7438961134016927</v>
      </c>
      <c r="AV51" s="13">
        <f>SUM(AV47:AV50)</f>
        <v>0.73323127466119531</v>
      </c>
      <c r="AW51" s="13">
        <f>SUM(AW47:AW50)</f>
        <v>0.74194791439806862</v>
      </c>
      <c r="AX51" s="13">
        <f>SUM(AX47:AX50)</f>
        <v>0.72406205244736355</v>
      </c>
      <c r="AY51" s="13"/>
      <c r="AZ51" s="13"/>
      <c r="BA51" s="13"/>
      <c r="BB51" s="13"/>
      <c r="BC51" s="13"/>
      <c r="BD51" s="13"/>
      <c r="BE51" s="13"/>
      <c r="BF51" s="13"/>
      <c r="BG51" s="13"/>
    </row>
    <row r="52" spans="1:59" x14ac:dyDescent="0.45">
      <c r="A52" t="s">
        <v>189</v>
      </c>
      <c r="B52" t="s">
        <v>190</v>
      </c>
      <c r="C52" s="13">
        <f>Theil!C5</f>
        <v>0.89685368511545305</v>
      </c>
      <c r="D52" s="13">
        <f>Theil!D5</f>
        <v>0.9079599931003407</v>
      </c>
      <c r="E52" s="13">
        <f>Theil!E5</f>
        <v>0.91388427265894956</v>
      </c>
      <c r="F52" s="13">
        <f>Theil!F5</f>
        <v>0.90570272618360681</v>
      </c>
      <c r="G52" s="13">
        <f>Theil!G5</f>
        <v>0.88980597855279897</v>
      </c>
      <c r="H52" s="13">
        <f>Theil!H5</f>
        <v>0.89356836816725083</v>
      </c>
      <c r="I52" s="13">
        <f>Theil!I5</f>
        <v>0.91781175157529327</v>
      </c>
      <c r="J52" s="13">
        <f>Theil!J5</f>
        <v>0.91713328948139716</v>
      </c>
      <c r="K52" s="13">
        <f>Theil!K5</f>
        <v>0.92338963340726365</v>
      </c>
      <c r="L52" s="13">
        <f>Theil!L5</f>
        <v>0.91541213687682843</v>
      </c>
      <c r="M52" s="13">
        <f>Theil!M5</f>
        <v>0.90535496559145334</v>
      </c>
      <c r="N52" s="13">
        <f>Theil!N5</f>
        <v>0.91128880658518896</v>
      </c>
      <c r="O52" s="13">
        <f>Theil!O5</f>
        <v>0.92542419411509313</v>
      </c>
      <c r="P52" s="13">
        <f>Theil!P5</f>
        <v>0.95586985570549066</v>
      </c>
      <c r="Q52" s="13">
        <f>Theil!Q5</f>
        <v>0.98519322214545924</v>
      </c>
      <c r="R52" s="13">
        <f>Theil!R5</f>
        <v>1.0139054307462814</v>
      </c>
      <c r="S52" s="13">
        <f>Theil!S5</f>
        <v>1.0684544807990826</v>
      </c>
      <c r="T52" s="13">
        <f>Theil!T5</f>
        <v>1.0933945362861148</v>
      </c>
      <c r="U52" s="13">
        <f>Theil!U5</f>
        <v>1.0960028396896275</v>
      </c>
      <c r="V52" s="13">
        <f>Theil!V5</f>
        <v>1.0883745335629509</v>
      </c>
      <c r="W52" s="13">
        <f>Theil!W5</f>
        <v>1.1064786458649869</v>
      </c>
      <c r="X52" s="13">
        <f>Theil!X5</f>
        <v>1.1272058347309095</v>
      </c>
      <c r="Y52" s="13">
        <f>Theil!Y5</f>
        <v>1.1317655748806077</v>
      </c>
      <c r="Z52" s="13">
        <f>Theil!Z5</f>
        <v>1.1219866771327727</v>
      </c>
      <c r="AA52" s="13">
        <f>Theil!AA5</f>
        <v>1.1413560627265213</v>
      </c>
      <c r="AB52" s="13">
        <f>Theil!AB5</f>
        <v>1.1318062344709516</v>
      </c>
      <c r="AC52" s="13">
        <f>Theil!AC5</f>
        <v>1.0965079483594999</v>
      </c>
      <c r="AD52" s="13">
        <f>Theil!AD5</f>
        <v>1.0724722156502411</v>
      </c>
      <c r="AE52" s="13">
        <f>Theil!AE5</f>
        <v>1.0843619080008433</v>
      </c>
      <c r="AF52" s="13">
        <f>Theil!AF5</f>
        <v>1.1097283291613556</v>
      </c>
      <c r="AG52" s="13">
        <f>Theil!AG5</f>
        <v>1.106059517089617</v>
      </c>
      <c r="AH52" s="13">
        <f>Theil!AH5</f>
        <v>1.1012948885283484</v>
      </c>
      <c r="AI52" s="13">
        <f>Theil!AI5</f>
        <v>1.1009608355446505</v>
      </c>
      <c r="AJ52" s="13">
        <f>Theil!AJ5</f>
        <v>1.0960809401140472</v>
      </c>
      <c r="AK52" s="13">
        <f>Theil!AK5</f>
        <v>1.0721776718180462</v>
      </c>
      <c r="AL52" s="13">
        <f>Theil!AL5</f>
        <v>1.0305604422591321</v>
      </c>
      <c r="AM52" s="13">
        <f>Theil!AM5</f>
        <v>0.99029536716733035</v>
      </c>
      <c r="AN52" s="13">
        <f>Theil!AN5</f>
        <v>0.94411591235149495</v>
      </c>
      <c r="AO52" s="13">
        <f>Theil!AO5</f>
        <v>0.89534792400094565</v>
      </c>
      <c r="AP52" s="13">
        <f>Theil!AP5</f>
        <v>0.86638829097948811</v>
      </c>
      <c r="AQ52" s="13">
        <f>Theil!AQ5</f>
        <v>0.80704295826854688</v>
      </c>
      <c r="AR52" s="13">
        <f>Theil!AR5</f>
        <v>0.77188280672782073</v>
      </c>
      <c r="AS52" s="13">
        <f>Theil!AS5</f>
        <v>0.75014568077347832</v>
      </c>
      <c r="AT52" s="13">
        <f>Theil!AT5</f>
        <v>0.72537557092458183</v>
      </c>
      <c r="AU52" s="13">
        <f>Theil!AU5</f>
        <v>0.71283880970948221</v>
      </c>
      <c r="AV52" s="13">
        <f>Theil!AV5</f>
        <v>0.702160804277146</v>
      </c>
      <c r="AW52" s="13">
        <f>Theil!AW5</f>
        <v>0.71304893853889872</v>
      </c>
      <c r="AX52" s="13">
        <f>Theil!AX5</f>
        <v>0.69500831634271809</v>
      </c>
      <c r="AY52" s="13"/>
      <c r="AZ52" s="13"/>
      <c r="BA52" s="13"/>
      <c r="BB52" s="13"/>
      <c r="BC52" s="13"/>
      <c r="BD52" s="13"/>
      <c r="BE52" s="13"/>
      <c r="BF52" s="13"/>
      <c r="BG52" s="13"/>
    </row>
    <row r="53" spans="1:59" x14ac:dyDescent="0.45">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3"/>
      <c r="AT53" s="13"/>
      <c r="AU53" s="13"/>
      <c r="AV53" s="13"/>
      <c r="AW53" s="13"/>
      <c r="AX53" s="13"/>
      <c r="AY53" s="13"/>
      <c r="AZ53" s="13"/>
      <c r="BA53" s="13"/>
      <c r="BB53" s="13"/>
      <c r="BC53" s="13"/>
      <c r="BD53" s="13"/>
      <c r="BE53" s="13"/>
      <c r="BF53" s="13"/>
      <c r="BG53" s="13"/>
    </row>
    <row r="54" spans="1:59" x14ac:dyDescent="0.45">
      <c r="B54" t="s">
        <v>191</v>
      </c>
      <c r="C54" s="13">
        <f>C51/C52</f>
        <v>1.0386546025669239</v>
      </c>
      <c r="D54" s="13">
        <f t="shared" ref="D54:AX54" si="8">D51/D52</f>
        <v>1.0404921744143167</v>
      </c>
      <c r="E54" s="13">
        <f t="shared" si="8"/>
        <v>1.0387672837729762</v>
      </c>
      <c r="F54" s="13">
        <f t="shared" si="8"/>
        <v>1.0401709782208703</v>
      </c>
      <c r="G54" s="13">
        <f t="shared" si="8"/>
        <v>1.0531842389768555</v>
      </c>
      <c r="H54" s="13">
        <f t="shared" si="8"/>
        <v>1.0538134782576472</v>
      </c>
      <c r="I54" s="13">
        <f t="shared" si="8"/>
        <v>1.0574243148931033</v>
      </c>
      <c r="J54" s="13">
        <f t="shared" si="8"/>
        <v>1.0551197928752407</v>
      </c>
      <c r="K54" s="13">
        <f t="shared" si="8"/>
        <v>1.0497833768831293</v>
      </c>
      <c r="L54" s="13">
        <f t="shared" si="8"/>
        <v>1.0545367099032388</v>
      </c>
      <c r="M54" s="13">
        <f t="shared" si="8"/>
        <v>1.0609402614230639</v>
      </c>
      <c r="N54" s="13">
        <f t="shared" si="8"/>
        <v>1.0664953540747755</v>
      </c>
      <c r="O54" s="13">
        <f t="shared" si="8"/>
        <v>1.0570687715242224</v>
      </c>
      <c r="P54" s="13">
        <f t="shared" si="8"/>
        <v>1.0501873362088137</v>
      </c>
      <c r="Q54" s="13">
        <f t="shared" si="8"/>
        <v>1.0511151057914496</v>
      </c>
      <c r="R54" s="13">
        <f t="shared" si="8"/>
        <v>1.0482111064298303</v>
      </c>
      <c r="S54" s="13">
        <f t="shared" si="8"/>
        <v>1.0334300460487498</v>
      </c>
      <c r="T54" s="13">
        <f t="shared" si="8"/>
        <v>1.0296041332298935</v>
      </c>
      <c r="U54" s="13">
        <f t="shared" si="8"/>
        <v>1.0281407125592552</v>
      </c>
      <c r="V54" s="13">
        <f t="shared" si="8"/>
        <v>1.0287619347961983</v>
      </c>
      <c r="W54" s="13">
        <f t="shared" si="8"/>
        <v>1.0285482568475852</v>
      </c>
      <c r="X54" s="13">
        <f t="shared" si="8"/>
        <v>1.0303017752833181</v>
      </c>
      <c r="Y54" s="13">
        <f t="shared" si="8"/>
        <v>1.0315429689064957</v>
      </c>
      <c r="Z54" s="13">
        <f t="shared" si="8"/>
        <v>1.0381122696048508</v>
      </c>
      <c r="AA54" s="13">
        <f t="shared" si="8"/>
        <v>1.0385914223862609</v>
      </c>
      <c r="AB54" s="13">
        <f t="shared" si="8"/>
        <v>1.0364976574587976</v>
      </c>
      <c r="AC54" s="13">
        <f t="shared" si="8"/>
        <v>1.0349369864351008</v>
      </c>
      <c r="AD54" s="13">
        <f t="shared" si="8"/>
        <v>1.0372099424328938</v>
      </c>
      <c r="AE54" s="13">
        <f t="shared" si="8"/>
        <v>1.0381544705488532</v>
      </c>
      <c r="AF54" s="13">
        <f t="shared" si="8"/>
        <v>1.03423514079406</v>
      </c>
      <c r="AG54" s="13">
        <f t="shared" si="8"/>
        <v>1.0395150282086705</v>
      </c>
      <c r="AH54" s="13">
        <f t="shared" si="8"/>
        <v>1.0380029845447059</v>
      </c>
      <c r="AI54" s="13">
        <f t="shared" si="8"/>
        <v>1.0324058529755546</v>
      </c>
      <c r="AJ54" s="13">
        <f t="shared" si="8"/>
        <v>1.0269749335163383</v>
      </c>
      <c r="AK54" s="13">
        <f t="shared" si="8"/>
        <v>1.0261705109040018</v>
      </c>
      <c r="AL54" s="13">
        <f t="shared" si="8"/>
        <v>1.0286032691817508</v>
      </c>
      <c r="AM54" s="13">
        <f t="shared" si="8"/>
        <v>1.0305172483070943</v>
      </c>
      <c r="AN54" s="13">
        <f t="shared" si="8"/>
        <v>1.0312963545290734</v>
      </c>
      <c r="AO54" s="13">
        <f t="shared" si="8"/>
        <v>1.0346395422738284</v>
      </c>
      <c r="AP54" s="13">
        <f t="shared" si="8"/>
        <v>1.0324497639411065</v>
      </c>
      <c r="AQ54" s="13">
        <f t="shared" si="8"/>
        <v>1.0381229722541796</v>
      </c>
      <c r="AR54" s="13">
        <f t="shared" si="8"/>
        <v>1.0421901849235371</v>
      </c>
      <c r="AS54" s="13">
        <f t="shared" si="8"/>
        <v>1.0450462206169542</v>
      </c>
      <c r="AT54" s="13">
        <f t="shared" si="8"/>
        <v>1.0454723062385407</v>
      </c>
      <c r="AU54" s="13">
        <f t="shared" si="8"/>
        <v>1.0435684803761849</v>
      </c>
      <c r="AV54" s="13">
        <f t="shared" si="8"/>
        <v>1.0442497932023356</v>
      </c>
      <c r="AW54" s="13">
        <f t="shared" si="8"/>
        <v>1.040528741152587</v>
      </c>
      <c r="AX54" s="13">
        <f t="shared" si="8"/>
        <v>1.0418034366229347</v>
      </c>
      <c r="AY54" s="13"/>
      <c r="AZ54" s="13"/>
      <c r="BA54" s="13"/>
      <c r="BB54" s="13"/>
      <c r="BC54" s="13"/>
      <c r="BD54" s="13"/>
      <c r="BE54" s="13"/>
      <c r="BF54" s="13"/>
      <c r="BG54" s="13"/>
    </row>
    <row r="56" spans="1:59" x14ac:dyDescent="0.45">
      <c r="A56" t="s">
        <v>192</v>
      </c>
      <c r="C56" t="str">
        <f>C46</f>
        <v>1970</v>
      </c>
      <c r="D56" t="str">
        <f>D46</f>
        <v>1971</v>
      </c>
      <c r="E56" t="str">
        <f>E46</f>
        <v>1972</v>
      </c>
      <c r="F56" t="str">
        <f>F46</f>
        <v>1973</v>
      </c>
      <c r="G56" t="str">
        <f>G46</f>
        <v>1974</v>
      </c>
      <c r="H56" t="str">
        <f>H46</f>
        <v>1975</v>
      </c>
      <c r="I56" t="str">
        <f>I46</f>
        <v>1976</v>
      </c>
      <c r="J56" t="str">
        <f>J46</f>
        <v>1977</v>
      </c>
      <c r="K56" t="str">
        <f>K46</f>
        <v>1978</v>
      </c>
      <c r="L56" t="str">
        <f>L46</f>
        <v>1979</v>
      </c>
      <c r="M56" t="str">
        <f>M46</f>
        <v>1980</v>
      </c>
      <c r="N56" t="str">
        <f>N46</f>
        <v>1981</v>
      </c>
      <c r="O56" t="str">
        <f>O46</f>
        <v>1982</v>
      </c>
      <c r="P56" t="str">
        <f>P46</f>
        <v>1983</v>
      </c>
      <c r="Q56" t="str">
        <f>Q46</f>
        <v>1984</v>
      </c>
      <c r="R56" t="str">
        <f>R46</f>
        <v>1985</v>
      </c>
      <c r="S56" t="str">
        <f>S46</f>
        <v>1986</v>
      </c>
      <c r="T56" t="str">
        <f>T46</f>
        <v>1987</v>
      </c>
      <c r="U56" t="str">
        <f>U46</f>
        <v>1988</v>
      </c>
      <c r="V56" t="str">
        <f>V46</f>
        <v>1989</v>
      </c>
      <c r="W56" t="str">
        <f>W46</f>
        <v>1990</v>
      </c>
      <c r="X56" t="str">
        <f>X46</f>
        <v>1991</v>
      </c>
      <c r="Y56" t="str">
        <f>Y46</f>
        <v>1992</v>
      </c>
      <c r="Z56" t="str">
        <f>Z46</f>
        <v>1993</v>
      </c>
      <c r="AA56" t="str">
        <f>AA46</f>
        <v>1994</v>
      </c>
      <c r="AB56" t="str">
        <f>AB46</f>
        <v>1995</v>
      </c>
      <c r="AC56" t="str">
        <f>AC46</f>
        <v>1996</v>
      </c>
      <c r="AD56" t="str">
        <f>AD46</f>
        <v>1997</v>
      </c>
      <c r="AE56" t="str">
        <f>AE46</f>
        <v>1998</v>
      </c>
      <c r="AF56" t="str">
        <f>AF46</f>
        <v>1999</v>
      </c>
      <c r="AG56" t="str">
        <f>AG46</f>
        <v>2000</v>
      </c>
      <c r="AH56" t="str">
        <f>AH46</f>
        <v>2001</v>
      </c>
      <c r="AI56" t="str">
        <f>AI46</f>
        <v>2002</v>
      </c>
      <c r="AJ56" t="str">
        <f>AJ46</f>
        <v>2003</v>
      </c>
      <c r="AK56" t="str">
        <f>AK46</f>
        <v>2004</v>
      </c>
      <c r="AL56" t="str">
        <f>AL46</f>
        <v>2005</v>
      </c>
      <c r="AM56" t="str">
        <f>AM46</f>
        <v>2006</v>
      </c>
      <c r="AN56" t="str">
        <f>AN46</f>
        <v>2007</v>
      </c>
      <c r="AO56" t="str">
        <f>AO46</f>
        <v>2008</v>
      </c>
      <c r="AP56" t="str">
        <f>AP46</f>
        <v>2009</v>
      </c>
      <c r="AQ56" t="str">
        <f>AQ46</f>
        <v>2010</v>
      </c>
      <c r="AR56" t="str">
        <f>AR46</f>
        <v>2011</v>
      </c>
      <c r="AS56" t="str">
        <f>AS46</f>
        <v>2012</v>
      </c>
      <c r="AT56" t="str">
        <f>AT46</f>
        <v>2013</v>
      </c>
      <c r="AU56" t="str">
        <f>AU46</f>
        <v>2014</v>
      </c>
      <c r="AV56" t="str">
        <f>AV46</f>
        <v>2015</v>
      </c>
      <c r="AW56" t="str">
        <f>AW46</f>
        <v>2016</v>
      </c>
      <c r="AX56" t="str">
        <f>AX46</f>
        <v>2017</v>
      </c>
    </row>
    <row r="57" spans="1:59" x14ac:dyDescent="0.45">
      <c r="B57" t="s">
        <v>193</v>
      </c>
      <c r="C57" s="14">
        <f>C51</f>
        <v>0.93152120787427206</v>
      </c>
      <c r="D57" s="14">
        <f t="shared" ref="D57:AX58" si="9">D51</f>
        <v>0.94472526750218144</v>
      </c>
      <c r="E57" s="14">
        <f t="shared" si="9"/>
        <v>0.94931308359277911</v>
      </c>
      <c r="F57" s="14">
        <f t="shared" si="9"/>
        <v>0.94208569067171133</v>
      </c>
      <c r="G57" s="14">
        <f t="shared" si="9"/>
        <v>0.93712963235918578</v>
      </c>
      <c r="H57" s="14">
        <f t="shared" si="9"/>
        <v>0.94165439011934049</v>
      </c>
      <c r="I57" s="14">
        <f t="shared" si="9"/>
        <v>0.97051646261034352</v>
      </c>
      <c r="J57" s="14">
        <f t="shared" si="9"/>
        <v>0.96768548643660002</v>
      </c>
      <c r="K57" s="14">
        <f t="shared" si="9"/>
        <v>0.96935908753715205</v>
      </c>
      <c r="L57" s="14">
        <f t="shared" si="9"/>
        <v>0.96533570302758398</v>
      </c>
      <c r="M57" s="14">
        <f t="shared" si="9"/>
        <v>0.96052753387526557</v>
      </c>
      <c r="N57" s="14">
        <f t="shared" si="9"/>
        <v>0.97188527844345063</v>
      </c>
      <c r="O57" s="14">
        <f t="shared" si="9"/>
        <v>0.97823701601203494</v>
      </c>
      <c r="P57" s="14">
        <f t="shared" si="9"/>
        <v>1.0038424175256524</v>
      </c>
      <c r="Q57" s="14">
        <f t="shared" si="9"/>
        <v>1.0355514779204436</v>
      </c>
      <c r="R57" s="14">
        <f t="shared" si="9"/>
        <v>1.0627869333777733</v>
      </c>
      <c r="S57" s="14">
        <f t="shared" si="9"/>
        <v>1.1041729632931889</v>
      </c>
      <c r="T57" s="14">
        <f t="shared" si="9"/>
        <v>1.1257635338111667</v>
      </c>
      <c r="U57" s="14">
        <f t="shared" si="9"/>
        <v>1.1268451405654609</v>
      </c>
      <c r="V57" s="14">
        <f t="shared" si="9"/>
        <v>1.1196782909311311</v>
      </c>
      <c r="W57" s="14">
        <f t="shared" si="9"/>
        <v>1.1380666824435088</v>
      </c>
      <c r="X57" s="14">
        <f t="shared" si="9"/>
        <v>1.1613621726329706</v>
      </c>
      <c r="Y57" s="14">
        <f t="shared" si="9"/>
        <v>1.1674648212185088</v>
      </c>
      <c r="Z57" s="14">
        <f t="shared" si="9"/>
        <v>1.1647481358647076</v>
      </c>
      <c r="AA57" s="14">
        <f t="shared" si="9"/>
        <v>1.1854026166363203</v>
      </c>
      <c r="AB57" s="14">
        <f t="shared" si="9"/>
        <v>1.173114510726404</v>
      </c>
      <c r="AC57" s="14">
        <f t="shared" si="9"/>
        <v>1.1348166316773161</v>
      </c>
      <c r="AD57" s="14">
        <f t="shared" si="9"/>
        <v>1.1123788450554646</v>
      </c>
      <c r="AE57" s="14">
        <f t="shared" si="9"/>
        <v>1.1257351624839598</v>
      </c>
      <c r="AF57" s="14">
        <f t="shared" si="9"/>
        <v>1.1477200347533514</v>
      </c>
      <c r="AG57" s="14">
        <f t="shared" si="9"/>
        <v>1.1497654901078818</v>
      </c>
      <c r="AH57" s="14">
        <f t="shared" si="9"/>
        <v>1.1431473811562549</v>
      </c>
      <c r="AI57" s="14">
        <f t="shared" si="9"/>
        <v>1.1366384105131542</v>
      </c>
      <c r="AJ57" s="14">
        <f t="shared" si="9"/>
        <v>1.1256476506021491</v>
      </c>
      <c r="AK57" s="14">
        <f t="shared" si="9"/>
        <v>1.1002371092693877</v>
      </c>
      <c r="AL57" s="14">
        <f t="shared" si="9"/>
        <v>1.0600378399971342</v>
      </c>
      <c r="AM57" s="14">
        <f t="shared" si="9"/>
        <v>1.0205164567845408</v>
      </c>
      <c r="AN57" s="14">
        <f t="shared" si="9"/>
        <v>0.97366329866098689</v>
      </c>
      <c r="AO57" s="14">
        <f t="shared" si="9"/>
        <v>0.9263623662641608</v>
      </c>
      <c r="AP57" s="14">
        <f t="shared" si="9"/>
        <v>0.8945023865031112</v>
      </c>
      <c r="AQ57" s="14">
        <f t="shared" si="9"/>
        <v>0.83780983457454972</v>
      </c>
      <c r="AR57" s="14">
        <f t="shared" si="9"/>
        <v>0.80444868508296641</v>
      </c>
      <c r="AS57" s="14">
        <f t="shared" si="9"/>
        <v>0.78393690860445564</v>
      </c>
      <c r="AT57" s="14">
        <f t="shared" si="9"/>
        <v>0.75836007102362069</v>
      </c>
      <c r="AU57" s="14">
        <f t="shared" si="9"/>
        <v>0.7438961134016927</v>
      </c>
      <c r="AV57" s="14">
        <f t="shared" si="9"/>
        <v>0.73323127466119531</v>
      </c>
      <c r="AW57" s="14">
        <f t="shared" si="9"/>
        <v>0.74194791439806862</v>
      </c>
      <c r="AX57" s="14">
        <f t="shared" si="9"/>
        <v>0.72406205244736355</v>
      </c>
      <c r="AY57" s="14"/>
      <c r="AZ57" s="14"/>
      <c r="BA57" s="14"/>
      <c r="BB57" s="14"/>
      <c r="BC57" s="14"/>
      <c r="BD57" s="14"/>
      <c r="BE57" s="14"/>
      <c r="BF57" s="14"/>
      <c r="BG57" s="14"/>
    </row>
    <row r="58" spans="1:59" x14ac:dyDescent="0.45">
      <c r="B58" t="s">
        <v>194</v>
      </c>
      <c r="C58" s="14">
        <f>C52</f>
        <v>0.89685368511545305</v>
      </c>
      <c r="D58" s="14">
        <f t="shared" si="9"/>
        <v>0.9079599931003407</v>
      </c>
      <c r="E58" s="14">
        <f t="shared" si="9"/>
        <v>0.91388427265894956</v>
      </c>
      <c r="F58" s="14">
        <f t="shared" si="9"/>
        <v>0.90570272618360681</v>
      </c>
      <c r="G58" s="14">
        <f t="shared" si="9"/>
        <v>0.88980597855279897</v>
      </c>
      <c r="H58" s="14">
        <f t="shared" si="9"/>
        <v>0.89356836816725083</v>
      </c>
      <c r="I58" s="14">
        <f t="shared" si="9"/>
        <v>0.91781175157529327</v>
      </c>
      <c r="J58" s="14">
        <f t="shared" si="9"/>
        <v>0.91713328948139716</v>
      </c>
      <c r="K58" s="14">
        <f t="shared" si="9"/>
        <v>0.92338963340726365</v>
      </c>
      <c r="L58" s="14">
        <f t="shared" si="9"/>
        <v>0.91541213687682843</v>
      </c>
      <c r="M58" s="14">
        <f t="shared" si="9"/>
        <v>0.90535496559145334</v>
      </c>
      <c r="N58" s="14">
        <f t="shared" si="9"/>
        <v>0.91128880658518896</v>
      </c>
      <c r="O58" s="14">
        <f t="shared" si="9"/>
        <v>0.92542419411509313</v>
      </c>
      <c r="P58" s="14">
        <f t="shared" si="9"/>
        <v>0.95586985570549066</v>
      </c>
      <c r="Q58" s="14">
        <f t="shared" si="9"/>
        <v>0.98519322214545924</v>
      </c>
      <c r="R58" s="14">
        <f t="shared" si="9"/>
        <v>1.0139054307462814</v>
      </c>
      <c r="S58" s="14">
        <f t="shared" si="9"/>
        <v>1.0684544807990826</v>
      </c>
      <c r="T58" s="14">
        <f t="shared" si="9"/>
        <v>1.0933945362861148</v>
      </c>
      <c r="U58" s="14">
        <f t="shared" si="9"/>
        <v>1.0960028396896275</v>
      </c>
      <c r="V58" s="14">
        <f t="shared" si="9"/>
        <v>1.0883745335629509</v>
      </c>
      <c r="W58" s="14">
        <f t="shared" si="9"/>
        <v>1.1064786458649869</v>
      </c>
      <c r="X58" s="14">
        <f t="shared" si="9"/>
        <v>1.1272058347309095</v>
      </c>
      <c r="Y58" s="14">
        <f t="shared" si="9"/>
        <v>1.1317655748806077</v>
      </c>
      <c r="Z58" s="14">
        <f t="shared" si="9"/>
        <v>1.1219866771327727</v>
      </c>
      <c r="AA58" s="14">
        <f t="shared" si="9"/>
        <v>1.1413560627265213</v>
      </c>
      <c r="AB58" s="14">
        <f t="shared" si="9"/>
        <v>1.1318062344709516</v>
      </c>
      <c r="AC58" s="14">
        <f t="shared" si="9"/>
        <v>1.0965079483594999</v>
      </c>
      <c r="AD58" s="14">
        <f t="shared" si="9"/>
        <v>1.0724722156502411</v>
      </c>
      <c r="AE58" s="14">
        <f t="shared" si="9"/>
        <v>1.0843619080008433</v>
      </c>
      <c r="AF58" s="14">
        <f t="shared" si="9"/>
        <v>1.1097283291613556</v>
      </c>
      <c r="AG58" s="14">
        <f t="shared" si="9"/>
        <v>1.106059517089617</v>
      </c>
      <c r="AH58" s="14">
        <f t="shared" si="9"/>
        <v>1.1012948885283484</v>
      </c>
      <c r="AI58" s="14">
        <f t="shared" si="9"/>
        <v>1.1009608355446505</v>
      </c>
      <c r="AJ58" s="14">
        <f t="shared" si="9"/>
        <v>1.0960809401140472</v>
      </c>
      <c r="AK58" s="14">
        <f t="shared" si="9"/>
        <v>1.0721776718180462</v>
      </c>
      <c r="AL58" s="14">
        <f t="shared" si="9"/>
        <v>1.0305604422591321</v>
      </c>
      <c r="AM58" s="14">
        <f t="shared" si="9"/>
        <v>0.99029536716733035</v>
      </c>
      <c r="AN58" s="14">
        <f t="shared" si="9"/>
        <v>0.94411591235149495</v>
      </c>
      <c r="AO58" s="14">
        <f t="shared" si="9"/>
        <v>0.89534792400094565</v>
      </c>
      <c r="AP58" s="14">
        <f t="shared" si="9"/>
        <v>0.86638829097948811</v>
      </c>
      <c r="AQ58" s="14">
        <f t="shared" si="9"/>
        <v>0.80704295826854688</v>
      </c>
      <c r="AR58" s="14">
        <f t="shared" si="9"/>
        <v>0.77188280672782073</v>
      </c>
      <c r="AS58" s="14">
        <f t="shared" si="9"/>
        <v>0.75014568077347832</v>
      </c>
      <c r="AT58" s="14">
        <f t="shared" si="9"/>
        <v>0.72537557092458183</v>
      </c>
      <c r="AU58" s="14">
        <f t="shared" si="9"/>
        <v>0.71283880970948221</v>
      </c>
      <c r="AV58" s="14">
        <f t="shared" si="9"/>
        <v>0.702160804277146</v>
      </c>
      <c r="AW58" s="14">
        <f t="shared" si="9"/>
        <v>0.71304893853889872</v>
      </c>
      <c r="AX58" s="14">
        <f t="shared" si="9"/>
        <v>0.69500831634271809</v>
      </c>
      <c r="AY58" s="14"/>
      <c r="AZ58" s="14"/>
      <c r="BA58" s="14"/>
      <c r="BB58" s="14"/>
      <c r="BC58" s="14"/>
      <c r="BD58" s="14"/>
      <c r="BE58" s="14"/>
      <c r="BF58" s="14"/>
      <c r="BG58" s="1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Copyright</vt:lpstr>
      <vt:lpstr>Population</vt:lpstr>
      <vt:lpstr>GDP</vt:lpstr>
      <vt:lpstr>Theil</vt:lpstr>
      <vt:lpstr>Decomposition</vt:lpstr>
      <vt:lpstr>Theil Decomposition 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Freeman</dc:creator>
  <cp:lastModifiedBy>Alan Freeman</cp:lastModifiedBy>
  <dcterms:created xsi:type="dcterms:W3CDTF">2015-06-05T18:17:20Z</dcterms:created>
  <dcterms:modified xsi:type="dcterms:W3CDTF">2020-12-07T00:33:47Z</dcterms:modified>
</cp:coreProperties>
</file>