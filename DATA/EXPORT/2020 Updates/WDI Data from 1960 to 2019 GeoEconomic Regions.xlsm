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mc:AlternateContent xmlns:mc="http://schemas.openxmlformats.org/markup-compatibility/2006">
    <mc:Choice Requires="x15">
      <x15ac:absPath xmlns:x15ac="http://schemas.microsoft.com/office/spreadsheetml/2010/11/ac" url="C:\Users\afree\Documents\Github\MacroEconomic History\EXPORT\2020 Updates\"/>
    </mc:Choice>
  </mc:AlternateContent>
  <xr:revisionPtr revIDLastSave="0" documentId="13_ncr:1_{87312E36-946A-4E6A-8756-871412F0B4E9}" xr6:coauthVersionLast="45" xr6:coauthVersionMax="45" xr10:uidLastSave="{00000000-0000-0000-0000-000000000000}"/>
  <bookViews>
    <workbookView xWindow="-98" yWindow="-98" windowWidth="28996" windowHeight="15945" activeTab="3" xr2:uid="{00000000-000D-0000-FFFF-FFFF00000000}"/>
  </bookViews>
  <sheets>
    <sheet name="Copyright" sheetId="2" r:id="rId1"/>
    <sheet name="Population" sheetId="1" r:id="rId2"/>
    <sheet name="GDP" sheetId="6" r:id="rId3"/>
    <sheet name="Theil" sheetId="7" r:id="rId4"/>
    <sheet name="Unnormalised T" sheetId="12" r:id="rId5"/>
    <sheet name="Theil Components" sheetId="13" r:id="rId6"/>
  </sheets>
  <externalReferences>
    <externalReference r:id="rId7"/>
    <externalReference r:id="rId8"/>
    <externalReference r:id="rId9"/>
    <externalReference r:id="rId10"/>
  </externalReferences>
  <definedNames>
    <definedName name="GrowthRelatives">'[1]Dispersion UN Ratios'!$AZ$5:$BD$159</definedName>
    <definedName name="North_GDP">[2]GDP!$B$11:$BI$29</definedName>
    <definedName name="North_paper_2">'[3]Dispersion UN GD-Cap'!$E$3:$AZ$35</definedName>
    <definedName name="North_Pop">[2]POP!$B$11:$BI$29</definedName>
  </definedNames>
  <calcPr calcId="191029"/>
  <pivotCaches>
    <pivotCache cacheId="15" r:id="rId11"/>
    <pivotCache cacheId="16" r:id="rId1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Z90" i="7" l="1"/>
  <c r="AY90" i="7"/>
  <c r="AX90" i="7"/>
  <c r="AW90" i="7"/>
  <c r="AV90" i="7"/>
  <c r="AU90" i="7"/>
  <c r="AT90" i="7"/>
  <c r="AS90" i="7"/>
  <c r="AR90" i="7"/>
  <c r="AQ90" i="7"/>
  <c r="AP90" i="7"/>
  <c r="AO90" i="7"/>
  <c r="AN90" i="7"/>
  <c r="AM90" i="7"/>
  <c r="AL90" i="7"/>
  <c r="AK90" i="7"/>
  <c r="AJ90" i="7"/>
  <c r="AI90" i="7"/>
  <c r="AH90" i="7"/>
  <c r="AG90" i="7"/>
  <c r="AF90" i="7"/>
  <c r="AE90" i="7"/>
  <c r="AD90" i="7"/>
  <c r="AC90" i="7"/>
  <c r="AB90" i="7"/>
  <c r="AA90" i="7"/>
  <c r="Z90" i="7"/>
  <c r="Y90" i="7"/>
  <c r="X90" i="7"/>
  <c r="W90" i="7"/>
  <c r="V90" i="7"/>
  <c r="U90" i="7"/>
  <c r="T90" i="7"/>
  <c r="S90" i="7"/>
  <c r="R90" i="7"/>
  <c r="Q90" i="7"/>
  <c r="P90" i="7"/>
  <c r="O90" i="7"/>
  <c r="N90" i="7"/>
  <c r="M90" i="7"/>
  <c r="L90" i="7"/>
  <c r="K90" i="7"/>
  <c r="J90" i="7"/>
  <c r="I90" i="7"/>
  <c r="H90" i="7"/>
  <c r="G90" i="7"/>
  <c r="F90" i="7"/>
  <c r="E90" i="7"/>
  <c r="D90" i="7"/>
  <c r="C90" i="7"/>
  <c r="AZ89" i="7"/>
  <c r="AY89" i="7"/>
  <c r="AX89" i="7"/>
  <c r="AW89" i="7"/>
  <c r="AV89" i="7"/>
  <c r="AU89" i="7"/>
  <c r="AT89" i="7"/>
  <c r="AS89" i="7"/>
  <c r="AR89" i="7"/>
  <c r="AQ89" i="7"/>
  <c r="AP89" i="7"/>
  <c r="AO89" i="7"/>
  <c r="AN89" i="7"/>
  <c r="AM89" i="7"/>
  <c r="AL89" i="7"/>
  <c r="AK89" i="7"/>
  <c r="AJ89" i="7"/>
  <c r="AI89" i="7"/>
  <c r="AH89" i="7"/>
  <c r="AG89" i="7"/>
  <c r="AF89" i="7"/>
  <c r="AE89" i="7"/>
  <c r="AD89" i="7"/>
  <c r="AC89" i="7"/>
  <c r="AB89" i="7"/>
  <c r="AA89" i="7"/>
  <c r="Z89" i="7"/>
  <c r="Y89" i="7"/>
  <c r="X89" i="7"/>
  <c r="W89" i="7"/>
  <c r="V89" i="7"/>
  <c r="U89" i="7"/>
  <c r="T89" i="7"/>
  <c r="S89" i="7"/>
  <c r="R89" i="7"/>
  <c r="Q89" i="7"/>
  <c r="P89" i="7"/>
  <c r="O89" i="7"/>
  <c r="N89" i="7"/>
  <c r="M89" i="7"/>
  <c r="L89" i="7"/>
  <c r="K89" i="7"/>
  <c r="J89" i="7"/>
  <c r="I89" i="7"/>
  <c r="H89" i="7"/>
  <c r="G89" i="7"/>
  <c r="F89" i="7"/>
  <c r="E89" i="7"/>
  <c r="D89" i="7"/>
  <c r="C89" i="7"/>
  <c r="AZ88" i="7"/>
  <c r="AY88" i="7"/>
  <c r="AX88" i="7"/>
  <c r="AW88" i="7"/>
  <c r="AV88" i="7"/>
  <c r="AU88" i="7"/>
  <c r="AT88" i="7"/>
  <c r="AS88" i="7"/>
  <c r="AR88" i="7"/>
  <c r="AQ88" i="7"/>
  <c r="AP88" i="7"/>
  <c r="AO88" i="7"/>
  <c r="AN88" i="7"/>
  <c r="AM88" i="7"/>
  <c r="AL88" i="7"/>
  <c r="AK88" i="7"/>
  <c r="AJ88" i="7"/>
  <c r="AI88" i="7"/>
  <c r="AH88" i="7"/>
  <c r="AG88" i="7"/>
  <c r="AF88" i="7"/>
  <c r="AE88" i="7"/>
  <c r="AD88" i="7"/>
  <c r="AC88" i="7"/>
  <c r="AB88" i="7"/>
  <c r="AA88" i="7"/>
  <c r="Z88" i="7"/>
  <c r="Y88" i="7"/>
  <c r="X88" i="7"/>
  <c r="W88" i="7"/>
  <c r="V88" i="7"/>
  <c r="U88" i="7"/>
  <c r="T88" i="7"/>
  <c r="S88" i="7"/>
  <c r="R88" i="7"/>
  <c r="Q88" i="7"/>
  <c r="P88" i="7"/>
  <c r="O88" i="7"/>
  <c r="N88" i="7"/>
  <c r="M88" i="7"/>
  <c r="L88" i="7"/>
  <c r="K88" i="7"/>
  <c r="J88" i="7"/>
  <c r="I88" i="7"/>
  <c r="H88" i="7"/>
  <c r="G88" i="7"/>
  <c r="F88" i="7"/>
  <c r="E88" i="7"/>
  <c r="D88" i="7"/>
  <c r="C88" i="7"/>
  <c r="AZ87" i="7"/>
  <c r="AY87" i="7"/>
  <c r="AX87" i="7"/>
  <c r="AW87" i="7"/>
  <c r="AV87" i="7"/>
  <c r="AU87" i="7"/>
  <c r="AT87" i="7"/>
  <c r="AS87" i="7"/>
  <c r="AR87" i="7"/>
  <c r="AQ87" i="7"/>
  <c r="AP87" i="7"/>
  <c r="AO87" i="7"/>
  <c r="AN87" i="7"/>
  <c r="AM87" i="7"/>
  <c r="AL87" i="7"/>
  <c r="AK87" i="7"/>
  <c r="AJ87" i="7"/>
  <c r="AI87" i="7"/>
  <c r="AH87" i="7"/>
  <c r="AG87" i="7"/>
  <c r="AF87" i="7"/>
  <c r="AE87" i="7"/>
  <c r="AD87" i="7"/>
  <c r="AC87" i="7"/>
  <c r="AB87" i="7"/>
  <c r="AA87" i="7"/>
  <c r="Z87" i="7"/>
  <c r="Y87" i="7"/>
  <c r="X87" i="7"/>
  <c r="W87" i="7"/>
  <c r="V87" i="7"/>
  <c r="U87" i="7"/>
  <c r="T87" i="7"/>
  <c r="S87" i="7"/>
  <c r="R87" i="7"/>
  <c r="Q87" i="7"/>
  <c r="P87" i="7"/>
  <c r="O87" i="7"/>
  <c r="N87" i="7"/>
  <c r="M87" i="7"/>
  <c r="L87" i="7"/>
  <c r="K87" i="7"/>
  <c r="J87" i="7"/>
  <c r="I87" i="7"/>
  <c r="H87" i="7"/>
  <c r="G87" i="7"/>
  <c r="F87" i="7"/>
  <c r="E87" i="7"/>
  <c r="D87" i="7"/>
  <c r="C87" i="7"/>
  <c r="AZ86" i="7"/>
  <c r="AY86" i="7"/>
  <c r="AX86" i="7"/>
  <c r="AW86" i="7"/>
  <c r="AV86" i="7"/>
  <c r="AU86" i="7"/>
  <c r="AT86" i="7"/>
  <c r="AS86" i="7"/>
  <c r="AR86" i="7"/>
  <c r="AQ86" i="7"/>
  <c r="AP86" i="7"/>
  <c r="AO86" i="7"/>
  <c r="AN86" i="7"/>
  <c r="AM86" i="7"/>
  <c r="AL86" i="7"/>
  <c r="AK86" i="7"/>
  <c r="AJ86" i="7"/>
  <c r="AI86" i="7"/>
  <c r="AH86" i="7"/>
  <c r="AG86" i="7"/>
  <c r="AF86" i="7"/>
  <c r="AE86" i="7"/>
  <c r="AD86" i="7"/>
  <c r="AC86" i="7"/>
  <c r="AB86" i="7"/>
  <c r="AA86" i="7"/>
  <c r="Z86" i="7"/>
  <c r="Y86" i="7"/>
  <c r="X86" i="7"/>
  <c r="W86" i="7"/>
  <c r="V86" i="7"/>
  <c r="U86" i="7"/>
  <c r="T86" i="7"/>
  <c r="S86" i="7"/>
  <c r="R86" i="7"/>
  <c r="Q86" i="7"/>
  <c r="P86" i="7"/>
  <c r="O86" i="7"/>
  <c r="N86" i="7"/>
  <c r="M86" i="7"/>
  <c r="L86" i="7"/>
  <c r="K86" i="7"/>
  <c r="J86" i="7"/>
  <c r="I86" i="7"/>
  <c r="H86" i="7"/>
  <c r="G86" i="7"/>
  <c r="F86" i="7"/>
  <c r="E86" i="7"/>
  <c r="D86" i="7"/>
  <c r="C86" i="7"/>
  <c r="AZ85" i="7"/>
  <c r="AY85" i="7"/>
  <c r="AX85" i="7"/>
  <c r="AW85" i="7"/>
  <c r="AV85" i="7"/>
  <c r="AU85" i="7"/>
  <c r="AT85" i="7"/>
  <c r="AS85" i="7"/>
  <c r="AR85" i="7"/>
  <c r="AQ85" i="7"/>
  <c r="AP85" i="7"/>
  <c r="AO85" i="7"/>
  <c r="AN85" i="7"/>
  <c r="AM85" i="7"/>
  <c r="AL85" i="7"/>
  <c r="AK85" i="7"/>
  <c r="AJ85" i="7"/>
  <c r="AI85" i="7"/>
  <c r="AH85" i="7"/>
  <c r="AG85" i="7"/>
  <c r="AF85" i="7"/>
  <c r="AE85" i="7"/>
  <c r="AD85" i="7"/>
  <c r="AC85" i="7"/>
  <c r="AB85" i="7"/>
  <c r="AA85" i="7"/>
  <c r="Z85" i="7"/>
  <c r="Y85" i="7"/>
  <c r="X85" i="7"/>
  <c r="W85" i="7"/>
  <c r="V85" i="7"/>
  <c r="U85" i="7"/>
  <c r="T85" i="7"/>
  <c r="S85" i="7"/>
  <c r="R85" i="7"/>
  <c r="Q85" i="7"/>
  <c r="P85" i="7"/>
  <c r="O85" i="7"/>
  <c r="N85" i="7"/>
  <c r="M85" i="7"/>
  <c r="L85" i="7"/>
  <c r="K85" i="7"/>
  <c r="J85" i="7"/>
  <c r="I85" i="7"/>
  <c r="H85" i="7"/>
  <c r="G85" i="7"/>
  <c r="F85" i="7"/>
  <c r="E85" i="7"/>
  <c r="D85" i="7"/>
  <c r="C85" i="7"/>
  <c r="AZ84" i="7"/>
  <c r="AY84" i="7"/>
  <c r="AX84" i="7"/>
  <c r="AW84" i="7"/>
  <c r="AV84" i="7"/>
  <c r="AU84" i="7"/>
  <c r="AT84" i="7"/>
  <c r="AS84" i="7"/>
  <c r="AR84" i="7"/>
  <c r="AQ84" i="7"/>
  <c r="AP84" i="7"/>
  <c r="AO84" i="7"/>
  <c r="AN84" i="7"/>
  <c r="AM84" i="7"/>
  <c r="AL84" i="7"/>
  <c r="AK84" i="7"/>
  <c r="AJ84" i="7"/>
  <c r="AI84" i="7"/>
  <c r="AH84" i="7"/>
  <c r="AG84" i="7"/>
  <c r="AF84" i="7"/>
  <c r="AE84" i="7"/>
  <c r="AD84" i="7"/>
  <c r="AC84" i="7"/>
  <c r="AB84" i="7"/>
  <c r="AA84" i="7"/>
  <c r="Z84" i="7"/>
  <c r="Y84" i="7"/>
  <c r="X84" i="7"/>
  <c r="W84" i="7"/>
  <c r="V84" i="7"/>
  <c r="U84" i="7"/>
  <c r="T84" i="7"/>
  <c r="S84" i="7"/>
  <c r="R84" i="7"/>
  <c r="Q84" i="7"/>
  <c r="P84" i="7"/>
  <c r="O84" i="7"/>
  <c r="N84" i="7"/>
  <c r="M84" i="7"/>
  <c r="L84" i="7"/>
  <c r="K84" i="7"/>
  <c r="J84" i="7"/>
  <c r="I84" i="7"/>
  <c r="H84" i="7"/>
  <c r="G84" i="7"/>
  <c r="F84" i="7"/>
  <c r="E84" i="7"/>
  <c r="D84" i="7"/>
  <c r="C84" i="7"/>
  <c r="AZ83" i="7"/>
  <c r="AY83" i="7"/>
  <c r="AX83" i="7"/>
  <c r="AW83" i="7"/>
  <c r="AV83" i="7"/>
  <c r="AU83" i="7"/>
  <c r="AT83" i="7"/>
  <c r="AS83" i="7"/>
  <c r="AR83" i="7"/>
  <c r="AQ83" i="7"/>
  <c r="AP83" i="7"/>
  <c r="AO83" i="7"/>
  <c r="AN83" i="7"/>
  <c r="AM83" i="7"/>
  <c r="AL83" i="7"/>
  <c r="AK83" i="7"/>
  <c r="AJ83" i="7"/>
  <c r="AI83" i="7"/>
  <c r="AH83" i="7"/>
  <c r="AG83" i="7"/>
  <c r="AF83" i="7"/>
  <c r="AE83" i="7"/>
  <c r="AD83" i="7"/>
  <c r="AC83" i="7"/>
  <c r="AB83" i="7"/>
  <c r="AA83" i="7"/>
  <c r="Z83" i="7"/>
  <c r="Y83" i="7"/>
  <c r="X83" i="7"/>
  <c r="W83" i="7"/>
  <c r="V83" i="7"/>
  <c r="U83" i="7"/>
  <c r="T83" i="7"/>
  <c r="S83" i="7"/>
  <c r="R83" i="7"/>
  <c r="Q83" i="7"/>
  <c r="P83" i="7"/>
  <c r="O83" i="7"/>
  <c r="N83" i="7"/>
  <c r="M83" i="7"/>
  <c r="L83" i="7"/>
  <c r="K83" i="7"/>
  <c r="J83" i="7"/>
  <c r="I83" i="7"/>
  <c r="H83" i="7"/>
  <c r="G83" i="7"/>
  <c r="F83" i="7"/>
  <c r="E83" i="7"/>
  <c r="D83" i="7"/>
  <c r="C83" i="7"/>
  <c r="AZ82" i="7"/>
  <c r="AY82" i="7"/>
  <c r="AX82" i="7"/>
  <c r="AW82" i="7"/>
  <c r="AV82" i="7"/>
  <c r="AU82" i="7"/>
  <c r="AT82" i="7"/>
  <c r="AS82" i="7"/>
  <c r="AR82" i="7"/>
  <c r="AQ82" i="7"/>
  <c r="AP82" i="7"/>
  <c r="AO82" i="7"/>
  <c r="AN82" i="7"/>
  <c r="AM82" i="7"/>
  <c r="AL82" i="7"/>
  <c r="AK82" i="7"/>
  <c r="AJ82" i="7"/>
  <c r="AI82" i="7"/>
  <c r="AH82" i="7"/>
  <c r="AG82" i="7"/>
  <c r="AF82" i="7"/>
  <c r="AE82" i="7"/>
  <c r="AD82" i="7"/>
  <c r="AC82" i="7"/>
  <c r="AB82" i="7"/>
  <c r="AA82" i="7"/>
  <c r="Z82" i="7"/>
  <c r="Y82" i="7"/>
  <c r="X82" i="7"/>
  <c r="W82" i="7"/>
  <c r="V82" i="7"/>
  <c r="U82" i="7"/>
  <c r="T82" i="7"/>
  <c r="S82" i="7"/>
  <c r="R82" i="7"/>
  <c r="Q82" i="7"/>
  <c r="P82" i="7"/>
  <c r="O82" i="7"/>
  <c r="N82" i="7"/>
  <c r="M82" i="7"/>
  <c r="L82" i="7"/>
  <c r="K82" i="7"/>
  <c r="J82" i="7"/>
  <c r="I82" i="7"/>
  <c r="H82" i="7"/>
  <c r="G82" i="7"/>
  <c r="F82" i="7"/>
  <c r="E82" i="7"/>
  <c r="D82" i="7"/>
  <c r="C82" i="7"/>
  <c r="AZ57" i="7" l="1"/>
  <c r="AY57" i="7"/>
  <c r="AX57" i="7"/>
  <c r="AW57" i="7"/>
  <c r="AV57" i="7"/>
  <c r="AU57" i="7"/>
  <c r="AT57" i="7"/>
  <c r="AS57" i="7"/>
  <c r="AR57" i="7"/>
  <c r="AQ57" i="7"/>
  <c r="AP57" i="7"/>
  <c r="AO57" i="7"/>
  <c r="AN57" i="7"/>
  <c r="AM57" i="7"/>
  <c r="AL57" i="7"/>
  <c r="AK57" i="7"/>
  <c r="AJ57" i="7"/>
  <c r="AI57" i="7"/>
  <c r="AH57" i="7"/>
  <c r="AG57" i="7"/>
  <c r="AF57" i="7"/>
  <c r="AE57" i="7"/>
  <c r="AD57" i="7"/>
  <c r="AC57" i="7"/>
  <c r="AB57" i="7"/>
  <c r="AA57" i="7"/>
  <c r="Z57" i="7"/>
  <c r="Y57" i="7"/>
  <c r="X57" i="7"/>
  <c r="W57" i="7"/>
  <c r="V57" i="7"/>
  <c r="U57" i="7"/>
  <c r="T57" i="7"/>
  <c r="S57" i="7"/>
  <c r="R57" i="7"/>
  <c r="Q57" i="7"/>
  <c r="P57" i="7"/>
  <c r="O57" i="7"/>
  <c r="N57" i="7"/>
  <c r="M57" i="7"/>
  <c r="L57" i="7"/>
  <c r="K57" i="7"/>
  <c r="J57" i="7"/>
  <c r="I57" i="7"/>
  <c r="H57" i="7"/>
  <c r="G57" i="7"/>
  <c r="F57" i="7"/>
  <c r="E57" i="7"/>
  <c r="D57" i="7"/>
  <c r="AZ56" i="7"/>
  <c r="AY56" i="7"/>
  <c r="AX56" i="7"/>
  <c r="AW56" i="7"/>
  <c r="AV56" i="7"/>
  <c r="AU56" i="7"/>
  <c r="AT56" i="7"/>
  <c r="AS56" i="7"/>
  <c r="AR56" i="7"/>
  <c r="AQ56" i="7"/>
  <c r="AP56" i="7"/>
  <c r="AO56" i="7"/>
  <c r="AN56" i="7"/>
  <c r="AM56" i="7"/>
  <c r="AL56" i="7"/>
  <c r="AK56" i="7"/>
  <c r="AJ56" i="7"/>
  <c r="AI56" i="7"/>
  <c r="AH56" i="7"/>
  <c r="AG56" i="7"/>
  <c r="AF56" i="7"/>
  <c r="AE56" i="7"/>
  <c r="AD56" i="7"/>
  <c r="AC56" i="7"/>
  <c r="AB56" i="7"/>
  <c r="AA56" i="7"/>
  <c r="Z56" i="7"/>
  <c r="Y56" i="7"/>
  <c r="X56" i="7"/>
  <c r="W56" i="7"/>
  <c r="V56" i="7"/>
  <c r="U56" i="7"/>
  <c r="T56" i="7"/>
  <c r="S56" i="7"/>
  <c r="R56" i="7"/>
  <c r="Q56" i="7"/>
  <c r="P56" i="7"/>
  <c r="O56" i="7"/>
  <c r="N56" i="7"/>
  <c r="M56" i="7"/>
  <c r="L56" i="7"/>
  <c r="K56" i="7"/>
  <c r="J56" i="7"/>
  <c r="I56" i="7"/>
  <c r="H56" i="7"/>
  <c r="G56" i="7"/>
  <c r="F56" i="7"/>
  <c r="E56" i="7"/>
  <c r="D56" i="7"/>
  <c r="AZ55" i="7"/>
  <c r="AY55" i="7"/>
  <c r="AX55" i="7"/>
  <c r="AW55" i="7"/>
  <c r="AV55" i="7"/>
  <c r="AU55" i="7"/>
  <c r="AT55" i="7"/>
  <c r="AS55" i="7"/>
  <c r="AR55" i="7"/>
  <c r="AQ55" i="7"/>
  <c r="AP55" i="7"/>
  <c r="AO55" i="7"/>
  <c r="AN55" i="7"/>
  <c r="AM55" i="7"/>
  <c r="AL55" i="7"/>
  <c r="AK55" i="7"/>
  <c r="AJ55" i="7"/>
  <c r="AI55" i="7"/>
  <c r="AH55" i="7"/>
  <c r="AG55" i="7"/>
  <c r="AF55" i="7"/>
  <c r="AE55" i="7"/>
  <c r="AD55" i="7"/>
  <c r="AC55" i="7"/>
  <c r="AB55" i="7"/>
  <c r="AA55" i="7"/>
  <c r="Z55" i="7"/>
  <c r="Y55" i="7"/>
  <c r="X55" i="7"/>
  <c r="W55" i="7"/>
  <c r="V55" i="7"/>
  <c r="U55" i="7"/>
  <c r="T55" i="7"/>
  <c r="S55" i="7"/>
  <c r="R55" i="7"/>
  <c r="Q55" i="7"/>
  <c r="P55" i="7"/>
  <c r="O55" i="7"/>
  <c r="N55" i="7"/>
  <c r="M55" i="7"/>
  <c r="L55" i="7"/>
  <c r="K55" i="7"/>
  <c r="J55" i="7"/>
  <c r="I55" i="7"/>
  <c r="H55" i="7"/>
  <c r="G55" i="7"/>
  <c r="F55" i="7"/>
  <c r="E55" i="7"/>
  <c r="D55" i="7"/>
  <c r="AZ53" i="7"/>
  <c r="AY53" i="7"/>
  <c r="AX53" i="7"/>
  <c r="AW53" i="7"/>
  <c r="AV53" i="7"/>
  <c r="AU53" i="7"/>
  <c r="AT53" i="7"/>
  <c r="AS53" i="7"/>
  <c r="AR53" i="7"/>
  <c r="AQ53" i="7"/>
  <c r="AP53" i="7"/>
  <c r="AO53" i="7"/>
  <c r="AN53" i="7"/>
  <c r="AM53" i="7"/>
  <c r="AL53" i="7"/>
  <c r="AK53" i="7"/>
  <c r="AJ53" i="7"/>
  <c r="AI53" i="7"/>
  <c r="AH53" i="7"/>
  <c r="AG53" i="7"/>
  <c r="AF53" i="7"/>
  <c r="AE53" i="7"/>
  <c r="AD53" i="7"/>
  <c r="AC53" i="7"/>
  <c r="AB53" i="7"/>
  <c r="AA53" i="7"/>
  <c r="Z53" i="7"/>
  <c r="Y53" i="7"/>
  <c r="X53" i="7"/>
  <c r="W53" i="7"/>
  <c r="V53" i="7"/>
  <c r="U53" i="7"/>
  <c r="T53" i="7"/>
  <c r="S53" i="7"/>
  <c r="R53" i="7"/>
  <c r="Q53" i="7"/>
  <c r="P53" i="7"/>
  <c r="O53" i="7"/>
  <c r="N53" i="7"/>
  <c r="M53" i="7"/>
  <c r="L53" i="7"/>
  <c r="K53" i="7"/>
  <c r="J53" i="7"/>
  <c r="I53" i="7"/>
  <c r="H53" i="7"/>
  <c r="G53" i="7"/>
  <c r="F53" i="7"/>
  <c r="E53" i="7"/>
  <c r="D53" i="7"/>
  <c r="AZ52" i="7"/>
  <c r="AY52" i="7"/>
  <c r="AX52" i="7"/>
  <c r="AW52" i="7"/>
  <c r="AV52" i="7"/>
  <c r="AU52" i="7"/>
  <c r="AT52" i="7"/>
  <c r="AS52" i="7"/>
  <c r="AR52" i="7"/>
  <c r="AQ52" i="7"/>
  <c r="AP52" i="7"/>
  <c r="AO52" i="7"/>
  <c r="AN52" i="7"/>
  <c r="AM52" i="7"/>
  <c r="AL52" i="7"/>
  <c r="AK52" i="7"/>
  <c r="AJ52" i="7"/>
  <c r="AI52" i="7"/>
  <c r="AH52" i="7"/>
  <c r="AG52" i="7"/>
  <c r="AF52" i="7"/>
  <c r="AE52" i="7"/>
  <c r="AD52" i="7"/>
  <c r="AC52" i="7"/>
  <c r="AB52" i="7"/>
  <c r="AA52" i="7"/>
  <c r="Z52" i="7"/>
  <c r="Y52" i="7"/>
  <c r="X52" i="7"/>
  <c r="W52" i="7"/>
  <c r="V52" i="7"/>
  <c r="U52" i="7"/>
  <c r="T52" i="7"/>
  <c r="S52" i="7"/>
  <c r="R52" i="7"/>
  <c r="Q52" i="7"/>
  <c r="P52" i="7"/>
  <c r="O52" i="7"/>
  <c r="N52" i="7"/>
  <c r="M52" i="7"/>
  <c r="L52" i="7"/>
  <c r="K52" i="7"/>
  <c r="J52" i="7"/>
  <c r="I52" i="7"/>
  <c r="H52" i="7"/>
  <c r="G52" i="7"/>
  <c r="F52" i="7"/>
  <c r="E52" i="7"/>
  <c r="D52" i="7"/>
  <c r="AZ51" i="7"/>
  <c r="AY51" i="7"/>
  <c r="AX51" i="7"/>
  <c r="AW51" i="7"/>
  <c r="AV51" i="7"/>
  <c r="AU51" i="7"/>
  <c r="AT51" i="7"/>
  <c r="AS51" i="7"/>
  <c r="AR51" i="7"/>
  <c r="AQ51" i="7"/>
  <c r="AP51" i="7"/>
  <c r="AO51" i="7"/>
  <c r="AN51" i="7"/>
  <c r="AM51" i="7"/>
  <c r="AL51" i="7"/>
  <c r="AK51" i="7"/>
  <c r="AJ51" i="7"/>
  <c r="AI51" i="7"/>
  <c r="AH51" i="7"/>
  <c r="AG51" i="7"/>
  <c r="AF51" i="7"/>
  <c r="AE51" i="7"/>
  <c r="AD51" i="7"/>
  <c r="AC51" i="7"/>
  <c r="AB51" i="7"/>
  <c r="AA51" i="7"/>
  <c r="Z51" i="7"/>
  <c r="Y51" i="7"/>
  <c r="X51" i="7"/>
  <c r="W51" i="7"/>
  <c r="V51" i="7"/>
  <c r="U51" i="7"/>
  <c r="T51" i="7"/>
  <c r="S51" i="7"/>
  <c r="R51" i="7"/>
  <c r="Q51" i="7"/>
  <c r="P51" i="7"/>
  <c r="O51" i="7"/>
  <c r="N51" i="7"/>
  <c r="M51" i="7"/>
  <c r="L51" i="7"/>
  <c r="K51" i="7"/>
  <c r="J51" i="7"/>
  <c r="I51" i="7"/>
  <c r="H51" i="7"/>
  <c r="G51" i="7"/>
  <c r="F51" i="7"/>
  <c r="E51" i="7"/>
  <c r="D51" i="7"/>
  <c r="AZ50" i="7"/>
  <c r="AY50" i="7"/>
  <c r="AX50" i="7"/>
  <c r="AW50" i="7"/>
  <c r="AV50" i="7"/>
  <c r="AU50" i="7"/>
  <c r="AT50" i="7"/>
  <c r="AS50" i="7"/>
  <c r="AR50" i="7"/>
  <c r="AQ50" i="7"/>
  <c r="AP50" i="7"/>
  <c r="AO50" i="7"/>
  <c r="AN50" i="7"/>
  <c r="AM50" i="7"/>
  <c r="AL50" i="7"/>
  <c r="AK50" i="7"/>
  <c r="AJ50" i="7"/>
  <c r="AI50" i="7"/>
  <c r="AH50" i="7"/>
  <c r="AG50" i="7"/>
  <c r="AF50" i="7"/>
  <c r="AE50" i="7"/>
  <c r="AD50" i="7"/>
  <c r="AC50" i="7"/>
  <c r="AB50" i="7"/>
  <c r="AA50" i="7"/>
  <c r="Z50" i="7"/>
  <c r="Y50" i="7"/>
  <c r="X50" i="7"/>
  <c r="W50" i="7"/>
  <c r="V50" i="7"/>
  <c r="U50" i="7"/>
  <c r="T50" i="7"/>
  <c r="S50" i="7"/>
  <c r="R50" i="7"/>
  <c r="Q50" i="7"/>
  <c r="P50" i="7"/>
  <c r="O50" i="7"/>
  <c r="N50" i="7"/>
  <c r="M50" i="7"/>
  <c r="L50" i="7"/>
  <c r="K50" i="7"/>
  <c r="J50" i="7"/>
  <c r="I50" i="7"/>
  <c r="H50" i="7"/>
  <c r="G50" i="7"/>
  <c r="F50" i="7"/>
  <c r="E50" i="7"/>
  <c r="D50" i="7"/>
  <c r="C57" i="7"/>
  <c r="C56" i="7"/>
  <c r="C55" i="7"/>
  <c r="C53" i="7"/>
  <c r="C52" i="7"/>
  <c r="C51" i="7"/>
  <c r="C50" i="7"/>
  <c r="AZ38" i="7"/>
  <c r="AY38" i="7"/>
  <c r="AX38" i="7"/>
  <c r="AW38" i="7"/>
  <c r="AV38" i="7"/>
  <c r="AU38" i="7"/>
  <c r="AT38" i="7"/>
  <c r="AS38" i="7"/>
  <c r="AR38" i="7"/>
  <c r="AQ38" i="7"/>
  <c r="AP38" i="7"/>
  <c r="AO38" i="7"/>
  <c r="AN38" i="7"/>
  <c r="AM38" i="7"/>
  <c r="AL38" i="7"/>
  <c r="AK38" i="7"/>
  <c r="AJ38" i="7"/>
  <c r="AI38" i="7"/>
  <c r="AH38" i="7"/>
  <c r="AG38" i="7"/>
  <c r="AF38" i="7"/>
  <c r="AE38" i="7"/>
  <c r="AD38" i="7"/>
  <c r="AC38" i="7"/>
  <c r="AB38" i="7"/>
  <c r="AA38" i="7"/>
  <c r="Z38" i="7"/>
  <c r="Y38" i="7"/>
  <c r="X38" i="7"/>
  <c r="W38" i="7"/>
  <c r="V38" i="7"/>
  <c r="U38" i="7"/>
  <c r="T38" i="7"/>
  <c r="S38" i="7"/>
  <c r="R38" i="7"/>
  <c r="Q38" i="7"/>
  <c r="P38" i="7"/>
  <c r="O38" i="7"/>
  <c r="N38" i="7"/>
  <c r="M38" i="7"/>
  <c r="L38" i="7"/>
  <c r="K38" i="7"/>
  <c r="J38" i="7"/>
  <c r="I38" i="7"/>
  <c r="H38" i="7"/>
  <c r="G38" i="7"/>
  <c r="F38" i="7"/>
  <c r="E38" i="7"/>
  <c r="D38" i="7"/>
  <c r="AZ34" i="7"/>
  <c r="AY34" i="7"/>
  <c r="AX34" i="7"/>
  <c r="AW34" i="7"/>
  <c r="AV34" i="7"/>
  <c r="AU34" i="7"/>
  <c r="AT34" i="7"/>
  <c r="AS34" i="7"/>
  <c r="AR34" i="7"/>
  <c r="AQ34" i="7"/>
  <c r="AP34" i="7"/>
  <c r="AO34" i="7"/>
  <c r="AN34" i="7"/>
  <c r="AM34" i="7"/>
  <c r="AL34" i="7"/>
  <c r="AK34" i="7"/>
  <c r="AJ34" i="7"/>
  <c r="AI34" i="7"/>
  <c r="AH34" i="7"/>
  <c r="AG34" i="7"/>
  <c r="AF34" i="7"/>
  <c r="AE34" i="7"/>
  <c r="AD34" i="7"/>
  <c r="AC34" i="7"/>
  <c r="AB34" i="7"/>
  <c r="AA34" i="7"/>
  <c r="Z34" i="7"/>
  <c r="Y34" i="7"/>
  <c r="X34" i="7"/>
  <c r="W34" i="7"/>
  <c r="V34" i="7"/>
  <c r="U34" i="7"/>
  <c r="T34" i="7"/>
  <c r="S34" i="7"/>
  <c r="R34" i="7"/>
  <c r="Q34" i="7"/>
  <c r="P34" i="7"/>
  <c r="O34" i="7"/>
  <c r="N34" i="7"/>
  <c r="M34" i="7"/>
  <c r="L34" i="7"/>
  <c r="K34" i="7"/>
  <c r="J34" i="7"/>
  <c r="I34" i="7"/>
  <c r="H34" i="7"/>
  <c r="G34" i="7"/>
  <c r="F34" i="7"/>
  <c r="E34" i="7"/>
  <c r="D34" i="7"/>
  <c r="C34" i="7"/>
  <c r="AZ33" i="7"/>
  <c r="AY33" i="7"/>
  <c r="AX33" i="7"/>
  <c r="AW33" i="7"/>
  <c r="AV33" i="7"/>
  <c r="AU33" i="7"/>
  <c r="AT33" i="7"/>
  <c r="AS33" i="7"/>
  <c r="AR33" i="7"/>
  <c r="AQ33" i="7"/>
  <c r="AP33" i="7"/>
  <c r="AO33" i="7"/>
  <c r="AN33" i="7"/>
  <c r="AM33" i="7"/>
  <c r="AL33" i="7"/>
  <c r="AK33" i="7"/>
  <c r="AJ33" i="7"/>
  <c r="AI33" i="7"/>
  <c r="AH33" i="7"/>
  <c r="AG33" i="7"/>
  <c r="AF33" i="7"/>
  <c r="AE33" i="7"/>
  <c r="AD33" i="7"/>
  <c r="AC33" i="7"/>
  <c r="AB33" i="7"/>
  <c r="AA33" i="7"/>
  <c r="Z33" i="7"/>
  <c r="Y33" i="7"/>
  <c r="X33" i="7"/>
  <c r="W33" i="7"/>
  <c r="V33" i="7"/>
  <c r="U33" i="7"/>
  <c r="T33" i="7"/>
  <c r="S33" i="7"/>
  <c r="R33" i="7"/>
  <c r="Q33" i="7"/>
  <c r="P33" i="7"/>
  <c r="O33" i="7"/>
  <c r="N33" i="7"/>
  <c r="M33" i="7"/>
  <c r="L33" i="7"/>
  <c r="K33" i="7"/>
  <c r="J33" i="7"/>
  <c r="I33" i="7"/>
  <c r="H33" i="7"/>
  <c r="G33" i="7"/>
  <c r="F33" i="7"/>
  <c r="E33" i="7"/>
  <c r="D33" i="7"/>
  <c r="C33" i="7"/>
  <c r="AZ32" i="7"/>
  <c r="AY32" i="7"/>
  <c r="AX32" i="7"/>
  <c r="AW32" i="7"/>
  <c r="AV32" i="7"/>
  <c r="AU32" i="7"/>
  <c r="AT32" i="7"/>
  <c r="AS32" i="7"/>
  <c r="AR32" i="7"/>
  <c r="AQ32" i="7"/>
  <c r="AP32" i="7"/>
  <c r="AO32" i="7"/>
  <c r="AN32" i="7"/>
  <c r="AM32" i="7"/>
  <c r="AL32" i="7"/>
  <c r="AK32" i="7"/>
  <c r="AJ32" i="7"/>
  <c r="AI32" i="7"/>
  <c r="AH32" i="7"/>
  <c r="AG32" i="7"/>
  <c r="AF32" i="7"/>
  <c r="AE32" i="7"/>
  <c r="AD32" i="7"/>
  <c r="AC32" i="7"/>
  <c r="AB32" i="7"/>
  <c r="AA32" i="7"/>
  <c r="Z32" i="7"/>
  <c r="Y32" i="7"/>
  <c r="X32" i="7"/>
  <c r="W32" i="7"/>
  <c r="V32" i="7"/>
  <c r="U32" i="7"/>
  <c r="T32" i="7"/>
  <c r="S32" i="7"/>
  <c r="R32" i="7"/>
  <c r="Q32" i="7"/>
  <c r="P32" i="7"/>
  <c r="O32" i="7"/>
  <c r="N32" i="7"/>
  <c r="M32" i="7"/>
  <c r="L32" i="7"/>
  <c r="K32" i="7"/>
  <c r="J32" i="7"/>
  <c r="I32" i="7"/>
  <c r="H32" i="7"/>
  <c r="G32" i="7"/>
  <c r="F32" i="7"/>
  <c r="E32" i="7"/>
  <c r="D32" i="7"/>
  <c r="C32" i="7"/>
  <c r="AZ31" i="7"/>
  <c r="AY31" i="7"/>
  <c r="AX31" i="7"/>
  <c r="AW31" i="7"/>
  <c r="AV31" i="7"/>
  <c r="AU31" i="7"/>
  <c r="AT31" i="7"/>
  <c r="AS31" i="7"/>
  <c r="AR31" i="7"/>
  <c r="AQ31" i="7"/>
  <c r="AP31" i="7"/>
  <c r="AO31" i="7"/>
  <c r="AN31" i="7"/>
  <c r="AM31" i="7"/>
  <c r="AL31" i="7"/>
  <c r="AK31" i="7"/>
  <c r="AJ31" i="7"/>
  <c r="AI31" i="7"/>
  <c r="AH31" i="7"/>
  <c r="AG31" i="7"/>
  <c r="AF31" i="7"/>
  <c r="AE31" i="7"/>
  <c r="AD31" i="7"/>
  <c r="AC31" i="7"/>
  <c r="AB31" i="7"/>
  <c r="AA31" i="7"/>
  <c r="Z31" i="7"/>
  <c r="Y31" i="7"/>
  <c r="X31" i="7"/>
  <c r="W31" i="7"/>
  <c r="V31" i="7"/>
  <c r="U31" i="7"/>
  <c r="T31" i="7"/>
  <c r="S31" i="7"/>
  <c r="R31" i="7"/>
  <c r="Q31" i="7"/>
  <c r="P31" i="7"/>
  <c r="O31" i="7"/>
  <c r="N31" i="7"/>
  <c r="M31" i="7"/>
  <c r="L31" i="7"/>
  <c r="K31" i="7"/>
  <c r="J31" i="7"/>
  <c r="I31" i="7"/>
  <c r="H31" i="7"/>
  <c r="G31" i="7"/>
  <c r="F31" i="7"/>
  <c r="E31" i="7"/>
  <c r="D31" i="7"/>
  <c r="C31" i="7"/>
  <c r="AZ30" i="7"/>
  <c r="AY30" i="7"/>
  <c r="AX30" i="7"/>
  <c r="AW30" i="7"/>
  <c r="AV30" i="7"/>
  <c r="AU30" i="7"/>
  <c r="AT30" i="7"/>
  <c r="AS30" i="7"/>
  <c r="AR30" i="7"/>
  <c r="AQ30" i="7"/>
  <c r="AP30" i="7"/>
  <c r="AO30" i="7"/>
  <c r="AN30" i="7"/>
  <c r="AM30" i="7"/>
  <c r="AL30" i="7"/>
  <c r="AK30" i="7"/>
  <c r="AJ30" i="7"/>
  <c r="AI30" i="7"/>
  <c r="AH30" i="7"/>
  <c r="AG30" i="7"/>
  <c r="AF30" i="7"/>
  <c r="AE30" i="7"/>
  <c r="AD30" i="7"/>
  <c r="AC30" i="7"/>
  <c r="AB30" i="7"/>
  <c r="AA30" i="7"/>
  <c r="Z30" i="7"/>
  <c r="Y30" i="7"/>
  <c r="X30" i="7"/>
  <c r="W30" i="7"/>
  <c r="V30" i="7"/>
  <c r="U30" i="7"/>
  <c r="T30" i="7"/>
  <c r="S30" i="7"/>
  <c r="R30" i="7"/>
  <c r="Q30" i="7"/>
  <c r="P30" i="7"/>
  <c r="O30" i="7"/>
  <c r="N30" i="7"/>
  <c r="M30" i="7"/>
  <c r="L30" i="7"/>
  <c r="K30" i="7"/>
  <c r="J30" i="7"/>
  <c r="I30" i="7"/>
  <c r="H30" i="7"/>
  <c r="G30" i="7"/>
  <c r="F30" i="7"/>
  <c r="E30" i="7"/>
  <c r="D30" i="7"/>
  <c r="C30" i="7"/>
  <c r="AZ29" i="7"/>
  <c r="AY29" i="7"/>
  <c r="AX29" i="7"/>
  <c r="AW29" i="7"/>
  <c r="AV29" i="7"/>
  <c r="AU29" i="7"/>
  <c r="AT29" i="7"/>
  <c r="AS29" i="7"/>
  <c r="AR29" i="7"/>
  <c r="AQ29" i="7"/>
  <c r="AP29" i="7"/>
  <c r="AO29" i="7"/>
  <c r="AN29" i="7"/>
  <c r="AM29" i="7"/>
  <c r="AL29" i="7"/>
  <c r="AK29" i="7"/>
  <c r="AJ29" i="7"/>
  <c r="AI29" i="7"/>
  <c r="AH29" i="7"/>
  <c r="AG29" i="7"/>
  <c r="AF29" i="7"/>
  <c r="AE29" i="7"/>
  <c r="AD29" i="7"/>
  <c r="AC29" i="7"/>
  <c r="AB29" i="7"/>
  <c r="AA29" i="7"/>
  <c r="Z29" i="7"/>
  <c r="Y29" i="7"/>
  <c r="X29" i="7"/>
  <c r="W29" i="7"/>
  <c r="V29" i="7"/>
  <c r="U29" i="7"/>
  <c r="T29" i="7"/>
  <c r="S29" i="7"/>
  <c r="R29" i="7"/>
  <c r="Q29" i="7"/>
  <c r="P29" i="7"/>
  <c r="O29" i="7"/>
  <c r="N29" i="7"/>
  <c r="M29" i="7"/>
  <c r="L29" i="7"/>
  <c r="K29" i="7"/>
  <c r="J29" i="7"/>
  <c r="I29" i="7"/>
  <c r="H29" i="7"/>
  <c r="G29" i="7"/>
  <c r="F29" i="7"/>
  <c r="E29" i="7"/>
  <c r="D29" i="7"/>
  <c r="C29" i="7"/>
  <c r="AZ28" i="7"/>
  <c r="AY28" i="7"/>
  <c r="AX28" i="7"/>
  <c r="AW28" i="7"/>
  <c r="AV28" i="7"/>
  <c r="AU28" i="7"/>
  <c r="AT28" i="7"/>
  <c r="AS28" i="7"/>
  <c r="AR28" i="7"/>
  <c r="AQ28" i="7"/>
  <c r="AP28" i="7"/>
  <c r="AO28" i="7"/>
  <c r="AN28" i="7"/>
  <c r="AM28" i="7"/>
  <c r="AL28" i="7"/>
  <c r="AK28" i="7"/>
  <c r="AJ28" i="7"/>
  <c r="AI28" i="7"/>
  <c r="AH28" i="7"/>
  <c r="AG28" i="7"/>
  <c r="AF28" i="7"/>
  <c r="AE28" i="7"/>
  <c r="AD28" i="7"/>
  <c r="AC28" i="7"/>
  <c r="AB28" i="7"/>
  <c r="AA28" i="7"/>
  <c r="Z28" i="7"/>
  <c r="Y28" i="7"/>
  <c r="X28" i="7"/>
  <c r="W28" i="7"/>
  <c r="V28" i="7"/>
  <c r="U28" i="7"/>
  <c r="T28" i="7"/>
  <c r="S28" i="7"/>
  <c r="R28" i="7"/>
  <c r="Q28" i="7"/>
  <c r="P28" i="7"/>
  <c r="O28" i="7"/>
  <c r="N28" i="7"/>
  <c r="M28" i="7"/>
  <c r="L28" i="7"/>
  <c r="K28" i="7"/>
  <c r="J28" i="7"/>
  <c r="I28" i="7"/>
  <c r="H28" i="7"/>
  <c r="G28" i="7"/>
  <c r="F28" i="7"/>
  <c r="E28" i="7"/>
  <c r="D28" i="7"/>
  <c r="C28" i="7"/>
  <c r="AZ27" i="7"/>
  <c r="AY27" i="7"/>
  <c r="AX27" i="7"/>
  <c r="AW27" i="7"/>
  <c r="AV27" i="7"/>
  <c r="AU27" i="7"/>
  <c r="AT27" i="7"/>
  <c r="AS27" i="7"/>
  <c r="AR27" i="7"/>
  <c r="AQ27" i="7"/>
  <c r="AP27" i="7"/>
  <c r="AO27" i="7"/>
  <c r="AN27" i="7"/>
  <c r="AM27" i="7"/>
  <c r="AL27" i="7"/>
  <c r="AK27" i="7"/>
  <c r="AJ27" i="7"/>
  <c r="AI27" i="7"/>
  <c r="AH27" i="7"/>
  <c r="AG27" i="7"/>
  <c r="AF27" i="7"/>
  <c r="AE27" i="7"/>
  <c r="AD27" i="7"/>
  <c r="AC27" i="7"/>
  <c r="AB27" i="7"/>
  <c r="AA27" i="7"/>
  <c r="Z27" i="7"/>
  <c r="Y27" i="7"/>
  <c r="X27" i="7"/>
  <c r="W27" i="7"/>
  <c r="V27" i="7"/>
  <c r="U27" i="7"/>
  <c r="T27" i="7"/>
  <c r="S27" i="7"/>
  <c r="R27" i="7"/>
  <c r="Q27" i="7"/>
  <c r="P27" i="7"/>
  <c r="O27" i="7"/>
  <c r="N27" i="7"/>
  <c r="M27" i="7"/>
  <c r="L27" i="7"/>
  <c r="K27" i="7"/>
  <c r="J27" i="7"/>
  <c r="I27" i="7"/>
  <c r="H27" i="7"/>
  <c r="G27" i="7"/>
  <c r="F27" i="7"/>
  <c r="E27" i="7"/>
  <c r="D27" i="7"/>
  <c r="C27" i="7"/>
  <c r="AZ26" i="7"/>
  <c r="AY26" i="7"/>
  <c r="AX26" i="7"/>
  <c r="AW26" i="7"/>
  <c r="AV26" i="7"/>
  <c r="AU26" i="7"/>
  <c r="AT26" i="7"/>
  <c r="AS26" i="7"/>
  <c r="AR26" i="7"/>
  <c r="AQ26" i="7"/>
  <c r="AP26" i="7"/>
  <c r="AO26" i="7"/>
  <c r="AN26" i="7"/>
  <c r="AM26" i="7"/>
  <c r="AL26" i="7"/>
  <c r="AK26" i="7"/>
  <c r="AJ26" i="7"/>
  <c r="AI26" i="7"/>
  <c r="AH26" i="7"/>
  <c r="AG26" i="7"/>
  <c r="AF26" i="7"/>
  <c r="AE26" i="7"/>
  <c r="AD26" i="7"/>
  <c r="AC26" i="7"/>
  <c r="AB26" i="7"/>
  <c r="AA26" i="7"/>
  <c r="Z26" i="7"/>
  <c r="Y26" i="7"/>
  <c r="X26" i="7"/>
  <c r="W26" i="7"/>
  <c r="V26" i="7"/>
  <c r="U26" i="7"/>
  <c r="T26" i="7"/>
  <c r="S26" i="7"/>
  <c r="R26" i="7"/>
  <c r="Q26" i="7"/>
  <c r="P26" i="7"/>
  <c r="O26" i="7"/>
  <c r="N26" i="7"/>
  <c r="M26" i="7"/>
  <c r="L26" i="7"/>
  <c r="K26" i="7"/>
  <c r="J26" i="7"/>
  <c r="I26" i="7"/>
  <c r="H26" i="7"/>
  <c r="G26" i="7"/>
  <c r="F26" i="7"/>
  <c r="E26" i="7"/>
  <c r="D26" i="7"/>
  <c r="C26" i="7"/>
  <c r="AZ25" i="7"/>
  <c r="AY25" i="7"/>
  <c r="AX25" i="7"/>
  <c r="AW25" i="7"/>
  <c r="AV25" i="7"/>
  <c r="AU25" i="7"/>
  <c r="AT25" i="7"/>
  <c r="AS25" i="7"/>
  <c r="AR25" i="7"/>
  <c r="AQ25" i="7"/>
  <c r="AP25" i="7"/>
  <c r="AO25" i="7"/>
  <c r="AN25" i="7"/>
  <c r="AM25" i="7"/>
  <c r="AL25" i="7"/>
  <c r="AK25" i="7"/>
  <c r="AJ25" i="7"/>
  <c r="AI25" i="7"/>
  <c r="AH25" i="7"/>
  <c r="AG25" i="7"/>
  <c r="AF25" i="7"/>
  <c r="AE25" i="7"/>
  <c r="AD25" i="7"/>
  <c r="AC25" i="7"/>
  <c r="AB25" i="7"/>
  <c r="AA25" i="7"/>
  <c r="Z25" i="7"/>
  <c r="Y25" i="7"/>
  <c r="X25" i="7"/>
  <c r="W25" i="7"/>
  <c r="V25" i="7"/>
  <c r="U25" i="7"/>
  <c r="T25" i="7"/>
  <c r="S25" i="7"/>
  <c r="R25" i="7"/>
  <c r="Q25" i="7"/>
  <c r="P25" i="7"/>
  <c r="O25" i="7"/>
  <c r="N25" i="7"/>
  <c r="M25" i="7"/>
  <c r="L25" i="7"/>
  <c r="K25" i="7"/>
  <c r="J25" i="7"/>
  <c r="I25" i="7"/>
  <c r="H25" i="7"/>
  <c r="G25" i="7"/>
  <c r="F25" i="7"/>
  <c r="E25" i="7"/>
  <c r="D25" i="7"/>
  <c r="C25" i="7"/>
  <c r="B34" i="7"/>
  <c r="B33" i="7"/>
  <c r="B32" i="7"/>
  <c r="B31" i="7"/>
  <c r="B30" i="7"/>
  <c r="B29" i="7"/>
  <c r="B28" i="7"/>
  <c r="B27" i="7"/>
  <c r="B26" i="7"/>
  <c r="B25" i="7"/>
  <c r="AZ23" i="7"/>
  <c r="AY23" i="7"/>
  <c r="AY80" i="7" s="1"/>
  <c r="AX23" i="7"/>
  <c r="AX80" i="7" s="1"/>
  <c r="AW23" i="7"/>
  <c r="AW80" i="7" s="1"/>
  <c r="AV23" i="7"/>
  <c r="AV80" i="7" s="1"/>
  <c r="AU23" i="7"/>
  <c r="AU80" i="7" s="1"/>
  <c r="AT23" i="7"/>
  <c r="AS23" i="7"/>
  <c r="AR23" i="7"/>
  <c r="AQ23" i="7"/>
  <c r="AP23" i="7"/>
  <c r="AP80" i="7" s="1"/>
  <c r="AO23" i="7"/>
  <c r="AO80" i="7" s="1"/>
  <c r="AN23" i="7"/>
  <c r="AN80" i="7" s="1"/>
  <c r="AM23" i="7"/>
  <c r="AL23" i="7"/>
  <c r="AK23" i="7"/>
  <c r="AK80" i="7" s="1"/>
  <c r="AJ23" i="7"/>
  <c r="AI23" i="7"/>
  <c r="AI80" i="7" s="1"/>
  <c r="AH23" i="7"/>
  <c r="AH80" i="7" s="1"/>
  <c r="AG23" i="7"/>
  <c r="AG80" i="7" s="1"/>
  <c r="AF23" i="7"/>
  <c r="AF80" i="7" s="1"/>
  <c r="AE23" i="7"/>
  <c r="AE80" i="7" s="1"/>
  <c r="AD23" i="7"/>
  <c r="AC23" i="7"/>
  <c r="AB23" i="7"/>
  <c r="AA23" i="7"/>
  <c r="Z23" i="7"/>
  <c r="Z80" i="7" s="1"/>
  <c r="Y23" i="7"/>
  <c r="Y80" i="7" s="1"/>
  <c r="X23" i="7"/>
  <c r="X80" i="7" s="1"/>
  <c r="W23" i="7"/>
  <c r="V23" i="7"/>
  <c r="U23" i="7"/>
  <c r="U80" i="7" s="1"/>
  <c r="T23" i="7"/>
  <c r="S23" i="7"/>
  <c r="S80" i="7" s="1"/>
  <c r="R23" i="7"/>
  <c r="R80" i="7" s="1"/>
  <c r="Q23" i="7"/>
  <c r="Q80" i="7" s="1"/>
  <c r="P23" i="7"/>
  <c r="P80" i="7" s="1"/>
  <c r="O23" i="7"/>
  <c r="O80" i="7" s="1"/>
  <c r="N23" i="7"/>
  <c r="M23" i="7"/>
  <c r="L23" i="7"/>
  <c r="K23" i="7"/>
  <c r="J23" i="7"/>
  <c r="J80" i="7" s="1"/>
  <c r="I23" i="7"/>
  <c r="I80" i="7" s="1"/>
  <c r="H23" i="7"/>
  <c r="H80" i="7" s="1"/>
  <c r="G23" i="7"/>
  <c r="F23" i="7"/>
  <c r="E23" i="7"/>
  <c r="E80" i="7" s="1"/>
  <c r="D23" i="7"/>
  <c r="AZ22" i="7"/>
  <c r="AZ79" i="7" s="1"/>
  <c r="AY22" i="7"/>
  <c r="AY79" i="7" s="1"/>
  <c r="AX22" i="7"/>
  <c r="AX79" i="7" s="1"/>
  <c r="AW22" i="7"/>
  <c r="AW79" i="7" s="1"/>
  <c r="AV22" i="7"/>
  <c r="AU22" i="7"/>
  <c r="AT22" i="7"/>
  <c r="AS22" i="7"/>
  <c r="AR22" i="7"/>
  <c r="AR79" i="7" s="1"/>
  <c r="AQ22" i="7"/>
  <c r="AQ79" i="7" s="1"/>
  <c r="AP22" i="7"/>
  <c r="AP79" i="7" s="1"/>
  <c r="AO22" i="7"/>
  <c r="AN22" i="7"/>
  <c r="AM22" i="7"/>
  <c r="AM79" i="7" s="1"/>
  <c r="AL22" i="7"/>
  <c r="AL79" i="7" s="1"/>
  <c r="AK22" i="7"/>
  <c r="AK79" i="7" s="1"/>
  <c r="AJ22" i="7"/>
  <c r="AJ79" i="7" s="1"/>
  <c r="AI22" i="7"/>
  <c r="AI79" i="7" s="1"/>
  <c r="AH22" i="7"/>
  <c r="AH79" i="7" s="1"/>
  <c r="AG22" i="7"/>
  <c r="AG79" i="7" s="1"/>
  <c r="AF22" i="7"/>
  <c r="AE22" i="7"/>
  <c r="AD22" i="7"/>
  <c r="AC22" i="7"/>
  <c r="AB22" i="7"/>
  <c r="AB79" i="7" s="1"/>
  <c r="AA22" i="7"/>
  <c r="AA79" i="7" s="1"/>
  <c r="Z22" i="7"/>
  <c r="Z79" i="7" s="1"/>
  <c r="Y22" i="7"/>
  <c r="X22" i="7"/>
  <c r="W22" i="7"/>
  <c r="W79" i="7" s="1"/>
  <c r="V22" i="7"/>
  <c r="V79" i="7" s="1"/>
  <c r="U22" i="7"/>
  <c r="U79" i="7" s="1"/>
  <c r="T22" i="7"/>
  <c r="T79" i="7" s="1"/>
  <c r="S22" i="7"/>
  <c r="S79" i="7" s="1"/>
  <c r="R22" i="7"/>
  <c r="R79" i="7" s="1"/>
  <c r="Q22" i="7"/>
  <c r="Q79" i="7" s="1"/>
  <c r="P22" i="7"/>
  <c r="O22" i="7"/>
  <c r="N22" i="7"/>
  <c r="M22" i="7"/>
  <c r="L22" i="7"/>
  <c r="L79" i="7" s="1"/>
  <c r="K22" i="7"/>
  <c r="K79" i="7" s="1"/>
  <c r="J22" i="7"/>
  <c r="J79" i="7" s="1"/>
  <c r="I22" i="7"/>
  <c r="H22" i="7"/>
  <c r="G22" i="7"/>
  <c r="G79" i="7" s="1"/>
  <c r="F22" i="7"/>
  <c r="F79" i="7" s="1"/>
  <c r="E22" i="7"/>
  <c r="E79" i="7" s="1"/>
  <c r="D22" i="7"/>
  <c r="D79" i="7" s="1"/>
  <c r="AZ21" i="7"/>
  <c r="AZ78" i="7" s="1"/>
  <c r="AY21" i="7"/>
  <c r="AY78" i="7" s="1"/>
  <c r="AX21" i="7"/>
  <c r="AW21" i="7"/>
  <c r="AV21" i="7"/>
  <c r="AU21" i="7"/>
  <c r="AT21" i="7"/>
  <c r="AT78" i="7" s="1"/>
  <c r="AS21" i="7"/>
  <c r="AS78" i="7" s="1"/>
  <c r="AR21" i="7"/>
  <c r="AQ21" i="7"/>
  <c r="AP21" i="7"/>
  <c r="AO21" i="7"/>
  <c r="AO78" i="7" s="1"/>
  <c r="AN21" i="7"/>
  <c r="AN78" i="7" s="1"/>
  <c r="AM21" i="7"/>
  <c r="AM78" i="7" s="1"/>
  <c r="AL21" i="7"/>
  <c r="AL78" i="7" s="1"/>
  <c r="AK21" i="7"/>
  <c r="AK78" i="7" s="1"/>
  <c r="AJ21" i="7"/>
  <c r="AJ78" i="7" s="1"/>
  <c r="AI21" i="7"/>
  <c r="AI78" i="7" s="1"/>
  <c r="AH21" i="7"/>
  <c r="AG21" i="7"/>
  <c r="AF21" i="7"/>
  <c r="AE21" i="7"/>
  <c r="AD21" i="7"/>
  <c r="AD78" i="7" s="1"/>
  <c r="AC21" i="7"/>
  <c r="AC78" i="7" s="1"/>
  <c r="AB21" i="7"/>
  <c r="AA21" i="7"/>
  <c r="Z21" i="7"/>
  <c r="Y21" i="7"/>
  <c r="Y78" i="7" s="1"/>
  <c r="X21" i="7"/>
  <c r="X78" i="7" s="1"/>
  <c r="W21" i="7"/>
  <c r="W78" i="7" s="1"/>
  <c r="V21" i="7"/>
  <c r="V78" i="7" s="1"/>
  <c r="U21" i="7"/>
  <c r="U78" i="7" s="1"/>
  <c r="T21" i="7"/>
  <c r="T78" i="7" s="1"/>
  <c r="S21" i="7"/>
  <c r="S78" i="7" s="1"/>
  <c r="R21" i="7"/>
  <c r="Q21" i="7"/>
  <c r="P21" i="7"/>
  <c r="O21" i="7"/>
  <c r="N21" i="7"/>
  <c r="N78" i="7" s="1"/>
  <c r="M21" i="7"/>
  <c r="M78" i="7" s="1"/>
  <c r="L21" i="7"/>
  <c r="K21" i="7"/>
  <c r="J21" i="7"/>
  <c r="I21" i="7"/>
  <c r="I78" i="7" s="1"/>
  <c r="H21" i="7"/>
  <c r="H78" i="7" s="1"/>
  <c r="G21" i="7"/>
  <c r="G78" i="7" s="1"/>
  <c r="F21" i="7"/>
  <c r="F78" i="7" s="1"/>
  <c r="E21" i="7"/>
  <c r="E78" i="7" s="1"/>
  <c r="D21" i="7"/>
  <c r="D78" i="7" s="1"/>
  <c r="AZ20" i="7"/>
  <c r="AY20" i="7"/>
  <c r="AX20" i="7"/>
  <c r="AW20" i="7"/>
  <c r="AV20" i="7"/>
  <c r="AU20" i="7"/>
  <c r="AU77" i="7" s="1"/>
  <c r="AT20" i="7"/>
  <c r="AS20" i="7"/>
  <c r="AR20" i="7"/>
  <c r="AQ20" i="7"/>
  <c r="AQ77" i="7" s="1"/>
  <c r="AP20" i="7"/>
  <c r="AO20" i="7"/>
  <c r="AO77" i="7" s="1"/>
  <c r="AN20" i="7"/>
  <c r="AN77" i="7" s="1"/>
  <c r="AM20" i="7"/>
  <c r="AM77" i="7" s="1"/>
  <c r="AL20" i="7"/>
  <c r="AL77" i="7" s="1"/>
  <c r="AK20" i="7"/>
  <c r="AK77" i="7" s="1"/>
  <c r="AJ20" i="7"/>
  <c r="AI20" i="7"/>
  <c r="AH20" i="7"/>
  <c r="AG20" i="7"/>
  <c r="AF20" i="7"/>
  <c r="AE20" i="7"/>
  <c r="AE77" i="7" s="1"/>
  <c r="AD20" i="7"/>
  <c r="AC20" i="7"/>
  <c r="AB20" i="7"/>
  <c r="AA20" i="7"/>
  <c r="AA77" i="7" s="1"/>
  <c r="Z20" i="7"/>
  <c r="Y20" i="7"/>
  <c r="Y77" i="7" s="1"/>
  <c r="X20" i="7"/>
  <c r="X77" i="7" s="1"/>
  <c r="W20" i="7"/>
  <c r="W77" i="7" s="1"/>
  <c r="V20" i="7"/>
  <c r="V77" i="7" s="1"/>
  <c r="U20" i="7"/>
  <c r="U77" i="7" s="1"/>
  <c r="T20" i="7"/>
  <c r="S20" i="7"/>
  <c r="R20" i="7"/>
  <c r="Q20" i="7"/>
  <c r="P20" i="7"/>
  <c r="O20" i="7"/>
  <c r="O77" i="7" s="1"/>
  <c r="N20" i="7"/>
  <c r="M20" i="7"/>
  <c r="L20" i="7"/>
  <c r="K20" i="7"/>
  <c r="K77" i="7" s="1"/>
  <c r="J20" i="7"/>
  <c r="I20" i="7"/>
  <c r="I77" i="7" s="1"/>
  <c r="H20" i="7"/>
  <c r="H77" i="7" s="1"/>
  <c r="G20" i="7"/>
  <c r="G77" i="7" s="1"/>
  <c r="F20" i="7"/>
  <c r="F77" i="7" s="1"/>
  <c r="E20" i="7"/>
  <c r="E77" i="7" s="1"/>
  <c r="D20" i="7"/>
  <c r="AZ19" i="7"/>
  <c r="AY19" i="7"/>
  <c r="AX19" i="7"/>
  <c r="AW19" i="7"/>
  <c r="AW76" i="7" s="1"/>
  <c r="AV19" i="7"/>
  <c r="AU19" i="7"/>
  <c r="AT19" i="7"/>
  <c r="AS19" i="7"/>
  <c r="AS76" i="7" s="1"/>
  <c r="AR19" i="7"/>
  <c r="AR76" i="7" s="1"/>
  <c r="AQ19" i="7"/>
  <c r="AQ76" i="7" s="1"/>
  <c r="AP19" i="7"/>
  <c r="AP76" i="7" s="1"/>
  <c r="AO19" i="7"/>
  <c r="AO76" i="7" s="1"/>
  <c r="AN19" i="7"/>
  <c r="AM19" i="7"/>
  <c r="AM76" i="7" s="1"/>
  <c r="AL19" i="7"/>
  <c r="AK19" i="7"/>
  <c r="AJ19" i="7"/>
  <c r="AI19" i="7"/>
  <c r="AH19" i="7"/>
  <c r="AG19" i="7"/>
  <c r="AG76" i="7" s="1"/>
  <c r="AF19" i="7"/>
  <c r="AE19" i="7"/>
  <c r="AD19" i="7"/>
  <c r="AC19" i="7"/>
  <c r="AC76" i="7" s="1"/>
  <c r="AB19" i="7"/>
  <c r="AB76" i="7" s="1"/>
  <c r="AA19" i="7"/>
  <c r="AA76" i="7" s="1"/>
  <c r="Z19" i="7"/>
  <c r="Z76" i="7" s="1"/>
  <c r="Y19" i="7"/>
  <c r="Y76" i="7" s="1"/>
  <c r="X19" i="7"/>
  <c r="W19" i="7"/>
  <c r="W76" i="7" s="1"/>
  <c r="V19" i="7"/>
  <c r="U19" i="7"/>
  <c r="T19" i="7"/>
  <c r="S19" i="7"/>
  <c r="R19" i="7"/>
  <c r="Q19" i="7"/>
  <c r="Q76" i="7" s="1"/>
  <c r="P19" i="7"/>
  <c r="O19" i="7"/>
  <c r="N19" i="7"/>
  <c r="M19" i="7"/>
  <c r="M76" i="7" s="1"/>
  <c r="L19" i="7"/>
  <c r="L76" i="7" s="1"/>
  <c r="K19" i="7"/>
  <c r="K76" i="7" s="1"/>
  <c r="J19" i="7"/>
  <c r="J76" i="7" s="1"/>
  <c r="I19" i="7"/>
  <c r="I76" i="7" s="1"/>
  <c r="H19" i="7"/>
  <c r="G19" i="7"/>
  <c r="G76" i="7" s="1"/>
  <c r="F19" i="7"/>
  <c r="E19" i="7"/>
  <c r="D19" i="7"/>
  <c r="AZ18" i="7"/>
  <c r="AY18" i="7"/>
  <c r="AY75" i="7" s="1"/>
  <c r="AX18" i="7"/>
  <c r="AW18" i="7"/>
  <c r="AV18" i="7"/>
  <c r="AU18" i="7"/>
  <c r="AU75" i="7" s="1"/>
  <c r="AT18" i="7"/>
  <c r="AT75" i="7" s="1"/>
  <c r="AS18" i="7"/>
  <c r="AS75" i="7" s="1"/>
  <c r="AR18" i="7"/>
  <c r="AR75" i="7" s="1"/>
  <c r="AQ18" i="7"/>
  <c r="AQ75" i="7" s="1"/>
  <c r="AP18" i="7"/>
  <c r="AP75" i="7" s="1"/>
  <c r="AO18" i="7"/>
  <c r="AO75" i="7" s="1"/>
  <c r="AN18" i="7"/>
  <c r="AM18" i="7"/>
  <c r="AL18" i="7"/>
  <c r="AK18" i="7"/>
  <c r="AJ18" i="7"/>
  <c r="AI18" i="7"/>
  <c r="AI75" i="7" s="1"/>
  <c r="AH18" i="7"/>
  <c r="AG18" i="7"/>
  <c r="AF18" i="7"/>
  <c r="AE18" i="7"/>
  <c r="AE75" i="7" s="1"/>
  <c r="AD18" i="7"/>
  <c r="AD75" i="7" s="1"/>
  <c r="AC18" i="7"/>
  <c r="AC75" i="7" s="1"/>
  <c r="AB18" i="7"/>
  <c r="AB75" i="7" s="1"/>
  <c r="AA18" i="7"/>
  <c r="AA75" i="7" s="1"/>
  <c r="Z18" i="7"/>
  <c r="Z75" i="7" s="1"/>
  <c r="Y18" i="7"/>
  <c r="Y75" i="7" s="1"/>
  <c r="X18" i="7"/>
  <c r="W18" i="7"/>
  <c r="V18" i="7"/>
  <c r="U18" i="7"/>
  <c r="T18" i="7"/>
  <c r="S18" i="7"/>
  <c r="S75" i="7" s="1"/>
  <c r="R18" i="7"/>
  <c r="Q18" i="7"/>
  <c r="P18" i="7"/>
  <c r="O18" i="7"/>
  <c r="O75" i="7" s="1"/>
  <c r="N18" i="7"/>
  <c r="N75" i="7" s="1"/>
  <c r="M18" i="7"/>
  <c r="M75" i="7" s="1"/>
  <c r="L18" i="7"/>
  <c r="L75" i="7" s="1"/>
  <c r="K18" i="7"/>
  <c r="K75" i="7" s="1"/>
  <c r="J18" i="7"/>
  <c r="J75" i="7" s="1"/>
  <c r="I18" i="7"/>
  <c r="I75" i="7" s="1"/>
  <c r="H18" i="7"/>
  <c r="G18" i="7"/>
  <c r="F18" i="7"/>
  <c r="E18" i="7"/>
  <c r="D18" i="7"/>
  <c r="AZ17" i="7"/>
  <c r="AY17" i="7"/>
  <c r="AX17" i="7"/>
  <c r="AW17" i="7"/>
  <c r="AW74" i="7" s="1"/>
  <c r="AV17" i="7"/>
  <c r="AU17" i="7"/>
  <c r="AU74" i="7" s="1"/>
  <c r="AT17" i="7"/>
  <c r="AT74" i="7" s="1"/>
  <c r="AS17" i="7"/>
  <c r="AS74" i="7" s="1"/>
  <c r="AR17" i="7"/>
  <c r="AR74" i="7" s="1"/>
  <c r="AQ17" i="7"/>
  <c r="AQ74" i="7" s="1"/>
  <c r="AP17" i="7"/>
  <c r="AO17" i="7"/>
  <c r="AN17" i="7"/>
  <c r="AM17" i="7"/>
  <c r="AL17" i="7"/>
  <c r="AK17" i="7"/>
  <c r="AK74" i="7" s="1"/>
  <c r="AJ17" i="7"/>
  <c r="AI17" i="7"/>
  <c r="AH17" i="7"/>
  <c r="AG17" i="7"/>
  <c r="AG74" i="7" s="1"/>
  <c r="AF17" i="7"/>
  <c r="AE17" i="7"/>
  <c r="AE74" i="7" s="1"/>
  <c r="AD17" i="7"/>
  <c r="AD74" i="7" s="1"/>
  <c r="AC17" i="7"/>
  <c r="AC74" i="7" s="1"/>
  <c r="AB17" i="7"/>
  <c r="AB74" i="7" s="1"/>
  <c r="AA17" i="7"/>
  <c r="AA74" i="7" s="1"/>
  <c r="Z17" i="7"/>
  <c r="Y17" i="7"/>
  <c r="X17" i="7"/>
  <c r="W17" i="7"/>
  <c r="V17" i="7"/>
  <c r="U17" i="7"/>
  <c r="U74" i="7" s="1"/>
  <c r="T17" i="7"/>
  <c r="S17" i="7"/>
  <c r="R17" i="7"/>
  <c r="Q17" i="7"/>
  <c r="Q74" i="7" s="1"/>
  <c r="P17" i="7"/>
  <c r="O17" i="7"/>
  <c r="O74" i="7" s="1"/>
  <c r="N17" i="7"/>
  <c r="N74" i="7" s="1"/>
  <c r="M17" i="7"/>
  <c r="M74" i="7" s="1"/>
  <c r="L17" i="7"/>
  <c r="L74" i="7" s="1"/>
  <c r="K17" i="7"/>
  <c r="K74" i="7" s="1"/>
  <c r="J17" i="7"/>
  <c r="I17" i="7"/>
  <c r="H17" i="7"/>
  <c r="G17" i="7"/>
  <c r="F17" i="7"/>
  <c r="E17" i="7"/>
  <c r="E74" i="7" s="1"/>
  <c r="D17" i="7"/>
  <c r="AZ16" i="7"/>
  <c r="AY16" i="7"/>
  <c r="AY73" i="7" s="1"/>
  <c r="AX16" i="7"/>
  <c r="AW16" i="7"/>
  <c r="AW73" i="7" s="1"/>
  <c r="AV16" i="7"/>
  <c r="AV73" i="7" s="1"/>
  <c r="AU16" i="7"/>
  <c r="AU73" i="7" s="1"/>
  <c r="AT16" i="7"/>
  <c r="AT73" i="7" s="1"/>
  <c r="AS16" i="7"/>
  <c r="AS73" i="7" s="1"/>
  <c r="AR16" i="7"/>
  <c r="AQ16" i="7"/>
  <c r="AP16" i="7"/>
  <c r="AO16" i="7"/>
  <c r="AN16" i="7"/>
  <c r="AM16" i="7"/>
  <c r="AM73" i="7" s="1"/>
  <c r="AL16" i="7"/>
  <c r="AK16" i="7"/>
  <c r="AJ16" i="7"/>
  <c r="AI16" i="7"/>
  <c r="AI73" i="7" s="1"/>
  <c r="AH16" i="7"/>
  <c r="AG16" i="7"/>
  <c r="AG73" i="7" s="1"/>
  <c r="AF16" i="7"/>
  <c r="AF73" i="7" s="1"/>
  <c r="AE16" i="7"/>
  <c r="AE73" i="7" s="1"/>
  <c r="AD16" i="7"/>
  <c r="AD73" i="7" s="1"/>
  <c r="AC16" i="7"/>
  <c r="AC73" i="7" s="1"/>
  <c r="AB16" i="7"/>
  <c r="AA16" i="7"/>
  <c r="AA73" i="7" s="1"/>
  <c r="Z16" i="7"/>
  <c r="Y16" i="7"/>
  <c r="X16" i="7"/>
  <c r="W16" i="7"/>
  <c r="W73" i="7" s="1"/>
  <c r="V16" i="7"/>
  <c r="U16" i="7"/>
  <c r="T16" i="7"/>
  <c r="S16" i="7"/>
  <c r="S73" i="7" s="1"/>
  <c r="R16" i="7"/>
  <c r="Q16" i="7"/>
  <c r="Q73" i="7" s="1"/>
  <c r="P16" i="7"/>
  <c r="P73" i="7" s="1"/>
  <c r="O16" i="7"/>
  <c r="O73" i="7" s="1"/>
  <c r="N16" i="7"/>
  <c r="N73" i="7" s="1"/>
  <c r="M16" i="7"/>
  <c r="M73" i="7" s="1"/>
  <c r="L16" i="7"/>
  <c r="K16" i="7"/>
  <c r="J16" i="7"/>
  <c r="I16" i="7"/>
  <c r="H16" i="7"/>
  <c r="G16" i="7"/>
  <c r="G73" i="7" s="1"/>
  <c r="F16" i="7"/>
  <c r="E16" i="7"/>
  <c r="D16" i="7"/>
  <c r="AZ15" i="7"/>
  <c r="AY15" i="7"/>
  <c r="AY72" i="7" s="1"/>
  <c r="AX15" i="7"/>
  <c r="AX72" i="7" s="1"/>
  <c r="AW15" i="7"/>
  <c r="AW72" i="7" s="1"/>
  <c r="AV15" i="7"/>
  <c r="AV72" i="7" s="1"/>
  <c r="AU15" i="7"/>
  <c r="AU72" i="7" s="1"/>
  <c r="AT15" i="7"/>
  <c r="AS15" i="7"/>
  <c r="AR15" i="7"/>
  <c r="AR72" i="7" s="1"/>
  <c r="AQ15" i="7"/>
  <c r="AP15" i="7"/>
  <c r="AO15" i="7"/>
  <c r="AO72" i="7" s="1"/>
  <c r="AN15" i="7"/>
  <c r="AM15" i="7"/>
  <c r="AL15" i="7"/>
  <c r="AK15" i="7"/>
  <c r="AK72" i="7" s="1"/>
  <c r="AJ15" i="7"/>
  <c r="AI15" i="7"/>
  <c r="AI72" i="7" s="1"/>
  <c r="AH15" i="7"/>
  <c r="AH72" i="7" s="1"/>
  <c r="AG15" i="7"/>
  <c r="AG72" i="7" s="1"/>
  <c r="AF15" i="7"/>
  <c r="AF72" i="7" s="1"/>
  <c r="AE15" i="7"/>
  <c r="AE72" i="7" s="1"/>
  <c r="AD15" i="7"/>
  <c r="AC15" i="7"/>
  <c r="AB15" i="7"/>
  <c r="AB72" i="7" s="1"/>
  <c r="AA15" i="7"/>
  <c r="Z15" i="7"/>
  <c r="Y15" i="7"/>
  <c r="Y72" i="7" s="1"/>
  <c r="X15" i="7"/>
  <c r="W15" i="7"/>
  <c r="V15" i="7"/>
  <c r="U15" i="7"/>
  <c r="U72" i="7" s="1"/>
  <c r="T15" i="7"/>
  <c r="S15" i="7"/>
  <c r="S72" i="7" s="1"/>
  <c r="R15" i="7"/>
  <c r="R72" i="7" s="1"/>
  <c r="Q15" i="7"/>
  <c r="Q72" i="7" s="1"/>
  <c r="P15" i="7"/>
  <c r="P72" i="7" s="1"/>
  <c r="O15" i="7"/>
  <c r="O72" i="7" s="1"/>
  <c r="N15" i="7"/>
  <c r="M15" i="7"/>
  <c r="L15" i="7"/>
  <c r="L72" i="7" s="1"/>
  <c r="K15" i="7"/>
  <c r="J15" i="7"/>
  <c r="I15" i="7"/>
  <c r="I72" i="7" s="1"/>
  <c r="H15" i="7"/>
  <c r="G15" i="7"/>
  <c r="F15" i="7"/>
  <c r="E15" i="7"/>
  <c r="E72" i="7" s="1"/>
  <c r="D15" i="7"/>
  <c r="AZ14" i="7"/>
  <c r="AZ71" i="7" s="1"/>
  <c r="AY14" i="7"/>
  <c r="AY71" i="7" s="1"/>
  <c r="AX14" i="7"/>
  <c r="AX71" i="7" s="1"/>
  <c r="AW14" i="7"/>
  <c r="AW71" i="7" s="1"/>
  <c r="AV14" i="7"/>
  <c r="AU14" i="7"/>
  <c r="AT14" i="7"/>
  <c r="AS14" i="7"/>
  <c r="AR14" i="7"/>
  <c r="AQ14" i="7"/>
  <c r="AQ71" i="7" s="1"/>
  <c r="AP14" i="7"/>
  <c r="AO14" i="7"/>
  <c r="AN14" i="7"/>
  <c r="AM14" i="7"/>
  <c r="AM71" i="7" s="1"/>
  <c r="AL14" i="7"/>
  <c r="AK14" i="7"/>
  <c r="AK71" i="7" s="1"/>
  <c r="AJ14" i="7"/>
  <c r="AJ71" i="7" s="1"/>
  <c r="AI14" i="7"/>
  <c r="AI71" i="7" s="1"/>
  <c r="AH14" i="7"/>
  <c r="AH71" i="7" s="1"/>
  <c r="AG14" i="7"/>
  <c r="AG71" i="7" s="1"/>
  <c r="AF14" i="7"/>
  <c r="AE14" i="7"/>
  <c r="AD14" i="7"/>
  <c r="AC14" i="7"/>
  <c r="AB14" i="7"/>
  <c r="AA14" i="7"/>
  <c r="AA71" i="7" s="1"/>
  <c r="Z14" i="7"/>
  <c r="Y14" i="7"/>
  <c r="X14" i="7"/>
  <c r="W14" i="7"/>
  <c r="W71" i="7" s="1"/>
  <c r="V14" i="7"/>
  <c r="U14" i="7"/>
  <c r="U71" i="7" s="1"/>
  <c r="T14" i="7"/>
  <c r="T71" i="7" s="1"/>
  <c r="S14" i="7"/>
  <c r="S71" i="7" s="1"/>
  <c r="R14" i="7"/>
  <c r="R71" i="7" s="1"/>
  <c r="Q14" i="7"/>
  <c r="Q71" i="7" s="1"/>
  <c r="P14" i="7"/>
  <c r="O14" i="7"/>
  <c r="N14" i="7"/>
  <c r="M14" i="7"/>
  <c r="L14" i="7"/>
  <c r="K14" i="7"/>
  <c r="K71" i="7" s="1"/>
  <c r="J14" i="7"/>
  <c r="I14" i="7"/>
  <c r="H14" i="7"/>
  <c r="G14" i="7"/>
  <c r="G71" i="7" s="1"/>
  <c r="F14" i="7"/>
  <c r="E14" i="7"/>
  <c r="E71" i="7" s="1"/>
  <c r="D14" i="7"/>
  <c r="D71" i="7" s="1"/>
  <c r="C23" i="7"/>
  <c r="C80" i="7" s="1"/>
  <c r="C22" i="7"/>
  <c r="C79" i="7" s="1"/>
  <c r="C21" i="7"/>
  <c r="C78" i="7" s="1"/>
  <c r="C20" i="7"/>
  <c r="C19" i="7"/>
  <c r="C76" i="7" s="1"/>
  <c r="C18" i="7"/>
  <c r="C75" i="7" s="1"/>
  <c r="C17" i="7"/>
  <c r="C16" i="7"/>
  <c r="C73" i="7" s="1"/>
  <c r="C15" i="7"/>
  <c r="C72" i="7" s="1"/>
  <c r="C14" i="7"/>
  <c r="C71" i="7" s="1"/>
  <c r="B23" i="7"/>
  <c r="B80" i="7" s="1"/>
  <c r="B22" i="7"/>
  <c r="B79" i="7" s="1"/>
  <c r="B90" i="7" s="1"/>
  <c r="B100" i="7" s="1"/>
  <c r="B111" i="7" s="1"/>
  <c r="B21" i="7"/>
  <c r="B78" i="7" s="1"/>
  <c r="B89" i="7" s="1"/>
  <c r="B99" i="7" s="1"/>
  <c r="B110" i="7" s="1"/>
  <c r="B20" i="7"/>
  <c r="B77" i="7" s="1"/>
  <c r="B88" i="7" s="1"/>
  <c r="B98" i="7" s="1"/>
  <c r="B109" i="7" s="1"/>
  <c r="B19" i="7"/>
  <c r="B76" i="7" s="1"/>
  <c r="B87" i="7" s="1"/>
  <c r="B97" i="7" s="1"/>
  <c r="B108" i="7" s="1"/>
  <c r="B18" i="7"/>
  <c r="B75" i="7" s="1"/>
  <c r="B86" i="7" s="1"/>
  <c r="B96" i="7" s="1"/>
  <c r="B107" i="7" s="1"/>
  <c r="B17" i="7"/>
  <c r="B74" i="7" s="1"/>
  <c r="B85" i="7" s="1"/>
  <c r="B95" i="7" s="1"/>
  <c r="B106" i="7" s="1"/>
  <c r="B16" i="7"/>
  <c r="B73" i="7" s="1"/>
  <c r="B84" i="7" s="1"/>
  <c r="B94" i="7" s="1"/>
  <c r="B105" i="7" s="1"/>
  <c r="B15" i="7"/>
  <c r="B72" i="7" s="1"/>
  <c r="B83" i="7" s="1"/>
  <c r="B93" i="7" s="1"/>
  <c r="B104" i="7" s="1"/>
  <c r="B14" i="7"/>
  <c r="B71" i="7" s="1"/>
  <c r="B82" i="7" s="1"/>
  <c r="B92" i="7" s="1"/>
  <c r="B103" i="7" s="1"/>
  <c r="H9" i="6"/>
  <c r="B9" i="6"/>
  <c r="AL9" i="6" s="1"/>
  <c r="AQ8" i="6"/>
  <c r="AK8" i="6"/>
  <c r="AA8" i="6"/>
  <c r="U8" i="6"/>
  <c r="K8" i="6"/>
  <c r="E8" i="6"/>
  <c r="B8" i="6"/>
  <c r="AO8" i="6" s="1"/>
  <c r="AT7" i="6"/>
  <c r="AN7" i="6"/>
  <c r="AD7" i="6"/>
  <c r="X7" i="6"/>
  <c r="N7" i="6"/>
  <c r="H7" i="6"/>
  <c r="B7" i="6"/>
  <c r="AR7" i="6" s="1"/>
  <c r="AW6" i="6"/>
  <c r="AQ6" i="6"/>
  <c r="AG6" i="6"/>
  <c r="AB6" i="6"/>
  <c r="AA6" i="6"/>
  <c r="Q6" i="6"/>
  <c r="L6" i="6"/>
  <c r="K6" i="6"/>
  <c r="B6" i="6"/>
  <c r="AU6" i="6" s="1"/>
  <c r="AZ5" i="6"/>
  <c r="AU5" i="6"/>
  <c r="AT5" i="6"/>
  <c r="AQ5" i="6"/>
  <c r="AN5" i="6"/>
  <c r="AK5" i="6"/>
  <c r="AJ5" i="6"/>
  <c r="AE5" i="6"/>
  <c r="AD5" i="6"/>
  <c r="AA5" i="6"/>
  <c r="X5" i="6"/>
  <c r="U5" i="6"/>
  <c r="T5" i="6"/>
  <c r="O5" i="6"/>
  <c r="N5" i="6"/>
  <c r="K5" i="6"/>
  <c r="H5" i="6"/>
  <c r="E5" i="6"/>
  <c r="D5" i="6"/>
  <c r="B5" i="6"/>
  <c r="AX5" i="6" s="1"/>
  <c r="B4" i="6"/>
  <c r="AK4" i="6" s="1"/>
  <c r="AZ3" i="6"/>
  <c r="AW3" i="6"/>
  <c r="AT3" i="6"/>
  <c r="AQ3" i="6"/>
  <c r="AP3" i="6"/>
  <c r="AK3" i="6"/>
  <c r="AJ3" i="6"/>
  <c r="AG3" i="6"/>
  <c r="AD3" i="6"/>
  <c r="AA3" i="6"/>
  <c r="Z3" i="6"/>
  <c r="U3" i="6"/>
  <c r="T3" i="6"/>
  <c r="Q3" i="6"/>
  <c r="N3" i="6"/>
  <c r="K3" i="6"/>
  <c r="J3" i="6"/>
  <c r="E3" i="6"/>
  <c r="D3" i="6"/>
  <c r="B3" i="6"/>
  <c r="AN3" i="6" s="1"/>
  <c r="AZ2" i="6"/>
  <c r="AW2" i="6"/>
  <c r="AT2" i="6"/>
  <c r="AS2" i="6"/>
  <c r="AN2" i="6"/>
  <c r="AM2" i="6"/>
  <c r="AJ2" i="6"/>
  <c r="AG2" i="6"/>
  <c r="AD2" i="6"/>
  <c r="AC2" i="6"/>
  <c r="X2" i="6"/>
  <c r="W2" i="6"/>
  <c r="T2" i="6"/>
  <c r="Q2" i="6"/>
  <c r="N2" i="6"/>
  <c r="M2" i="6"/>
  <c r="H2" i="6"/>
  <c r="G2" i="6"/>
  <c r="D2" i="6"/>
  <c r="B2" i="6"/>
  <c r="AQ2" i="6" s="1"/>
  <c r="AZ1" i="6"/>
  <c r="AY1" i="6"/>
  <c r="AX1" i="6"/>
  <c r="AW1" i="6"/>
  <c r="AV1" i="6"/>
  <c r="AU1" i="6"/>
  <c r="AT1" i="6"/>
  <c r="AS1" i="6"/>
  <c r="AR1" i="6"/>
  <c r="AQ1" i="6"/>
  <c r="AP1" i="6"/>
  <c r="AO1" i="6"/>
  <c r="AN1" i="6"/>
  <c r="AM1" i="6"/>
  <c r="AL1" i="6"/>
  <c r="AK1" i="6"/>
  <c r="AJ1" i="6"/>
  <c r="AI1" i="6"/>
  <c r="AH1" i="6"/>
  <c r="AG1" i="6"/>
  <c r="AF1" i="6"/>
  <c r="AE1" i="6"/>
  <c r="AD1" i="6"/>
  <c r="AC1" i="6"/>
  <c r="AB1" i="6"/>
  <c r="AA1" i="6"/>
  <c r="Z1" i="6"/>
  <c r="Y1" i="6"/>
  <c r="X1" i="6"/>
  <c r="W1" i="6"/>
  <c r="V1" i="6"/>
  <c r="U1" i="6"/>
  <c r="T1" i="6"/>
  <c r="S1" i="6"/>
  <c r="R1" i="6"/>
  <c r="Q1" i="6"/>
  <c r="P1" i="6"/>
  <c r="O1" i="6"/>
  <c r="N1" i="6"/>
  <c r="M1" i="6"/>
  <c r="L1" i="6"/>
  <c r="K1" i="6"/>
  <c r="J1" i="6"/>
  <c r="I1" i="6"/>
  <c r="H1" i="6"/>
  <c r="G1" i="6"/>
  <c r="F1" i="6"/>
  <c r="E1" i="6"/>
  <c r="D1" i="6"/>
  <c r="C1" i="6"/>
  <c r="AZ11" i="1"/>
  <c r="AY11" i="1"/>
  <c r="AX11" i="1"/>
  <c r="AW11" i="1"/>
  <c r="AV11" i="1"/>
  <c r="AU11" i="1"/>
  <c r="AT11" i="1"/>
  <c r="AS11" i="1"/>
  <c r="AR11" i="1"/>
  <c r="AQ11" i="1"/>
  <c r="AP11" i="1"/>
  <c r="AO11" i="1"/>
  <c r="AN11" i="1"/>
  <c r="AM11" i="1"/>
  <c r="AL11" i="1"/>
  <c r="AK11" i="1"/>
  <c r="AJ11" i="1"/>
  <c r="AI11" i="1"/>
  <c r="AH11" i="1"/>
  <c r="AG11" i="1"/>
  <c r="AF11" i="1"/>
  <c r="AE11" i="1"/>
  <c r="AD11" i="1"/>
  <c r="AC11" i="1"/>
  <c r="AB11" i="1"/>
  <c r="AA11" i="1"/>
  <c r="Z11" i="1"/>
  <c r="Y11" i="1"/>
  <c r="X11" i="1"/>
  <c r="W11" i="1"/>
  <c r="V11" i="1"/>
  <c r="U11" i="1"/>
  <c r="T11" i="1"/>
  <c r="S11" i="1"/>
  <c r="R11" i="1"/>
  <c r="Q11" i="1"/>
  <c r="P11" i="1"/>
  <c r="O11" i="1"/>
  <c r="N11" i="1"/>
  <c r="M11" i="1"/>
  <c r="L11" i="1"/>
  <c r="K11" i="1"/>
  <c r="J11" i="1"/>
  <c r="I11" i="1"/>
  <c r="H11" i="1"/>
  <c r="G11" i="1"/>
  <c r="F11" i="1"/>
  <c r="E11" i="1"/>
  <c r="D11" i="1"/>
  <c r="C11" i="1"/>
  <c r="B9" i="1"/>
  <c r="B8" i="1"/>
  <c r="H8" i="1" s="1"/>
  <c r="B7" i="1"/>
  <c r="B6" i="1"/>
  <c r="B5" i="1"/>
  <c r="B4" i="1"/>
  <c r="B3" i="1"/>
  <c r="AZ3" i="1" s="1"/>
  <c r="B2" i="1"/>
  <c r="AK2" i="1" s="1"/>
  <c r="AZ11" i="6"/>
  <c r="AY11" i="6"/>
  <c r="AX11" i="6"/>
  <c r="AW11" i="6"/>
  <c r="AV11" i="6"/>
  <c r="AU11" i="6"/>
  <c r="AT11" i="6"/>
  <c r="AS11" i="6"/>
  <c r="AR11" i="6"/>
  <c r="AQ11" i="6"/>
  <c r="AP11" i="6"/>
  <c r="AO11" i="6"/>
  <c r="AN11" i="6"/>
  <c r="AM11" i="6"/>
  <c r="AL11" i="6"/>
  <c r="AK11" i="6"/>
  <c r="AJ11" i="6"/>
  <c r="AI11" i="6"/>
  <c r="AH11" i="6"/>
  <c r="AG11" i="6"/>
  <c r="AF11" i="6"/>
  <c r="AE11" i="6"/>
  <c r="AD11" i="6"/>
  <c r="AC11" i="6"/>
  <c r="AB11" i="6"/>
  <c r="AA11" i="6"/>
  <c r="Z11" i="6"/>
  <c r="Y11" i="6"/>
  <c r="X11" i="6"/>
  <c r="W11" i="6"/>
  <c r="V11" i="6"/>
  <c r="U11" i="6"/>
  <c r="T11" i="6"/>
  <c r="S11" i="6"/>
  <c r="R11" i="6"/>
  <c r="Q11" i="6"/>
  <c r="P11" i="6"/>
  <c r="O11" i="6"/>
  <c r="N11" i="6"/>
  <c r="M11" i="6"/>
  <c r="L11" i="6"/>
  <c r="K11" i="6"/>
  <c r="J11" i="6"/>
  <c r="I11" i="6"/>
  <c r="H11" i="6"/>
  <c r="G11" i="6"/>
  <c r="F11" i="6"/>
  <c r="E11" i="6"/>
  <c r="D11" i="6"/>
  <c r="C11" i="6"/>
  <c r="AM9" i="1"/>
  <c r="W9" i="1"/>
  <c r="G9" i="1"/>
  <c r="AN8" i="1"/>
  <c r="X8" i="1"/>
  <c r="AO7" i="1"/>
  <c r="Y7" i="1"/>
  <c r="I7" i="1"/>
  <c r="AP6" i="1"/>
  <c r="Z6" i="1"/>
  <c r="J6" i="1"/>
  <c r="AQ5" i="1"/>
  <c r="AA5" i="1"/>
  <c r="K5" i="1"/>
  <c r="AR4" i="1"/>
  <c r="AB4" i="1"/>
  <c r="L4" i="1"/>
  <c r="AW3" i="1"/>
  <c r="AV3" i="1"/>
  <c r="AU3" i="1"/>
  <c r="AT3" i="1"/>
  <c r="AS3" i="1"/>
  <c r="AQ3" i="1"/>
  <c r="AP3" i="1"/>
  <c r="AO3" i="1"/>
  <c r="AN3" i="1"/>
  <c r="AM3" i="1"/>
  <c r="AL3" i="1"/>
  <c r="AK3" i="1"/>
  <c r="AG3" i="1"/>
  <c r="AF3" i="1"/>
  <c r="AE3" i="1"/>
  <c r="AD3" i="1"/>
  <c r="AC3" i="1"/>
  <c r="AA3" i="1"/>
  <c r="Z3" i="1"/>
  <c r="Y3" i="1"/>
  <c r="X3" i="1"/>
  <c r="W3" i="1"/>
  <c r="V3" i="1"/>
  <c r="U3" i="1"/>
  <c r="Q3" i="1"/>
  <c r="P3" i="1"/>
  <c r="O3" i="1"/>
  <c r="N3" i="1"/>
  <c r="M3" i="1"/>
  <c r="K3" i="1"/>
  <c r="J3" i="1"/>
  <c r="I3" i="1"/>
  <c r="H3" i="1"/>
  <c r="G3" i="1"/>
  <c r="F3" i="1"/>
  <c r="E3" i="1"/>
  <c r="AW2" i="1"/>
  <c r="AV2" i="1"/>
  <c r="AU2" i="1"/>
  <c r="AT2" i="1"/>
  <c r="AQ2" i="1"/>
  <c r="AP2" i="1"/>
  <c r="AO2" i="1"/>
  <c r="AN2" i="1"/>
  <c r="AM2" i="1"/>
  <c r="AL2" i="1"/>
  <c r="AG2" i="1"/>
  <c r="AF2" i="1"/>
  <c r="AE2" i="1"/>
  <c r="AD2" i="1"/>
  <c r="AC2" i="1"/>
  <c r="AA2" i="1"/>
  <c r="Z2" i="1"/>
  <c r="Y2" i="1"/>
  <c r="X2" i="1"/>
  <c r="W2" i="1"/>
  <c r="V2" i="1"/>
  <c r="U2" i="1"/>
  <c r="Q2" i="1"/>
  <c r="P2" i="1"/>
  <c r="O2" i="1"/>
  <c r="N2" i="1"/>
  <c r="M2" i="1"/>
  <c r="K2" i="1"/>
  <c r="J2" i="1"/>
  <c r="I2" i="1"/>
  <c r="H2" i="1"/>
  <c r="G2" i="1"/>
  <c r="F2" i="1"/>
  <c r="E2" i="1"/>
  <c r="AZ1" i="1"/>
  <c r="AY1" i="1"/>
  <c r="AX1" i="1"/>
  <c r="AW1" i="1"/>
  <c r="AV1" i="1"/>
  <c r="AU1" i="1"/>
  <c r="AT1" i="1"/>
  <c r="AS1" i="1"/>
  <c r="AR1" i="1"/>
  <c r="AQ1" i="1"/>
  <c r="AP1" i="1"/>
  <c r="AO1" i="1"/>
  <c r="AN1" i="1"/>
  <c r="AM1" i="1"/>
  <c r="AL1" i="1"/>
  <c r="AK1" i="1"/>
  <c r="AJ1" i="1"/>
  <c r="AI1" i="1"/>
  <c r="AH1" i="1"/>
  <c r="AG1" i="1"/>
  <c r="AF1" i="1"/>
  <c r="AE1" i="1"/>
  <c r="AD1" i="1"/>
  <c r="AC1" i="1"/>
  <c r="AB1" i="1"/>
  <c r="AA1" i="1"/>
  <c r="Z1" i="1"/>
  <c r="Y1" i="1"/>
  <c r="X1" i="1"/>
  <c r="W1" i="1"/>
  <c r="V1" i="1"/>
  <c r="U1" i="1"/>
  <c r="T1" i="1"/>
  <c r="S1" i="1"/>
  <c r="R1" i="1"/>
  <c r="Q1" i="1"/>
  <c r="P1" i="1"/>
  <c r="O1" i="1"/>
  <c r="N1" i="1"/>
  <c r="M1" i="1"/>
  <c r="L1" i="1"/>
  <c r="K1" i="1"/>
  <c r="J1" i="1"/>
  <c r="I1" i="1"/>
  <c r="H1" i="1"/>
  <c r="G1" i="1"/>
  <c r="F1" i="1"/>
  <c r="E1" i="1"/>
  <c r="D1" i="1"/>
  <c r="C5" i="1"/>
  <c r="C3" i="1"/>
  <c r="C2" i="1"/>
  <c r="C1" i="1"/>
  <c r="B3" i="7"/>
  <c r="B39" i="7" s="1"/>
  <c r="B50" i="7" s="1"/>
  <c r="B61" i="7" s="1"/>
  <c r="B2" i="7"/>
  <c r="B38" i="7" s="1"/>
  <c r="B49" i="7" s="1"/>
  <c r="B60" i="7" s="1"/>
  <c r="AL9" i="1"/>
  <c r="B9" i="7"/>
  <c r="B45" i="7" s="1"/>
  <c r="B56" i="7" s="1"/>
  <c r="B67" i="7" s="1"/>
  <c r="B8" i="7"/>
  <c r="B44" i="7" s="1"/>
  <c r="B55" i="7" s="1"/>
  <c r="B66" i="7" s="1"/>
  <c r="AO6" i="1"/>
  <c r="AP5" i="1"/>
  <c r="AQ4" i="1"/>
  <c r="AZ11" i="7" a="1"/>
  <c r="R11" i="7" a="1"/>
  <c r="AV11" i="7" a="1"/>
  <c r="AA11" i="7" a="1"/>
  <c r="AR11" i="7" a="1"/>
  <c r="J11" i="7" a="1"/>
  <c r="AN11" i="7" a="1"/>
  <c r="C11" i="7" a="1"/>
  <c r="AJ11" i="7" a="1"/>
  <c r="W11" i="7" a="1"/>
  <c r="AF11" i="7" a="1"/>
  <c r="AB11" i="7" a="1"/>
  <c r="T11" i="7" a="1"/>
  <c r="AO11" i="7" a="1"/>
  <c r="P11" i="7" a="1"/>
  <c r="L11" i="7" a="1"/>
  <c r="AG11" i="7" a="1"/>
  <c r="AU11" i="7" a="1"/>
  <c r="AT11" i="7" a="1"/>
  <c r="D11" i="7" a="1"/>
  <c r="Q11" i="7" a="1"/>
  <c r="O11" i="7" a="1"/>
  <c r="I11" i="7" a="1"/>
  <c r="AQ11" i="7" a="1"/>
  <c r="AI11" i="7" a="1"/>
  <c r="H11" i="7" a="1"/>
  <c r="V11" i="7" a="1"/>
  <c r="K11" i="7" a="1"/>
  <c r="AE11" i="7" a="1"/>
  <c r="F11" i="7" a="1"/>
  <c r="AW11" i="7" a="1"/>
  <c r="S11" i="7" a="1"/>
  <c r="AL11" i="7" a="1"/>
  <c r="AS11" i="7" a="1"/>
  <c r="AK11" i="7" a="1"/>
  <c r="AY11" i="7" a="1"/>
  <c r="AX11" i="7" a="1"/>
  <c r="Y11" i="7" a="1"/>
  <c r="AC11" i="7" a="1"/>
  <c r="AP11" i="7" a="1"/>
  <c r="AM11" i="7" a="1"/>
  <c r="U11" i="7" a="1"/>
  <c r="N11" i="7" a="1"/>
  <c r="AH11" i="7" a="1"/>
  <c r="G11" i="7" a="1"/>
  <c r="M11" i="7" a="1"/>
  <c r="Z11" i="7" a="1"/>
  <c r="AD11" i="7" a="1"/>
  <c r="E11" i="7" a="1"/>
  <c r="X11" i="7" a="1"/>
  <c r="S47" i="7" a="1"/>
  <c r="AV47" i="7" a="1"/>
  <c r="V47" i="7" a="1"/>
  <c r="M9" i="7" a="1"/>
  <c r="AF6" i="7" a="1"/>
  <c r="AY3" i="7" a="1"/>
  <c r="AJ9" i="7" a="1"/>
  <c r="F7" i="7" a="1"/>
  <c r="Y4" i="7" a="1"/>
  <c r="T3" i="7" a="1"/>
  <c r="AR8" i="7" a="1"/>
  <c r="N6" i="7" a="1"/>
  <c r="AG3" i="7" a="1"/>
  <c r="AO10" i="7" a="1"/>
  <c r="K8" i="7" a="1"/>
  <c r="AD5" i="7" a="1"/>
  <c r="N9" i="7" a="1"/>
  <c r="H10" i="7" a="1"/>
  <c r="AA7" i="7" a="1"/>
  <c r="AT4" i="7" a="1"/>
  <c r="AU10" i="7" a="1"/>
  <c r="Q8" i="7" a="1"/>
  <c r="AJ5" i="7" a="1"/>
  <c r="F3" i="7" a="1"/>
  <c r="AE9" i="7" a="1"/>
  <c r="AX6" i="7" a="1"/>
  <c r="T4" i="7" a="1"/>
  <c r="C7" i="7" a="1"/>
  <c r="S7" i="7" a="1"/>
  <c r="AP6" i="7" a="1"/>
  <c r="AL7" i="7" a="1"/>
  <c r="S6" i="7" a="1"/>
  <c r="K47" i="7" a="1"/>
  <c r="AN47" i="7" a="1"/>
  <c r="N47" i="7" a="1"/>
  <c r="E9" i="7" a="1"/>
  <c r="X6" i="7" a="1"/>
  <c r="AQ3" i="7" a="1"/>
  <c r="AB9" i="7" a="1"/>
  <c r="AU6" i="7" a="1"/>
  <c r="Q4" i="7" a="1"/>
  <c r="AD9" i="7" a="1"/>
  <c r="AJ8" i="7" a="1"/>
  <c r="F6" i="7" a="1"/>
  <c r="Y3" i="7" a="1"/>
  <c r="AG10" i="7" a="1"/>
  <c r="AZ7" i="7" a="1"/>
  <c r="V5" i="7" a="1"/>
  <c r="AE8" i="7" a="1"/>
  <c r="I8" i="7" a="1"/>
  <c r="W9" i="7" a="1"/>
  <c r="AO7" i="7" a="1"/>
  <c r="H5" i="7" a="1"/>
  <c r="AC5" i="7" a="1"/>
  <c r="E47" i="7" a="1"/>
  <c r="AF47" i="7" a="1"/>
  <c r="F47" i="7" a="1"/>
  <c r="AT8" i="7" a="1"/>
  <c r="P6" i="7" a="1"/>
  <c r="AI3" i="7" a="1"/>
  <c r="T9" i="7" a="1"/>
  <c r="AM6" i="7" a="1"/>
  <c r="I4" i="7" a="1"/>
  <c r="AQ4" i="7" a="1"/>
  <c r="AB8" i="7" a="1"/>
  <c r="AU5" i="7" a="1"/>
  <c r="Q3" i="7" a="1"/>
  <c r="Y10" i="7" a="1"/>
  <c r="AR7" i="7" a="1"/>
  <c r="N5" i="7" a="1"/>
  <c r="G8" i="7" a="1"/>
  <c r="AO9" i="7" a="1"/>
  <c r="K7" i="7" a="1"/>
  <c r="AD4" i="7" a="1"/>
  <c r="AE10" i="7" a="1"/>
  <c r="AX7" i="7" a="1"/>
  <c r="T5" i="7" a="1"/>
  <c r="AF7" i="7" a="1"/>
  <c r="O9" i="7" a="1"/>
  <c r="AH6" i="7" a="1"/>
  <c r="D4" i="7" a="1"/>
  <c r="C5" i="7" a="1"/>
  <c r="E7" i="7" a="1"/>
  <c r="H9" i="7" a="1"/>
  <c r="G47" i="7" a="1"/>
  <c r="AQ8" i="7" a="1"/>
  <c r="AZ4" i="7" a="1"/>
  <c r="AC47" i="7" a="1"/>
  <c r="AX47" i="7" a="1"/>
  <c r="X47" i="7" a="1"/>
  <c r="AS47" i="7" a="1"/>
  <c r="AL8" i="7" a="1"/>
  <c r="H6" i="7" a="1"/>
  <c r="AA3" i="7" a="1"/>
  <c r="L9" i="7" a="1"/>
  <c r="AE6" i="7" a="1"/>
  <c r="AX3" i="7" a="1"/>
  <c r="AX10" i="7" a="1"/>
  <c r="T8" i="7" a="1"/>
  <c r="AM5" i="7" a="1"/>
  <c r="I3" i="7" a="1"/>
  <c r="Q10" i="7" a="1"/>
  <c r="AJ7" i="7" a="1"/>
  <c r="F5" i="7" a="1"/>
  <c r="X7" i="7" a="1"/>
  <c r="AG9" i="7" a="1"/>
  <c r="AZ6" i="7" a="1"/>
  <c r="V4" i="7" a="1"/>
  <c r="W10" i="7" a="1"/>
  <c r="AP7" i="7" a="1"/>
  <c r="L5" i="7" a="1"/>
  <c r="AG6" i="7" a="1"/>
  <c r="G9" i="7" a="1"/>
  <c r="Z6" i="7" a="1"/>
  <c r="AS3" i="7" a="1"/>
  <c r="C4" i="7" a="1"/>
  <c r="AR3" i="7" a="1"/>
  <c r="R8" i="7" a="1"/>
  <c r="D3" i="7" a="1"/>
  <c r="AZ47" i="7" a="1"/>
  <c r="AP47" i="7" a="1"/>
  <c r="P47" i="7" a="1"/>
  <c r="C47" i="7" a="1"/>
  <c r="AD8" i="7" a="1"/>
  <c r="AW5" i="7" a="1"/>
  <c r="S3" i="7" a="1"/>
  <c r="D9" i="7" a="1"/>
  <c r="W6" i="7" a="1"/>
  <c r="AP3" i="7" a="1"/>
  <c r="AP10" i="7" a="1"/>
  <c r="L8" i="7" a="1"/>
  <c r="AE5" i="7" a="1"/>
  <c r="AU8" i="7" a="1"/>
  <c r="I10" i="7" a="1"/>
  <c r="AB7" i="7" a="1"/>
  <c r="AU4" i="7" a="1"/>
  <c r="AW6" i="7" a="1"/>
  <c r="Y9" i="7" a="1"/>
  <c r="AR6" i="7" a="1"/>
  <c r="N4" i="7" a="1"/>
  <c r="O10" i="7" a="1"/>
  <c r="AH7" i="7" a="1"/>
  <c r="D5" i="7" a="1"/>
  <c r="J5" i="7" a="1"/>
  <c r="AV8" i="7" a="1"/>
  <c r="R6" i="7" a="1"/>
  <c r="AK3" i="7" a="1"/>
  <c r="C3" i="7" a="1"/>
  <c r="AY8" i="7" a="1"/>
  <c r="AN3" i="7" a="1"/>
  <c r="V10" i="7" a="1"/>
  <c r="AT6" i="7" a="1"/>
  <c r="N10" i="7" a="1"/>
  <c r="AR47" i="7" a="1"/>
  <c r="AH47" i="7" a="1"/>
  <c r="H47" i="7" a="1"/>
  <c r="AZ10" i="7" a="1"/>
  <c r="V8" i="7" a="1"/>
  <c r="AO5" i="7" a="1"/>
  <c r="K3" i="7" a="1"/>
  <c r="AS8" i="7" a="1"/>
  <c r="O6" i="7" a="1"/>
  <c r="AH3" i="7" a="1"/>
  <c r="AH10" i="7" a="1"/>
  <c r="D8" i="7" a="1"/>
  <c r="W5" i="7" a="1"/>
  <c r="AM8" i="7" a="1"/>
  <c r="AX9" i="7" a="1"/>
  <c r="T7" i="7" a="1"/>
  <c r="AM4" i="7" a="1"/>
  <c r="Y6" i="7" a="1"/>
  <c r="Q9" i="7" a="1"/>
  <c r="AJ6" i="7" a="1"/>
  <c r="F4" i="7" a="1"/>
  <c r="G10" i="7" a="1"/>
  <c r="Z7" i="7" a="1"/>
  <c r="AS4" i="7" a="1"/>
  <c r="AB3" i="7" a="1"/>
  <c r="AN8" i="7" a="1"/>
  <c r="J6" i="7" a="1"/>
  <c r="AC3" i="7" a="1"/>
  <c r="AI9" i="7" a="1"/>
  <c r="AV10" i="7" a="1"/>
  <c r="AH4" i="7" a="1"/>
  <c r="J8" i="7" a="1"/>
  <c r="AJ47" i="7" a="1"/>
  <c r="Z47" i="7" a="1"/>
  <c r="M47" i="7" a="1"/>
  <c r="AR10" i="7" a="1"/>
  <c r="N8" i="7" a="1"/>
  <c r="AG5" i="7" a="1"/>
  <c r="V9" i="7" a="1"/>
  <c r="AK8" i="7" a="1"/>
  <c r="G6" i="7" a="1"/>
  <c r="Z3" i="7" a="1"/>
  <c r="Z10" i="7" a="1"/>
  <c r="AS7" i="7" a="1"/>
  <c r="O5" i="7" a="1"/>
  <c r="AV7" i="7" a="1"/>
  <c r="AP9" i="7" a="1"/>
  <c r="L7" i="7" a="1"/>
  <c r="AE4" i="7" a="1"/>
  <c r="AH5" i="7" a="1"/>
  <c r="I9" i="7" a="1"/>
  <c r="AB6" i="7" a="1"/>
  <c r="AU3" i="7" a="1"/>
  <c r="AV9" i="7" a="1"/>
  <c r="R7" i="7" a="1"/>
  <c r="AK4" i="7" a="1"/>
  <c r="AC10" i="7" a="1"/>
  <c r="AF8" i="7" a="1"/>
  <c r="AY5" i="7" a="1"/>
  <c r="U3" i="7" a="1"/>
  <c r="AT7" i="7" a="1"/>
  <c r="AS10" i="7" a="1"/>
  <c r="AB47" i="7" a="1"/>
  <c r="R47" i="7" a="1"/>
  <c r="AU47" i="7" a="1"/>
  <c r="AJ10" i="7" a="1"/>
  <c r="F8" i="7" a="1"/>
  <c r="Y5" i="7" a="1"/>
  <c r="R5" i="7" a="1"/>
  <c r="AC8" i="7" a="1"/>
  <c r="AV5" i="7" a="1"/>
  <c r="R3" i="7" a="1"/>
  <c r="R10" i="7" a="1"/>
  <c r="AK7" i="7" a="1"/>
  <c r="G5" i="7" a="1"/>
  <c r="P7" i="7" a="1"/>
  <c r="AH9" i="7" a="1"/>
  <c r="D7" i="7" a="1"/>
  <c r="W4" i="7" a="1"/>
  <c r="AZ3" i="7" a="1"/>
  <c r="AX8" i="7" a="1"/>
  <c r="T6" i="7" a="1"/>
  <c r="AM3" i="7" a="1"/>
  <c r="AN9" i="7" a="1"/>
  <c r="J7" i="7" a="1"/>
  <c r="AC4" i="7" a="1"/>
  <c r="S4" i="7" a="1"/>
  <c r="X8" i="7" a="1"/>
  <c r="AQ5" i="7" a="1"/>
  <c r="M3" i="7" a="1"/>
  <c r="AP4" i="7" a="1"/>
  <c r="AN7" i="7" a="1"/>
  <c r="E10" i="7" a="1"/>
  <c r="T47" i="7" a="1"/>
  <c r="J47" i="7" a="1"/>
  <c r="AM47" i="7" a="1"/>
  <c r="AB10" i="7" a="1"/>
  <c r="AU7" i="7" a="1"/>
  <c r="Q5" i="7" a="1"/>
  <c r="AY10" i="7" a="1"/>
  <c r="U8" i="7" a="1"/>
  <c r="AN5" i="7" a="1"/>
  <c r="J3" i="7" a="1"/>
  <c r="J10" i="7" a="1"/>
  <c r="AC7" i="7" a="1"/>
  <c r="AV4" i="7" a="1"/>
  <c r="AO6" i="7" a="1"/>
  <c r="Z9" i="7" a="1"/>
  <c r="AS6" i="7" a="1"/>
  <c r="O4" i="7" a="1"/>
  <c r="L3" i="7" a="1"/>
  <c r="AP8" i="7" a="1"/>
  <c r="L6" i="7" a="1"/>
  <c r="AE3" i="7" a="1"/>
  <c r="AF9" i="7" a="1"/>
  <c r="AY6" i="7" a="1"/>
  <c r="U4" i="7" a="1"/>
  <c r="AT10" i="7" a="1"/>
  <c r="P8" i="7" a="1"/>
  <c r="AI5" i="7" a="1"/>
  <c r="E3" i="7" a="1"/>
  <c r="O8" i="7" a="1"/>
  <c r="AK5" i="7" a="1"/>
  <c r="O7" i="7" a="1"/>
  <c r="AF3" i="7" a="1"/>
  <c r="L47" i="7" a="1"/>
  <c r="AW47" i="7" a="1"/>
  <c r="AE47" i="7" a="1"/>
  <c r="T10" i="7" a="1"/>
  <c r="AM7" i="7" a="1"/>
  <c r="I5" i="7" a="1"/>
  <c r="AQ10" i="7" a="1"/>
  <c r="M8" i="7" a="1"/>
  <c r="AF5" i="7" a="1"/>
  <c r="F9" i="7" a="1"/>
  <c r="AY9" i="7" a="1"/>
  <c r="U7" i="7" a="1"/>
  <c r="AN4" i="7" a="1"/>
  <c r="I6" i="7" a="1"/>
  <c r="R9" i="7" a="1"/>
  <c r="AK6" i="7" a="1"/>
  <c r="G4" i="7" a="1"/>
  <c r="AT9" i="7" a="1"/>
  <c r="AH8" i="7" a="1"/>
  <c r="D6" i="7" a="1"/>
  <c r="W3" i="7" a="1"/>
  <c r="X9" i="7" a="1"/>
  <c r="AQ6" i="7" a="1"/>
  <c r="M4" i="7" a="1"/>
  <c r="AL10" i="7" a="1"/>
  <c r="H8" i="7" a="1"/>
  <c r="AA5" i="7" a="1"/>
  <c r="AK10" i="7" a="1"/>
  <c r="P5" i="7" a="1"/>
  <c r="G3" i="7" a="1"/>
  <c r="AS9" i="7" a="1"/>
  <c r="M6" i="7" a="1"/>
  <c r="D47" i="7" a="1"/>
  <c r="AO47" i="7" a="1"/>
  <c r="W47" i="7" a="1"/>
  <c r="L10" i="7" a="1"/>
  <c r="AE7" i="7" a="1"/>
  <c r="AX4" i="7" a="1"/>
  <c r="AI10" i="7" a="1"/>
  <c r="E8" i="7" a="1"/>
  <c r="X5" i="7" a="1"/>
  <c r="W8" i="7" a="1"/>
  <c r="AQ9" i="7" a="1"/>
  <c r="M7" i="7" a="1"/>
  <c r="AF4" i="7" a="1"/>
  <c r="Z5" i="7" a="1"/>
  <c r="J9" i="7" a="1"/>
  <c r="AC6" i="7" a="1"/>
  <c r="AV3" i="7" a="1"/>
  <c r="K4" i="7" a="1"/>
  <c r="Z8" i="7" a="1"/>
  <c r="AS5" i="7" a="1"/>
  <c r="O3" i="7" a="1"/>
  <c r="P9" i="7" a="1"/>
  <c r="AI6" i="7" a="1"/>
  <c r="E4" i="7" a="1"/>
  <c r="AD10" i="7" a="1"/>
  <c r="AW7" i="7" a="1"/>
  <c r="S5" i="7" a="1"/>
  <c r="AJ3" i="7" a="1"/>
  <c r="AA10" i="7" a="1"/>
  <c r="K5" i="7" a="1"/>
  <c r="P4" i="7" a="1"/>
  <c r="AG7" i="7" a="1"/>
  <c r="U47" i="7" a="1"/>
  <c r="AG47" i="7" a="1"/>
  <c r="O47" i="7" a="1"/>
  <c r="D10" i="7" a="1"/>
  <c r="W7" i="7" a="1"/>
  <c r="X4" i="7" a="1"/>
  <c r="U6" i="7" a="1"/>
  <c r="AA6" i="7" a="1"/>
  <c r="Y47" i="7" a="1"/>
  <c r="AL3" i="7" a="1"/>
  <c r="AQ47" i="7" a="1"/>
  <c r="Q47" i="7" a="1"/>
  <c r="AT47" i="7" a="1"/>
  <c r="AK9" i="7" a="1"/>
  <c r="G7" i="7" a="1"/>
  <c r="Z4" i="7" a="1"/>
  <c r="K10" i="7" a="1"/>
  <c r="AD7" i="7" a="1"/>
  <c r="AW4" i="7" a="1"/>
  <c r="H7" i="7" a="1"/>
  <c r="S9" i="7" a="1"/>
  <c r="AL6" i="7" a="1"/>
  <c r="H4" i="7" a="1"/>
  <c r="AL9" i="7" a="1"/>
  <c r="AI8" i="7" a="1"/>
  <c r="E6" i="7" a="1"/>
  <c r="X3" i="7" a="1"/>
  <c r="AF10" i="7" a="1"/>
  <c r="AY7" i="7" a="1"/>
  <c r="U5" i="7" a="1"/>
  <c r="AX5" i="7" a="1"/>
  <c r="AO8" i="7" a="1"/>
  <c r="K6" i="7" a="1"/>
  <c r="AD3" i="7" a="1"/>
  <c r="F10" i="7" a="1"/>
  <c r="Y7" i="7" a="1"/>
  <c r="AR4" i="7" a="1"/>
  <c r="C10" i="7" a="1"/>
  <c r="AM10" i="7" a="1"/>
  <c r="AB5" i="7" a="1"/>
  <c r="C6" i="7" a="1"/>
  <c r="AA9" i="7" a="1"/>
  <c r="AA4" i="7" a="1"/>
  <c r="AI47" i="7" a="1"/>
  <c r="I47" i="7" a="1"/>
  <c r="AL47" i="7" a="1"/>
  <c r="AC9" i="7" a="1"/>
  <c r="AV6" i="7" a="1"/>
  <c r="R4" i="7" a="1"/>
  <c r="AZ9" i="7" a="1"/>
  <c r="V7" i="7" a="1"/>
  <c r="AO4" i="7" a="1"/>
  <c r="Q6" i="7" a="1"/>
  <c r="K9" i="7" a="1"/>
  <c r="AD6" i="7" a="1"/>
  <c r="AW3" i="7" a="1"/>
  <c r="AP5" i="7" a="1"/>
  <c r="AA8" i="7" a="1"/>
  <c r="AT5" i="7" a="1"/>
  <c r="P3" i="7" a="1"/>
  <c r="X10" i="7" a="1"/>
  <c r="AQ7" i="7" a="1"/>
  <c r="M5" i="7" a="1"/>
  <c r="M10" i="7" a="1"/>
  <c r="AG8" i="7" a="1"/>
  <c r="AZ5" i="7" a="1"/>
  <c r="V3" i="7" a="1"/>
  <c r="AU9" i="7" a="1"/>
  <c r="Q7" i="7" a="1"/>
  <c r="AJ4" i="7" a="1"/>
  <c r="C9" i="7" a="1"/>
  <c r="AL4" i="7" a="1"/>
  <c r="U10" i="7" a="1"/>
  <c r="AT3" i="7" a="1"/>
  <c r="S10" i="7" a="1"/>
  <c r="AW8" i="7" a="1"/>
  <c r="AA47" i="7" a="1"/>
  <c r="AK47" i="7" a="1"/>
  <c r="AD47" i="7" a="1"/>
  <c r="U9" i="7" a="1"/>
  <c r="AN6" i="7" a="1"/>
  <c r="J4" i="7" a="1"/>
  <c r="AR9" i="7" a="1"/>
  <c r="N7" i="7" a="1"/>
  <c r="AG4" i="7" a="1"/>
  <c r="AI4" i="7" a="1"/>
  <c r="AZ8" i="7" a="1"/>
  <c r="V6" i="7" a="1"/>
  <c r="AO3" i="7" a="1"/>
  <c r="AW10" i="7" a="1"/>
  <c r="S8" i="7" a="1"/>
  <c r="AL5" i="7" a="1"/>
  <c r="H3" i="7" a="1"/>
  <c r="P10" i="7" a="1"/>
  <c r="AI7" i="7" a="1"/>
  <c r="E5" i="7" a="1"/>
  <c r="AY4" i="7" a="1"/>
  <c r="Y8" i="7" a="1"/>
  <c r="AR5" i="7" a="1"/>
  <c r="N3" i="7" a="1"/>
  <c r="AM9" i="7" a="1"/>
  <c r="I7" i="7" a="1"/>
  <c r="AB4" i="7" a="1"/>
  <c r="C8" i="7" a="1"/>
  <c r="AW9" i="7" a="1"/>
  <c r="L4" i="7" a="1"/>
  <c r="AY47" i="7" a="1"/>
  <c r="AN10" i="7" a="1"/>
  <c r="X11" i="7" l="1"/>
  <c r="X112" i="7" s="1"/>
  <c r="E11" i="7"/>
  <c r="E112" i="7" s="1"/>
  <c r="AD11" i="7"/>
  <c r="AD112" i="7" s="1"/>
  <c r="Z11" i="7"/>
  <c r="Z112" i="7" s="1"/>
  <c r="M11" i="7"/>
  <c r="M112" i="7" s="1"/>
  <c r="G11" i="7"/>
  <c r="G112" i="7" s="1"/>
  <c r="AH11" i="7"/>
  <c r="AH112" i="7" s="1"/>
  <c r="N11" i="7"/>
  <c r="N112" i="7" s="1"/>
  <c r="U11" i="7"/>
  <c r="U112" i="7" s="1"/>
  <c r="AM11" i="7"/>
  <c r="AM112" i="7" s="1"/>
  <c r="AP11" i="7"/>
  <c r="AP112" i="7" s="1"/>
  <c r="AC11" i="7"/>
  <c r="AC112" i="7" s="1"/>
  <c r="Y11" i="7"/>
  <c r="Y112" i="7" s="1"/>
  <c r="AX11" i="7"/>
  <c r="AX112" i="7" s="1"/>
  <c r="AY11" i="7"/>
  <c r="AY112" i="7" s="1"/>
  <c r="AK11" i="7"/>
  <c r="AK112" i="7" s="1"/>
  <c r="AS11" i="7"/>
  <c r="AS112" i="7" s="1"/>
  <c r="AL11" i="7"/>
  <c r="AL112" i="7" s="1"/>
  <c r="S11" i="7"/>
  <c r="S112" i="7" s="1"/>
  <c r="AW11" i="7"/>
  <c r="AW112" i="7" s="1"/>
  <c r="F11" i="7"/>
  <c r="F112" i="7" s="1"/>
  <c r="AE11" i="7"/>
  <c r="AE112" i="7" s="1"/>
  <c r="K11" i="7"/>
  <c r="K112" i="7" s="1"/>
  <c r="V11" i="7"/>
  <c r="V112" i="7" s="1"/>
  <c r="H11" i="7"/>
  <c r="H112" i="7" s="1"/>
  <c r="AI11" i="7"/>
  <c r="AI112" i="7" s="1"/>
  <c r="AQ11" i="7"/>
  <c r="AQ112" i="7" s="1"/>
  <c r="I11" i="7"/>
  <c r="I112" i="7" s="1"/>
  <c r="O11" i="7"/>
  <c r="O112" i="7" s="1"/>
  <c r="Q11" i="7"/>
  <c r="Q112" i="7" s="1"/>
  <c r="D11" i="7"/>
  <c r="D112" i="7" s="1"/>
  <c r="AT11" i="7"/>
  <c r="AT112" i="7" s="1"/>
  <c r="AU11" i="7"/>
  <c r="AU112" i="7" s="1"/>
  <c r="AG11" i="7"/>
  <c r="AG112" i="7" s="1"/>
  <c r="L11" i="7"/>
  <c r="L112" i="7" s="1"/>
  <c r="P11" i="7"/>
  <c r="P112" i="7" s="1"/>
  <c r="AO11" i="7"/>
  <c r="AO112" i="7" s="1"/>
  <c r="T11" i="7"/>
  <c r="T112" i="7" s="1"/>
  <c r="AB11" i="7"/>
  <c r="AB112" i="7" s="1"/>
  <c r="AF11" i="7"/>
  <c r="AF112" i="7" s="1"/>
  <c r="W11" i="7"/>
  <c r="W112" i="7" s="1"/>
  <c r="AJ11" i="7"/>
  <c r="AJ112" i="7" s="1"/>
  <c r="C11" i="7"/>
  <c r="C112" i="7" s="1"/>
  <c r="AN11" i="7"/>
  <c r="AN112" i="7" s="1"/>
  <c r="J11" i="7"/>
  <c r="J112" i="7" s="1"/>
  <c r="AR11" i="7"/>
  <c r="AR112" i="7" s="1"/>
  <c r="AA11" i="7"/>
  <c r="AA112" i="7" s="1"/>
  <c r="AV11" i="7"/>
  <c r="AV112" i="7" s="1"/>
  <c r="R11" i="7"/>
  <c r="R112" i="7" s="1"/>
  <c r="AZ11" i="7"/>
  <c r="AZ112" i="7" s="1"/>
  <c r="F80" i="7"/>
  <c r="V80" i="7"/>
  <c r="AL80" i="7"/>
  <c r="H79" i="7"/>
  <c r="X79" i="7"/>
  <c r="AN79" i="7"/>
  <c r="J78" i="7"/>
  <c r="Z78" i="7"/>
  <c r="AP78" i="7"/>
  <c r="L77" i="7"/>
  <c r="AB77" i="7"/>
  <c r="AR77" i="7"/>
  <c r="N76" i="7"/>
  <c r="AD76" i="7"/>
  <c r="AT76" i="7"/>
  <c r="P75" i="7"/>
  <c r="AF75" i="7"/>
  <c r="AV75" i="7"/>
  <c r="R74" i="7"/>
  <c r="AH74" i="7"/>
  <c r="AX74" i="7"/>
  <c r="D73" i="7"/>
  <c r="T73" i="7"/>
  <c r="AJ73" i="7"/>
  <c r="AZ73" i="7"/>
  <c r="F72" i="7"/>
  <c r="V72" i="7"/>
  <c r="AL72" i="7"/>
  <c r="H71" i="7"/>
  <c r="X71" i="7"/>
  <c r="AN71" i="7"/>
  <c r="I71" i="7"/>
  <c r="H72" i="7"/>
  <c r="AL74" i="7"/>
  <c r="E75" i="7"/>
  <c r="C74" i="7"/>
  <c r="M71" i="7"/>
  <c r="AC71" i="7"/>
  <c r="AS71" i="7"/>
  <c r="D80" i="7"/>
  <c r="T80" i="7"/>
  <c r="AJ80" i="7"/>
  <c r="AZ80" i="7"/>
  <c r="J77" i="7"/>
  <c r="Z77" i="7"/>
  <c r="AP77" i="7"/>
  <c r="G80" i="7"/>
  <c r="W80" i="7"/>
  <c r="AM80" i="7"/>
  <c r="I79" i="7"/>
  <c r="Y79" i="7"/>
  <c r="AO79" i="7"/>
  <c r="P74" i="7"/>
  <c r="AF74" i="7"/>
  <c r="AV74" i="7"/>
  <c r="M77" i="7"/>
  <c r="AC77" i="7"/>
  <c r="AS77" i="7"/>
  <c r="L78" i="7"/>
  <c r="AB78" i="7"/>
  <c r="AR78" i="7"/>
  <c r="R73" i="7"/>
  <c r="AH73" i="7"/>
  <c r="AX73" i="7"/>
  <c r="O76" i="7"/>
  <c r="AE76" i="7"/>
  <c r="AU76" i="7"/>
  <c r="N77" i="7"/>
  <c r="AD77" i="7"/>
  <c r="AT77" i="7"/>
  <c r="K80" i="7"/>
  <c r="AA80" i="7"/>
  <c r="AQ80" i="7"/>
  <c r="D72" i="7"/>
  <c r="T72" i="7"/>
  <c r="AJ72" i="7"/>
  <c r="AZ72" i="7"/>
  <c r="Q75" i="7"/>
  <c r="AG75" i="7"/>
  <c r="AW75" i="7"/>
  <c r="P76" i="7"/>
  <c r="AF76" i="7"/>
  <c r="AV76" i="7"/>
  <c r="M79" i="7"/>
  <c r="AC79" i="7"/>
  <c r="AS79" i="7"/>
  <c r="K78" i="7"/>
  <c r="F71" i="7"/>
  <c r="V71" i="7"/>
  <c r="AL71" i="7"/>
  <c r="S74" i="7"/>
  <c r="AI74" i="7"/>
  <c r="AY74" i="7"/>
  <c r="R75" i="7"/>
  <c r="AH75" i="7"/>
  <c r="AX75" i="7"/>
  <c r="P77" i="7"/>
  <c r="AF77" i="7"/>
  <c r="AV77" i="7"/>
  <c r="O78" i="7"/>
  <c r="AE78" i="7"/>
  <c r="AU78" i="7"/>
  <c r="AA78" i="7"/>
  <c r="E73" i="7"/>
  <c r="U73" i="7"/>
  <c r="AK73" i="7"/>
  <c r="D74" i="7"/>
  <c r="T74" i="7"/>
  <c r="AJ74" i="7"/>
  <c r="AZ74" i="7"/>
  <c r="R76" i="7"/>
  <c r="AH76" i="7"/>
  <c r="AX76" i="7"/>
  <c r="Q77" i="7"/>
  <c r="AG77" i="7"/>
  <c r="AW77" i="7"/>
  <c r="G58" i="7"/>
  <c r="W58" i="7"/>
  <c r="AM58" i="7"/>
  <c r="G72" i="7"/>
  <c r="W72" i="7"/>
  <c r="AM72" i="7"/>
  <c r="F73" i="7"/>
  <c r="V73" i="7"/>
  <c r="AL73" i="7"/>
  <c r="D75" i="7"/>
  <c r="T75" i="7"/>
  <c r="AJ75" i="7"/>
  <c r="AZ75" i="7"/>
  <c r="S76" i="7"/>
  <c r="AI76" i="7"/>
  <c r="AY76" i="7"/>
  <c r="H58" i="7"/>
  <c r="X58" i="7"/>
  <c r="AN58" i="7"/>
  <c r="AO71" i="7"/>
  <c r="F74" i="7"/>
  <c r="AK75" i="7"/>
  <c r="I58" i="7"/>
  <c r="Y58" i="7"/>
  <c r="AO58" i="7"/>
  <c r="Y71" i="7"/>
  <c r="X72" i="7"/>
  <c r="AN72" i="7"/>
  <c r="V74" i="7"/>
  <c r="U75" i="7"/>
  <c r="J71" i="7"/>
  <c r="Z71" i="7"/>
  <c r="AP71" i="7"/>
  <c r="H73" i="7"/>
  <c r="X73" i="7"/>
  <c r="AN73" i="7"/>
  <c r="G74" i="7"/>
  <c r="W74" i="7"/>
  <c r="AM74" i="7"/>
  <c r="J58" i="7"/>
  <c r="Z58" i="7"/>
  <c r="AP58" i="7"/>
  <c r="J72" i="7"/>
  <c r="Z72" i="7"/>
  <c r="AP72" i="7"/>
  <c r="I73" i="7"/>
  <c r="Y73" i="7"/>
  <c r="AO73" i="7"/>
  <c r="AQ78" i="7"/>
  <c r="L71" i="7"/>
  <c r="AB71" i="7"/>
  <c r="AR71" i="7"/>
  <c r="K72" i="7"/>
  <c r="AA72" i="7"/>
  <c r="AQ72" i="7"/>
  <c r="P71" i="7"/>
  <c r="AF71" i="7"/>
  <c r="AV71" i="7"/>
  <c r="N80" i="7"/>
  <c r="AD80" i="7"/>
  <c r="AT80" i="7"/>
  <c r="P79" i="7"/>
  <c r="AF79" i="7"/>
  <c r="AV79" i="7"/>
  <c r="R78" i="7"/>
  <c r="AH78" i="7"/>
  <c r="AX78" i="7"/>
  <c r="D77" i="7"/>
  <c r="T77" i="7"/>
  <c r="AJ77" i="7"/>
  <c r="AZ77" i="7"/>
  <c r="F76" i="7"/>
  <c r="V76" i="7"/>
  <c r="AL76" i="7"/>
  <c r="H75" i="7"/>
  <c r="X75" i="7"/>
  <c r="AN75" i="7"/>
  <c r="J74" i="7"/>
  <c r="Z74" i="7"/>
  <c r="AP74" i="7"/>
  <c r="L73" i="7"/>
  <c r="AB73" i="7"/>
  <c r="AR73" i="7"/>
  <c r="N72" i="7"/>
  <c r="AD72" i="7"/>
  <c r="AT72" i="7"/>
  <c r="M80" i="7"/>
  <c r="AC80" i="7"/>
  <c r="AS80" i="7"/>
  <c r="O79" i="7"/>
  <c r="AE79" i="7"/>
  <c r="AU79" i="7"/>
  <c r="Q78" i="7"/>
  <c r="AG78" i="7"/>
  <c r="AW78" i="7"/>
  <c r="S77" i="7"/>
  <c r="AI77" i="7"/>
  <c r="AY77" i="7"/>
  <c r="E76" i="7"/>
  <c r="U76" i="7"/>
  <c r="AK76" i="7"/>
  <c r="G75" i="7"/>
  <c r="W75" i="7"/>
  <c r="AM75" i="7"/>
  <c r="I74" i="7"/>
  <c r="Y74" i="7"/>
  <c r="AO74" i="7"/>
  <c r="K73" i="7"/>
  <c r="AQ73" i="7"/>
  <c r="M72" i="7"/>
  <c r="AC72" i="7"/>
  <c r="AS72" i="7"/>
  <c r="O71" i="7"/>
  <c r="AE71" i="7"/>
  <c r="AU71" i="7"/>
  <c r="C77" i="7"/>
  <c r="L80" i="7"/>
  <c r="AB80" i="7"/>
  <c r="AR80" i="7"/>
  <c r="N79" i="7"/>
  <c r="AD79" i="7"/>
  <c r="AT79" i="7"/>
  <c r="P78" i="7"/>
  <c r="AF78" i="7"/>
  <c r="AV78" i="7"/>
  <c r="H76" i="7"/>
  <c r="X76" i="7"/>
  <c r="AN76" i="7"/>
  <c r="R77" i="7"/>
  <c r="AH77" i="7"/>
  <c r="AX77" i="7"/>
  <c r="D76" i="7"/>
  <c r="T76" i="7"/>
  <c r="AJ76" i="7"/>
  <c r="AZ76" i="7"/>
  <c r="F75" i="7"/>
  <c r="V75" i="7"/>
  <c r="AL75" i="7"/>
  <c r="H74" i="7"/>
  <c r="X74" i="7"/>
  <c r="AN74" i="7"/>
  <c r="J73" i="7"/>
  <c r="Z73" i="7"/>
  <c r="AP73" i="7"/>
  <c r="N71" i="7"/>
  <c r="AD71" i="7"/>
  <c r="AT71" i="7"/>
  <c r="D58" i="7"/>
  <c r="T58" i="7"/>
  <c r="AJ58" i="7"/>
  <c r="AZ58" i="7"/>
  <c r="AL58" i="7"/>
  <c r="R58" i="7"/>
  <c r="AH58" i="7"/>
  <c r="AX58" i="7"/>
  <c r="AI58" i="7"/>
  <c r="AY58" i="7"/>
  <c r="S58" i="7"/>
  <c r="E58" i="7"/>
  <c r="U58" i="7"/>
  <c r="AK58" i="7"/>
  <c r="F58" i="7"/>
  <c r="L58" i="7"/>
  <c r="AB58" i="7"/>
  <c r="AR58" i="7"/>
  <c r="V58" i="7"/>
  <c r="M58" i="7"/>
  <c r="AC58" i="7"/>
  <c r="AS58" i="7"/>
  <c r="C58" i="7"/>
  <c r="AN64" i="7" s="1"/>
  <c r="N58" i="7"/>
  <c r="AD58" i="7"/>
  <c r="AT58" i="7"/>
  <c r="O58" i="7"/>
  <c r="AE58" i="7"/>
  <c r="AU58" i="7"/>
  <c r="K58" i="7"/>
  <c r="AA58" i="7"/>
  <c r="AQ58" i="7"/>
  <c r="P58" i="7"/>
  <c r="AF58" i="7"/>
  <c r="AV58" i="7"/>
  <c r="Q58" i="7"/>
  <c r="AG58" i="7"/>
  <c r="AW58" i="7"/>
  <c r="AS47" i="7"/>
  <c r="F47" i="7"/>
  <c r="N47" i="7"/>
  <c r="V47" i="7"/>
  <c r="AD47" i="7"/>
  <c r="AL47" i="7"/>
  <c r="AT47" i="7"/>
  <c r="G47" i="7"/>
  <c r="O47" i="7"/>
  <c r="W47" i="7"/>
  <c r="AE47" i="7"/>
  <c r="AM47" i="7"/>
  <c r="AU47" i="7"/>
  <c r="M47" i="7"/>
  <c r="H47" i="7"/>
  <c r="P47" i="7"/>
  <c r="X47" i="7"/>
  <c r="AF47" i="7"/>
  <c r="AN47" i="7"/>
  <c r="AV47" i="7"/>
  <c r="AK47" i="7"/>
  <c r="I47" i="7"/>
  <c r="Q47" i="7"/>
  <c r="Y47" i="7"/>
  <c r="AG47" i="7"/>
  <c r="AO47" i="7"/>
  <c r="AW47" i="7"/>
  <c r="J47" i="7"/>
  <c r="R47" i="7"/>
  <c r="Z47" i="7"/>
  <c r="AH47" i="7"/>
  <c r="AP47" i="7"/>
  <c r="AX47" i="7"/>
  <c r="E47" i="7"/>
  <c r="K47" i="7"/>
  <c r="S47" i="7"/>
  <c r="AA47" i="7"/>
  <c r="AI47" i="7"/>
  <c r="AQ47" i="7"/>
  <c r="AY47" i="7"/>
  <c r="U47" i="7"/>
  <c r="D47" i="7"/>
  <c r="L47" i="7"/>
  <c r="T47" i="7"/>
  <c r="AB47" i="7"/>
  <c r="AJ47" i="7"/>
  <c r="AR47" i="7"/>
  <c r="AZ47" i="7"/>
  <c r="AC47" i="7"/>
  <c r="C47" i="7"/>
  <c r="AA4" i="7"/>
  <c r="AA40" i="7" s="1"/>
  <c r="AS10" i="7"/>
  <c r="AS46" i="7" s="1"/>
  <c r="AJ3" i="7"/>
  <c r="AJ39" i="7" s="1"/>
  <c r="AK10" i="7"/>
  <c r="AK46" i="7" s="1"/>
  <c r="E3" i="7"/>
  <c r="E39" i="7" s="1"/>
  <c r="M3" i="7"/>
  <c r="M39" i="7" s="1"/>
  <c r="U3" i="7"/>
  <c r="U39" i="7" s="1"/>
  <c r="AC3" i="7"/>
  <c r="AC39" i="7" s="1"/>
  <c r="AK3" i="7"/>
  <c r="AK39" i="7" s="1"/>
  <c r="AS3" i="7"/>
  <c r="AS39" i="7" s="1"/>
  <c r="D4" i="7"/>
  <c r="D40" i="7" s="1"/>
  <c r="L4" i="7"/>
  <c r="L40" i="7" s="1"/>
  <c r="T4" i="7"/>
  <c r="T40" i="7" s="1"/>
  <c r="AB4" i="7"/>
  <c r="AB40" i="7" s="1"/>
  <c r="AJ4" i="7"/>
  <c r="AJ40" i="7" s="1"/>
  <c r="AR4" i="7"/>
  <c r="AR40" i="7" s="1"/>
  <c r="AZ4" i="7"/>
  <c r="AZ40" i="7" s="1"/>
  <c r="K5" i="7"/>
  <c r="K41" i="7" s="1"/>
  <c r="S5" i="7"/>
  <c r="S41" i="7" s="1"/>
  <c r="AA5" i="7"/>
  <c r="AA41" i="7" s="1"/>
  <c r="AI5" i="7"/>
  <c r="AI41" i="7" s="1"/>
  <c r="AQ5" i="7"/>
  <c r="AQ41" i="7" s="1"/>
  <c r="AY5" i="7"/>
  <c r="AY41" i="7" s="1"/>
  <c r="J6" i="7"/>
  <c r="J42" i="7" s="1"/>
  <c r="R6" i="7"/>
  <c r="R42" i="7" s="1"/>
  <c r="Z6" i="7"/>
  <c r="Z42" i="7" s="1"/>
  <c r="AH6" i="7"/>
  <c r="AH42" i="7" s="1"/>
  <c r="AP6" i="7"/>
  <c r="AP42" i="7" s="1"/>
  <c r="AX6" i="7"/>
  <c r="AX42" i="7" s="1"/>
  <c r="I7" i="7"/>
  <c r="I43" i="7" s="1"/>
  <c r="Q7" i="7"/>
  <c r="Q43" i="7" s="1"/>
  <c r="Y7" i="7"/>
  <c r="Y43" i="7" s="1"/>
  <c r="AG7" i="7"/>
  <c r="AG43" i="7" s="1"/>
  <c r="AO7" i="7"/>
  <c r="AO43" i="7" s="1"/>
  <c r="AW7" i="7"/>
  <c r="AW43" i="7" s="1"/>
  <c r="H8" i="7"/>
  <c r="H44" i="7" s="1"/>
  <c r="P8" i="7"/>
  <c r="P44" i="7" s="1"/>
  <c r="X8" i="7"/>
  <c r="X44" i="7" s="1"/>
  <c r="AF8" i="7"/>
  <c r="AF44" i="7" s="1"/>
  <c r="AN8" i="7"/>
  <c r="AN44" i="7" s="1"/>
  <c r="AV8" i="7"/>
  <c r="AV44" i="7" s="1"/>
  <c r="G9" i="7"/>
  <c r="G45" i="7" s="1"/>
  <c r="O9" i="7"/>
  <c r="O45" i="7" s="1"/>
  <c r="W9" i="7"/>
  <c r="W45" i="7" s="1"/>
  <c r="AE9" i="7"/>
  <c r="AE45" i="7" s="1"/>
  <c r="AM9" i="7"/>
  <c r="AM45" i="7" s="1"/>
  <c r="AU9" i="7"/>
  <c r="AU45" i="7" s="1"/>
  <c r="F10" i="7"/>
  <c r="F46" i="7" s="1"/>
  <c r="N10" i="7"/>
  <c r="N46" i="7" s="1"/>
  <c r="V10" i="7"/>
  <c r="V46" i="7" s="1"/>
  <c r="AD10" i="7"/>
  <c r="AD46" i="7" s="1"/>
  <c r="AL10" i="7"/>
  <c r="AL46" i="7" s="1"/>
  <c r="AT10" i="7"/>
  <c r="AT46" i="7" s="1"/>
  <c r="S4" i="7"/>
  <c r="S40" i="7" s="1"/>
  <c r="AC10" i="7"/>
  <c r="AC46" i="7" s="1"/>
  <c r="AB3" i="7"/>
  <c r="AB39" i="7" s="1"/>
  <c r="J5" i="7"/>
  <c r="J41" i="7" s="1"/>
  <c r="AG6" i="7"/>
  <c r="AG42" i="7" s="1"/>
  <c r="AF7" i="7"/>
  <c r="AF43" i="7" s="1"/>
  <c r="U10" i="7"/>
  <c r="U46" i="7" s="1"/>
  <c r="F3" i="7"/>
  <c r="F39" i="7" s="1"/>
  <c r="N3" i="7"/>
  <c r="N39" i="7" s="1"/>
  <c r="V3" i="7"/>
  <c r="V39" i="7" s="1"/>
  <c r="AD3" i="7"/>
  <c r="AD39" i="7" s="1"/>
  <c r="AL3" i="7"/>
  <c r="AL39" i="7" s="1"/>
  <c r="AT3" i="7"/>
  <c r="AT39" i="7" s="1"/>
  <c r="E4" i="7"/>
  <c r="E40" i="7" s="1"/>
  <c r="M4" i="7"/>
  <c r="M40" i="7" s="1"/>
  <c r="U4" i="7"/>
  <c r="U40" i="7" s="1"/>
  <c r="AC4" i="7"/>
  <c r="AC40" i="7" s="1"/>
  <c r="AK4" i="7"/>
  <c r="AK40" i="7" s="1"/>
  <c r="AS4" i="7"/>
  <c r="AS40" i="7" s="1"/>
  <c r="D5" i="7"/>
  <c r="D41" i="7" s="1"/>
  <c r="L5" i="7"/>
  <c r="L41" i="7" s="1"/>
  <c r="T5" i="7"/>
  <c r="T41" i="7" s="1"/>
  <c r="AB5" i="7"/>
  <c r="AB41" i="7" s="1"/>
  <c r="AJ5" i="7"/>
  <c r="AJ41" i="7" s="1"/>
  <c r="AR5" i="7"/>
  <c r="AR41" i="7" s="1"/>
  <c r="AZ5" i="7"/>
  <c r="AZ41" i="7" s="1"/>
  <c r="K6" i="7"/>
  <c r="K42" i="7" s="1"/>
  <c r="S6" i="7"/>
  <c r="S42" i="7" s="1"/>
  <c r="AA6" i="7"/>
  <c r="AA42" i="7" s="1"/>
  <c r="AI6" i="7"/>
  <c r="AI42" i="7" s="1"/>
  <c r="AQ6" i="7"/>
  <c r="AQ42" i="7" s="1"/>
  <c r="AY6" i="7"/>
  <c r="AY42" i="7" s="1"/>
  <c r="J7" i="7"/>
  <c r="J43" i="7" s="1"/>
  <c r="R7" i="7"/>
  <c r="R43" i="7" s="1"/>
  <c r="Z7" i="7"/>
  <c r="Z43" i="7" s="1"/>
  <c r="AH7" i="7"/>
  <c r="AH43" i="7" s="1"/>
  <c r="AP7" i="7"/>
  <c r="AP43" i="7" s="1"/>
  <c r="AX7" i="7"/>
  <c r="AX43" i="7" s="1"/>
  <c r="I8" i="7"/>
  <c r="I44" i="7" s="1"/>
  <c r="Q8" i="7"/>
  <c r="Q44" i="7" s="1"/>
  <c r="Y8" i="7"/>
  <c r="Y44" i="7" s="1"/>
  <c r="AG8" i="7"/>
  <c r="AG44" i="7" s="1"/>
  <c r="AO8" i="7"/>
  <c r="AO44" i="7" s="1"/>
  <c r="AW8" i="7"/>
  <c r="AW44" i="7" s="1"/>
  <c r="H9" i="7"/>
  <c r="H45" i="7" s="1"/>
  <c r="P9" i="7"/>
  <c r="P45" i="7" s="1"/>
  <c r="X9" i="7"/>
  <c r="X45" i="7" s="1"/>
  <c r="AF9" i="7"/>
  <c r="AF45" i="7" s="1"/>
  <c r="AN9" i="7"/>
  <c r="AN45" i="7" s="1"/>
  <c r="AV9" i="7"/>
  <c r="AV45" i="7" s="1"/>
  <c r="G10" i="7"/>
  <c r="G46" i="7" s="1"/>
  <c r="O10" i="7"/>
  <c r="O46" i="7" s="1"/>
  <c r="W10" i="7"/>
  <c r="W46" i="7" s="1"/>
  <c r="AE10" i="7"/>
  <c r="AE46" i="7" s="1"/>
  <c r="AM10" i="7"/>
  <c r="AM46" i="7" s="1"/>
  <c r="AU10" i="7"/>
  <c r="AU46" i="7" s="1"/>
  <c r="AY4" i="7"/>
  <c r="AY40" i="7" s="1"/>
  <c r="M10" i="7"/>
  <c r="M46" i="7" s="1"/>
  <c r="AX5" i="7"/>
  <c r="AX41" i="7" s="1"/>
  <c r="E10" i="7"/>
  <c r="E46" i="7" s="1"/>
  <c r="G3" i="7"/>
  <c r="G39" i="7" s="1"/>
  <c r="O3" i="7"/>
  <c r="O39" i="7" s="1"/>
  <c r="W3" i="7"/>
  <c r="W39" i="7" s="1"/>
  <c r="AE3" i="7"/>
  <c r="AE39" i="7" s="1"/>
  <c r="AM3" i="7"/>
  <c r="AM39" i="7" s="1"/>
  <c r="AU3" i="7"/>
  <c r="AU39" i="7" s="1"/>
  <c r="F4" i="7"/>
  <c r="F40" i="7" s="1"/>
  <c r="N4" i="7"/>
  <c r="N40" i="7" s="1"/>
  <c r="V4" i="7"/>
  <c r="V40" i="7" s="1"/>
  <c r="AD4" i="7"/>
  <c r="AD40" i="7" s="1"/>
  <c r="AL4" i="7"/>
  <c r="AL40" i="7" s="1"/>
  <c r="AT4" i="7"/>
  <c r="AT40" i="7" s="1"/>
  <c r="E5" i="7"/>
  <c r="E41" i="7" s="1"/>
  <c r="M5" i="7"/>
  <c r="M41" i="7" s="1"/>
  <c r="U5" i="7"/>
  <c r="U41" i="7" s="1"/>
  <c r="AC5" i="7"/>
  <c r="AC41" i="7" s="1"/>
  <c r="AK5" i="7"/>
  <c r="AK41" i="7" s="1"/>
  <c r="AS5" i="7"/>
  <c r="AS41" i="7" s="1"/>
  <c r="D6" i="7"/>
  <c r="D42" i="7" s="1"/>
  <c r="L6" i="7"/>
  <c r="L42" i="7" s="1"/>
  <c r="T6" i="7"/>
  <c r="T42" i="7" s="1"/>
  <c r="AB6" i="7"/>
  <c r="AB42" i="7" s="1"/>
  <c r="AJ6" i="7"/>
  <c r="AJ42" i="7" s="1"/>
  <c r="AR6" i="7"/>
  <c r="AR42" i="7" s="1"/>
  <c r="AZ6" i="7"/>
  <c r="AZ42" i="7" s="1"/>
  <c r="K7" i="7"/>
  <c r="K43" i="7" s="1"/>
  <c r="S7" i="7"/>
  <c r="S43" i="7" s="1"/>
  <c r="AA7" i="7"/>
  <c r="AA43" i="7" s="1"/>
  <c r="AI7" i="7"/>
  <c r="AI43" i="7" s="1"/>
  <c r="AQ7" i="7"/>
  <c r="AQ43" i="7" s="1"/>
  <c r="AY7" i="7"/>
  <c r="AY43" i="7" s="1"/>
  <c r="J8" i="7"/>
  <c r="J44" i="7" s="1"/>
  <c r="R8" i="7"/>
  <c r="R44" i="7" s="1"/>
  <c r="Z8" i="7"/>
  <c r="Z44" i="7" s="1"/>
  <c r="AH8" i="7"/>
  <c r="AH44" i="7" s="1"/>
  <c r="AP8" i="7"/>
  <c r="AP44" i="7" s="1"/>
  <c r="AX8" i="7"/>
  <c r="AX44" i="7" s="1"/>
  <c r="I9" i="7"/>
  <c r="I45" i="7" s="1"/>
  <c r="Q9" i="7"/>
  <c r="Q45" i="7" s="1"/>
  <c r="Y9" i="7"/>
  <c r="Y45" i="7" s="1"/>
  <c r="AG9" i="7"/>
  <c r="AG45" i="7" s="1"/>
  <c r="AO9" i="7"/>
  <c r="AO45" i="7" s="1"/>
  <c r="AW9" i="7"/>
  <c r="AW45" i="7" s="1"/>
  <c r="H10" i="7"/>
  <c r="H46" i="7" s="1"/>
  <c r="P10" i="7"/>
  <c r="P46" i="7" s="1"/>
  <c r="X10" i="7"/>
  <c r="X46" i="7" s="1"/>
  <c r="AF10" i="7"/>
  <c r="AF46" i="7" s="1"/>
  <c r="AN10" i="7"/>
  <c r="AN46" i="7" s="1"/>
  <c r="AV10" i="7"/>
  <c r="AV46" i="7" s="1"/>
  <c r="K4" i="7"/>
  <c r="K40" i="7" s="1"/>
  <c r="AT9" i="7"/>
  <c r="AT45" i="7" s="1"/>
  <c r="L3" i="7"/>
  <c r="L39" i="7" s="1"/>
  <c r="AZ3" i="7"/>
  <c r="AZ39" i="7" s="1"/>
  <c r="AH5" i="7"/>
  <c r="AH41" i="7" s="1"/>
  <c r="Y6" i="7"/>
  <c r="Y42" i="7" s="1"/>
  <c r="AW6" i="7"/>
  <c r="AW42" i="7" s="1"/>
  <c r="X7" i="7"/>
  <c r="X43" i="7" s="1"/>
  <c r="G8" i="7"/>
  <c r="G44" i="7" s="1"/>
  <c r="AE8" i="7"/>
  <c r="AE44" i="7" s="1"/>
  <c r="N9" i="7"/>
  <c r="N45" i="7" s="1"/>
  <c r="H3" i="7"/>
  <c r="H39" i="7" s="1"/>
  <c r="P3" i="7"/>
  <c r="P39" i="7" s="1"/>
  <c r="X3" i="7"/>
  <c r="X39" i="7" s="1"/>
  <c r="AF3" i="7"/>
  <c r="AF39" i="7" s="1"/>
  <c r="AN3" i="7"/>
  <c r="AN39" i="7" s="1"/>
  <c r="AV3" i="7"/>
  <c r="AV39" i="7" s="1"/>
  <c r="G4" i="7"/>
  <c r="G40" i="7" s="1"/>
  <c r="O4" i="7"/>
  <c r="O40" i="7" s="1"/>
  <c r="W4" i="7"/>
  <c r="W40" i="7" s="1"/>
  <c r="AE4" i="7"/>
  <c r="AE40" i="7" s="1"/>
  <c r="AM4" i="7"/>
  <c r="AM40" i="7" s="1"/>
  <c r="AU4" i="7"/>
  <c r="AU40" i="7" s="1"/>
  <c r="F5" i="7"/>
  <c r="F41" i="7" s="1"/>
  <c r="N5" i="7"/>
  <c r="N41" i="7" s="1"/>
  <c r="V5" i="7"/>
  <c r="V41" i="7" s="1"/>
  <c r="AD5" i="7"/>
  <c r="AD41" i="7" s="1"/>
  <c r="AL5" i="7"/>
  <c r="AL41" i="7" s="1"/>
  <c r="AT5" i="7"/>
  <c r="AT41" i="7" s="1"/>
  <c r="E6" i="7"/>
  <c r="E42" i="7" s="1"/>
  <c r="M6" i="7"/>
  <c r="M42" i="7" s="1"/>
  <c r="U6" i="7"/>
  <c r="U42" i="7" s="1"/>
  <c r="AC6" i="7"/>
  <c r="AC42" i="7" s="1"/>
  <c r="AK6" i="7"/>
  <c r="AK42" i="7" s="1"/>
  <c r="AS6" i="7"/>
  <c r="AS42" i="7" s="1"/>
  <c r="D7" i="7"/>
  <c r="D43" i="7" s="1"/>
  <c r="L7" i="7"/>
  <c r="L43" i="7" s="1"/>
  <c r="T7" i="7"/>
  <c r="T43" i="7" s="1"/>
  <c r="AB7" i="7"/>
  <c r="AB43" i="7" s="1"/>
  <c r="AJ7" i="7"/>
  <c r="AJ43" i="7" s="1"/>
  <c r="AR7" i="7"/>
  <c r="AR43" i="7" s="1"/>
  <c r="AZ7" i="7"/>
  <c r="AZ43" i="7" s="1"/>
  <c r="K8" i="7"/>
  <c r="K44" i="7" s="1"/>
  <c r="S8" i="7"/>
  <c r="S44" i="7" s="1"/>
  <c r="AA8" i="7"/>
  <c r="AA44" i="7" s="1"/>
  <c r="AI8" i="7"/>
  <c r="AI44" i="7" s="1"/>
  <c r="AQ8" i="7"/>
  <c r="AQ44" i="7" s="1"/>
  <c r="AY8" i="7"/>
  <c r="AY44" i="7" s="1"/>
  <c r="J9" i="7"/>
  <c r="J45" i="7" s="1"/>
  <c r="R9" i="7"/>
  <c r="R45" i="7" s="1"/>
  <c r="Z9" i="7"/>
  <c r="Z45" i="7" s="1"/>
  <c r="AH9" i="7"/>
  <c r="AH45" i="7" s="1"/>
  <c r="AP9" i="7"/>
  <c r="AP45" i="7" s="1"/>
  <c r="AX9" i="7"/>
  <c r="AX45" i="7" s="1"/>
  <c r="I10" i="7"/>
  <c r="I46" i="7" s="1"/>
  <c r="Q10" i="7"/>
  <c r="Q46" i="7" s="1"/>
  <c r="Y10" i="7"/>
  <c r="Y46" i="7" s="1"/>
  <c r="AG10" i="7"/>
  <c r="AG46" i="7" s="1"/>
  <c r="AO10" i="7"/>
  <c r="AO46" i="7" s="1"/>
  <c r="AW10" i="7"/>
  <c r="AW46" i="7" s="1"/>
  <c r="AP5" i="7"/>
  <c r="AP41" i="7" s="1"/>
  <c r="AL9" i="7"/>
  <c r="AL45" i="7" s="1"/>
  <c r="D3" i="7"/>
  <c r="D39" i="7" s="1"/>
  <c r="AR3" i="7"/>
  <c r="AR39" i="7" s="1"/>
  <c r="Z5" i="7"/>
  <c r="Z41" i="7" s="1"/>
  <c r="I6" i="7"/>
  <c r="I42" i="7" s="1"/>
  <c r="AO6" i="7"/>
  <c r="AO42" i="7" s="1"/>
  <c r="P7" i="7"/>
  <c r="P43" i="7" s="1"/>
  <c r="AV7" i="7"/>
  <c r="AV43" i="7" s="1"/>
  <c r="AM8" i="7"/>
  <c r="AM44" i="7" s="1"/>
  <c r="AU8" i="7"/>
  <c r="AU44" i="7" s="1"/>
  <c r="I3" i="7"/>
  <c r="I39" i="7" s="1"/>
  <c r="Q3" i="7"/>
  <c r="Q39" i="7" s="1"/>
  <c r="Y3" i="7"/>
  <c r="Y39" i="7" s="1"/>
  <c r="AG3" i="7"/>
  <c r="AG39" i="7" s="1"/>
  <c r="AO3" i="7"/>
  <c r="AO39" i="7" s="1"/>
  <c r="AW3" i="7"/>
  <c r="AW39" i="7" s="1"/>
  <c r="H4" i="7"/>
  <c r="H40" i="7" s="1"/>
  <c r="P4" i="7"/>
  <c r="P40" i="7" s="1"/>
  <c r="X4" i="7"/>
  <c r="X40" i="7" s="1"/>
  <c r="AF4" i="7"/>
  <c r="AF40" i="7" s="1"/>
  <c r="AN4" i="7"/>
  <c r="AN40" i="7" s="1"/>
  <c r="AV4" i="7"/>
  <c r="AV40" i="7" s="1"/>
  <c r="G5" i="7"/>
  <c r="G41" i="7" s="1"/>
  <c r="O5" i="7"/>
  <c r="O41" i="7" s="1"/>
  <c r="W5" i="7"/>
  <c r="W41" i="7" s="1"/>
  <c r="AE5" i="7"/>
  <c r="AE41" i="7" s="1"/>
  <c r="AM5" i="7"/>
  <c r="AM41" i="7" s="1"/>
  <c r="AU5" i="7"/>
  <c r="AU41" i="7" s="1"/>
  <c r="F6" i="7"/>
  <c r="F42" i="7" s="1"/>
  <c r="N6" i="7"/>
  <c r="N42" i="7" s="1"/>
  <c r="V6" i="7"/>
  <c r="V42" i="7" s="1"/>
  <c r="AD6" i="7"/>
  <c r="AD42" i="7" s="1"/>
  <c r="AL6" i="7"/>
  <c r="AL42" i="7" s="1"/>
  <c r="AT6" i="7"/>
  <c r="AT42" i="7" s="1"/>
  <c r="E7" i="7"/>
  <c r="E43" i="7" s="1"/>
  <c r="M7" i="7"/>
  <c r="M43" i="7" s="1"/>
  <c r="U7" i="7"/>
  <c r="U43" i="7" s="1"/>
  <c r="AC7" i="7"/>
  <c r="AC43" i="7" s="1"/>
  <c r="AK7" i="7"/>
  <c r="AK43" i="7" s="1"/>
  <c r="AS7" i="7"/>
  <c r="AS43" i="7" s="1"/>
  <c r="D8" i="7"/>
  <c r="D44" i="7" s="1"/>
  <c r="L8" i="7"/>
  <c r="L44" i="7" s="1"/>
  <c r="T8" i="7"/>
  <c r="T44" i="7" s="1"/>
  <c r="AB8" i="7"/>
  <c r="AB44" i="7" s="1"/>
  <c r="AJ8" i="7"/>
  <c r="AJ44" i="7" s="1"/>
  <c r="AR8" i="7"/>
  <c r="AR44" i="7" s="1"/>
  <c r="AZ8" i="7"/>
  <c r="AZ44" i="7" s="1"/>
  <c r="K9" i="7"/>
  <c r="K45" i="7" s="1"/>
  <c r="S9" i="7"/>
  <c r="S45" i="7" s="1"/>
  <c r="AA9" i="7"/>
  <c r="AA45" i="7" s="1"/>
  <c r="AI9" i="7"/>
  <c r="AI45" i="7" s="1"/>
  <c r="AQ9" i="7"/>
  <c r="AQ45" i="7" s="1"/>
  <c r="AY9" i="7"/>
  <c r="AY45" i="7" s="1"/>
  <c r="J10" i="7"/>
  <c r="J46" i="7" s="1"/>
  <c r="R10" i="7"/>
  <c r="R46" i="7" s="1"/>
  <c r="Z10" i="7"/>
  <c r="Z46" i="7" s="1"/>
  <c r="AH10" i="7"/>
  <c r="AH46" i="7" s="1"/>
  <c r="AP10" i="7"/>
  <c r="AP46" i="7" s="1"/>
  <c r="AX10" i="7"/>
  <c r="AX46" i="7" s="1"/>
  <c r="AQ4" i="7"/>
  <c r="AQ40" i="7" s="1"/>
  <c r="AD9" i="7"/>
  <c r="AD45" i="7" s="1"/>
  <c r="T3" i="7"/>
  <c r="T39" i="7" s="1"/>
  <c r="AI4" i="7"/>
  <c r="AI40" i="7" s="1"/>
  <c r="Q6" i="7"/>
  <c r="Q42" i="7" s="1"/>
  <c r="H7" i="7"/>
  <c r="H43" i="7" s="1"/>
  <c r="AN7" i="7"/>
  <c r="AN43" i="7" s="1"/>
  <c r="O8" i="7"/>
  <c r="O44" i="7" s="1"/>
  <c r="W8" i="7"/>
  <c r="W44" i="7" s="1"/>
  <c r="F9" i="7"/>
  <c r="F45" i="7" s="1"/>
  <c r="J3" i="7"/>
  <c r="J39" i="7" s="1"/>
  <c r="R3" i="7"/>
  <c r="R39" i="7" s="1"/>
  <c r="Z3" i="7"/>
  <c r="Z39" i="7" s="1"/>
  <c r="AH3" i="7"/>
  <c r="AH39" i="7" s="1"/>
  <c r="AP3" i="7"/>
  <c r="AP39" i="7" s="1"/>
  <c r="AX3" i="7"/>
  <c r="AX39" i="7" s="1"/>
  <c r="I4" i="7"/>
  <c r="I40" i="7" s="1"/>
  <c r="Q4" i="7"/>
  <c r="Q40" i="7" s="1"/>
  <c r="Y4" i="7"/>
  <c r="Y40" i="7" s="1"/>
  <c r="AG4" i="7"/>
  <c r="AG40" i="7" s="1"/>
  <c r="AO4" i="7"/>
  <c r="AO40" i="7" s="1"/>
  <c r="AW4" i="7"/>
  <c r="AW40" i="7" s="1"/>
  <c r="H5" i="7"/>
  <c r="H41" i="7" s="1"/>
  <c r="P5" i="7"/>
  <c r="P41" i="7" s="1"/>
  <c r="X5" i="7"/>
  <c r="X41" i="7" s="1"/>
  <c r="AF5" i="7"/>
  <c r="AF41" i="7" s="1"/>
  <c r="AN5" i="7"/>
  <c r="AN41" i="7" s="1"/>
  <c r="AV5" i="7"/>
  <c r="AV41" i="7" s="1"/>
  <c r="G6" i="7"/>
  <c r="G42" i="7" s="1"/>
  <c r="O6" i="7"/>
  <c r="O42" i="7" s="1"/>
  <c r="W6" i="7"/>
  <c r="W42" i="7" s="1"/>
  <c r="AE6" i="7"/>
  <c r="AE42" i="7" s="1"/>
  <c r="AM6" i="7"/>
  <c r="AM42" i="7" s="1"/>
  <c r="AU6" i="7"/>
  <c r="AU42" i="7" s="1"/>
  <c r="F7" i="7"/>
  <c r="F43" i="7" s="1"/>
  <c r="N7" i="7"/>
  <c r="N43" i="7" s="1"/>
  <c r="V7" i="7"/>
  <c r="V43" i="7" s="1"/>
  <c r="AD7" i="7"/>
  <c r="AD43" i="7" s="1"/>
  <c r="AL7" i="7"/>
  <c r="AL43" i="7" s="1"/>
  <c r="AT7" i="7"/>
  <c r="AT43" i="7" s="1"/>
  <c r="E8" i="7"/>
  <c r="E44" i="7" s="1"/>
  <c r="M8" i="7"/>
  <c r="M44" i="7" s="1"/>
  <c r="U8" i="7"/>
  <c r="U44" i="7" s="1"/>
  <c r="AC8" i="7"/>
  <c r="AC44" i="7" s="1"/>
  <c r="AK8" i="7"/>
  <c r="AK44" i="7" s="1"/>
  <c r="AS8" i="7"/>
  <c r="AS44" i="7" s="1"/>
  <c r="D9" i="7"/>
  <c r="D45" i="7" s="1"/>
  <c r="L9" i="7"/>
  <c r="L45" i="7" s="1"/>
  <c r="T9" i="7"/>
  <c r="T45" i="7" s="1"/>
  <c r="AB9" i="7"/>
  <c r="AB45" i="7" s="1"/>
  <c r="AJ9" i="7"/>
  <c r="AJ45" i="7" s="1"/>
  <c r="AR9" i="7"/>
  <c r="AR45" i="7" s="1"/>
  <c r="AZ9" i="7"/>
  <c r="AZ45" i="7" s="1"/>
  <c r="K10" i="7"/>
  <c r="K46" i="7" s="1"/>
  <c r="S10" i="7"/>
  <c r="S46" i="7" s="1"/>
  <c r="AA10" i="7"/>
  <c r="AA46" i="7" s="1"/>
  <c r="AI10" i="7"/>
  <c r="AI46" i="7" s="1"/>
  <c r="AQ10" i="7"/>
  <c r="AQ46" i="7" s="1"/>
  <c r="AY10" i="7"/>
  <c r="AY46" i="7" s="1"/>
  <c r="R5" i="7"/>
  <c r="R41" i="7" s="1"/>
  <c r="V9" i="7"/>
  <c r="V45" i="7" s="1"/>
  <c r="K3" i="7"/>
  <c r="K39" i="7" s="1"/>
  <c r="S3" i="7"/>
  <c r="S39" i="7" s="1"/>
  <c r="AA3" i="7"/>
  <c r="AA39" i="7" s="1"/>
  <c r="AI3" i="7"/>
  <c r="AI39" i="7" s="1"/>
  <c r="AQ3" i="7"/>
  <c r="AQ39" i="7" s="1"/>
  <c r="AY3" i="7"/>
  <c r="AY39" i="7" s="1"/>
  <c r="J4" i="7"/>
  <c r="J40" i="7" s="1"/>
  <c r="R4" i="7"/>
  <c r="R40" i="7" s="1"/>
  <c r="Z4" i="7"/>
  <c r="Z40" i="7" s="1"/>
  <c r="AH4" i="7"/>
  <c r="AH40" i="7" s="1"/>
  <c r="AP4" i="7"/>
  <c r="AP40" i="7" s="1"/>
  <c r="AX4" i="7"/>
  <c r="AX40" i="7" s="1"/>
  <c r="I5" i="7"/>
  <c r="I41" i="7" s="1"/>
  <c r="Q5" i="7"/>
  <c r="Q41" i="7" s="1"/>
  <c r="Y5" i="7"/>
  <c r="Y41" i="7" s="1"/>
  <c r="AG5" i="7"/>
  <c r="AG41" i="7" s="1"/>
  <c r="AO5" i="7"/>
  <c r="AO41" i="7" s="1"/>
  <c r="AW5" i="7"/>
  <c r="AW41" i="7" s="1"/>
  <c r="H6" i="7"/>
  <c r="H42" i="7" s="1"/>
  <c r="P6" i="7"/>
  <c r="P42" i="7" s="1"/>
  <c r="X6" i="7"/>
  <c r="X42" i="7" s="1"/>
  <c r="AF6" i="7"/>
  <c r="AF42" i="7" s="1"/>
  <c r="AN6" i="7"/>
  <c r="AN42" i="7" s="1"/>
  <c r="AV6" i="7"/>
  <c r="AV42" i="7" s="1"/>
  <c r="G7" i="7"/>
  <c r="G43" i="7" s="1"/>
  <c r="O7" i="7"/>
  <c r="O43" i="7" s="1"/>
  <c r="W7" i="7"/>
  <c r="W43" i="7" s="1"/>
  <c r="AE7" i="7"/>
  <c r="AE43" i="7" s="1"/>
  <c r="AM7" i="7"/>
  <c r="AM43" i="7" s="1"/>
  <c r="AU7" i="7"/>
  <c r="AU43" i="7" s="1"/>
  <c r="F8" i="7"/>
  <c r="F44" i="7" s="1"/>
  <c r="N8" i="7"/>
  <c r="N44" i="7" s="1"/>
  <c r="V8" i="7"/>
  <c r="V44" i="7" s="1"/>
  <c r="AD8" i="7"/>
  <c r="AD44" i="7" s="1"/>
  <c r="AL8" i="7"/>
  <c r="AL44" i="7" s="1"/>
  <c r="AT8" i="7"/>
  <c r="AT44" i="7" s="1"/>
  <c r="E9" i="7"/>
  <c r="E45" i="7" s="1"/>
  <c r="M9" i="7"/>
  <c r="M45" i="7" s="1"/>
  <c r="U9" i="7"/>
  <c r="U45" i="7" s="1"/>
  <c r="AC9" i="7"/>
  <c r="AC45" i="7" s="1"/>
  <c r="AK9" i="7"/>
  <c r="AK45" i="7" s="1"/>
  <c r="AS9" i="7"/>
  <c r="AS45" i="7" s="1"/>
  <c r="D10" i="7"/>
  <c r="D46" i="7" s="1"/>
  <c r="L10" i="7"/>
  <c r="L46" i="7" s="1"/>
  <c r="T10" i="7"/>
  <c r="T46" i="7" s="1"/>
  <c r="AB10" i="7"/>
  <c r="AB46" i="7" s="1"/>
  <c r="AJ10" i="7"/>
  <c r="AJ46" i="7" s="1"/>
  <c r="AR10" i="7"/>
  <c r="AR46" i="7" s="1"/>
  <c r="AZ10" i="7"/>
  <c r="AZ46" i="7" s="1"/>
  <c r="C10" i="7"/>
  <c r="C46" i="7" s="1"/>
  <c r="C9" i="7"/>
  <c r="C45" i="7" s="1"/>
  <c r="C8" i="7"/>
  <c r="C44" i="7" s="1"/>
  <c r="C7" i="7"/>
  <c r="C43" i="7" s="1"/>
  <c r="R4" i="6"/>
  <c r="L2" i="6"/>
  <c r="L10" i="6" s="1"/>
  <c r="AB2" i="6"/>
  <c r="AB10" i="6" s="1"/>
  <c r="AR2" i="6"/>
  <c r="AR10" i="6" s="1"/>
  <c r="I3" i="6"/>
  <c r="Y3" i="6"/>
  <c r="AO3" i="6"/>
  <c r="F4" i="6"/>
  <c r="V4" i="6"/>
  <c r="AL4" i="6"/>
  <c r="C5" i="6"/>
  <c r="S5" i="6"/>
  <c r="AI5" i="6"/>
  <c r="AY5" i="6"/>
  <c r="P6" i="6"/>
  <c r="AF6" i="6"/>
  <c r="AV6" i="6"/>
  <c r="M7" i="6"/>
  <c r="AC7" i="6"/>
  <c r="AS7" i="6"/>
  <c r="J8" i="6"/>
  <c r="Z8" i="6"/>
  <c r="AP8" i="6"/>
  <c r="G9" i="6"/>
  <c r="W9" i="6"/>
  <c r="AM9" i="6"/>
  <c r="G4" i="6"/>
  <c r="W4" i="6"/>
  <c r="AM4" i="6"/>
  <c r="X9" i="6"/>
  <c r="AN9" i="6"/>
  <c r="H4" i="6"/>
  <c r="X4" i="6"/>
  <c r="AN4" i="6"/>
  <c r="AN10" i="6" s="1"/>
  <c r="R6" i="6"/>
  <c r="AH6" i="6"/>
  <c r="AX6" i="6"/>
  <c r="O7" i="6"/>
  <c r="AE7" i="6"/>
  <c r="AU7" i="6"/>
  <c r="L8" i="6"/>
  <c r="AB8" i="6"/>
  <c r="AR8" i="6"/>
  <c r="I9" i="6"/>
  <c r="Y9" i="6"/>
  <c r="AO9" i="6"/>
  <c r="O2" i="6"/>
  <c r="O10" i="6" s="1"/>
  <c r="AE2" i="6"/>
  <c r="AE10" i="6" s="1"/>
  <c r="AU2" i="6"/>
  <c r="AU10" i="6" s="1"/>
  <c r="L3" i="6"/>
  <c r="AB3" i="6"/>
  <c r="AR3" i="6"/>
  <c r="I4" i="6"/>
  <c r="Y4" i="6"/>
  <c r="AO4" i="6"/>
  <c r="F5" i="6"/>
  <c r="V5" i="6"/>
  <c r="AL5" i="6"/>
  <c r="C6" i="6"/>
  <c r="S6" i="6"/>
  <c r="AI6" i="6"/>
  <c r="AY6" i="6"/>
  <c r="P7" i="6"/>
  <c r="AF7" i="6"/>
  <c r="AV7" i="6"/>
  <c r="M8" i="6"/>
  <c r="AC8" i="6"/>
  <c r="AS8" i="6"/>
  <c r="J9" i="6"/>
  <c r="Z9" i="6"/>
  <c r="AP9" i="6"/>
  <c r="P2" i="6"/>
  <c r="P10" i="6" s="1"/>
  <c r="AF2" i="6"/>
  <c r="AF10" i="6" s="1"/>
  <c r="AV2" i="6"/>
  <c r="AV10" i="6" s="1"/>
  <c r="M3" i="6"/>
  <c r="M10" i="6" s="1"/>
  <c r="AC3" i="6"/>
  <c r="AC10" i="6" s="1"/>
  <c r="AS3" i="6"/>
  <c r="AS10" i="6" s="1"/>
  <c r="J4" i="6"/>
  <c r="Z4" i="6"/>
  <c r="AP4" i="6"/>
  <c r="G5" i="6"/>
  <c r="W5" i="6"/>
  <c r="AM5" i="6"/>
  <c r="D6" i="6"/>
  <c r="T6" i="6"/>
  <c r="AJ6" i="6"/>
  <c r="AZ6" i="6"/>
  <c r="Q7" i="6"/>
  <c r="AG7" i="6"/>
  <c r="AW7" i="6"/>
  <c r="N8" i="6"/>
  <c r="AD8" i="6"/>
  <c r="AT8" i="6"/>
  <c r="K9" i="6"/>
  <c r="AA9" i="6"/>
  <c r="AQ9" i="6"/>
  <c r="K4" i="6"/>
  <c r="AA4" i="6"/>
  <c r="AQ4" i="6"/>
  <c r="AQ10" i="6" s="1"/>
  <c r="E6" i="6"/>
  <c r="U6" i="6"/>
  <c r="AK6" i="6"/>
  <c r="R7" i="6"/>
  <c r="AH7" i="6"/>
  <c r="AX7" i="6"/>
  <c r="O8" i="6"/>
  <c r="AE8" i="6"/>
  <c r="AU8" i="6"/>
  <c r="L9" i="6"/>
  <c r="AB9" i="6"/>
  <c r="AR9" i="6"/>
  <c r="R2" i="6"/>
  <c r="R10" i="6" s="1"/>
  <c r="AH2" i="6"/>
  <c r="AH10" i="6" s="1"/>
  <c r="AX2" i="6"/>
  <c r="AX10" i="6" s="1"/>
  <c r="O3" i="6"/>
  <c r="AE3" i="6"/>
  <c r="AU3" i="6"/>
  <c r="L4" i="6"/>
  <c r="AB4" i="6"/>
  <c r="AR4" i="6"/>
  <c r="I5" i="6"/>
  <c r="Y5" i="6"/>
  <c r="AO5" i="6"/>
  <c r="F6" i="6"/>
  <c r="V6" i="6"/>
  <c r="AL6" i="6"/>
  <c r="C7" i="6"/>
  <c r="S7" i="6"/>
  <c r="AI7" i="6"/>
  <c r="AY7" i="6"/>
  <c r="P8" i="6"/>
  <c r="AF8" i="6"/>
  <c r="AV8" i="6"/>
  <c r="M9" i="6"/>
  <c r="AC9" i="6"/>
  <c r="AS9" i="6"/>
  <c r="C2" i="6"/>
  <c r="C10" i="6" s="1"/>
  <c r="S2" i="6"/>
  <c r="S10" i="6" s="1"/>
  <c r="AI2" i="6"/>
  <c r="AI10" i="6" s="1"/>
  <c r="AY2" i="6"/>
  <c r="AY10" i="6" s="1"/>
  <c r="P3" i="6"/>
  <c r="AF3" i="6"/>
  <c r="AV3" i="6"/>
  <c r="M4" i="6"/>
  <c r="AC4" i="6"/>
  <c r="AS4" i="6"/>
  <c r="J5" i="6"/>
  <c r="Z5" i="6"/>
  <c r="AP5" i="6"/>
  <c r="G6" i="6"/>
  <c r="W6" i="6"/>
  <c r="AM6" i="6"/>
  <c r="D7" i="6"/>
  <c r="T7" i="6"/>
  <c r="AJ7" i="6"/>
  <c r="AZ7" i="6"/>
  <c r="Q8" i="6"/>
  <c r="AG8" i="6"/>
  <c r="AW8" i="6"/>
  <c r="N9" i="6"/>
  <c r="AD9" i="6"/>
  <c r="AT9" i="6"/>
  <c r="N4" i="6"/>
  <c r="N10" i="6" s="1"/>
  <c r="AD4" i="6"/>
  <c r="AD10" i="6" s="1"/>
  <c r="AT4" i="6"/>
  <c r="AT10" i="6" s="1"/>
  <c r="H6" i="6"/>
  <c r="X6" i="6"/>
  <c r="AN6" i="6"/>
  <c r="E7" i="6"/>
  <c r="U7" i="6"/>
  <c r="AK7" i="6"/>
  <c r="R8" i="6"/>
  <c r="AH8" i="6"/>
  <c r="AX8" i="6"/>
  <c r="O9" i="6"/>
  <c r="AE9" i="6"/>
  <c r="AU9" i="6"/>
  <c r="E2" i="6"/>
  <c r="E10" i="6" s="1"/>
  <c r="U2" i="6"/>
  <c r="U10" i="6" s="1"/>
  <c r="AK2" i="6"/>
  <c r="AK10" i="6" s="1"/>
  <c r="R3" i="6"/>
  <c r="AH3" i="6"/>
  <c r="AX3" i="6"/>
  <c r="O4" i="6"/>
  <c r="AE4" i="6"/>
  <c r="AU4" i="6"/>
  <c r="L5" i="6"/>
  <c r="AB5" i="6"/>
  <c r="AR5" i="6"/>
  <c r="I6" i="6"/>
  <c r="Y6" i="6"/>
  <c r="AO6" i="6"/>
  <c r="F7" i="6"/>
  <c r="V7" i="6"/>
  <c r="AL7" i="6"/>
  <c r="C8" i="6"/>
  <c r="S8" i="6"/>
  <c r="AI8" i="6"/>
  <c r="AY8" i="6"/>
  <c r="P9" i="6"/>
  <c r="AF9" i="6"/>
  <c r="AV9" i="6"/>
  <c r="F2" i="6"/>
  <c r="F10" i="6" s="1"/>
  <c r="V2" i="6"/>
  <c r="V10" i="6" s="1"/>
  <c r="AL2" i="6"/>
  <c r="AL10" i="6" s="1"/>
  <c r="C3" i="6"/>
  <c r="S3" i="6"/>
  <c r="AI3" i="6"/>
  <c r="AY3" i="6"/>
  <c r="P4" i="6"/>
  <c r="AF4" i="6"/>
  <c r="AV4" i="6"/>
  <c r="M5" i="6"/>
  <c r="AC5" i="6"/>
  <c r="AS5" i="6"/>
  <c r="J6" i="6"/>
  <c r="Z6" i="6"/>
  <c r="AP6" i="6"/>
  <c r="G7" i="6"/>
  <c r="W7" i="6"/>
  <c r="AM7" i="6"/>
  <c r="D8" i="6"/>
  <c r="T8" i="6"/>
  <c r="AJ8" i="6"/>
  <c r="AZ8" i="6"/>
  <c r="Q9" i="6"/>
  <c r="AG9" i="6"/>
  <c r="AW9" i="6"/>
  <c r="Q4" i="6"/>
  <c r="Q10" i="6" s="1"/>
  <c r="AG4" i="6"/>
  <c r="AG10" i="6" s="1"/>
  <c r="AW4" i="6"/>
  <c r="AW10" i="6" s="1"/>
  <c r="R9" i="6"/>
  <c r="AH9" i="6"/>
  <c r="AX9" i="6"/>
  <c r="AR6" i="6"/>
  <c r="I7" i="6"/>
  <c r="Y7" i="6"/>
  <c r="AO7" i="6"/>
  <c r="F8" i="6"/>
  <c r="V8" i="6"/>
  <c r="AL8" i="6"/>
  <c r="C9" i="6"/>
  <c r="S9" i="6"/>
  <c r="AI9" i="6"/>
  <c r="AY9" i="6"/>
  <c r="AX4" i="6"/>
  <c r="I2" i="6"/>
  <c r="I10" i="6" s="1"/>
  <c r="Y2" i="6"/>
  <c r="Y10" i="6" s="1"/>
  <c r="AO2" i="6"/>
  <c r="AO10" i="6" s="1"/>
  <c r="F3" i="6"/>
  <c r="V3" i="6"/>
  <c r="AL3" i="6"/>
  <c r="C4" i="6"/>
  <c r="S4" i="6"/>
  <c r="AI4" i="6"/>
  <c r="AY4" i="6"/>
  <c r="P5" i="6"/>
  <c r="AF5" i="6"/>
  <c r="AV5" i="6"/>
  <c r="M6" i="6"/>
  <c r="AC6" i="6"/>
  <c r="AS6" i="6"/>
  <c r="J7" i="6"/>
  <c r="Z7" i="6"/>
  <c r="AP7" i="6"/>
  <c r="G8" i="6"/>
  <c r="W8" i="6"/>
  <c r="AM8" i="6"/>
  <c r="D9" i="6"/>
  <c r="T9" i="6"/>
  <c r="AJ9" i="6"/>
  <c r="AZ9" i="6"/>
  <c r="J2" i="6"/>
  <c r="J10" i="6" s="1"/>
  <c r="Z2" i="6"/>
  <c r="Z10" i="6" s="1"/>
  <c r="AP2" i="6"/>
  <c r="AP10" i="6" s="1"/>
  <c r="G3" i="6"/>
  <c r="G10" i="6" s="1"/>
  <c r="W3" i="6"/>
  <c r="W10" i="6" s="1"/>
  <c r="AM3" i="6"/>
  <c r="AM10" i="6" s="1"/>
  <c r="D4" i="6"/>
  <c r="D10" i="6" s="1"/>
  <c r="T4" i="6"/>
  <c r="T10" i="6" s="1"/>
  <c r="AJ4" i="6"/>
  <c r="AJ10" i="6" s="1"/>
  <c r="AZ4" i="6"/>
  <c r="AZ10" i="6" s="1"/>
  <c r="Q5" i="6"/>
  <c r="AG5" i="6"/>
  <c r="AW5" i="6"/>
  <c r="N6" i="6"/>
  <c r="AD6" i="6"/>
  <c r="AT6" i="6"/>
  <c r="K7" i="6"/>
  <c r="AA7" i="6"/>
  <c r="AQ7" i="6"/>
  <c r="H8" i="6"/>
  <c r="X8" i="6"/>
  <c r="AN8" i="6"/>
  <c r="E9" i="6"/>
  <c r="U9" i="6"/>
  <c r="AK9" i="6"/>
  <c r="AH4" i="6"/>
  <c r="K2" i="6"/>
  <c r="K10" i="6" s="1"/>
  <c r="AA2" i="6"/>
  <c r="AA10" i="6" s="1"/>
  <c r="H3" i="6"/>
  <c r="H10" i="6" s="1"/>
  <c r="X3" i="6"/>
  <c r="X10" i="6" s="1"/>
  <c r="E4" i="6"/>
  <c r="U4" i="6"/>
  <c r="R5" i="6"/>
  <c r="AH5" i="6"/>
  <c r="O6" i="6"/>
  <c r="AE6" i="6"/>
  <c r="L7" i="6"/>
  <c r="AB7" i="6"/>
  <c r="I8" i="6"/>
  <c r="Y8" i="6"/>
  <c r="F9" i="6"/>
  <c r="V9" i="6"/>
  <c r="L3" i="1"/>
  <c r="AB3" i="1"/>
  <c r="AR3" i="1"/>
  <c r="R3" i="1"/>
  <c r="AH3" i="1"/>
  <c r="AX3" i="1"/>
  <c r="B4" i="7"/>
  <c r="B40" i="7" s="1"/>
  <c r="B51" i="7" s="1"/>
  <c r="B62" i="7" s="1"/>
  <c r="S3" i="1"/>
  <c r="AI3" i="1"/>
  <c r="AY3" i="1"/>
  <c r="D3" i="1"/>
  <c r="T3" i="1"/>
  <c r="AJ3" i="1"/>
  <c r="L2" i="1"/>
  <c r="AB2" i="1"/>
  <c r="AR2" i="1"/>
  <c r="AS2" i="1"/>
  <c r="R2" i="1"/>
  <c r="AH2" i="1"/>
  <c r="AX2" i="1"/>
  <c r="S2" i="1"/>
  <c r="AI2" i="1"/>
  <c r="AY2" i="1"/>
  <c r="D2" i="1"/>
  <c r="T2" i="1"/>
  <c r="AJ2" i="1"/>
  <c r="AZ2" i="1"/>
  <c r="C6" i="7"/>
  <c r="C42" i="7" s="1"/>
  <c r="C6" i="1"/>
  <c r="M4" i="1"/>
  <c r="AC4" i="1"/>
  <c r="AS4" i="1"/>
  <c r="L5" i="1"/>
  <c r="AB5" i="1"/>
  <c r="AR5" i="1"/>
  <c r="K6" i="1"/>
  <c r="AA6" i="1"/>
  <c r="AQ6" i="1"/>
  <c r="J7" i="1"/>
  <c r="Z7" i="1"/>
  <c r="AP7" i="1"/>
  <c r="I8" i="1"/>
  <c r="Y8" i="1"/>
  <c r="AO8" i="1"/>
  <c r="H9" i="1"/>
  <c r="X9" i="1"/>
  <c r="AN9" i="1"/>
  <c r="C7" i="1"/>
  <c r="N4" i="1"/>
  <c r="AD4" i="1"/>
  <c r="AT4" i="1"/>
  <c r="M5" i="1"/>
  <c r="AC5" i="1"/>
  <c r="AS5" i="1"/>
  <c r="L6" i="1"/>
  <c r="AB6" i="1"/>
  <c r="AR6" i="1"/>
  <c r="K7" i="1"/>
  <c r="AA7" i="1"/>
  <c r="AQ7" i="1"/>
  <c r="J8" i="1"/>
  <c r="Z8" i="1"/>
  <c r="AP8" i="1"/>
  <c r="I9" i="1"/>
  <c r="Y9" i="1"/>
  <c r="AO9" i="1"/>
  <c r="C8" i="1"/>
  <c r="O4" i="1"/>
  <c r="AE4" i="1"/>
  <c r="AU4" i="1"/>
  <c r="N5" i="1"/>
  <c r="AD5" i="1"/>
  <c r="AT5" i="1"/>
  <c r="M6" i="1"/>
  <c r="AC6" i="1"/>
  <c r="AS6" i="1"/>
  <c r="L7" i="1"/>
  <c r="AB7" i="1"/>
  <c r="AR7" i="1"/>
  <c r="K8" i="1"/>
  <c r="AA8" i="1"/>
  <c r="AQ8" i="1"/>
  <c r="J9" i="1"/>
  <c r="Z9" i="1"/>
  <c r="AP9" i="1"/>
  <c r="C9" i="1"/>
  <c r="P4" i="1"/>
  <c r="AF4" i="1"/>
  <c r="AV4" i="1"/>
  <c r="O5" i="1"/>
  <c r="AE5" i="1"/>
  <c r="AU5" i="1"/>
  <c r="N6" i="1"/>
  <c r="AD6" i="1"/>
  <c r="AT6" i="1"/>
  <c r="M7" i="1"/>
  <c r="AC7" i="1"/>
  <c r="AS7" i="1"/>
  <c r="L8" i="1"/>
  <c r="AB8" i="1"/>
  <c r="AR8" i="1"/>
  <c r="K9" i="1"/>
  <c r="AA9" i="1"/>
  <c r="AQ9" i="1"/>
  <c r="Q4" i="1"/>
  <c r="AG4" i="1"/>
  <c r="AW4" i="1"/>
  <c r="P5" i="1"/>
  <c r="AF5" i="1"/>
  <c r="AV5" i="1"/>
  <c r="O6" i="1"/>
  <c r="AE6" i="1"/>
  <c r="AU6" i="1"/>
  <c r="N7" i="1"/>
  <c r="AD7" i="1"/>
  <c r="AT7" i="1"/>
  <c r="M8" i="1"/>
  <c r="AC8" i="1"/>
  <c r="AS8" i="1"/>
  <c r="L9" i="1"/>
  <c r="AB9" i="1"/>
  <c r="AR9" i="1"/>
  <c r="R4" i="1"/>
  <c r="AH4" i="1"/>
  <c r="AX4" i="1"/>
  <c r="Q5" i="1"/>
  <c r="AG5" i="1"/>
  <c r="AW5" i="1"/>
  <c r="P6" i="1"/>
  <c r="AF6" i="1"/>
  <c r="AV6" i="1"/>
  <c r="O7" i="1"/>
  <c r="AE7" i="1"/>
  <c r="AU7" i="1"/>
  <c r="N8" i="1"/>
  <c r="AD8" i="1"/>
  <c r="AT8" i="1"/>
  <c r="M9" i="1"/>
  <c r="AC9" i="1"/>
  <c r="AS9" i="1"/>
  <c r="S4" i="1"/>
  <c r="AI4" i="1"/>
  <c r="AY4" i="1"/>
  <c r="R5" i="1"/>
  <c r="AH5" i="1"/>
  <c r="AX5" i="1"/>
  <c r="Q6" i="1"/>
  <c r="AG6" i="1"/>
  <c r="AW6" i="1"/>
  <c r="P7" i="1"/>
  <c r="AF7" i="1"/>
  <c r="AV7" i="1"/>
  <c r="O8" i="1"/>
  <c r="AE8" i="1"/>
  <c r="AU8" i="1"/>
  <c r="N9" i="1"/>
  <c r="AD9" i="1"/>
  <c r="AT9" i="1"/>
  <c r="D4" i="1"/>
  <c r="T4" i="1"/>
  <c r="AJ4" i="1"/>
  <c r="AZ4" i="1"/>
  <c r="S5" i="1"/>
  <c r="AI5" i="1"/>
  <c r="AY5" i="1"/>
  <c r="R6" i="1"/>
  <c r="AH6" i="1"/>
  <c r="AX6" i="1"/>
  <c r="Q7" i="1"/>
  <c r="AG7" i="1"/>
  <c r="AW7" i="1"/>
  <c r="P8" i="1"/>
  <c r="AF8" i="1"/>
  <c r="AV8" i="1"/>
  <c r="O9" i="1"/>
  <c r="AE9" i="1"/>
  <c r="AU9" i="1"/>
  <c r="E4" i="1"/>
  <c r="U4" i="1"/>
  <c r="AK4" i="1"/>
  <c r="D5" i="1"/>
  <c r="T5" i="1"/>
  <c r="AJ5" i="1"/>
  <c r="AZ5" i="1"/>
  <c r="S6" i="1"/>
  <c r="AI6" i="1"/>
  <c r="AY6" i="1"/>
  <c r="R7" i="1"/>
  <c r="AH7" i="1"/>
  <c r="AX7" i="1"/>
  <c r="Q8" i="1"/>
  <c r="AG8" i="1"/>
  <c r="AW8" i="1"/>
  <c r="P9" i="1"/>
  <c r="AF9" i="1"/>
  <c r="AV9" i="1"/>
  <c r="F4" i="1"/>
  <c r="V4" i="1"/>
  <c r="AL4" i="1"/>
  <c r="E5" i="1"/>
  <c r="U5" i="1"/>
  <c r="AK5" i="1"/>
  <c r="D6" i="1"/>
  <c r="T6" i="1"/>
  <c r="AJ6" i="1"/>
  <c r="AZ6" i="1"/>
  <c r="S7" i="1"/>
  <c r="AI7" i="1"/>
  <c r="AY7" i="1"/>
  <c r="R8" i="1"/>
  <c r="AH8" i="1"/>
  <c r="AX8" i="1"/>
  <c r="Q9" i="1"/>
  <c r="AG9" i="1"/>
  <c r="AW9" i="1"/>
  <c r="G4" i="1"/>
  <c r="W4" i="1"/>
  <c r="AM4" i="1"/>
  <c r="F5" i="1"/>
  <c r="V5" i="1"/>
  <c r="AL5" i="1"/>
  <c r="E6" i="1"/>
  <c r="U6" i="1"/>
  <c r="AK6" i="1"/>
  <c r="D7" i="1"/>
  <c r="T7" i="1"/>
  <c r="AJ7" i="1"/>
  <c r="AZ7" i="1"/>
  <c r="S8" i="1"/>
  <c r="AI8" i="1"/>
  <c r="AY8" i="1"/>
  <c r="R9" i="1"/>
  <c r="AH9" i="1"/>
  <c r="AX9" i="1"/>
  <c r="H4" i="1"/>
  <c r="X4" i="1"/>
  <c r="AN4" i="1"/>
  <c r="G5" i="1"/>
  <c r="W5" i="1"/>
  <c r="AM5" i="1"/>
  <c r="F6" i="1"/>
  <c r="V6" i="1"/>
  <c r="AL6" i="1"/>
  <c r="E7" i="1"/>
  <c r="U7" i="1"/>
  <c r="AK7" i="1"/>
  <c r="D8" i="1"/>
  <c r="T8" i="1"/>
  <c r="AJ8" i="1"/>
  <c r="AZ8" i="1"/>
  <c r="S9" i="1"/>
  <c r="AI9" i="1"/>
  <c r="AY9" i="1"/>
  <c r="I4" i="1"/>
  <c r="Y4" i="1"/>
  <c r="AO4" i="1"/>
  <c r="H5" i="1"/>
  <c r="X5" i="1"/>
  <c r="AN5" i="1"/>
  <c r="G6" i="1"/>
  <c r="W6" i="1"/>
  <c r="AM6" i="1"/>
  <c r="F7" i="1"/>
  <c r="V7" i="1"/>
  <c r="AL7" i="1"/>
  <c r="E8" i="1"/>
  <c r="U8" i="1"/>
  <c r="AK8" i="1"/>
  <c r="D9" i="1"/>
  <c r="T9" i="1"/>
  <c r="AJ9" i="1"/>
  <c r="AZ9" i="1"/>
  <c r="J4" i="1"/>
  <c r="Z4" i="1"/>
  <c r="AP4" i="1"/>
  <c r="I5" i="1"/>
  <c r="Y5" i="1"/>
  <c r="AO5" i="1"/>
  <c r="H6" i="1"/>
  <c r="X6" i="1"/>
  <c r="AN6" i="1"/>
  <c r="G7" i="1"/>
  <c r="W7" i="1"/>
  <c r="AM7" i="1"/>
  <c r="F8" i="1"/>
  <c r="V8" i="1"/>
  <c r="AL8" i="1"/>
  <c r="E9" i="1"/>
  <c r="U9" i="1"/>
  <c r="AK9" i="1"/>
  <c r="C4" i="1"/>
  <c r="K4" i="1"/>
  <c r="AA4" i="1"/>
  <c r="J5" i="1"/>
  <c r="Z5" i="1"/>
  <c r="I6" i="1"/>
  <c r="Y6" i="1"/>
  <c r="H7" i="1"/>
  <c r="X7" i="1"/>
  <c r="AN7" i="1"/>
  <c r="G8" i="1"/>
  <c r="W8" i="1"/>
  <c r="AM8" i="1"/>
  <c r="F9" i="1"/>
  <c r="V9" i="1"/>
  <c r="C5" i="7"/>
  <c r="C41" i="7" s="1"/>
  <c r="C4" i="7"/>
  <c r="C40" i="7" s="1"/>
  <c r="B5" i="7"/>
  <c r="B41" i="7" s="1"/>
  <c r="B52" i="7" s="1"/>
  <c r="B63" i="7" s="1"/>
  <c r="B6" i="7"/>
  <c r="B42" i="7" s="1"/>
  <c r="B53" i="7" s="1"/>
  <c r="B64" i="7" s="1"/>
  <c r="B7" i="7"/>
  <c r="B43" i="7" s="1"/>
  <c r="B54" i="7" s="1"/>
  <c r="B65" i="7" s="1"/>
  <c r="B10" i="7"/>
  <c r="B46" i="7" s="1"/>
  <c r="B57" i="7" s="1"/>
  <c r="B68" i="7" s="1"/>
  <c r="C3" i="7"/>
  <c r="C39" i="7" s="1"/>
  <c r="AZ13" i="7"/>
  <c r="AZ102" i="7" s="1"/>
  <c r="AZ118" i="7" s="1"/>
  <c r="AZ122" i="7" s="1"/>
  <c r="AY13" i="7"/>
  <c r="AY102" i="7" s="1"/>
  <c r="AY118" i="7" s="1"/>
  <c r="AY122" i="7" s="1"/>
  <c r="AZ1" i="7"/>
  <c r="AY1" i="7"/>
  <c r="B124" i="7"/>
  <c r="B123" i="7"/>
  <c r="C13" i="7"/>
  <c r="C102" i="7" s="1"/>
  <c r="C118" i="7" s="1"/>
  <c r="C122" i="7" s="1"/>
  <c r="D13" i="7"/>
  <c r="D102" i="7" s="1"/>
  <c r="D118" i="7" s="1"/>
  <c r="D122" i="7" s="1"/>
  <c r="E13" i="7"/>
  <c r="E102" i="7" s="1"/>
  <c r="E118" i="7" s="1"/>
  <c r="E122" i="7" s="1"/>
  <c r="F13" i="7"/>
  <c r="F102" i="7" s="1"/>
  <c r="F118" i="7" s="1"/>
  <c r="F122" i="7" s="1"/>
  <c r="G13" i="7"/>
  <c r="G102" i="7" s="1"/>
  <c r="G118" i="7" s="1"/>
  <c r="G122" i="7" s="1"/>
  <c r="H13" i="7"/>
  <c r="H102" i="7" s="1"/>
  <c r="H118" i="7" s="1"/>
  <c r="H122" i="7" s="1"/>
  <c r="I13" i="7"/>
  <c r="I102" i="7" s="1"/>
  <c r="I118" i="7" s="1"/>
  <c r="I122" i="7" s="1"/>
  <c r="J13" i="7"/>
  <c r="J102" i="7" s="1"/>
  <c r="J118" i="7" s="1"/>
  <c r="J122" i="7" s="1"/>
  <c r="K13" i="7"/>
  <c r="K102" i="7" s="1"/>
  <c r="K118" i="7" s="1"/>
  <c r="K122" i="7" s="1"/>
  <c r="L13" i="7"/>
  <c r="L102" i="7" s="1"/>
  <c r="L118" i="7" s="1"/>
  <c r="L122" i="7" s="1"/>
  <c r="M13" i="7"/>
  <c r="M102" i="7" s="1"/>
  <c r="M118" i="7" s="1"/>
  <c r="M122" i="7" s="1"/>
  <c r="N13" i="7"/>
  <c r="N102" i="7" s="1"/>
  <c r="N118" i="7" s="1"/>
  <c r="N122" i="7" s="1"/>
  <c r="O13" i="7"/>
  <c r="O102" i="7" s="1"/>
  <c r="O118" i="7" s="1"/>
  <c r="O122" i="7" s="1"/>
  <c r="P13" i="7"/>
  <c r="P102" i="7" s="1"/>
  <c r="P118" i="7" s="1"/>
  <c r="P122" i="7" s="1"/>
  <c r="Q13" i="7"/>
  <c r="Q102" i="7" s="1"/>
  <c r="Q118" i="7" s="1"/>
  <c r="Q122" i="7" s="1"/>
  <c r="R13" i="7"/>
  <c r="R102" i="7" s="1"/>
  <c r="R118" i="7" s="1"/>
  <c r="R122" i="7" s="1"/>
  <c r="S13" i="7"/>
  <c r="S102" i="7" s="1"/>
  <c r="S118" i="7" s="1"/>
  <c r="S122" i="7" s="1"/>
  <c r="T13" i="7"/>
  <c r="T102" i="7" s="1"/>
  <c r="T118" i="7" s="1"/>
  <c r="T122" i="7" s="1"/>
  <c r="U13" i="7"/>
  <c r="U102" i="7" s="1"/>
  <c r="U118" i="7" s="1"/>
  <c r="U122" i="7" s="1"/>
  <c r="V13" i="7"/>
  <c r="V102" i="7" s="1"/>
  <c r="V118" i="7" s="1"/>
  <c r="V122" i="7" s="1"/>
  <c r="W13" i="7"/>
  <c r="W102" i="7" s="1"/>
  <c r="W118" i="7" s="1"/>
  <c r="W122" i="7" s="1"/>
  <c r="X13" i="7"/>
  <c r="X102" i="7" s="1"/>
  <c r="X118" i="7" s="1"/>
  <c r="X122" i="7" s="1"/>
  <c r="Y13" i="7"/>
  <c r="Y102" i="7" s="1"/>
  <c r="Y118" i="7" s="1"/>
  <c r="Y122" i="7" s="1"/>
  <c r="Z13" i="7"/>
  <c r="Z102" i="7" s="1"/>
  <c r="Z118" i="7" s="1"/>
  <c r="Z122" i="7" s="1"/>
  <c r="AA13" i="7"/>
  <c r="AA102" i="7" s="1"/>
  <c r="AA118" i="7" s="1"/>
  <c r="AA122" i="7" s="1"/>
  <c r="AB13" i="7"/>
  <c r="AB102" i="7" s="1"/>
  <c r="AB118" i="7" s="1"/>
  <c r="AB122" i="7" s="1"/>
  <c r="AC13" i="7"/>
  <c r="AC102" i="7" s="1"/>
  <c r="AC118" i="7" s="1"/>
  <c r="AC122" i="7" s="1"/>
  <c r="AD13" i="7"/>
  <c r="AD102" i="7" s="1"/>
  <c r="AD118" i="7" s="1"/>
  <c r="AD122" i="7" s="1"/>
  <c r="AE13" i="7"/>
  <c r="AE102" i="7" s="1"/>
  <c r="AE118" i="7" s="1"/>
  <c r="AE122" i="7" s="1"/>
  <c r="AF13" i="7"/>
  <c r="AF102" i="7" s="1"/>
  <c r="AF118" i="7" s="1"/>
  <c r="AF122" i="7" s="1"/>
  <c r="AG13" i="7"/>
  <c r="AG102" i="7" s="1"/>
  <c r="AG118" i="7" s="1"/>
  <c r="AG122" i="7" s="1"/>
  <c r="AH13" i="7"/>
  <c r="AH102" i="7" s="1"/>
  <c r="AH118" i="7" s="1"/>
  <c r="AH122" i="7" s="1"/>
  <c r="AI13" i="7"/>
  <c r="AI102" i="7" s="1"/>
  <c r="AI118" i="7" s="1"/>
  <c r="AI122" i="7" s="1"/>
  <c r="AJ13" i="7"/>
  <c r="AJ102" i="7" s="1"/>
  <c r="AJ118" i="7" s="1"/>
  <c r="AJ122" i="7" s="1"/>
  <c r="AK13" i="7"/>
  <c r="AK102" i="7" s="1"/>
  <c r="AK118" i="7" s="1"/>
  <c r="AK122" i="7" s="1"/>
  <c r="AL13" i="7"/>
  <c r="AL102" i="7" s="1"/>
  <c r="AL118" i="7" s="1"/>
  <c r="AL122" i="7" s="1"/>
  <c r="AM13" i="7"/>
  <c r="AM102" i="7" s="1"/>
  <c r="AM118" i="7" s="1"/>
  <c r="AM122" i="7" s="1"/>
  <c r="AN13" i="7"/>
  <c r="AN102" i="7" s="1"/>
  <c r="AN118" i="7" s="1"/>
  <c r="AN122" i="7" s="1"/>
  <c r="AO13" i="7"/>
  <c r="AO102" i="7" s="1"/>
  <c r="AO118" i="7" s="1"/>
  <c r="AO122" i="7" s="1"/>
  <c r="AP13" i="7"/>
  <c r="AP102" i="7" s="1"/>
  <c r="AP118" i="7" s="1"/>
  <c r="AP122" i="7" s="1"/>
  <c r="AQ13" i="7"/>
  <c r="AQ102" i="7" s="1"/>
  <c r="AQ118" i="7" s="1"/>
  <c r="AQ122" i="7" s="1"/>
  <c r="AR13" i="7"/>
  <c r="AR102" i="7" s="1"/>
  <c r="AR118" i="7" s="1"/>
  <c r="AR122" i="7" s="1"/>
  <c r="AS13" i="7"/>
  <c r="AS102" i="7" s="1"/>
  <c r="AS118" i="7" s="1"/>
  <c r="AS122" i="7" s="1"/>
  <c r="AT13" i="7"/>
  <c r="AT102" i="7" s="1"/>
  <c r="AT118" i="7" s="1"/>
  <c r="AT122" i="7" s="1"/>
  <c r="AU13" i="7"/>
  <c r="AU102" i="7" s="1"/>
  <c r="AU118" i="7" s="1"/>
  <c r="AU122" i="7" s="1"/>
  <c r="AV13" i="7"/>
  <c r="AV102" i="7" s="1"/>
  <c r="AV118" i="7" s="1"/>
  <c r="AV122" i="7" s="1"/>
  <c r="AW13" i="7"/>
  <c r="AW102" i="7" s="1"/>
  <c r="AW118" i="7" s="1"/>
  <c r="AW122" i="7" s="1"/>
  <c r="AX13" i="7"/>
  <c r="AX102" i="7" s="1"/>
  <c r="AX118" i="7" s="1"/>
  <c r="AX122" i="7" s="1"/>
  <c r="B125" i="7"/>
  <c r="D61" i="7" l="1"/>
  <c r="D93" i="7" s="1"/>
  <c r="D104" i="7" s="1"/>
  <c r="AN96" i="7"/>
  <c r="AN107" i="7" s="1"/>
  <c r="AK66" i="7"/>
  <c r="AK98" i="7" s="1"/>
  <c r="AK109" i="7" s="1"/>
  <c r="AM64" i="7"/>
  <c r="AM96" i="7" s="1"/>
  <c r="AM107" i="7" s="1"/>
  <c r="AX68" i="7"/>
  <c r="AX100" i="7" s="1"/>
  <c r="AX111" i="7" s="1"/>
  <c r="AX66" i="7"/>
  <c r="AX98" i="7" s="1"/>
  <c r="AX109" i="7" s="1"/>
  <c r="Q66" i="7"/>
  <c r="Q98" i="7" s="1"/>
  <c r="Q109" i="7" s="1"/>
  <c r="Z61" i="7"/>
  <c r="Z93" i="7" s="1"/>
  <c r="Z104" i="7" s="1"/>
  <c r="AT68" i="7"/>
  <c r="AT100" i="7" s="1"/>
  <c r="AT111" i="7" s="1"/>
  <c r="T67" i="7"/>
  <c r="T99" i="7" s="1"/>
  <c r="T110" i="7" s="1"/>
  <c r="AE68" i="7"/>
  <c r="AE100" i="7" s="1"/>
  <c r="AE111" i="7" s="1"/>
  <c r="AP68" i="7"/>
  <c r="AP100" i="7" s="1"/>
  <c r="AP111" i="7" s="1"/>
  <c r="J68" i="7"/>
  <c r="J100" i="7" s="1"/>
  <c r="J111" i="7" s="1"/>
  <c r="AN61" i="7"/>
  <c r="AN93" i="7" s="1"/>
  <c r="AN104" i="7" s="1"/>
  <c r="W63" i="7"/>
  <c r="W95" i="7" s="1"/>
  <c r="W106" i="7" s="1"/>
  <c r="AZ62" i="7"/>
  <c r="AZ94" i="7" s="1"/>
  <c r="AZ105" i="7" s="1"/>
  <c r="AV61" i="7"/>
  <c r="AV93" i="7" s="1"/>
  <c r="AV104" i="7" s="1"/>
  <c r="H61" i="7"/>
  <c r="H93" i="7" s="1"/>
  <c r="H104" i="7" s="1"/>
  <c r="AJ61" i="7"/>
  <c r="AJ93" i="7" s="1"/>
  <c r="AJ104" i="7" s="1"/>
  <c r="AS61" i="7"/>
  <c r="AS93" i="7" s="1"/>
  <c r="AS104" i="7" s="1"/>
  <c r="T62" i="7"/>
  <c r="T94" i="7" s="1"/>
  <c r="T105" i="7" s="1"/>
  <c r="AB64" i="7"/>
  <c r="AB96" i="7" s="1"/>
  <c r="AB107" i="7" s="1"/>
  <c r="AO67" i="7"/>
  <c r="AO99" i="7" s="1"/>
  <c r="AO110" i="7" s="1"/>
  <c r="AH61" i="7"/>
  <c r="AH93" i="7" s="1"/>
  <c r="AH104" i="7" s="1"/>
  <c r="AJ66" i="7"/>
  <c r="AJ98" i="7" s="1"/>
  <c r="AJ109" i="7" s="1"/>
  <c r="AF66" i="7"/>
  <c r="AF98" i="7" s="1"/>
  <c r="AF109" i="7" s="1"/>
  <c r="AD61" i="7"/>
  <c r="AD93" i="7" s="1"/>
  <c r="AD104" i="7" s="1"/>
  <c r="V63" i="7"/>
  <c r="V95" i="7" s="1"/>
  <c r="V106" i="7" s="1"/>
  <c r="AW64" i="7"/>
  <c r="AW96" i="7" s="1"/>
  <c r="AW107" i="7" s="1"/>
  <c r="AM62" i="7"/>
  <c r="AM94" i="7" s="1"/>
  <c r="AM105" i="7" s="1"/>
  <c r="AI62" i="7"/>
  <c r="AI94" i="7" s="1"/>
  <c r="AI105" i="7" s="1"/>
  <c r="AK63" i="7"/>
  <c r="AK95" i="7" s="1"/>
  <c r="AK106" i="7" s="1"/>
  <c r="AG68" i="7"/>
  <c r="AG100" i="7" s="1"/>
  <c r="AG111" i="7" s="1"/>
  <c r="AT67" i="7"/>
  <c r="AT99" i="7" s="1"/>
  <c r="AT110" i="7" s="1"/>
  <c r="AO61" i="7"/>
  <c r="AO93" i="7" s="1"/>
  <c r="AO104" i="7" s="1"/>
  <c r="E63" i="7"/>
  <c r="E95" i="7" s="1"/>
  <c r="E106" i="7" s="1"/>
  <c r="S66" i="7"/>
  <c r="S98" i="7" s="1"/>
  <c r="S109" i="7" s="1"/>
  <c r="N67" i="7"/>
  <c r="N99" i="7" s="1"/>
  <c r="N110" i="7" s="1"/>
  <c r="Y61" i="7"/>
  <c r="Y93" i="7" s="1"/>
  <c r="Y104" i="7" s="1"/>
  <c r="D68" i="7"/>
  <c r="D100" i="7" s="1"/>
  <c r="D111" i="7" s="1"/>
  <c r="AJ64" i="7"/>
  <c r="AJ96" i="7" s="1"/>
  <c r="AJ107" i="7" s="1"/>
  <c r="G68" i="7"/>
  <c r="G100" i="7" s="1"/>
  <c r="G111" i="7" s="1"/>
  <c r="I61" i="7"/>
  <c r="I93" i="7" s="1"/>
  <c r="I104" i="7" s="1"/>
  <c r="U67" i="7"/>
  <c r="U99" i="7" s="1"/>
  <c r="U110" i="7" s="1"/>
  <c r="C61" i="7"/>
  <c r="C93" i="7" s="1"/>
  <c r="C104" i="7" s="1"/>
  <c r="G67" i="7"/>
  <c r="G99" i="7" s="1"/>
  <c r="G110" i="7" s="1"/>
  <c r="AF63" i="7"/>
  <c r="AF95" i="7" s="1"/>
  <c r="AF106" i="7" s="1"/>
  <c r="AL61" i="7"/>
  <c r="AL93" i="7" s="1"/>
  <c r="AL104" i="7" s="1"/>
  <c r="G64" i="7"/>
  <c r="G96" i="7" s="1"/>
  <c r="G107" i="7" s="1"/>
  <c r="R66" i="7"/>
  <c r="R98" i="7" s="1"/>
  <c r="R109" i="7" s="1"/>
  <c r="AW62" i="7"/>
  <c r="AW94" i="7" s="1"/>
  <c r="AW105" i="7" s="1"/>
  <c r="X63" i="7"/>
  <c r="X95" i="7" s="1"/>
  <c r="X106" i="7" s="1"/>
  <c r="D63" i="7"/>
  <c r="D95" i="7" s="1"/>
  <c r="D106" i="7" s="1"/>
  <c r="AC66" i="7"/>
  <c r="AC98" i="7" s="1"/>
  <c r="AC109" i="7" s="1"/>
  <c r="M61" i="7"/>
  <c r="M93" i="7" s="1"/>
  <c r="M104" i="7" s="1"/>
  <c r="W67" i="7"/>
  <c r="W99" i="7" s="1"/>
  <c r="W110" i="7" s="1"/>
  <c r="AT64" i="7"/>
  <c r="AT96" i="7" s="1"/>
  <c r="AT107" i="7" s="1"/>
  <c r="J61" i="7"/>
  <c r="J93" i="7" s="1"/>
  <c r="J104" i="7" s="1"/>
  <c r="H63" i="7"/>
  <c r="H95" i="7" s="1"/>
  <c r="H106" i="7" s="1"/>
  <c r="U66" i="7"/>
  <c r="U98" i="7" s="1"/>
  <c r="U109" i="7" s="1"/>
  <c r="AH68" i="7"/>
  <c r="AH100" i="7" s="1"/>
  <c r="AH111" i="7" s="1"/>
  <c r="W62" i="7"/>
  <c r="W94" i="7" s="1"/>
  <c r="W105" i="7" s="1"/>
  <c r="T64" i="7"/>
  <c r="T96" i="7" s="1"/>
  <c r="T107" i="7" s="1"/>
  <c r="AY64" i="7"/>
  <c r="AY96" i="7" s="1"/>
  <c r="AY107" i="7" s="1"/>
  <c r="O68" i="7"/>
  <c r="O100" i="7" s="1"/>
  <c r="O111" i="7" s="1"/>
  <c r="D62" i="7"/>
  <c r="D94" i="7" s="1"/>
  <c r="D105" i="7" s="1"/>
  <c r="AG64" i="7"/>
  <c r="AG96" i="7" s="1"/>
  <c r="AG107" i="7" s="1"/>
  <c r="AU66" i="7"/>
  <c r="AU98" i="7" s="1"/>
  <c r="AU109" i="7" s="1"/>
  <c r="AR68" i="7"/>
  <c r="AR100" i="7" s="1"/>
  <c r="AR111" i="7" s="1"/>
  <c r="AG62" i="7"/>
  <c r="AG94" i="7" s="1"/>
  <c r="AG105" i="7" s="1"/>
  <c r="AD64" i="7"/>
  <c r="AD96" i="7" s="1"/>
  <c r="AD107" i="7" s="1"/>
  <c r="AQ67" i="7"/>
  <c r="AQ99" i="7" s="1"/>
  <c r="AQ110" i="7" s="1"/>
  <c r="AF61" i="7"/>
  <c r="AF93" i="7" s="1"/>
  <c r="AF104" i="7" s="1"/>
  <c r="L64" i="7"/>
  <c r="L96" i="7" s="1"/>
  <c r="L107" i="7" s="1"/>
  <c r="Y67" i="7"/>
  <c r="Y99" i="7" s="1"/>
  <c r="Y110" i="7" s="1"/>
  <c r="N61" i="7"/>
  <c r="N93" i="7" s="1"/>
  <c r="N104" i="7" s="1"/>
  <c r="AZ68" i="7"/>
  <c r="AZ100" i="7" s="1"/>
  <c r="AZ111" i="7" s="1"/>
  <c r="AO62" i="7"/>
  <c r="AO94" i="7" s="1"/>
  <c r="AO105" i="7" s="1"/>
  <c r="E66" i="7"/>
  <c r="E98" i="7" s="1"/>
  <c r="E109" i="7" s="1"/>
  <c r="R68" i="7"/>
  <c r="R100" i="7" s="1"/>
  <c r="R111" i="7" s="1"/>
  <c r="G62" i="7"/>
  <c r="G94" i="7" s="1"/>
  <c r="G105" i="7" s="1"/>
  <c r="D64" i="7"/>
  <c r="D96" i="7" s="1"/>
  <c r="D107" i="7" s="1"/>
  <c r="AI64" i="7"/>
  <c r="AI96" i="7" s="1"/>
  <c r="AI107" i="7" s="1"/>
  <c r="AV67" i="7"/>
  <c r="AV99" i="7" s="1"/>
  <c r="AV110" i="7" s="1"/>
  <c r="AK61" i="7"/>
  <c r="AK93" i="7" s="1"/>
  <c r="AK104" i="7" s="1"/>
  <c r="Q64" i="7"/>
  <c r="Q96" i="7" s="1"/>
  <c r="Q107" i="7" s="1"/>
  <c r="AE66" i="7"/>
  <c r="AE98" i="7" s="1"/>
  <c r="AE109" i="7" s="1"/>
  <c r="AB68" i="7"/>
  <c r="AB100" i="7" s="1"/>
  <c r="AB111" i="7" s="1"/>
  <c r="Q62" i="7"/>
  <c r="Q94" i="7" s="1"/>
  <c r="Q105" i="7" s="1"/>
  <c r="N64" i="7"/>
  <c r="N96" i="7" s="1"/>
  <c r="N107" i="7" s="1"/>
  <c r="AA67" i="7"/>
  <c r="AA99" i="7" s="1"/>
  <c r="AA110" i="7" s="1"/>
  <c r="P61" i="7"/>
  <c r="P93" i="7" s="1"/>
  <c r="P104" i="7" s="1"/>
  <c r="AS63" i="7"/>
  <c r="AS95" i="7" s="1"/>
  <c r="AS106" i="7" s="1"/>
  <c r="I67" i="7"/>
  <c r="I99" i="7" s="1"/>
  <c r="I110" i="7" s="1"/>
  <c r="AN67" i="7"/>
  <c r="AN99" i="7" s="1"/>
  <c r="AN110" i="7" s="1"/>
  <c r="AJ68" i="7"/>
  <c r="AJ100" i="7" s="1"/>
  <c r="AJ111" i="7" s="1"/>
  <c r="Y62" i="7"/>
  <c r="Y94" i="7" s="1"/>
  <c r="Y105" i="7" s="1"/>
  <c r="AL64" i="7"/>
  <c r="AL96" i="7" s="1"/>
  <c r="AL107" i="7" s="1"/>
  <c r="AY67" i="7"/>
  <c r="AY99" i="7" s="1"/>
  <c r="AY110" i="7" s="1"/>
  <c r="Z64" i="7"/>
  <c r="Z96" i="7" s="1"/>
  <c r="Z107" i="7" s="1"/>
  <c r="AL62" i="7"/>
  <c r="AL94" i="7" s="1"/>
  <c r="AL105" i="7" s="1"/>
  <c r="S64" i="7"/>
  <c r="S96" i="7" s="1"/>
  <c r="S107" i="7" s="1"/>
  <c r="AF67" i="7"/>
  <c r="AF99" i="7" s="1"/>
  <c r="AF110" i="7" s="1"/>
  <c r="U61" i="7"/>
  <c r="U93" i="7" s="1"/>
  <c r="U104" i="7" s="1"/>
  <c r="AX63" i="7"/>
  <c r="AX95" i="7" s="1"/>
  <c r="AX106" i="7" s="1"/>
  <c r="O66" i="7"/>
  <c r="O98" i="7" s="1"/>
  <c r="O109" i="7" s="1"/>
  <c r="L68" i="7"/>
  <c r="L100" i="7" s="1"/>
  <c r="L111" i="7" s="1"/>
  <c r="C67" i="7"/>
  <c r="C99" i="7" s="1"/>
  <c r="C110" i="7" s="1"/>
  <c r="AU63" i="7"/>
  <c r="AU95" i="7" s="1"/>
  <c r="AU106" i="7" s="1"/>
  <c r="K67" i="7"/>
  <c r="K99" i="7" s="1"/>
  <c r="K110" i="7" s="1"/>
  <c r="C64" i="7"/>
  <c r="C96" i="7" s="1"/>
  <c r="C107" i="7" s="1"/>
  <c r="AC63" i="7"/>
  <c r="AC95" i="7" s="1"/>
  <c r="AC106" i="7" s="1"/>
  <c r="AP66" i="7"/>
  <c r="AP98" i="7" s="1"/>
  <c r="AP109" i="7" s="1"/>
  <c r="AM65" i="7"/>
  <c r="AM97" i="7" s="1"/>
  <c r="AM108" i="7" s="1"/>
  <c r="W65" i="7"/>
  <c r="W97" i="7" s="1"/>
  <c r="W108" i="7" s="1"/>
  <c r="G65" i="7"/>
  <c r="G97" i="7" s="1"/>
  <c r="G108" i="7" s="1"/>
  <c r="AR60" i="7"/>
  <c r="AR92" i="7" s="1"/>
  <c r="AR103" i="7" s="1"/>
  <c r="AB60" i="7"/>
  <c r="AB92" i="7" s="1"/>
  <c r="AB103" i="7" s="1"/>
  <c r="L60" i="7"/>
  <c r="L92" i="7" s="1"/>
  <c r="L103" i="7" s="1"/>
  <c r="AL65" i="7"/>
  <c r="AL97" i="7" s="1"/>
  <c r="AL108" i="7" s="1"/>
  <c r="V65" i="7"/>
  <c r="V97" i="7" s="1"/>
  <c r="V108" i="7" s="1"/>
  <c r="F65" i="7"/>
  <c r="F97" i="7" s="1"/>
  <c r="F108" i="7" s="1"/>
  <c r="AQ60" i="7"/>
  <c r="AQ92" i="7" s="1"/>
  <c r="AQ103" i="7" s="1"/>
  <c r="AA60" i="7"/>
  <c r="AA92" i="7" s="1"/>
  <c r="AA103" i="7" s="1"/>
  <c r="K60" i="7"/>
  <c r="K92" i="7" s="1"/>
  <c r="K103" i="7" s="1"/>
  <c r="C60" i="7"/>
  <c r="C92" i="7" s="1"/>
  <c r="AK65" i="7"/>
  <c r="AK97" i="7" s="1"/>
  <c r="AK108" i="7" s="1"/>
  <c r="U65" i="7"/>
  <c r="U97" i="7" s="1"/>
  <c r="U108" i="7" s="1"/>
  <c r="E65" i="7"/>
  <c r="E97" i="7" s="1"/>
  <c r="E108" i="7" s="1"/>
  <c r="AP60" i="7"/>
  <c r="AP92" i="7" s="1"/>
  <c r="AP103" i="7" s="1"/>
  <c r="Z60" i="7"/>
  <c r="Z92" i="7" s="1"/>
  <c r="Z103" i="7" s="1"/>
  <c r="J60" i="7"/>
  <c r="J92" i="7" s="1"/>
  <c r="J103" i="7" s="1"/>
  <c r="AZ65" i="7"/>
  <c r="AZ97" i="7" s="1"/>
  <c r="AZ108" i="7" s="1"/>
  <c r="AJ65" i="7"/>
  <c r="AJ97" i="7" s="1"/>
  <c r="AJ108" i="7" s="1"/>
  <c r="T65" i="7"/>
  <c r="T97" i="7" s="1"/>
  <c r="T108" i="7" s="1"/>
  <c r="D65" i="7"/>
  <c r="D97" i="7" s="1"/>
  <c r="D108" i="7" s="1"/>
  <c r="AO60" i="7"/>
  <c r="AO92" i="7" s="1"/>
  <c r="AO103" i="7" s="1"/>
  <c r="Y60" i="7"/>
  <c r="Y92" i="7" s="1"/>
  <c r="Y103" i="7" s="1"/>
  <c r="I60" i="7"/>
  <c r="I92" i="7" s="1"/>
  <c r="I103" i="7" s="1"/>
  <c r="AY65" i="7"/>
  <c r="AY97" i="7" s="1"/>
  <c r="AY108" i="7" s="1"/>
  <c r="AI65" i="7"/>
  <c r="AI97" i="7" s="1"/>
  <c r="AI108" i="7" s="1"/>
  <c r="S65" i="7"/>
  <c r="S97" i="7" s="1"/>
  <c r="S108" i="7" s="1"/>
  <c r="AN60" i="7"/>
  <c r="AN92" i="7" s="1"/>
  <c r="AN103" i="7" s="1"/>
  <c r="X60" i="7"/>
  <c r="X92" i="7" s="1"/>
  <c r="X103" i="7" s="1"/>
  <c r="H60" i="7"/>
  <c r="H92" i="7" s="1"/>
  <c r="H103" i="7" s="1"/>
  <c r="AX65" i="7"/>
  <c r="AX97" i="7" s="1"/>
  <c r="AX108" i="7" s="1"/>
  <c r="AH65" i="7"/>
  <c r="AH97" i="7" s="1"/>
  <c r="AH108" i="7" s="1"/>
  <c r="R65" i="7"/>
  <c r="R97" i="7" s="1"/>
  <c r="R108" i="7" s="1"/>
  <c r="AM60" i="7"/>
  <c r="AM92" i="7" s="1"/>
  <c r="AM103" i="7" s="1"/>
  <c r="W60" i="7"/>
  <c r="W92" i="7" s="1"/>
  <c r="W103" i="7" s="1"/>
  <c r="G60" i="7"/>
  <c r="G92" i="7" s="1"/>
  <c r="G103" i="7" s="1"/>
  <c r="AW65" i="7"/>
  <c r="AW97" i="7" s="1"/>
  <c r="AW108" i="7" s="1"/>
  <c r="AG65" i="7"/>
  <c r="AG97" i="7" s="1"/>
  <c r="AG108" i="7" s="1"/>
  <c r="Q65" i="7"/>
  <c r="Q97" i="7" s="1"/>
  <c r="Q108" i="7" s="1"/>
  <c r="AL60" i="7"/>
  <c r="AL92" i="7" s="1"/>
  <c r="AL103" i="7" s="1"/>
  <c r="V60" i="7"/>
  <c r="V92" i="7" s="1"/>
  <c r="V103" i="7" s="1"/>
  <c r="F60" i="7"/>
  <c r="F92" i="7" s="1"/>
  <c r="F103" i="7" s="1"/>
  <c r="AV65" i="7"/>
  <c r="AV97" i="7" s="1"/>
  <c r="AV108" i="7" s="1"/>
  <c r="AF65" i="7"/>
  <c r="AF97" i="7" s="1"/>
  <c r="AF108" i="7" s="1"/>
  <c r="P65" i="7"/>
  <c r="P97" i="7" s="1"/>
  <c r="P108" i="7" s="1"/>
  <c r="AK60" i="7"/>
  <c r="AK92" i="7" s="1"/>
  <c r="AK103" i="7" s="1"/>
  <c r="U60" i="7"/>
  <c r="U92" i="7" s="1"/>
  <c r="U103" i="7" s="1"/>
  <c r="E60" i="7"/>
  <c r="E92" i="7" s="1"/>
  <c r="E103" i="7" s="1"/>
  <c r="AU65" i="7"/>
  <c r="AU97" i="7" s="1"/>
  <c r="AU108" i="7" s="1"/>
  <c r="AE65" i="7"/>
  <c r="AE97" i="7" s="1"/>
  <c r="AE108" i="7" s="1"/>
  <c r="O65" i="7"/>
  <c r="O97" i="7" s="1"/>
  <c r="O108" i="7" s="1"/>
  <c r="AZ60" i="7"/>
  <c r="AZ92" i="7" s="1"/>
  <c r="AZ103" i="7" s="1"/>
  <c r="AJ60" i="7"/>
  <c r="AJ92" i="7" s="1"/>
  <c r="AJ103" i="7" s="1"/>
  <c r="T60" i="7"/>
  <c r="T92" i="7" s="1"/>
  <c r="T103" i="7" s="1"/>
  <c r="D60" i="7"/>
  <c r="D92" i="7" s="1"/>
  <c r="D103" i="7" s="1"/>
  <c r="AT65" i="7"/>
  <c r="AT97" i="7" s="1"/>
  <c r="AT108" i="7" s="1"/>
  <c r="AD65" i="7"/>
  <c r="AD97" i="7" s="1"/>
  <c r="AD108" i="7" s="1"/>
  <c r="N65" i="7"/>
  <c r="N97" i="7" s="1"/>
  <c r="N108" i="7" s="1"/>
  <c r="AY60" i="7"/>
  <c r="AY92" i="7" s="1"/>
  <c r="AY103" i="7" s="1"/>
  <c r="AI60" i="7"/>
  <c r="AI92" i="7" s="1"/>
  <c r="AI103" i="7" s="1"/>
  <c r="S60" i="7"/>
  <c r="S92" i="7" s="1"/>
  <c r="S103" i="7" s="1"/>
  <c r="AS65" i="7"/>
  <c r="AS97" i="7" s="1"/>
  <c r="AS108" i="7" s="1"/>
  <c r="AC65" i="7"/>
  <c r="AC97" i="7" s="1"/>
  <c r="AC108" i="7" s="1"/>
  <c r="M65" i="7"/>
  <c r="M97" i="7" s="1"/>
  <c r="M108" i="7" s="1"/>
  <c r="AX60" i="7"/>
  <c r="AX92" i="7" s="1"/>
  <c r="AX103" i="7" s="1"/>
  <c r="AH60" i="7"/>
  <c r="AH92" i="7" s="1"/>
  <c r="AH103" i="7" s="1"/>
  <c r="R60" i="7"/>
  <c r="R92" i="7" s="1"/>
  <c r="R103" i="7" s="1"/>
  <c r="AR65" i="7"/>
  <c r="AR97" i="7" s="1"/>
  <c r="AR108" i="7" s="1"/>
  <c r="AB65" i="7"/>
  <c r="AB97" i="7" s="1"/>
  <c r="AB108" i="7" s="1"/>
  <c r="L65" i="7"/>
  <c r="L97" i="7" s="1"/>
  <c r="L108" i="7" s="1"/>
  <c r="AW60" i="7"/>
  <c r="AW92" i="7" s="1"/>
  <c r="AW103" i="7" s="1"/>
  <c r="AG60" i="7"/>
  <c r="AG92" i="7" s="1"/>
  <c r="AG103" i="7" s="1"/>
  <c r="Q60" i="7"/>
  <c r="Q92" i="7" s="1"/>
  <c r="Q103" i="7" s="1"/>
  <c r="AQ65" i="7"/>
  <c r="AQ97" i="7" s="1"/>
  <c r="AQ108" i="7" s="1"/>
  <c r="AA65" i="7"/>
  <c r="AA97" i="7" s="1"/>
  <c r="AA108" i="7" s="1"/>
  <c r="K65" i="7"/>
  <c r="K97" i="7" s="1"/>
  <c r="K108" i="7" s="1"/>
  <c r="AV60" i="7"/>
  <c r="AV92" i="7" s="1"/>
  <c r="AV103" i="7" s="1"/>
  <c r="AF60" i="7"/>
  <c r="AF92" i="7" s="1"/>
  <c r="AF103" i="7" s="1"/>
  <c r="P60" i="7"/>
  <c r="P92" i="7" s="1"/>
  <c r="P103" i="7" s="1"/>
  <c r="C65" i="7"/>
  <c r="C97" i="7" s="1"/>
  <c r="C108" i="7" s="1"/>
  <c r="AP65" i="7"/>
  <c r="AP97" i="7" s="1"/>
  <c r="AP108" i="7" s="1"/>
  <c r="Z65" i="7"/>
  <c r="Z97" i="7" s="1"/>
  <c r="Z108" i="7" s="1"/>
  <c r="J65" i="7"/>
  <c r="J97" i="7" s="1"/>
  <c r="J108" i="7" s="1"/>
  <c r="AU60" i="7"/>
  <c r="AU92" i="7" s="1"/>
  <c r="AU103" i="7" s="1"/>
  <c r="AE60" i="7"/>
  <c r="AE92" i="7" s="1"/>
  <c r="AE103" i="7" s="1"/>
  <c r="O60" i="7"/>
  <c r="O92" i="7" s="1"/>
  <c r="O103" i="7" s="1"/>
  <c r="AO65" i="7"/>
  <c r="AO97" i="7" s="1"/>
  <c r="AO108" i="7" s="1"/>
  <c r="Y65" i="7"/>
  <c r="Y97" i="7" s="1"/>
  <c r="Y108" i="7" s="1"/>
  <c r="I65" i="7"/>
  <c r="I97" i="7" s="1"/>
  <c r="I108" i="7" s="1"/>
  <c r="AT60" i="7"/>
  <c r="AT92" i="7" s="1"/>
  <c r="AT103" i="7" s="1"/>
  <c r="AD60" i="7"/>
  <c r="AD92" i="7" s="1"/>
  <c r="AD103" i="7" s="1"/>
  <c r="N60" i="7"/>
  <c r="N92" i="7" s="1"/>
  <c r="N103" i="7" s="1"/>
  <c r="AK68" i="7"/>
  <c r="AK100" i="7" s="1"/>
  <c r="AK111" i="7" s="1"/>
  <c r="U68" i="7"/>
  <c r="U100" i="7" s="1"/>
  <c r="U111" i="7" s="1"/>
  <c r="E68" i="7"/>
  <c r="E100" i="7" s="1"/>
  <c r="E111" i="7" s="1"/>
  <c r="AL67" i="7"/>
  <c r="AL99" i="7" s="1"/>
  <c r="AL110" i="7" s="1"/>
  <c r="V67" i="7"/>
  <c r="V99" i="7" s="1"/>
  <c r="V110" i="7" s="1"/>
  <c r="F67" i="7"/>
  <c r="F99" i="7" s="1"/>
  <c r="F110" i="7" s="1"/>
  <c r="AM66" i="7"/>
  <c r="AM98" i="7" s="1"/>
  <c r="AM109" i="7" s="1"/>
  <c r="W66" i="7"/>
  <c r="W98" i="7" s="1"/>
  <c r="W109" i="7" s="1"/>
  <c r="G66" i="7"/>
  <c r="G98" i="7" s="1"/>
  <c r="G109" i="7" s="1"/>
  <c r="AN65" i="7"/>
  <c r="AN97" i="7" s="1"/>
  <c r="AN108" i="7" s="1"/>
  <c r="X65" i="7"/>
  <c r="X97" i="7" s="1"/>
  <c r="X108" i="7" s="1"/>
  <c r="H65" i="7"/>
  <c r="H97" i="7" s="1"/>
  <c r="H108" i="7" s="1"/>
  <c r="AO64" i="7"/>
  <c r="AO96" i="7" s="1"/>
  <c r="AO107" i="7" s="1"/>
  <c r="Y64" i="7"/>
  <c r="Y96" i="7" s="1"/>
  <c r="Y107" i="7" s="1"/>
  <c r="I64" i="7"/>
  <c r="I96" i="7" s="1"/>
  <c r="I107" i="7" s="1"/>
  <c r="AP63" i="7"/>
  <c r="AP95" i="7" s="1"/>
  <c r="AP106" i="7" s="1"/>
  <c r="Z63" i="7"/>
  <c r="Z95" i="7" s="1"/>
  <c r="Z106" i="7" s="1"/>
  <c r="J63" i="7"/>
  <c r="J95" i="7" s="1"/>
  <c r="J106" i="7" s="1"/>
  <c r="AQ62" i="7"/>
  <c r="AQ94" i="7" s="1"/>
  <c r="AQ105" i="7" s="1"/>
  <c r="AA62" i="7"/>
  <c r="AA94" i="7" s="1"/>
  <c r="AA105" i="7" s="1"/>
  <c r="K62" i="7"/>
  <c r="K94" i="7" s="1"/>
  <c r="K105" i="7" s="1"/>
  <c r="AR61" i="7"/>
  <c r="AR93" i="7" s="1"/>
  <c r="AR104" i="7" s="1"/>
  <c r="AB61" i="7"/>
  <c r="AB93" i="7" s="1"/>
  <c r="AB104" i="7" s="1"/>
  <c r="L61" i="7"/>
  <c r="L93" i="7" s="1"/>
  <c r="L104" i="7" s="1"/>
  <c r="AS60" i="7"/>
  <c r="AS92" i="7" s="1"/>
  <c r="AS103" i="7" s="1"/>
  <c r="AC60" i="7"/>
  <c r="AC92" i="7" s="1"/>
  <c r="AC103" i="7" s="1"/>
  <c r="M60" i="7"/>
  <c r="M92" i="7" s="1"/>
  <c r="M103" i="7" s="1"/>
  <c r="C62" i="7"/>
  <c r="C94" i="7" s="1"/>
  <c r="C105" i="7" s="1"/>
  <c r="AZ61" i="7"/>
  <c r="AZ93" i="7" s="1"/>
  <c r="AZ104" i="7" s="1"/>
  <c r="T68" i="7"/>
  <c r="T100" i="7" s="1"/>
  <c r="T111" i="7" s="1"/>
  <c r="I62" i="7"/>
  <c r="I94" i="7" s="1"/>
  <c r="I105" i="7" s="1"/>
  <c r="V64" i="7"/>
  <c r="V96" i="7" s="1"/>
  <c r="V107" i="7" s="1"/>
  <c r="AI67" i="7"/>
  <c r="AI99" i="7" s="1"/>
  <c r="AI110" i="7" s="1"/>
  <c r="AB62" i="7"/>
  <c r="AB94" i="7" s="1"/>
  <c r="AB105" i="7" s="1"/>
  <c r="V62" i="7"/>
  <c r="V94" i="7" s="1"/>
  <c r="V105" i="7" s="1"/>
  <c r="AZ63" i="7"/>
  <c r="AZ95" i="7" s="1"/>
  <c r="AZ106" i="7" s="1"/>
  <c r="P67" i="7"/>
  <c r="P99" i="7" s="1"/>
  <c r="P110" i="7" s="1"/>
  <c r="E61" i="7"/>
  <c r="E93" i="7" s="1"/>
  <c r="E104" i="7" s="1"/>
  <c r="AH63" i="7"/>
  <c r="AH95" i="7" s="1"/>
  <c r="AH106" i="7" s="1"/>
  <c r="AV64" i="7"/>
  <c r="AV96" i="7" s="1"/>
  <c r="AV107" i="7" s="1"/>
  <c r="AS67" i="7"/>
  <c r="AS99" i="7" s="1"/>
  <c r="AS110" i="7" s="1"/>
  <c r="AM68" i="7"/>
  <c r="AM100" i="7" s="1"/>
  <c r="AM111" i="7" s="1"/>
  <c r="AE63" i="7"/>
  <c r="AE95" i="7" s="1"/>
  <c r="AE106" i="7" s="1"/>
  <c r="AR66" i="7"/>
  <c r="AR98" i="7" s="1"/>
  <c r="AR109" i="7" s="1"/>
  <c r="W68" i="7"/>
  <c r="W100" i="7" s="1"/>
  <c r="W111" i="7" s="1"/>
  <c r="M63" i="7"/>
  <c r="M95" i="7" s="1"/>
  <c r="M106" i="7" s="1"/>
  <c r="Z66" i="7"/>
  <c r="Z98" i="7" s="1"/>
  <c r="Z109" i="7" s="1"/>
  <c r="X64" i="7"/>
  <c r="X96" i="7" s="1"/>
  <c r="X107" i="7" s="1"/>
  <c r="AP64" i="7"/>
  <c r="AP96" i="7" s="1"/>
  <c r="AP107" i="7" s="1"/>
  <c r="F64" i="7"/>
  <c r="F96" i="7" s="1"/>
  <c r="F107" i="7" s="1"/>
  <c r="S67" i="7"/>
  <c r="S99" i="7" s="1"/>
  <c r="S110" i="7" s="1"/>
  <c r="AN66" i="7"/>
  <c r="AN98" i="7" s="1"/>
  <c r="AN109" i="7" s="1"/>
  <c r="F62" i="7"/>
  <c r="F94" i="7" s="1"/>
  <c r="F105" i="7" s="1"/>
  <c r="AJ63" i="7"/>
  <c r="AJ95" i="7" s="1"/>
  <c r="AJ106" i="7" s="1"/>
  <c r="AW66" i="7"/>
  <c r="AW98" i="7" s="1"/>
  <c r="AW109" i="7" s="1"/>
  <c r="AA63" i="7"/>
  <c r="AA95" i="7" s="1"/>
  <c r="AA106" i="7" s="1"/>
  <c r="R63" i="7"/>
  <c r="R95" i="7" s="1"/>
  <c r="R106" i="7" s="1"/>
  <c r="AF64" i="7"/>
  <c r="AF96" i="7" s="1"/>
  <c r="AF107" i="7" s="1"/>
  <c r="AC67" i="7"/>
  <c r="AC99" i="7" s="1"/>
  <c r="AC110" i="7" s="1"/>
  <c r="L62" i="7"/>
  <c r="L94" i="7" s="1"/>
  <c r="L105" i="7" s="1"/>
  <c r="O63" i="7"/>
  <c r="O95" i="7" s="1"/>
  <c r="O106" i="7" s="1"/>
  <c r="AB66" i="7"/>
  <c r="AB98" i="7" s="1"/>
  <c r="AB109" i="7" s="1"/>
  <c r="X66" i="7"/>
  <c r="X98" i="7" s="1"/>
  <c r="X109" i="7" s="1"/>
  <c r="AT62" i="7"/>
  <c r="AT94" i="7" s="1"/>
  <c r="AT105" i="7" s="1"/>
  <c r="J66" i="7"/>
  <c r="J98" i="7" s="1"/>
  <c r="J109" i="7" s="1"/>
  <c r="H64" i="7"/>
  <c r="H96" i="7" s="1"/>
  <c r="H107" i="7" s="1"/>
  <c r="U63" i="7"/>
  <c r="U95" i="7" s="1"/>
  <c r="U106" i="7" s="1"/>
  <c r="T61" i="7"/>
  <c r="T93" i="7" s="1"/>
  <c r="T104" i="7" s="1"/>
  <c r="AK67" i="7"/>
  <c r="AK99" i="7" s="1"/>
  <c r="AK110" i="7" s="1"/>
  <c r="AR62" i="7"/>
  <c r="AR94" i="7" s="1"/>
  <c r="AR105" i="7" s="1"/>
  <c r="AM63" i="7"/>
  <c r="AM95" i="7" s="1"/>
  <c r="AM106" i="7" s="1"/>
  <c r="AZ66" i="7"/>
  <c r="AZ98" i="7" s="1"/>
  <c r="AZ109" i="7" s="1"/>
  <c r="AW68" i="7"/>
  <c r="AW100" i="7" s="1"/>
  <c r="AW111" i="7" s="1"/>
  <c r="I66" i="7"/>
  <c r="I98" i="7" s="1"/>
  <c r="I109" i="7" s="1"/>
  <c r="T63" i="7"/>
  <c r="T95" i="7" s="1"/>
  <c r="T106" i="7" s="1"/>
  <c r="AG66" i="7"/>
  <c r="AG98" i="7" s="1"/>
  <c r="AG109" i="7" s="1"/>
  <c r="H66" i="7"/>
  <c r="H98" i="7" s="1"/>
  <c r="H109" i="7" s="1"/>
  <c r="AY62" i="7"/>
  <c r="AY94" i="7" s="1"/>
  <c r="AY105" i="7" s="1"/>
  <c r="P64" i="7"/>
  <c r="P96" i="7" s="1"/>
  <c r="P107" i="7" s="1"/>
  <c r="M67" i="7"/>
  <c r="M99" i="7" s="1"/>
  <c r="M110" i="7" s="1"/>
  <c r="AL68" i="7"/>
  <c r="AL100" i="7" s="1"/>
  <c r="AL111" i="7" s="1"/>
  <c r="AV62" i="7"/>
  <c r="AV94" i="7" s="1"/>
  <c r="AV105" i="7" s="1"/>
  <c r="L66" i="7"/>
  <c r="L98" i="7" s="1"/>
  <c r="L109" i="7" s="1"/>
  <c r="AO68" i="7"/>
  <c r="AO100" i="7" s="1"/>
  <c r="AO111" i="7" s="1"/>
  <c r="AD62" i="7"/>
  <c r="AD94" i="7" s="1"/>
  <c r="AD105" i="7" s="1"/>
  <c r="AQ64" i="7"/>
  <c r="AQ96" i="7" s="1"/>
  <c r="AQ107" i="7" s="1"/>
  <c r="AO63" i="7"/>
  <c r="AO95" i="7" s="1"/>
  <c r="AO106" i="7" s="1"/>
  <c r="AW63" i="7"/>
  <c r="AW95" i="7" s="1"/>
  <c r="AW106" i="7" s="1"/>
  <c r="AT66" i="7"/>
  <c r="AT98" i="7" s="1"/>
  <c r="AT109" i="7" s="1"/>
  <c r="AQ68" i="7"/>
  <c r="AQ100" i="7" s="1"/>
  <c r="AQ111" i="7" s="1"/>
  <c r="AF62" i="7"/>
  <c r="AF94" i="7" s="1"/>
  <c r="AF105" i="7" s="1"/>
  <c r="AS64" i="7"/>
  <c r="AS96" i="7" s="1"/>
  <c r="AS107" i="7" s="1"/>
  <c r="Y68" i="7"/>
  <c r="Y100" i="7" s="1"/>
  <c r="Y111" i="7" s="1"/>
  <c r="N62" i="7"/>
  <c r="N94" i="7" s="1"/>
  <c r="N105" i="7" s="1"/>
  <c r="AA64" i="7"/>
  <c r="AA96" i="7" s="1"/>
  <c r="AA107" i="7" s="1"/>
  <c r="Y63" i="7"/>
  <c r="Y95" i="7" s="1"/>
  <c r="Y106" i="7" s="1"/>
  <c r="AM61" i="7"/>
  <c r="AM93" i="7" s="1"/>
  <c r="AM104" i="7" s="1"/>
  <c r="AY61" i="7"/>
  <c r="AY93" i="7" s="1"/>
  <c r="AY104" i="7" s="1"/>
  <c r="E67" i="7"/>
  <c r="E99" i="7" s="1"/>
  <c r="E110" i="7" s="1"/>
  <c r="AM67" i="7"/>
  <c r="AM99" i="7" s="1"/>
  <c r="AM110" i="7" s="1"/>
  <c r="G63" i="7"/>
  <c r="G95" i="7" s="1"/>
  <c r="G106" i="7" s="1"/>
  <c r="T66" i="7"/>
  <c r="T98" i="7" s="1"/>
  <c r="T109" i="7" s="1"/>
  <c r="Q68" i="7"/>
  <c r="Q100" i="7" s="1"/>
  <c r="Q111" i="7" s="1"/>
  <c r="AV68" i="7"/>
  <c r="AV100" i="7" s="1"/>
  <c r="AV111" i="7" s="1"/>
  <c r="AK62" i="7"/>
  <c r="AK94" i="7" s="1"/>
  <c r="AK105" i="7" s="1"/>
  <c r="AX64" i="7"/>
  <c r="AX96" i="7" s="1"/>
  <c r="AX107" i="7" s="1"/>
  <c r="AD68" i="7"/>
  <c r="AD100" i="7" s="1"/>
  <c r="AD111" i="7" s="1"/>
  <c r="S62" i="7"/>
  <c r="S94" i="7" s="1"/>
  <c r="S105" i="7" s="1"/>
  <c r="AG63" i="7"/>
  <c r="AG95" i="7" s="1"/>
  <c r="AG106" i="7" s="1"/>
  <c r="AD66" i="7"/>
  <c r="AD98" i="7" s="1"/>
  <c r="AD109" i="7" s="1"/>
  <c r="AA68" i="7"/>
  <c r="AA100" i="7" s="1"/>
  <c r="AA111" i="7" s="1"/>
  <c r="P62" i="7"/>
  <c r="P94" i="7" s="1"/>
  <c r="P105" i="7" s="1"/>
  <c r="AC64" i="7"/>
  <c r="AC96" i="7" s="1"/>
  <c r="AC107" i="7" s="1"/>
  <c r="I68" i="7"/>
  <c r="I100" i="7" s="1"/>
  <c r="I111" i="7" s="1"/>
  <c r="AU61" i="7"/>
  <c r="AU93" i="7" s="1"/>
  <c r="AU104" i="7" s="1"/>
  <c r="K64" i="7"/>
  <c r="K96" i="7" s="1"/>
  <c r="K107" i="7" s="1"/>
  <c r="I63" i="7"/>
  <c r="I95" i="7" s="1"/>
  <c r="I106" i="7" s="1"/>
  <c r="W61" i="7"/>
  <c r="W93" i="7" s="1"/>
  <c r="W104" i="7" s="1"/>
  <c r="AI61" i="7"/>
  <c r="AI93" i="7" s="1"/>
  <c r="AI104" i="7" s="1"/>
  <c r="AL66" i="7"/>
  <c r="AL98" i="7" s="1"/>
  <c r="AL109" i="7" s="1"/>
  <c r="AY68" i="7"/>
  <c r="AY100" i="7" s="1"/>
  <c r="AY111" i="7" s="1"/>
  <c r="AN62" i="7"/>
  <c r="AN94" i="7" s="1"/>
  <c r="AN105" i="7" s="1"/>
  <c r="D66" i="7"/>
  <c r="D98" i="7" s="1"/>
  <c r="D109" i="7" s="1"/>
  <c r="AX67" i="7"/>
  <c r="AX99" i="7" s="1"/>
  <c r="AX110" i="7" s="1"/>
  <c r="AF68" i="7"/>
  <c r="AF100" i="7" s="1"/>
  <c r="AF111" i="7" s="1"/>
  <c r="U62" i="7"/>
  <c r="U94" i="7" s="1"/>
  <c r="U105" i="7" s="1"/>
  <c r="AH64" i="7"/>
  <c r="AH96" i="7" s="1"/>
  <c r="AH107" i="7" s="1"/>
  <c r="N68" i="7"/>
  <c r="N100" i="7" s="1"/>
  <c r="N111" i="7" s="1"/>
  <c r="J64" i="7"/>
  <c r="J96" i="7" s="1"/>
  <c r="J107" i="7" s="1"/>
  <c r="Q63" i="7"/>
  <c r="Q95" i="7" s="1"/>
  <c r="Q106" i="7" s="1"/>
  <c r="N66" i="7"/>
  <c r="N98" i="7" s="1"/>
  <c r="N109" i="7" s="1"/>
  <c r="K68" i="7"/>
  <c r="K100" i="7" s="1"/>
  <c r="K111" i="7" s="1"/>
  <c r="AW61" i="7"/>
  <c r="AW93" i="7" s="1"/>
  <c r="AW104" i="7" s="1"/>
  <c r="M64" i="7"/>
  <c r="M96" i="7" s="1"/>
  <c r="M107" i="7" s="1"/>
  <c r="AP67" i="7"/>
  <c r="AP99" i="7" s="1"/>
  <c r="AP110" i="7" s="1"/>
  <c r="AE61" i="7"/>
  <c r="AE93" i="7" s="1"/>
  <c r="AE104" i="7" s="1"/>
  <c r="AR63" i="7"/>
  <c r="AR95" i="7" s="1"/>
  <c r="AR106" i="7" s="1"/>
  <c r="AP62" i="7"/>
  <c r="AP94" i="7" s="1"/>
  <c r="AP105" i="7" s="1"/>
  <c r="G61" i="7"/>
  <c r="G93" i="7" s="1"/>
  <c r="G104" i="7" s="1"/>
  <c r="S61" i="7"/>
  <c r="S93" i="7" s="1"/>
  <c r="S104" i="7" s="1"/>
  <c r="V66" i="7"/>
  <c r="V98" i="7" s="1"/>
  <c r="V109" i="7" s="1"/>
  <c r="AI68" i="7"/>
  <c r="AI100" i="7" s="1"/>
  <c r="AI111" i="7" s="1"/>
  <c r="X62" i="7"/>
  <c r="X94" i="7" s="1"/>
  <c r="X105" i="7" s="1"/>
  <c r="AK64" i="7"/>
  <c r="AK96" i="7" s="1"/>
  <c r="AK107" i="7" s="1"/>
  <c r="AH67" i="7"/>
  <c r="AH99" i="7" s="1"/>
  <c r="AH110" i="7" s="1"/>
  <c r="P68" i="7"/>
  <c r="P100" i="7" s="1"/>
  <c r="P111" i="7" s="1"/>
  <c r="E62" i="7"/>
  <c r="E94" i="7" s="1"/>
  <c r="E105" i="7" s="1"/>
  <c r="R64" i="7"/>
  <c r="R96" i="7" s="1"/>
  <c r="R107" i="7" s="1"/>
  <c r="AU67" i="7"/>
  <c r="AU99" i="7" s="1"/>
  <c r="AU110" i="7" s="1"/>
  <c r="F68" i="7"/>
  <c r="F100" i="7" s="1"/>
  <c r="F111" i="7" s="1"/>
  <c r="AX62" i="7"/>
  <c r="AX94" i="7" s="1"/>
  <c r="AX105" i="7" s="1"/>
  <c r="AU64" i="7"/>
  <c r="AU96" i="7" s="1"/>
  <c r="AU107" i="7" s="1"/>
  <c r="AR67" i="7"/>
  <c r="AR99" i="7" s="1"/>
  <c r="AR110" i="7" s="1"/>
  <c r="AG61" i="7"/>
  <c r="AG93" i="7" s="1"/>
  <c r="AG104" i="7" s="1"/>
  <c r="AT63" i="7"/>
  <c r="AT95" i="7" s="1"/>
  <c r="AT106" i="7" s="1"/>
  <c r="Z67" i="7"/>
  <c r="Z99" i="7" s="1"/>
  <c r="Z110" i="7" s="1"/>
  <c r="O61" i="7"/>
  <c r="O93" i="7" s="1"/>
  <c r="O104" i="7" s="1"/>
  <c r="AB63" i="7"/>
  <c r="AB95" i="7" s="1"/>
  <c r="AB106" i="7" s="1"/>
  <c r="Z62" i="7"/>
  <c r="Z94" i="7" s="1"/>
  <c r="Z105" i="7" s="1"/>
  <c r="AX61" i="7"/>
  <c r="AX93" i="7" s="1"/>
  <c r="AX104" i="7" s="1"/>
  <c r="F66" i="7"/>
  <c r="F98" i="7" s="1"/>
  <c r="F109" i="7" s="1"/>
  <c r="S68" i="7"/>
  <c r="S100" i="7" s="1"/>
  <c r="S111" i="7" s="1"/>
  <c r="H62" i="7"/>
  <c r="H94" i="7" s="1"/>
  <c r="H105" i="7" s="1"/>
  <c r="U64" i="7"/>
  <c r="U96" i="7" s="1"/>
  <c r="U107" i="7" s="1"/>
  <c r="R67" i="7"/>
  <c r="R99" i="7" s="1"/>
  <c r="R110" i="7" s="1"/>
  <c r="AW67" i="7"/>
  <c r="AW99" i="7" s="1"/>
  <c r="AW110" i="7" s="1"/>
  <c r="V61" i="7"/>
  <c r="V93" i="7" s="1"/>
  <c r="V104" i="7" s="1"/>
  <c r="AY63" i="7"/>
  <c r="AY95" i="7" s="1"/>
  <c r="AY106" i="7" s="1"/>
  <c r="AE67" i="7"/>
  <c r="AE99" i="7" s="1"/>
  <c r="AE110" i="7" s="1"/>
  <c r="AS68" i="7"/>
  <c r="AS100" i="7" s="1"/>
  <c r="AS111" i="7" s="1"/>
  <c r="AH62" i="7"/>
  <c r="AH94" i="7" s="1"/>
  <c r="AH105" i="7" s="1"/>
  <c r="AE64" i="7"/>
  <c r="AE96" i="7" s="1"/>
  <c r="AE107" i="7" s="1"/>
  <c r="AB67" i="7"/>
  <c r="AB99" i="7" s="1"/>
  <c r="AB110" i="7" s="1"/>
  <c r="Q61" i="7"/>
  <c r="Q93" i="7" s="1"/>
  <c r="Q104" i="7" s="1"/>
  <c r="AD63" i="7"/>
  <c r="AD95" i="7" s="1"/>
  <c r="AD106" i="7" s="1"/>
  <c r="J67" i="7"/>
  <c r="J99" i="7" s="1"/>
  <c r="J110" i="7" s="1"/>
  <c r="C63" i="7"/>
  <c r="C95" i="7" s="1"/>
  <c r="C106" i="7" s="1"/>
  <c r="L63" i="7"/>
  <c r="L95" i="7" s="1"/>
  <c r="L106" i="7" s="1"/>
  <c r="J62" i="7"/>
  <c r="J94" i="7" s="1"/>
  <c r="J105" i="7" s="1"/>
  <c r="AZ67" i="7"/>
  <c r="AZ99" i="7" s="1"/>
  <c r="AZ110" i="7" s="1"/>
  <c r="AO66" i="7"/>
  <c r="AO98" i="7" s="1"/>
  <c r="AO109" i="7" s="1"/>
  <c r="E64" i="7"/>
  <c r="E96" i="7" s="1"/>
  <c r="E107" i="7" s="1"/>
  <c r="AY66" i="7"/>
  <c r="AY98" i="7" s="1"/>
  <c r="AY109" i="7" s="1"/>
  <c r="AG67" i="7"/>
  <c r="AG99" i="7" s="1"/>
  <c r="AG110" i="7" s="1"/>
  <c r="F61" i="7"/>
  <c r="F93" i="7" s="1"/>
  <c r="F104" i="7" s="1"/>
  <c r="AI63" i="7"/>
  <c r="AI95" i="7" s="1"/>
  <c r="AI106" i="7" s="1"/>
  <c r="O67" i="7"/>
  <c r="O99" i="7" s="1"/>
  <c r="O110" i="7" s="1"/>
  <c r="AC68" i="7"/>
  <c r="AC100" i="7" s="1"/>
  <c r="AC111" i="7" s="1"/>
  <c r="R62" i="7"/>
  <c r="R94" i="7" s="1"/>
  <c r="R105" i="7" s="1"/>
  <c r="O64" i="7"/>
  <c r="O96" i="7" s="1"/>
  <c r="O107" i="7" s="1"/>
  <c r="L67" i="7"/>
  <c r="L99" i="7" s="1"/>
  <c r="L110" i="7" s="1"/>
  <c r="C66" i="7"/>
  <c r="C98" i="7" s="1"/>
  <c r="C109" i="7" s="1"/>
  <c r="N63" i="7"/>
  <c r="N95" i="7" s="1"/>
  <c r="N106" i="7" s="1"/>
  <c r="AQ66" i="7"/>
  <c r="AQ98" i="7" s="1"/>
  <c r="AQ109" i="7" s="1"/>
  <c r="H67" i="7"/>
  <c r="H99" i="7" s="1"/>
  <c r="H110" i="7" s="1"/>
  <c r="AS62" i="7"/>
  <c r="AS94" i="7" s="1"/>
  <c r="AS105" i="7" s="1"/>
  <c r="AQ61" i="7"/>
  <c r="AQ93" i="7" s="1"/>
  <c r="AQ104" i="7" s="1"/>
  <c r="R61" i="7"/>
  <c r="R93" i="7" s="1"/>
  <c r="R104" i="7" s="1"/>
  <c r="R113" i="7" s="1"/>
  <c r="W64" i="7"/>
  <c r="W96" i="7" s="1"/>
  <c r="W107" i="7" s="1"/>
  <c r="AJ67" i="7"/>
  <c r="AJ99" i="7" s="1"/>
  <c r="AJ110" i="7" s="1"/>
  <c r="K63" i="7"/>
  <c r="K95" i="7" s="1"/>
  <c r="K106" i="7" s="1"/>
  <c r="AL63" i="7"/>
  <c r="AL95" i="7" s="1"/>
  <c r="AL106" i="7" s="1"/>
  <c r="AI66" i="7"/>
  <c r="AI98" i="7" s="1"/>
  <c r="AI109" i="7" s="1"/>
  <c r="Q67" i="7"/>
  <c r="Q99" i="7" s="1"/>
  <c r="Q110" i="7" s="1"/>
  <c r="AQ63" i="7"/>
  <c r="AQ95" i="7" s="1"/>
  <c r="AQ106" i="7" s="1"/>
  <c r="S63" i="7"/>
  <c r="S95" i="7" s="1"/>
  <c r="S106" i="7" s="1"/>
  <c r="AV66" i="7"/>
  <c r="AV98" i="7" s="1"/>
  <c r="AV109" i="7" s="1"/>
  <c r="M68" i="7"/>
  <c r="M100" i="7" s="1"/>
  <c r="M111" i="7" s="1"/>
  <c r="C68" i="7"/>
  <c r="C100" i="7" s="1"/>
  <c r="C111" i="7" s="1"/>
  <c r="AV63" i="7"/>
  <c r="AV95" i="7" s="1"/>
  <c r="AV106" i="7" s="1"/>
  <c r="AS66" i="7"/>
  <c r="AS98" i="7" s="1"/>
  <c r="AS109" i="7" s="1"/>
  <c r="X67" i="7"/>
  <c r="X99" i="7" s="1"/>
  <c r="X110" i="7" s="1"/>
  <c r="AU62" i="7"/>
  <c r="AU94" i="7" s="1"/>
  <c r="AU105" i="7" s="1"/>
  <c r="AA66" i="7"/>
  <c r="AA98" i="7" s="1"/>
  <c r="AA109" i="7" s="1"/>
  <c r="AN68" i="7"/>
  <c r="AN100" i="7" s="1"/>
  <c r="AN111" i="7" s="1"/>
  <c r="AC62" i="7"/>
  <c r="AC94" i="7" s="1"/>
  <c r="AC105" i="7" s="1"/>
  <c r="AA61" i="7"/>
  <c r="AA93" i="7" s="1"/>
  <c r="AA104" i="7" s="1"/>
  <c r="AE62" i="7"/>
  <c r="AE94" i="7" s="1"/>
  <c r="AE105" i="7" s="1"/>
  <c r="K66" i="7"/>
  <c r="K98" i="7" s="1"/>
  <c r="K109" i="7" s="1"/>
  <c r="X68" i="7"/>
  <c r="X100" i="7" s="1"/>
  <c r="X111" i="7" s="1"/>
  <c r="M62" i="7"/>
  <c r="M94" i="7" s="1"/>
  <c r="M105" i="7" s="1"/>
  <c r="K61" i="7"/>
  <c r="K93" i="7" s="1"/>
  <c r="K104" i="7" s="1"/>
  <c r="AP61" i="7"/>
  <c r="AP93" i="7" s="1"/>
  <c r="AP104" i="7" s="1"/>
  <c r="X61" i="7"/>
  <c r="X93" i="7" s="1"/>
  <c r="X104" i="7" s="1"/>
  <c r="X113" i="7" s="1"/>
  <c r="AN63" i="7"/>
  <c r="AN95" i="7" s="1"/>
  <c r="AN106" i="7" s="1"/>
  <c r="D67" i="7"/>
  <c r="D99" i="7" s="1"/>
  <c r="D110" i="7" s="1"/>
  <c r="V68" i="7"/>
  <c r="V100" i="7" s="1"/>
  <c r="V111" i="7" s="1"/>
  <c r="F63" i="7"/>
  <c r="F95" i="7" s="1"/>
  <c r="F106" i="7" s="1"/>
  <c r="AZ64" i="7"/>
  <c r="AZ96" i="7" s="1"/>
  <c r="AZ107" i="7" s="1"/>
  <c r="AH66" i="7"/>
  <c r="AH98" i="7" s="1"/>
  <c r="AH109" i="7" s="1"/>
  <c r="AU68" i="7"/>
  <c r="AU100" i="7" s="1"/>
  <c r="AU111" i="7" s="1"/>
  <c r="AJ62" i="7"/>
  <c r="AJ94" i="7" s="1"/>
  <c r="AJ105" i="7" s="1"/>
  <c r="P66" i="7"/>
  <c r="P98" i="7" s="1"/>
  <c r="P109" i="7" s="1"/>
  <c r="AD67" i="7"/>
  <c r="AD99" i="7" s="1"/>
  <c r="AD110" i="7" s="1"/>
  <c r="AC61" i="7"/>
  <c r="AC93" i="7" s="1"/>
  <c r="AC104" i="7" s="1"/>
  <c r="P63" i="7"/>
  <c r="P95" i="7" s="1"/>
  <c r="P106" i="7" s="1"/>
  <c r="M66" i="7"/>
  <c r="M98" i="7" s="1"/>
  <c r="M109" i="7" s="1"/>
  <c r="Z68" i="7"/>
  <c r="Z100" i="7" s="1"/>
  <c r="Z111" i="7" s="1"/>
  <c r="O62" i="7"/>
  <c r="O94" i="7" s="1"/>
  <c r="O105" i="7" s="1"/>
  <c r="AR64" i="7"/>
  <c r="AR96" i="7" s="1"/>
  <c r="AR107" i="7" s="1"/>
  <c r="H68" i="7"/>
  <c r="H100" i="7" s="1"/>
  <c r="H111" i="7" s="1"/>
  <c r="AT61" i="7"/>
  <c r="AT93" i="7" s="1"/>
  <c r="AT104" i="7" s="1"/>
  <c r="Y66" i="7"/>
  <c r="Y98" i="7" s="1"/>
  <c r="Y109" i="7" s="1"/>
  <c r="J10" i="1"/>
  <c r="N10" i="1"/>
  <c r="F10" i="1"/>
  <c r="AU10" i="1"/>
  <c r="V10" i="1"/>
  <c r="AH10" i="1"/>
  <c r="AV10" i="1"/>
  <c r="AE10" i="1"/>
  <c r="AC10" i="1"/>
  <c r="E10" i="1"/>
  <c r="M10" i="1"/>
  <c r="H10" i="1"/>
  <c r="AB10" i="1"/>
  <c r="AK10" i="1"/>
  <c r="D10" i="1"/>
  <c r="AY10" i="1"/>
  <c r="AM10" i="1"/>
  <c r="AR10" i="1"/>
  <c r="AT10" i="1"/>
  <c r="AI10" i="1"/>
  <c r="AD10" i="1"/>
  <c r="AS10" i="1"/>
  <c r="X10" i="1"/>
  <c r="AF10" i="1"/>
  <c r="G10" i="1"/>
  <c r="P10" i="1"/>
  <c r="AP10" i="1"/>
  <c r="AX10" i="1"/>
  <c r="C10" i="1"/>
  <c r="U10" i="1"/>
  <c r="AZ10" i="1"/>
  <c r="AJ10" i="1"/>
  <c r="R10" i="1"/>
  <c r="T10" i="1"/>
  <c r="L10" i="1"/>
  <c r="AL10" i="1"/>
  <c r="W10" i="1"/>
  <c r="AO10" i="1"/>
  <c r="AN10" i="1"/>
  <c r="AW10" i="1"/>
  <c r="O10" i="1"/>
  <c r="Y10" i="1"/>
  <c r="AG10" i="1"/>
  <c r="S10" i="1"/>
  <c r="I10" i="1"/>
  <c r="Q10" i="1"/>
  <c r="AQ10" i="1"/>
  <c r="AA10" i="1"/>
  <c r="Z10" i="1"/>
  <c r="K10" i="1"/>
  <c r="C38" i="7"/>
  <c r="C103" i="7" s="1"/>
  <c r="Q113" i="7" l="1"/>
  <c r="AX113" i="7"/>
  <c r="AQ113" i="7"/>
  <c r="AM113" i="7"/>
  <c r="G113" i="7"/>
  <c r="AC113" i="7"/>
  <c r="AL113" i="7"/>
  <c r="AP113" i="7"/>
  <c r="AN113" i="7"/>
  <c r="K113" i="7"/>
  <c r="C113" i="7"/>
  <c r="O113" i="7"/>
  <c r="AZ113" i="7"/>
  <c r="P113" i="7"/>
  <c r="N113" i="7"/>
  <c r="S113" i="7"/>
  <c r="I113" i="7"/>
  <c r="AD113" i="7"/>
  <c r="J113" i="7"/>
  <c r="AG113" i="7"/>
  <c r="AF113" i="7"/>
  <c r="AA113" i="7"/>
  <c r="F113" i="7"/>
  <c r="U113" i="7"/>
  <c r="AH113" i="7"/>
  <c r="Z113" i="7"/>
  <c r="AE113" i="7"/>
  <c r="L113" i="7"/>
  <c r="M113" i="7"/>
  <c r="Y113" i="7"/>
  <c r="V113" i="7"/>
  <c r="AI113" i="7"/>
  <c r="AB113" i="7"/>
  <c r="W113" i="7"/>
  <c r="E113" i="7"/>
  <c r="AR113" i="7"/>
  <c r="AK113" i="7"/>
  <c r="AW113" i="7"/>
  <c r="AS113" i="7"/>
  <c r="T113" i="7"/>
  <c r="AO113" i="7"/>
  <c r="AJ113" i="7"/>
  <c r="AU113" i="7"/>
  <c r="H113" i="7"/>
  <c r="AT113" i="7"/>
  <c r="AY113" i="7"/>
  <c r="AV113" i="7"/>
  <c r="D113" i="7"/>
  <c r="AZ120" i="7"/>
  <c r="AY120" i="7"/>
  <c r="AX120" i="7"/>
  <c r="X120" i="7"/>
  <c r="AH120" i="7"/>
  <c r="J120" i="7"/>
  <c r="AD120" i="7"/>
  <c r="P120" i="7"/>
  <c r="V120" i="7"/>
  <c r="H120" i="7"/>
  <c r="N120" i="7"/>
  <c r="AR120" i="7"/>
  <c r="C120" i="7"/>
  <c r="F120" i="7"/>
  <c r="AJ120" i="7"/>
  <c r="AW120" i="7"/>
  <c r="T120" i="7"/>
  <c r="AB120" i="7"/>
  <c r="AU120" i="7"/>
  <c r="AQ120" i="7"/>
  <c r="Y120" i="7"/>
  <c r="AM120" i="7"/>
  <c r="D120" i="7"/>
  <c r="AI120" i="7"/>
  <c r="AO120" i="7"/>
  <c r="AG120" i="7"/>
  <c r="Q120" i="7"/>
  <c r="AE120" i="7"/>
  <c r="AA120" i="7"/>
  <c r="L120" i="7"/>
  <c r="I120" i="7"/>
  <c r="W120" i="7"/>
  <c r="AS120" i="7"/>
  <c r="S120" i="7"/>
  <c r="O120" i="7"/>
  <c r="AK120" i="7"/>
  <c r="K120" i="7"/>
  <c r="G120" i="7"/>
  <c r="AC120" i="7"/>
  <c r="AP120" i="7"/>
  <c r="U120" i="7"/>
  <c r="M120" i="7"/>
  <c r="AT120" i="7"/>
  <c r="AV120" i="7"/>
  <c r="Z120" i="7"/>
  <c r="AN120" i="7"/>
  <c r="E120" i="7"/>
  <c r="R120" i="7"/>
  <c r="AF120" i="7"/>
  <c r="AL120" i="7"/>
  <c r="P125" i="7" l="1"/>
  <c r="V116" i="7"/>
  <c r="F123" i="7"/>
  <c r="D123" i="7"/>
  <c r="AE125" i="7"/>
  <c r="Z125" i="7"/>
  <c r="AL116" i="7"/>
  <c r="L125" i="7"/>
  <c r="H116" i="7"/>
  <c r="S125" i="7"/>
  <c r="T124" i="7"/>
  <c r="U125" i="7"/>
  <c r="O123" i="7"/>
  <c r="Q116" i="7"/>
  <c r="AC125" i="7" l="1"/>
  <c r="E125" i="7"/>
  <c r="AR119" i="7"/>
  <c r="AX124" i="7"/>
  <c r="AK123" i="7"/>
  <c r="AP124" i="7"/>
  <c r="AA123" i="7"/>
  <c r="R116" i="7"/>
  <c r="AQ125" i="7"/>
  <c r="AG124" i="7"/>
  <c r="AI125" i="7"/>
  <c r="AJ123" i="7"/>
  <c r="AV125" i="7"/>
  <c r="AS116" i="7"/>
  <c r="AN123" i="7"/>
  <c r="D124" i="7"/>
  <c r="W125" i="7"/>
  <c r="AB124" i="7"/>
  <c r="K119" i="7"/>
  <c r="J119" i="7"/>
  <c r="N123" i="7"/>
  <c r="AH119" i="7"/>
  <c r="Y124" i="7"/>
  <c r="AF125" i="7"/>
  <c r="AD124" i="7"/>
  <c r="O124" i="7"/>
  <c r="X125" i="7"/>
  <c r="AM119" i="7"/>
  <c r="M119" i="7"/>
  <c r="AY125" i="7"/>
  <c r="O119" i="7"/>
  <c r="O125" i="7"/>
  <c r="O116" i="7"/>
  <c r="AW125" i="7"/>
  <c r="AZ125" i="7"/>
  <c r="G125" i="7"/>
  <c r="D119" i="7"/>
  <c r="AO124" i="7"/>
  <c r="D116" i="7"/>
  <c r="I116" i="7"/>
  <c r="AU124" i="7"/>
  <c r="AT116" i="7"/>
  <c r="D125" i="7"/>
  <c r="F116" i="7"/>
  <c r="F125" i="7"/>
  <c r="V125" i="7"/>
  <c r="V119" i="7"/>
  <c r="F119" i="7"/>
  <c r="F124" i="7"/>
  <c r="Q125" i="7"/>
  <c r="L119" i="7"/>
  <c r="U119" i="7"/>
  <c r="U116" i="7"/>
  <c r="Q119" i="7"/>
  <c r="T125" i="7"/>
  <c r="P119" i="7"/>
  <c r="T119" i="7"/>
  <c r="S124" i="7"/>
  <c r="P116" i="7"/>
  <c r="AE116" i="7"/>
  <c r="Z119" i="7"/>
  <c r="AE119" i="7"/>
  <c r="Z116" i="7"/>
  <c r="T123" i="7"/>
  <c r="S119" i="7"/>
  <c r="S116" i="7"/>
  <c r="S123" i="7"/>
  <c r="T116" i="7"/>
  <c r="L123" i="7"/>
  <c r="L124" i="7"/>
  <c r="AE124" i="7"/>
  <c r="AE123" i="7"/>
  <c r="AL125" i="7"/>
  <c r="H125" i="7"/>
  <c r="AL119" i="7"/>
  <c r="Z123" i="7"/>
  <c r="Z124" i="7"/>
  <c r="V124" i="7"/>
  <c r="V123" i="7"/>
  <c r="L116" i="7"/>
  <c r="AL123" i="7"/>
  <c r="AL124" i="7"/>
  <c r="H119" i="7"/>
  <c r="Q124" i="7"/>
  <c r="Q123" i="7"/>
  <c r="U123" i="7"/>
  <c r="U124" i="7"/>
  <c r="H124" i="7"/>
  <c r="H123" i="7"/>
  <c r="P123" i="7"/>
  <c r="P124" i="7"/>
  <c r="AX1" i="7"/>
  <c r="AW1" i="7"/>
  <c r="AV1" i="7"/>
  <c r="AU1" i="7"/>
  <c r="AT1" i="7"/>
  <c r="AS1" i="7"/>
  <c r="AR1" i="7"/>
  <c r="AQ1" i="7"/>
  <c r="AP1" i="7"/>
  <c r="AO1" i="7"/>
  <c r="AN1" i="7"/>
  <c r="AM1" i="7"/>
  <c r="AL1" i="7"/>
  <c r="AK1" i="7"/>
  <c r="AJ1" i="7"/>
  <c r="AI1" i="7"/>
  <c r="AH1" i="7"/>
  <c r="AG1" i="7"/>
  <c r="AF1" i="7"/>
  <c r="AE1" i="7"/>
  <c r="AD1" i="7"/>
  <c r="AC1" i="7"/>
  <c r="AB1" i="7"/>
  <c r="AA1" i="7"/>
  <c r="Z1" i="7"/>
  <c r="Y1" i="7"/>
  <c r="X1" i="7"/>
  <c r="W1" i="7"/>
  <c r="V1" i="7"/>
  <c r="U1" i="7"/>
  <c r="T1" i="7"/>
  <c r="S1" i="7"/>
  <c r="R1" i="7"/>
  <c r="Q1" i="7"/>
  <c r="P1" i="7"/>
  <c r="O1" i="7"/>
  <c r="N1" i="7"/>
  <c r="M1" i="7"/>
  <c r="L1" i="7"/>
  <c r="K1" i="7"/>
  <c r="J1" i="7"/>
  <c r="I1" i="7"/>
  <c r="H1" i="7"/>
  <c r="G1" i="7"/>
  <c r="F1" i="7"/>
  <c r="E1" i="7"/>
  <c r="D1" i="7"/>
  <c r="C1" i="7"/>
  <c r="AC124" i="7" l="1"/>
  <c r="AC123" i="7"/>
  <c r="E116" i="7"/>
  <c r="E119" i="7"/>
  <c r="AC119" i="7"/>
  <c r="AX125" i="7"/>
  <c r="AC116" i="7"/>
  <c r="AX123" i="7"/>
  <c r="AR123" i="7"/>
  <c r="AK119" i="7"/>
  <c r="AR116" i="7"/>
  <c r="AX116" i="7"/>
  <c r="AX119" i="7"/>
  <c r="AR124" i="7"/>
  <c r="E124" i="7"/>
  <c r="E123" i="7"/>
  <c r="AR125" i="7"/>
  <c r="AK125" i="7"/>
  <c r="AK116" i="7"/>
  <c r="AK124" i="7"/>
  <c r="AP123" i="7"/>
  <c r="R124" i="7"/>
  <c r="AP119" i="7"/>
  <c r="AP125" i="7"/>
  <c r="AP116" i="7"/>
  <c r="AA124" i="7"/>
  <c r="AQ116" i="7"/>
  <c r="R123" i="7"/>
  <c r="AQ119" i="7"/>
  <c r="AQ124" i="7"/>
  <c r="AA119" i="7"/>
  <c r="R119" i="7"/>
  <c r="AA116" i="7"/>
  <c r="AQ123" i="7"/>
  <c r="R125" i="7"/>
  <c r="AA125" i="7"/>
  <c r="AG125" i="7"/>
  <c r="AG116" i="7"/>
  <c r="AG119" i="7"/>
  <c r="AG123" i="7"/>
  <c r="AI124" i="7"/>
  <c r="AI116" i="7"/>
  <c r="AI123" i="7"/>
  <c r="AI119" i="7"/>
  <c r="W124" i="7"/>
  <c r="AJ119" i="7"/>
  <c r="AJ116" i="7"/>
  <c r="W123" i="7"/>
  <c r="AN124" i="7"/>
  <c r="AJ124" i="7"/>
  <c r="AJ125" i="7"/>
  <c r="AN119" i="7"/>
  <c r="K125" i="7"/>
  <c r="AB125" i="7"/>
  <c r="W119" i="7"/>
  <c r="K123" i="7"/>
  <c r="AB119" i="7"/>
  <c r="AB116" i="7"/>
  <c r="AS124" i="7"/>
  <c r="AS123" i="7"/>
  <c r="K124" i="7"/>
  <c r="AV116" i="7"/>
  <c r="AV119" i="7"/>
  <c r="AV123" i="7"/>
  <c r="AB123" i="7"/>
  <c r="AS125" i="7"/>
  <c r="AS119" i="7"/>
  <c r="AV124" i="7"/>
  <c r="AN125" i="7"/>
  <c r="AF116" i="7"/>
  <c r="AO125" i="7"/>
  <c r="AN116" i="7"/>
  <c r="AF123" i="7"/>
  <c r="I125" i="7"/>
  <c r="N125" i="7"/>
  <c r="W116" i="7"/>
  <c r="AO119" i="7"/>
  <c r="AH116" i="7"/>
  <c r="AF119" i="7"/>
  <c r="AF124" i="7"/>
  <c r="AM124" i="7"/>
  <c r="AH125" i="7"/>
  <c r="K116" i="7"/>
  <c r="AZ123" i="7"/>
  <c r="N116" i="7"/>
  <c r="G119" i="7"/>
  <c r="AH124" i="7"/>
  <c r="AH123" i="7"/>
  <c r="N119" i="7"/>
  <c r="Y125" i="7"/>
  <c r="AM116" i="7"/>
  <c r="Y116" i="7"/>
  <c r="X119" i="7"/>
  <c r="AU119" i="7"/>
  <c r="AZ116" i="7"/>
  <c r="AZ119" i="7"/>
  <c r="N124" i="7"/>
  <c r="AZ124" i="7"/>
  <c r="G116" i="7"/>
  <c r="M125" i="7"/>
  <c r="J125" i="7"/>
  <c r="AY116" i="7"/>
  <c r="Y119" i="7"/>
  <c r="AY119" i="7"/>
  <c r="J124" i="7"/>
  <c r="J116" i="7"/>
  <c r="J123" i="7"/>
  <c r="Y123" i="7"/>
  <c r="G123" i="7"/>
  <c r="AD116" i="7"/>
  <c r="AW123" i="7"/>
  <c r="AD125" i="7"/>
  <c r="AM125" i="7"/>
  <c r="AD119" i="7"/>
  <c r="X123" i="7"/>
  <c r="M124" i="7"/>
  <c r="AO116" i="7"/>
  <c r="AD123" i="7"/>
  <c r="M123" i="7"/>
  <c r="G124" i="7"/>
  <c r="AM123" i="7"/>
  <c r="M116" i="7"/>
  <c r="X124" i="7"/>
  <c r="AT123" i="7"/>
  <c r="AY123" i="7"/>
  <c r="AT125" i="7"/>
  <c r="AT124" i="7"/>
  <c r="AT119" i="7"/>
  <c r="AY124" i="7"/>
  <c r="X116" i="7"/>
  <c r="AW124" i="7"/>
  <c r="AU123" i="7"/>
  <c r="AW119" i="7"/>
  <c r="AW116" i="7"/>
  <c r="AU116" i="7"/>
  <c r="I124" i="7"/>
  <c r="I123" i="7"/>
  <c r="AO123" i="7"/>
  <c r="I119" i="7"/>
  <c r="AU125" i="7"/>
  <c r="C125" i="7" l="1"/>
  <c r="C119" i="7" l="1"/>
  <c r="C116" i="7"/>
  <c r="C123" i="7"/>
  <c r="C124"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0A2FCC4-02BE-456D-B6B0-566C2A3EA647}" odcFile="C:\Users\afree\Documents\My Data Sources\AS Server.odc" keepAlive="1" name="DESKTOP-KSAPEQM AS Model" type="5" refreshedVersion="6" onlyUseConnectionFile="1" background="1">
    <dbPr connection="Provider=MSOLAP.8;Integrated Security=SSPI;Persist Security Info=True;Initial Catalog=AS;Data Source=DESKTOP-KSAPEQM;MDX Compatibility=1;Safety Options=2;MDX Missing Member Mode=Error;Update Isolation Level=2" command="Model" commandType="1"/>
    <olapPr sendLocale="1" rowDrillCount="1000"/>
  </connection>
</connections>
</file>

<file path=xl/metadata.xml><?xml version="1.0" encoding="utf-8"?>
<metadata xmlns="http://schemas.openxmlformats.org/spreadsheetml/2006/main" xmlns:xda="http://schemas.microsoft.com/office/spreadsheetml/2017/dynamicarray">
  <metadataTypes count="2">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metadataStrings count="8">
    <s v="DESKTOP-KSAPEQM AS Model"/>
    <s v="{[Indicator Detail].[Units].[All]}"/>
    <s v="{[Data].[Demographics].[Population].&amp;[Total]}"/>
    <s v="{[Data].[Original Source Data].[Source].&amp;[WDI2020]}"/>
    <s v="{[Data].[GDP and other output measures].[Output Definition].&amp;[Expenditure Approach]}"/>
    <s v="{[Indicator Detail].[Units].[Measure Type (Stock/Flow/etc)].&amp;[Flow].&amp;[Money].&amp;[USD]}"/>
    <s v="{[Indicator Detail].[Industrial Sector (Agriculture/Manufacturing/etc)].&amp;[Whole economy]}"/>
    <s v="{[Geography].[WDI Availability].[wdi_availability].&amp;[From 1960],[Geography].[WDI Availability].[wdi_availability].&amp;[From 1961],[Geography].[WDI Availability].[wdi_availability].&amp;[From 1962],[Geography].[WDI Availability].[wdi_availability].&amp;[From 1965],[Geography].[WDI Availability].[wdi_availability].&amp;[From 1966],[Geography].[WDI Availability].[wdi_availability].&amp;[From 1967],[Geography].[WDI Availability].[wdi_availability].&amp;[From 1968],[Geography].[WDI Availability].[wdi_availability].&amp;[From 1970]}"/>
  </metadataStrings>
  <mdxMetadata count="7">
    <mdx n="0" f="s">
      <ms ns="1" c="0"/>
    </mdx>
    <mdx n="0" f="s">
      <ms ns="2" c="0"/>
    </mdx>
    <mdx n="0" f="s">
      <ms ns="3" c="0"/>
    </mdx>
    <mdx n="0" f="s">
      <ms ns="4" c="0"/>
    </mdx>
    <mdx n="0" f="s">
      <ms ns="5" c="0"/>
    </mdx>
    <mdx n="0" f="s">
      <ms ns="6" c="0"/>
    </mdx>
    <mdx n="0" f="s">
      <ms ns="7" c="0"/>
    </mdx>
  </mdxMetadata>
  <futureMetadata name="XLDAPR" count="1">
    <bk>
      <extLst>
        <ext uri="{bdbb8cdc-fa1e-496e-a857-3c3f30c029c3}">
          <xda:dynamicArrayProperties fDynamic="1" fCollapsed="0"/>
        </ext>
      </extLst>
    </bk>
  </futureMetadata>
  <cellMetadata count="1">
    <bk>
      <rc t="2" v="0"/>
    </bk>
  </cellMetadata>
  <valueMetadata count="7">
    <bk>
      <rc t="1" v="0"/>
    </bk>
    <bk>
      <rc t="1" v="1"/>
    </bk>
    <bk>
      <rc t="1" v="2"/>
    </bk>
    <bk>
      <rc t="1" v="3"/>
    </bk>
    <bk>
      <rc t="1" v="4"/>
    </bk>
    <bk>
      <rc t="1" v="5"/>
    </bk>
    <bk>
      <rc t="1" v="6"/>
    </bk>
  </valueMetadata>
</metadata>
</file>

<file path=xl/sharedStrings.xml><?xml version="1.0" encoding="utf-8"?>
<sst xmlns="http://schemas.openxmlformats.org/spreadsheetml/2006/main" count="592" uniqueCount="222">
  <si>
    <t>Geopolitical Economy Research Group Data Project pluralist dataset</t>
  </si>
  <si>
    <t>http:/www.geopoliticaleconomy.org</t>
  </si>
  <si>
    <t>https://github.com/axfreeman/Economic-History</t>
  </si>
  <si>
    <t xml:space="preserve"> Use subject to Creative Commons Attribution-NonCommercial-ShareAlike 4.0 International (CC-BY-NC-SA 4.0) </t>
  </si>
  <si>
    <t xml:space="preserve"> For full license see: https://creativecommons.org/licenses/by-nc-sa/4.0/legalcode </t>
  </si>
  <si>
    <t xml:space="preserve"> Below is a human-readable summary from: https://creativecommons.org/licenses/by-nc-sa/4.0/ </t>
  </si>
  <si>
    <t xml:space="preserve"> Attribution-NonCommercial-ShareAlike 4.0 International (CC-BY-NC-SA 4.0) </t>
  </si>
  <si>
    <t xml:space="preserve"> This is a human-readable summary of (and not a substitute for) the license</t>
  </si>
  <si>
    <t>This license does not override or replace any of the rights of the original providers of the data hosted on this site</t>
  </si>
  <si>
    <t xml:space="preserve"> </t>
  </si>
  <si>
    <t xml:space="preserve">You are free to: </t>
  </si>
  <si>
    <t xml:space="preserve"> Share -- copy and redistribute the material in any medium or format </t>
  </si>
  <si>
    <t xml:space="preserve"> Adapt -- remix, transform, and build upon the material </t>
  </si>
  <si>
    <t xml:space="preserve"> The licensor cannot revoke these freedoms as long as you follow the license terms</t>
  </si>
  <si>
    <t>Under the following terms</t>
  </si>
  <si>
    <t xml:space="preserve"> Attribution --  You must give appropriate credit, provide a link to the   license, and indicate if changes were made. You may do so   in any reasonable manner, but not in any way that   suggests the licensor endorses you or your use. </t>
  </si>
  <si>
    <t xml:space="preserve"> NonCommercial --  You may not use the material for commercial purposes. </t>
  </si>
  <si>
    <t xml:space="preserve"> ShareAlike --  If you remix, transform, or build upon the  material, you must distribute your contributions under the same license as the original.</t>
  </si>
  <si>
    <t xml:space="preserve"> No additional restrictions --  You may not apply legal terms or technological measures that  legally restrict others from doing anything the license permits. </t>
  </si>
  <si>
    <t>Notices</t>
  </si>
  <si>
    <t xml:space="preserve"> You do not have to comply with the license for elements of the   material in the public domain or where your use is permitted by an   applicable exception or limitation. No warranties are given. The   license may not give you all of the permissions necessary for   your intended use. For example, other rights such as publicity,   privacy, or moral rights may limit how you use the material. </t>
  </si>
  <si>
    <t>To comply with the attribution requirement in the license, whenever it is used the dataset must be cited as follows: Freeman, A. 2019. Dataset to accompany 'Geopolitical Economy of Inequality'. Winnnipeg, MP: Geopolitical Economy Research Group. (https://github.com/axfreeman/Economic-History)</t>
  </si>
  <si>
    <t>Individual working papers drawing on this data, and individual datasets derived from a selection of data in the full set, should additionally be cited as specified in the relevant document or accompanying documentation</t>
  </si>
  <si>
    <t>Demographics</t>
  </si>
  <si>
    <t>All</t>
  </si>
  <si>
    <t>Units</t>
  </si>
  <si>
    <t>Industrial Sector (Agriculture/Manufacturing/etc)</t>
  </si>
  <si>
    <t>1970</t>
  </si>
  <si>
    <t>1971</t>
  </si>
  <si>
    <t>1972</t>
  </si>
  <si>
    <t>1973</t>
  </si>
  <si>
    <t>1974</t>
  </si>
  <si>
    <t>1975</t>
  </si>
  <si>
    <t>1976</t>
  </si>
  <si>
    <t>1977</t>
  </si>
  <si>
    <t>1978</t>
  </si>
  <si>
    <t>1979</t>
  </si>
  <si>
    <t>1980</t>
  </si>
  <si>
    <t>1981</t>
  </si>
  <si>
    <t>1982</t>
  </si>
  <si>
    <t>1983</t>
  </si>
  <si>
    <t>1984</t>
  </si>
  <si>
    <t>1985</t>
  </si>
  <si>
    <t>1986</t>
  </si>
  <si>
    <t>1987</t>
  </si>
  <si>
    <t>1988</t>
  </si>
  <si>
    <t>1989</t>
  </si>
  <si>
    <t>1990</t>
  </si>
  <si>
    <t>1991</t>
  </si>
  <si>
    <t>1992</t>
  </si>
  <si>
    <t>1993</t>
  </si>
  <si>
    <t>1994</t>
  </si>
  <si>
    <t>1995</t>
  </si>
  <si>
    <t>1996</t>
  </si>
  <si>
    <t>1997</t>
  </si>
  <si>
    <t>1998</t>
  </si>
  <si>
    <t>1999</t>
  </si>
  <si>
    <t>2000</t>
  </si>
  <si>
    <t>2001</t>
  </si>
  <si>
    <t>2002</t>
  </si>
  <si>
    <t>2003</t>
  </si>
  <si>
    <t>2004</t>
  </si>
  <si>
    <t>2005</t>
  </si>
  <si>
    <t>2006</t>
  </si>
  <si>
    <t>2007</t>
  </si>
  <si>
    <t>2008</t>
  </si>
  <si>
    <t>2009</t>
  </si>
  <si>
    <t>2010</t>
  </si>
  <si>
    <t>2011</t>
  </si>
  <si>
    <t>2012</t>
  </si>
  <si>
    <t>2013</t>
  </si>
  <si>
    <t>2014</t>
  </si>
  <si>
    <t>2015</t>
  </si>
  <si>
    <t>2016</t>
  </si>
  <si>
    <t>2017</t>
  </si>
  <si>
    <t>2018</t>
  </si>
  <si>
    <t>2019</t>
  </si>
  <si>
    <t>Item</t>
  </si>
  <si>
    <t>Expenditure Approach</t>
  </si>
  <si>
    <t>Total</t>
  </si>
  <si>
    <t>WDI2020</t>
  </si>
  <si>
    <t>Original Source Data</t>
  </si>
  <si>
    <t>Australia</t>
  </si>
  <si>
    <t>Austria</t>
  </si>
  <si>
    <t>Belgium</t>
  </si>
  <si>
    <t>Finland</t>
  </si>
  <si>
    <t>France</t>
  </si>
  <si>
    <t>Greece</t>
  </si>
  <si>
    <t>Israel</t>
  </si>
  <si>
    <t>Italy</t>
  </si>
  <si>
    <t>Japan</t>
  </si>
  <si>
    <t>Luxemburg</t>
  </si>
  <si>
    <t>Netherlands</t>
  </si>
  <si>
    <t>Norway</t>
  </si>
  <si>
    <t>Portugal</t>
  </si>
  <si>
    <t>Singapore</t>
  </si>
  <si>
    <t>South Korea</t>
  </si>
  <si>
    <t>Spain</t>
  </si>
  <si>
    <t>Sweden</t>
  </si>
  <si>
    <t>United Kingdom</t>
  </si>
  <si>
    <t>United States</t>
  </si>
  <si>
    <t>Bahamas</t>
  </si>
  <si>
    <t>Bangladesh</t>
  </si>
  <si>
    <t>Belize</t>
  </si>
  <si>
    <t>Benin</t>
  </si>
  <si>
    <t>Bolivia</t>
  </si>
  <si>
    <t>Botswana</t>
  </si>
  <si>
    <t>Brazil</t>
  </si>
  <si>
    <t>Burkina Faso</t>
  </si>
  <si>
    <t>Burundi</t>
  </si>
  <si>
    <t>Cameroon</t>
  </si>
  <si>
    <t>Central African Republic</t>
  </si>
  <si>
    <t>Chad</t>
  </si>
  <si>
    <t>Chile</t>
  </si>
  <si>
    <t>Colombia</t>
  </si>
  <si>
    <t>Congo DR</t>
  </si>
  <si>
    <t>Congo R</t>
  </si>
  <si>
    <t>Costa Rica</t>
  </si>
  <si>
    <t>Cote d'Ivoire</t>
  </si>
  <si>
    <t>Dominican Republic</t>
  </si>
  <si>
    <t>Ecuador</t>
  </si>
  <si>
    <t>Fiji</t>
  </si>
  <si>
    <t>Gabon</t>
  </si>
  <si>
    <t>Ghana</t>
  </si>
  <si>
    <t>Guatemala</t>
  </si>
  <si>
    <t>Guyana</t>
  </si>
  <si>
    <t>Haiti</t>
  </si>
  <si>
    <t>Honduras</t>
  </si>
  <si>
    <t>India</t>
  </si>
  <si>
    <t>Kenya</t>
  </si>
  <si>
    <t>Lesotho</t>
  </si>
  <si>
    <t>Madagascar</t>
  </si>
  <si>
    <t>Malawi</t>
  </si>
  <si>
    <t>Malaysia</t>
  </si>
  <si>
    <t>Mexico</t>
  </si>
  <si>
    <t>Nepal</t>
  </si>
  <si>
    <t>Nicaragua</t>
  </si>
  <si>
    <t>Niger</t>
  </si>
  <si>
    <t>Nigeria</t>
  </si>
  <si>
    <t>Pakistan</t>
  </si>
  <si>
    <t>Panama</t>
  </si>
  <si>
    <t>Papua New Guinea</t>
  </si>
  <si>
    <t>Peru</t>
  </si>
  <si>
    <t>Philippines</t>
  </si>
  <si>
    <t>Puerto Rico</t>
  </si>
  <si>
    <t>Rwanda</t>
  </si>
  <si>
    <t>Senegal</t>
  </si>
  <si>
    <t>Seychelles</t>
  </si>
  <si>
    <t>Sierra Leone</t>
  </si>
  <si>
    <t>South Africa</t>
  </si>
  <si>
    <t>Sudan (Former)</t>
  </si>
  <si>
    <t>Suriname</t>
  </si>
  <si>
    <t>Thailand</t>
  </si>
  <si>
    <t>Togo</t>
  </si>
  <si>
    <t>Trinidad and Tobago</t>
  </si>
  <si>
    <t>Turkey</t>
  </si>
  <si>
    <t>Uruguay</t>
  </si>
  <si>
    <t>Zambia</t>
  </si>
  <si>
    <t>Zimbabwe</t>
  </si>
  <si>
    <t>GDP and other output measures</t>
  </si>
  <si>
    <t>USD</t>
  </si>
  <si>
    <t>Whole economy</t>
  </si>
  <si>
    <t>WDI Availability</t>
  </si>
  <si>
    <t>Year</t>
  </si>
  <si>
    <t>Country</t>
  </si>
  <si>
    <t>Interbloc</t>
  </si>
  <si>
    <t>Count</t>
  </si>
  <si>
    <t>Relative Count</t>
  </si>
  <si>
    <t>GDP/Cap</t>
  </si>
  <si>
    <t>Relative GDP/Cap weights</t>
  </si>
  <si>
    <t>Theil Weights</t>
  </si>
  <si>
    <t>Theil Contributions</t>
  </si>
  <si>
    <t>Discrepancy</t>
  </si>
  <si>
    <t>Global T comparison</t>
  </si>
  <si>
    <t>Sum of components</t>
  </si>
  <si>
    <t>Direct Calculation</t>
  </si>
  <si>
    <t>GDP</t>
  </si>
  <si>
    <t>Population</t>
  </si>
  <si>
    <t>World</t>
  </si>
  <si>
    <t>Theil Elements</t>
  </si>
  <si>
    <t>Decomposition</t>
  </si>
  <si>
    <t>Theil T decomposition with WDI data from 2016</t>
  </si>
  <si>
    <t>Percentage Contributions</t>
  </si>
  <si>
    <t>GeoEconomic_Region</t>
  </si>
  <si>
    <t>Pacific</t>
  </si>
  <si>
    <t>Europe</t>
  </si>
  <si>
    <t>Middle East and North Africa</t>
  </si>
  <si>
    <t>East Asia</t>
  </si>
  <si>
    <t>North America</t>
  </si>
  <si>
    <t>Latin America and Caribbean</t>
  </si>
  <si>
    <t>South Asia</t>
  </si>
  <si>
    <t>Sub-Saharan Africa</t>
  </si>
  <si>
    <t>China</t>
  </si>
  <si>
    <t>China Mainland</t>
  </si>
  <si>
    <t>Hong Kong</t>
  </si>
  <si>
    <t>Andorra</t>
  </si>
  <si>
    <t>Denmark</t>
  </si>
  <si>
    <t>Germany</t>
  </si>
  <si>
    <t>Iceland</t>
  </si>
  <si>
    <t>Ireland</t>
  </si>
  <si>
    <t>Malta</t>
  </si>
  <si>
    <t>Switzerland</t>
  </si>
  <si>
    <t>Argentina</t>
  </si>
  <si>
    <t>El Salvador</t>
  </si>
  <si>
    <t>Jamaica</t>
  </si>
  <si>
    <t>Paraguay</t>
  </si>
  <si>
    <t>Algeria</t>
  </si>
  <si>
    <t>Morocco</t>
  </si>
  <si>
    <t>Oman</t>
  </si>
  <si>
    <t>Saudi Arabia</t>
  </si>
  <si>
    <t>Tunisia</t>
  </si>
  <si>
    <t>Canada</t>
  </si>
  <si>
    <t>Kiribati</t>
  </si>
  <si>
    <t>New Zealand</t>
  </si>
  <si>
    <t>Sri Lanka</t>
  </si>
  <si>
    <t>Gambia</t>
  </si>
  <si>
    <t>Guinea-Bissau</t>
  </si>
  <si>
    <t>Mali</t>
  </si>
  <si>
    <t>Mauritania</t>
  </si>
  <si>
    <t>Swaziland</t>
  </si>
  <si>
    <t>(Multiple Items)</t>
  </si>
  <si>
    <t>Interbloc Theil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</si>
</sst>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0.00_-;\-* #,##0.00_-;_-* &quot;-&quot;??_-;_-@_-"/>
    <numFmt numFmtId="164" formatCode="_-* #,##0_-;\-* #,##0_-;_-* &quot;-&quot;??_-;_-@_-"/>
    <numFmt numFmtId="165" formatCode="_-* #,##0.0000_-;\-* #,##0.0000_-;_-* &quot;-&quot;??_-;_-@_-"/>
  </numFmts>
  <fonts count="4" x14ac:knownFonts="1">
    <font>
      <sz val="11"/>
      <color theme="1"/>
      <name val="Calibri"/>
      <family val="2"/>
      <scheme val="minor"/>
    </font>
    <font>
      <b/>
      <sz val="11"/>
      <color theme="1"/>
      <name val="Calibri"/>
      <family val="2"/>
      <scheme val="minor"/>
    </font>
    <font>
      <b/>
      <sz val="14"/>
      <color theme="1"/>
      <name val="Calibri"/>
      <family val="2"/>
      <scheme val="minor"/>
    </font>
    <font>
      <sz val="11"/>
      <color theme="1"/>
      <name val="Calibri"/>
      <family val="2"/>
      <scheme val="minor"/>
    </font>
  </fonts>
  <fills count="5">
    <fill>
      <patternFill patternType="none"/>
    </fill>
    <fill>
      <patternFill patternType="gray125"/>
    </fill>
    <fill>
      <patternFill patternType="solid">
        <fgColor theme="4"/>
        <bgColor indexed="64"/>
      </patternFill>
    </fill>
    <fill>
      <patternFill patternType="solid">
        <fgColor theme="9" tint="0.39997558519241921"/>
        <bgColor indexed="64"/>
      </patternFill>
    </fill>
    <fill>
      <patternFill patternType="solid">
        <fgColor theme="4" tint="0.59999389629810485"/>
        <bgColor indexed="64"/>
      </patternFill>
    </fill>
  </fills>
  <borders count="1">
    <border>
      <left/>
      <right/>
      <top/>
      <bottom/>
      <diagonal/>
    </border>
  </borders>
  <cellStyleXfs count="3">
    <xf numFmtId="0" fontId="0" fillId="0" borderId="0"/>
    <xf numFmtId="43" fontId="3" fillId="0" borderId="0" applyFont="0" applyFill="0" applyBorder="0" applyAlignment="0" applyProtection="0"/>
    <xf numFmtId="9" fontId="3" fillId="0" borderId="0" applyFont="0" applyFill="0" applyBorder="0" applyAlignment="0" applyProtection="0"/>
  </cellStyleXfs>
  <cellXfs count="17">
    <xf numFmtId="0" fontId="0" fillId="0" borderId="0" xfId="0"/>
    <xf numFmtId="0" fontId="2" fillId="2" borderId="0" xfId="0" applyFont="1" applyFill="1" applyAlignment="1">
      <alignment horizontal="center"/>
    </xf>
    <xf numFmtId="0" fontId="2" fillId="3" borderId="0" xfId="0" applyFont="1" applyFill="1" applyAlignment="1">
      <alignment horizontal="center"/>
    </xf>
    <xf numFmtId="0" fontId="2" fillId="3" borderId="0" xfId="0" applyFont="1" applyFill="1" applyAlignment="1">
      <alignment horizontal="center" wrapText="1"/>
    </xf>
    <xf numFmtId="0" fontId="0" fillId="4" borderId="0" xfId="0" applyFill="1" applyAlignment="1">
      <alignment horizontal="center"/>
    </xf>
    <xf numFmtId="0" fontId="1" fillId="4" borderId="0" xfId="0" applyFont="1" applyFill="1" applyAlignment="1">
      <alignment horizontal="center"/>
    </xf>
    <xf numFmtId="0" fontId="0" fillId="4" borderId="0" xfId="0" applyFill="1"/>
    <xf numFmtId="0" fontId="0" fillId="4" borderId="0" xfId="0" applyFill="1" applyAlignment="1">
      <alignment horizontal="center" wrapText="1"/>
    </xf>
    <xf numFmtId="0" fontId="1" fillId="4" borderId="0" xfId="0" applyFont="1" applyFill="1" applyAlignment="1">
      <alignment horizontal="center" wrapText="1"/>
    </xf>
    <xf numFmtId="0" fontId="0" fillId="0" borderId="0" xfId="0" pivotButton="1"/>
    <xf numFmtId="0" fontId="0" fillId="0" borderId="0" xfId="0" applyNumberFormat="1"/>
    <xf numFmtId="164" fontId="0" fillId="0" borderId="0" xfId="1" applyNumberFormat="1" applyFont="1"/>
    <xf numFmtId="0" fontId="1" fillId="0" borderId="0" xfId="0" applyFont="1"/>
    <xf numFmtId="165" fontId="0" fillId="0" borderId="0" xfId="1" applyNumberFormat="1" applyFont="1"/>
    <xf numFmtId="165" fontId="0" fillId="0" borderId="0" xfId="0" applyNumberFormat="1"/>
    <xf numFmtId="164" fontId="0" fillId="0" borderId="0" xfId="0" applyNumberFormat="1"/>
    <xf numFmtId="9" fontId="0" fillId="0" borderId="0" xfId="2" applyFont="1"/>
  </cellXfs>
  <cellStyles count="3">
    <cellStyle name="Comma" xfId="1" builtinId="3"/>
    <cellStyle name="Normal" xfId="0" builtinId="0"/>
    <cellStyle name="Percent" xfId="2" builtinId="5"/>
  </cellStyles>
  <dxfs count="0"/>
  <tableStyles count="1" defaultTableStyle="TableStyleMedium2" defaultPivotStyle="PivotStyleLight16">
    <tableStyle name="Invisible" pivot="0" table="0" count="0" xr9:uid="{01A2265D-D03D-4CF1-BFA3-93BC85F5817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pivotCacheDefinition" Target="pivotCache/pivotCacheDefinition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chartsheet" Target="chartsheets/sheet2.xml"/><Relationship Id="rId11" Type="http://schemas.openxmlformats.org/officeDocument/2006/relationships/pivotCacheDefinition" Target="pivotCache/pivotCacheDefinition1.xml"/><Relationship Id="rId5" Type="http://schemas.openxmlformats.org/officeDocument/2006/relationships/chartsheet" Target="chartsheets/sheet1.xml"/><Relationship Id="rId15" Type="http://schemas.openxmlformats.org/officeDocument/2006/relationships/styles" Target="styles.xml"/><Relationship Id="rId10" Type="http://schemas.openxmlformats.org/officeDocument/2006/relationships/externalLink" Target="externalLinks/externalLink4.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Theil!$B$2</c:f>
              <c:strCache>
                <c:ptCount val="1"/>
                <c:pt idx="0">
                  <c:v>China</c:v>
                </c:pt>
              </c:strCache>
            </c:strRef>
          </c:tx>
          <c:spPr>
            <a:ln w="28575" cap="rnd">
              <a:solidFill>
                <a:schemeClr val="accent1"/>
              </a:solidFill>
              <a:round/>
            </a:ln>
            <a:effectLst/>
          </c:spPr>
          <c:marker>
            <c:symbol val="none"/>
          </c:marker>
          <c:cat>
            <c:strRef>
              <c:f>Theil!$C$1:$AZ$1</c:f>
              <c:strCache>
                <c:ptCount val="50"/>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pt idx="48">
                  <c:v>2018</c:v>
                </c:pt>
                <c:pt idx="49">
                  <c:v>2019</c:v>
                </c:pt>
              </c:strCache>
            </c:strRef>
          </c:cat>
          <c:val>
            <c:numRef>
              <c:f>Theil!$C$2:$AZ$2</c:f>
              <c:numCache>
                <c:formatCode>General</c:formatCode>
                <c:ptCount val="50"/>
              </c:numCache>
            </c:numRef>
          </c:val>
          <c:smooth val="0"/>
          <c:extLst>
            <c:ext xmlns:c16="http://schemas.microsoft.com/office/drawing/2014/chart" uri="{C3380CC4-5D6E-409C-BE32-E72D297353CC}">
              <c16:uniqueId val="{00000000-41EA-40E2-9CAF-2ABE1F2FFF8B}"/>
            </c:ext>
          </c:extLst>
        </c:ser>
        <c:ser>
          <c:idx val="1"/>
          <c:order val="1"/>
          <c:tx>
            <c:strRef>
              <c:f>Theil!$B$3</c:f>
              <c:strCache>
                <c:ptCount val="1"/>
                <c:pt idx="0">
                  <c:v>East Asia</c:v>
                </c:pt>
              </c:strCache>
            </c:strRef>
          </c:tx>
          <c:spPr>
            <a:ln w="28575" cap="rnd">
              <a:solidFill>
                <a:schemeClr val="accent2"/>
              </a:solidFill>
              <a:round/>
            </a:ln>
            <a:effectLst/>
          </c:spPr>
          <c:marker>
            <c:symbol val="none"/>
          </c:marker>
          <c:cat>
            <c:strRef>
              <c:f>Theil!$C$1:$AZ$1</c:f>
              <c:strCache>
                <c:ptCount val="50"/>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pt idx="48">
                  <c:v>2018</c:v>
                </c:pt>
                <c:pt idx="49">
                  <c:v>2019</c:v>
                </c:pt>
              </c:strCache>
            </c:strRef>
          </c:cat>
          <c:val>
            <c:numRef>
              <c:f>Theil!$C$3:$AZ$3</c:f>
              <c:numCache>
                <c:formatCode>General</c:formatCode>
                <c:ptCount val="50"/>
                <c:pt idx="0">
                  <c:v>0.37973881110452479</c:v>
                </c:pt>
                <c:pt idx="1">
                  <c:v>0.39302063773113383</c:v>
                </c:pt>
                <c:pt idx="2">
                  <c:v>0.43433228113559696</c:v>
                </c:pt>
                <c:pt idx="3">
                  <c:v>0.44774096344890929</c:v>
                </c:pt>
                <c:pt idx="4">
                  <c:v>0.41259888784343335</c:v>
                </c:pt>
                <c:pt idx="5">
                  <c:v>0.41759589645221801</c:v>
                </c:pt>
                <c:pt idx="6">
                  <c:v>0.4065807808213478</c:v>
                </c:pt>
                <c:pt idx="7">
                  <c:v>0.41785686110542525</c:v>
                </c:pt>
                <c:pt idx="8">
                  <c:v>0.45055834942279072</c:v>
                </c:pt>
                <c:pt idx="9">
                  <c:v>0.42027779403579879</c:v>
                </c:pt>
                <c:pt idx="10">
                  <c:v>0.41319157705542392</c:v>
                </c:pt>
                <c:pt idx="11">
                  <c:v>0.42200843488064838</c:v>
                </c:pt>
                <c:pt idx="12">
                  <c:v>0.39863718162405781</c:v>
                </c:pt>
                <c:pt idx="13">
                  <c:v>0.415240684351046</c:v>
                </c:pt>
                <c:pt idx="14">
                  <c:v>0.42308432171617755</c:v>
                </c:pt>
                <c:pt idx="15">
                  <c:v>0.44728451789358792</c:v>
                </c:pt>
                <c:pt idx="16">
                  <c:v>0.5269021254990478</c:v>
                </c:pt>
                <c:pt idx="17">
                  <c:v>0.53848530828545882</c:v>
                </c:pt>
                <c:pt idx="18">
                  <c:v>0.54238846196184343</c:v>
                </c:pt>
                <c:pt idx="19">
                  <c:v>0.51369264100166279</c:v>
                </c:pt>
                <c:pt idx="20">
                  <c:v>0.49914084168661904</c:v>
                </c:pt>
                <c:pt idx="21">
                  <c:v>0.50840781995795825</c:v>
                </c:pt>
                <c:pt idx="22">
                  <c:v>0.50830623101306915</c:v>
                </c:pt>
                <c:pt idx="23">
                  <c:v>0.52063128963618144</c:v>
                </c:pt>
                <c:pt idx="24">
                  <c:v>0.51557525035397478</c:v>
                </c:pt>
                <c:pt idx="25">
                  <c:v>0.50777207913929179</c:v>
                </c:pt>
                <c:pt idx="26">
                  <c:v>0.46696967065934564</c:v>
                </c:pt>
                <c:pt idx="27">
                  <c:v>0.47209088669188576</c:v>
                </c:pt>
                <c:pt idx="28">
                  <c:v>0.52423791838331657</c:v>
                </c:pt>
                <c:pt idx="29">
                  <c:v>0.52108782412458265</c:v>
                </c:pt>
                <c:pt idx="30">
                  <c:v>0.52527783489327762</c:v>
                </c:pt>
                <c:pt idx="31">
                  <c:v>0.51335608117323783</c:v>
                </c:pt>
                <c:pt idx="32">
                  <c:v>0.4862643479601183</c:v>
                </c:pt>
                <c:pt idx="33">
                  <c:v>0.48846634984676257</c:v>
                </c:pt>
                <c:pt idx="34">
                  <c:v>0.48678801327630994</c:v>
                </c:pt>
                <c:pt idx="35">
                  <c:v>0.46263236833582122</c:v>
                </c:pt>
                <c:pt idx="36">
                  <c:v>0.42807210458416178</c:v>
                </c:pt>
                <c:pt idx="37">
                  <c:v>0.39925199390591898</c:v>
                </c:pt>
                <c:pt idx="38">
                  <c:v>0.40514169685243312</c:v>
                </c:pt>
                <c:pt idx="39">
                  <c:v>0.43310119870323904</c:v>
                </c:pt>
                <c:pt idx="40">
                  <c:v>0.41384597052971639</c:v>
                </c:pt>
                <c:pt idx="41">
                  <c:v>0.41292976353385707</c:v>
                </c:pt>
                <c:pt idx="42">
                  <c:v>0.40370070669303726</c:v>
                </c:pt>
                <c:pt idx="43">
                  <c:v>0.35713243314431853</c:v>
                </c:pt>
                <c:pt idx="44">
                  <c:v>0.34801977339938339</c:v>
                </c:pt>
                <c:pt idx="45">
                  <c:v>0.33966749643000904</c:v>
                </c:pt>
                <c:pt idx="46">
                  <c:v>0.35766207161502761</c:v>
                </c:pt>
                <c:pt idx="47">
                  <c:v>0.35050656896217025</c:v>
                </c:pt>
                <c:pt idx="48">
                  <c:v>0.34348498307753089</c:v>
                </c:pt>
                <c:pt idx="49">
                  <c:v>0.33644921894609237</c:v>
                </c:pt>
              </c:numCache>
            </c:numRef>
          </c:val>
          <c:smooth val="0"/>
          <c:extLst>
            <c:ext xmlns:c16="http://schemas.microsoft.com/office/drawing/2014/chart" uri="{C3380CC4-5D6E-409C-BE32-E72D297353CC}">
              <c16:uniqueId val="{00000001-41EA-40E2-9CAF-2ABE1F2FFF8B}"/>
            </c:ext>
          </c:extLst>
        </c:ser>
        <c:ser>
          <c:idx val="2"/>
          <c:order val="2"/>
          <c:tx>
            <c:strRef>
              <c:f>Theil!$B$4</c:f>
              <c:strCache>
                <c:ptCount val="1"/>
                <c:pt idx="0">
                  <c:v>Europe</c:v>
                </c:pt>
              </c:strCache>
            </c:strRef>
          </c:tx>
          <c:spPr>
            <a:ln w="28575" cap="rnd">
              <a:solidFill>
                <a:schemeClr val="accent3"/>
              </a:solidFill>
              <a:round/>
            </a:ln>
            <a:effectLst/>
          </c:spPr>
          <c:marker>
            <c:symbol val="none"/>
          </c:marker>
          <c:cat>
            <c:strRef>
              <c:f>Theil!$C$1:$AZ$1</c:f>
              <c:strCache>
                <c:ptCount val="50"/>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pt idx="48">
                  <c:v>2018</c:v>
                </c:pt>
                <c:pt idx="49">
                  <c:v>2019</c:v>
                </c:pt>
              </c:strCache>
            </c:strRef>
          </c:cat>
          <c:val>
            <c:numRef>
              <c:f>Theil!$C$4:$AZ$4</c:f>
              <c:numCache>
                <c:formatCode>General</c:formatCode>
                <c:ptCount val="50"/>
                <c:pt idx="0">
                  <c:v>4.3504985986388897E-2</c:v>
                </c:pt>
                <c:pt idx="1">
                  <c:v>4.4450933050328156E-2</c:v>
                </c:pt>
                <c:pt idx="2">
                  <c:v>4.4796219048865493E-2</c:v>
                </c:pt>
                <c:pt idx="3">
                  <c:v>4.9839439714860684E-2</c:v>
                </c:pt>
                <c:pt idx="4">
                  <c:v>4.8773455263821479E-2</c:v>
                </c:pt>
                <c:pt idx="5">
                  <c:v>5.2085725780894987E-2</c:v>
                </c:pt>
                <c:pt idx="6">
                  <c:v>6.1148784541976399E-2</c:v>
                </c:pt>
                <c:pt idx="7">
                  <c:v>6.007950920476559E-2</c:v>
                </c:pt>
                <c:pt idx="8">
                  <c:v>6.0863017934698962E-2</c:v>
                </c:pt>
                <c:pt idx="9">
                  <c:v>5.0168245482546059E-2</c:v>
                </c:pt>
                <c:pt idx="10">
                  <c:v>4.330439634364612E-2</c:v>
                </c:pt>
                <c:pt idx="11">
                  <c:v>4.1451458171128927E-2</c:v>
                </c:pt>
                <c:pt idx="12">
                  <c:v>3.9712225626617685E-2</c:v>
                </c:pt>
                <c:pt idx="13">
                  <c:v>4.4064893973594171E-2</c:v>
                </c:pt>
                <c:pt idx="14">
                  <c:v>4.3322808386116296E-2</c:v>
                </c:pt>
                <c:pt idx="15">
                  <c:v>4.2326868116251692E-2</c:v>
                </c:pt>
                <c:pt idx="16">
                  <c:v>4.4080867643448811E-2</c:v>
                </c:pt>
                <c:pt idx="17">
                  <c:v>4.3098328007942985E-2</c:v>
                </c:pt>
                <c:pt idx="18">
                  <c:v>3.6926366849294741E-2</c:v>
                </c:pt>
                <c:pt idx="19">
                  <c:v>3.2047522019770312E-2</c:v>
                </c:pt>
                <c:pt idx="20">
                  <c:v>3.0139856278996881E-2</c:v>
                </c:pt>
                <c:pt idx="21">
                  <c:v>2.6659986802037346E-2</c:v>
                </c:pt>
                <c:pt idx="22">
                  <c:v>2.546893509064789E-2</c:v>
                </c:pt>
                <c:pt idx="23">
                  <c:v>3.2489416089572398E-2</c:v>
                </c:pt>
                <c:pt idx="24">
                  <c:v>3.5296273840133542E-2</c:v>
                </c:pt>
                <c:pt idx="25">
                  <c:v>3.772643481532055E-2</c:v>
                </c:pt>
                <c:pt idx="26">
                  <c:v>3.021272984059965E-2</c:v>
                </c:pt>
                <c:pt idx="27">
                  <c:v>2.6986473612685448E-2</c:v>
                </c:pt>
                <c:pt idx="28">
                  <c:v>2.6054806281907001E-2</c:v>
                </c:pt>
                <c:pt idx="29">
                  <c:v>2.5861569411864488E-2</c:v>
                </c:pt>
                <c:pt idx="30">
                  <c:v>2.8753815685620528E-2</c:v>
                </c:pt>
                <c:pt idx="31">
                  <c:v>2.6231754718382811E-2</c:v>
                </c:pt>
                <c:pt idx="32">
                  <c:v>2.5561377047815685E-2</c:v>
                </c:pt>
                <c:pt idx="33">
                  <c:v>2.1424416258611294E-2</c:v>
                </c:pt>
                <c:pt idx="34">
                  <c:v>2.1210908647077115E-2</c:v>
                </c:pt>
                <c:pt idx="35">
                  <c:v>2.2620119176195684E-2</c:v>
                </c:pt>
                <c:pt idx="36">
                  <c:v>2.3297799067011384E-2</c:v>
                </c:pt>
                <c:pt idx="37">
                  <c:v>2.2932709302477754E-2</c:v>
                </c:pt>
                <c:pt idx="38">
                  <c:v>2.1876804690641728E-2</c:v>
                </c:pt>
                <c:pt idx="39">
                  <c:v>2.0791775411998607E-2</c:v>
                </c:pt>
                <c:pt idx="40">
                  <c:v>2.6158071647974401E-2</c:v>
                </c:pt>
                <c:pt idx="41">
                  <c:v>3.296850070325294E-2</c:v>
                </c:pt>
                <c:pt idx="42">
                  <c:v>3.8076999881884226E-2</c:v>
                </c:pt>
                <c:pt idx="43">
                  <c:v>3.885129570493745E-2</c:v>
                </c:pt>
                <c:pt idx="44">
                  <c:v>3.8074207801832551E-2</c:v>
                </c:pt>
                <c:pt idx="45">
                  <c:v>4.1096793259844444E-2</c:v>
                </c:pt>
                <c:pt idx="46">
                  <c:v>3.737048421917568E-2</c:v>
                </c:pt>
                <c:pt idx="47">
                  <c:v>3.6496268796089158E-2</c:v>
                </c:pt>
                <c:pt idx="48">
                  <c:v>3.5937876761107101E-2</c:v>
                </c:pt>
                <c:pt idx="49">
                  <c:v>3.621810851444765E-2</c:v>
                </c:pt>
              </c:numCache>
            </c:numRef>
          </c:val>
          <c:smooth val="0"/>
          <c:extLst>
            <c:ext xmlns:c16="http://schemas.microsoft.com/office/drawing/2014/chart" uri="{C3380CC4-5D6E-409C-BE32-E72D297353CC}">
              <c16:uniqueId val="{00000002-41EA-40E2-9CAF-2ABE1F2FFF8B}"/>
            </c:ext>
          </c:extLst>
        </c:ser>
        <c:ser>
          <c:idx val="3"/>
          <c:order val="3"/>
          <c:tx>
            <c:strRef>
              <c:f>Theil!$B$5</c:f>
              <c:strCache>
                <c:ptCount val="1"/>
                <c:pt idx="0">
                  <c:v>Latin America and Caribbean</c:v>
                </c:pt>
              </c:strCache>
            </c:strRef>
          </c:tx>
          <c:spPr>
            <a:ln w="28575" cap="rnd">
              <a:solidFill>
                <a:schemeClr val="accent4"/>
              </a:solidFill>
              <a:round/>
            </a:ln>
            <a:effectLst/>
          </c:spPr>
          <c:marker>
            <c:symbol val="none"/>
          </c:marker>
          <c:cat>
            <c:strRef>
              <c:f>Theil!$C$1:$AZ$1</c:f>
              <c:strCache>
                <c:ptCount val="50"/>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pt idx="48">
                  <c:v>2018</c:v>
                </c:pt>
                <c:pt idx="49">
                  <c:v>2019</c:v>
                </c:pt>
              </c:strCache>
            </c:strRef>
          </c:cat>
          <c:val>
            <c:numRef>
              <c:f>Theil!$C$5:$AZ$5</c:f>
              <c:numCache>
                <c:formatCode>General</c:formatCode>
                <c:ptCount val="50"/>
                <c:pt idx="0">
                  <c:v>0.12620113592093307</c:v>
                </c:pt>
                <c:pt idx="1">
                  <c:v>0.12139925196831713</c:v>
                </c:pt>
                <c:pt idx="2">
                  <c:v>0.10811158359187481</c:v>
                </c:pt>
                <c:pt idx="3">
                  <c:v>0.13074161649777166</c:v>
                </c:pt>
                <c:pt idx="4">
                  <c:v>0.13112389661019427</c:v>
                </c:pt>
                <c:pt idx="5">
                  <c:v>8.1827966882086114E-2</c:v>
                </c:pt>
                <c:pt idx="6">
                  <c:v>6.5224208723530547E-2</c:v>
                </c:pt>
                <c:pt idx="7">
                  <c:v>6.1737937629627072E-2</c:v>
                </c:pt>
                <c:pt idx="8">
                  <c:v>6.0316148570834102E-2</c:v>
                </c:pt>
                <c:pt idx="9">
                  <c:v>6.2540662769227331E-2</c:v>
                </c:pt>
                <c:pt idx="10">
                  <c:v>7.9738074501818842E-2</c:v>
                </c:pt>
                <c:pt idx="11">
                  <c:v>9.4896820258247139E-2</c:v>
                </c:pt>
                <c:pt idx="12">
                  <c:v>6.5193490487963135E-2</c:v>
                </c:pt>
                <c:pt idx="13">
                  <c:v>8.898395199694803E-2</c:v>
                </c:pt>
                <c:pt idx="14">
                  <c:v>7.9083711621874594E-2</c:v>
                </c:pt>
                <c:pt idx="15">
                  <c:v>9.6498191364394581E-2</c:v>
                </c:pt>
                <c:pt idx="16">
                  <c:v>0.10174585451991799</c:v>
                </c:pt>
                <c:pt idx="17">
                  <c:v>9.4254569190153667E-2</c:v>
                </c:pt>
                <c:pt idx="18">
                  <c:v>0.10792611240710392</c:v>
                </c:pt>
                <c:pt idx="19">
                  <c:v>9.5132417583455198E-2</c:v>
                </c:pt>
                <c:pt idx="20">
                  <c:v>0.1044653174851265</c:v>
                </c:pt>
                <c:pt idx="21">
                  <c:v>0.11597293691821432</c:v>
                </c:pt>
                <c:pt idx="22">
                  <c:v>0.14249449990570434</c:v>
                </c:pt>
                <c:pt idx="23">
                  <c:v>0.15938040635211237</c:v>
                </c:pt>
                <c:pt idx="24">
                  <c:v>0.13080241343619758</c:v>
                </c:pt>
                <c:pt idx="25">
                  <c:v>0.10145952431548627</c:v>
                </c:pt>
                <c:pt idx="26">
                  <c:v>0.10261392607696744</c:v>
                </c:pt>
                <c:pt idx="27">
                  <c:v>0.10252080145250871</c:v>
                </c:pt>
                <c:pt idx="28">
                  <c:v>0.10861742675198895</c:v>
                </c:pt>
                <c:pt idx="29">
                  <c:v>0.14295309973633855</c:v>
                </c:pt>
                <c:pt idx="30">
                  <c:v>0.14789076869619544</c:v>
                </c:pt>
                <c:pt idx="31">
                  <c:v>0.1738850733649043</c:v>
                </c:pt>
                <c:pt idx="32">
                  <c:v>0.1898174326247116</c:v>
                </c:pt>
                <c:pt idx="33">
                  <c:v>0.16343511860752563</c:v>
                </c:pt>
                <c:pt idx="34">
                  <c:v>0.14334588363793024</c:v>
                </c:pt>
                <c:pt idx="35">
                  <c:v>0.12181768096370094</c:v>
                </c:pt>
                <c:pt idx="36">
                  <c:v>0.11313337336273967</c:v>
                </c:pt>
                <c:pt idx="37">
                  <c:v>9.8421503648556855E-2</c:v>
                </c:pt>
                <c:pt idx="38">
                  <c:v>8.8470076545910895E-2</c:v>
                </c:pt>
                <c:pt idx="39">
                  <c:v>8.3069838058410256E-2</c:v>
                </c:pt>
                <c:pt idx="40">
                  <c:v>8.9886492201076237E-2</c:v>
                </c:pt>
                <c:pt idx="41">
                  <c:v>9.1525735944896228E-2</c:v>
                </c:pt>
                <c:pt idx="42">
                  <c:v>8.1452795369406833E-2</c:v>
                </c:pt>
                <c:pt idx="43">
                  <c:v>7.8375327126163394E-2</c:v>
                </c:pt>
                <c:pt idx="44">
                  <c:v>7.3827865485121061E-2</c:v>
                </c:pt>
                <c:pt idx="45">
                  <c:v>7.8270913203799669E-2</c:v>
                </c:pt>
                <c:pt idx="46">
                  <c:v>7.6669344893261979E-2</c:v>
                </c:pt>
                <c:pt idx="47">
                  <c:v>7.851130177910301E-2</c:v>
                </c:pt>
                <c:pt idx="48">
                  <c:v>7.0263702446747539E-2</c:v>
                </c:pt>
                <c:pt idx="49">
                  <c:v>6.8889464600544056E-2</c:v>
                </c:pt>
              </c:numCache>
            </c:numRef>
          </c:val>
          <c:smooth val="0"/>
          <c:extLst>
            <c:ext xmlns:c16="http://schemas.microsoft.com/office/drawing/2014/chart" uri="{C3380CC4-5D6E-409C-BE32-E72D297353CC}">
              <c16:uniqueId val="{00000003-41EA-40E2-9CAF-2ABE1F2FFF8B}"/>
            </c:ext>
          </c:extLst>
        </c:ser>
        <c:ser>
          <c:idx val="4"/>
          <c:order val="4"/>
          <c:tx>
            <c:strRef>
              <c:f>Theil!$B$6</c:f>
              <c:strCache>
                <c:ptCount val="1"/>
                <c:pt idx="0">
                  <c:v>Middle East and North Africa</c:v>
                </c:pt>
              </c:strCache>
            </c:strRef>
          </c:tx>
          <c:spPr>
            <a:ln w="28575" cap="rnd">
              <a:solidFill>
                <a:schemeClr val="accent5"/>
              </a:solidFill>
              <a:round/>
            </a:ln>
            <a:effectLst/>
          </c:spPr>
          <c:marker>
            <c:symbol val="none"/>
          </c:marker>
          <c:cat>
            <c:strRef>
              <c:f>Theil!$C$1:$AZ$1</c:f>
              <c:strCache>
                <c:ptCount val="50"/>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pt idx="48">
                  <c:v>2018</c:v>
                </c:pt>
                <c:pt idx="49">
                  <c:v>2019</c:v>
                </c:pt>
              </c:strCache>
            </c:strRef>
          </c:cat>
          <c:val>
            <c:numRef>
              <c:f>Theil!$C$6:$AZ$6</c:f>
              <c:numCache>
                <c:formatCode>General</c:formatCode>
                <c:ptCount val="50"/>
                <c:pt idx="0">
                  <c:v>0.2056743808840403</c:v>
                </c:pt>
                <c:pt idx="1">
                  <c:v>0.20455853870776181</c:v>
                </c:pt>
                <c:pt idx="2">
                  <c:v>0.21906395366138079</c:v>
                </c:pt>
                <c:pt idx="3">
                  <c:v>0.248594754348059</c:v>
                </c:pt>
                <c:pt idx="4">
                  <c:v>0.4659612578216441</c:v>
                </c:pt>
                <c:pt idx="5">
                  <c:v>0.37243841584122811</c:v>
                </c:pt>
                <c:pt idx="6">
                  <c:v>0.43600883519053346</c:v>
                </c:pt>
                <c:pt idx="7">
                  <c:v>0.42952777027051553</c:v>
                </c:pt>
                <c:pt idx="8">
                  <c:v>0.38434001965954406</c:v>
                </c:pt>
                <c:pt idx="9">
                  <c:v>0.40453762365899937</c:v>
                </c:pt>
                <c:pt idx="10">
                  <c:v>0.5800390796506627</c:v>
                </c:pt>
                <c:pt idx="11">
                  <c:v>0.63264442577955549</c:v>
                </c:pt>
                <c:pt idx="12">
                  <c:v>0.54966015835928284</c:v>
                </c:pt>
                <c:pt idx="13">
                  <c:v>0.47606650887978258</c:v>
                </c:pt>
                <c:pt idx="14">
                  <c:v>0.43934491735634301</c:v>
                </c:pt>
                <c:pt idx="15">
                  <c:v>0.34946339090330092</c:v>
                </c:pt>
                <c:pt idx="16">
                  <c:v>0.25899917029037867</c:v>
                </c:pt>
                <c:pt idx="17">
                  <c:v>0.23702876740462814</c:v>
                </c:pt>
                <c:pt idx="18">
                  <c:v>0.2539180286056571</c:v>
                </c:pt>
                <c:pt idx="19">
                  <c:v>0.2379115033685863</c:v>
                </c:pt>
                <c:pt idx="20">
                  <c:v>0.22240032957763844</c:v>
                </c:pt>
                <c:pt idx="21">
                  <c:v>0.27566299905822439</c:v>
                </c:pt>
                <c:pt idx="22">
                  <c:v>0.2775938797526265</c:v>
                </c:pt>
                <c:pt idx="23">
                  <c:v>0.25732524546918906</c:v>
                </c:pt>
                <c:pt idx="24">
                  <c:v>0.33786049505290583</c:v>
                </c:pt>
                <c:pt idx="25">
                  <c:v>0.32439517922195571</c:v>
                </c:pt>
                <c:pt idx="26">
                  <c:v>0.32430003279242314</c:v>
                </c:pt>
                <c:pt idx="27">
                  <c:v>0.33546594398155466</c:v>
                </c:pt>
                <c:pt idx="28">
                  <c:v>0.26770636224530092</c:v>
                </c:pt>
                <c:pt idx="29">
                  <c:v>0.28094418326477549</c:v>
                </c:pt>
                <c:pt idx="30">
                  <c:v>0.31061802812950212</c:v>
                </c:pt>
                <c:pt idx="31">
                  <c:v>0.3474908319259189</c:v>
                </c:pt>
                <c:pt idx="32">
                  <c:v>0.29115630271877418</c:v>
                </c:pt>
                <c:pt idx="33">
                  <c:v>0.24218363997076858</c:v>
                </c:pt>
                <c:pt idx="34">
                  <c:v>0.21457620661569599</c:v>
                </c:pt>
                <c:pt idx="35">
                  <c:v>0.21464704129939</c:v>
                </c:pt>
                <c:pt idx="36">
                  <c:v>0.2147644847241279</c:v>
                </c:pt>
                <c:pt idx="37">
                  <c:v>0.20468940320315449</c:v>
                </c:pt>
                <c:pt idx="38">
                  <c:v>0.21172854813953268</c:v>
                </c:pt>
                <c:pt idx="39">
                  <c:v>0.20733444430922818</c:v>
                </c:pt>
                <c:pt idx="40">
                  <c:v>0.21944344786163189</c:v>
                </c:pt>
                <c:pt idx="41">
                  <c:v>0.23218695586304378</c:v>
                </c:pt>
                <c:pt idx="42">
                  <c:v>0.23793475472542236</c:v>
                </c:pt>
                <c:pt idx="43">
                  <c:v>0.23566096010709175</c:v>
                </c:pt>
                <c:pt idx="44">
                  <c:v>0.23800129843666634</c:v>
                </c:pt>
                <c:pt idx="45">
                  <c:v>0.24850556694551135</c:v>
                </c:pt>
                <c:pt idx="46">
                  <c:v>0.2558914161425746</c:v>
                </c:pt>
                <c:pt idx="47">
                  <c:v>0.27284985606637585</c:v>
                </c:pt>
                <c:pt idx="48">
                  <c:v>0.30282592548356246</c:v>
                </c:pt>
                <c:pt idx="49">
                  <c:v>0.31978237878839505</c:v>
                </c:pt>
              </c:numCache>
            </c:numRef>
          </c:val>
          <c:smooth val="0"/>
          <c:extLst>
            <c:ext xmlns:c16="http://schemas.microsoft.com/office/drawing/2014/chart" uri="{C3380CC4-5D6E-409C-BE32-E72D297353CC}">
              <c16:uniqueId val="{00000004-41EA-40E2-9CAF-2ABE1F2FFF8B}"/>
            </c:ext>
          </c:extLst>
        </c:ser>
        <c:ser>
          <c:idx val="5"/>
          <c:order val="5"/>
          <c:tx>
            <c:strRef>
              <c:f>Theil!$B$7</c:f>
              <c:strCache>
                <c:ptCount val="1"/>
                <c:pt idx="0">
                  <c:v>North America</c:v>
                </c:pt>
              </c:strCache>
            </c:strRef>
          </c:tx>
          <c:spPr>
            <a:ln w="28575" cap="rnd">
              <a:solidFill>
                <a:schemeClr val="accent6"/>
              </a:solidFill>
              <a:round/>
            </a:ln>
            <a:effectLst/>
          </c:spPr>
          <c:marker>
            <c:symbol val="none"/>
          </c:marker>
          <c:cat>
            <c:strRef>
              <c:f>Theil!$C$1:$AZ$1</c:f>
              <c:strCache>
                <c:ptCount val="50"/>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pt idx="48">
                  <c:v>2018</c:v>
                </c:pt>
                <c:pt idx="49">
                  <c:v>2019</c:v>
                </c:pt>
              </c:strCache>
            </c:strRef>
          </c:cat>
          <c:val>
            <c:numRef>
              <c:f>Theil!$C$7:$AZ$7</c:f>
              <c:numCache>
                <c:formatCode>General</c:formatCode>
                <c:ptCount val="50"/>
                <c:pt idx="0">
                  <c:v>2.1372271872945985E-3</c:v>
                </c:pt>
                <c:pt idx="1">
                  <c:v>1.7924472725920106E-3</c:v>
                </c:pt>
                <c:pt idx="2">
                  <c:v>1.2731564624519891E-3</c:v>
                </c:pt>
                <c:pt idx="3">
                  <c:v>8.0467775049868767E-4</c:v>
                </c:pt>
                <c:pt idx="4">
                  <c:v>3.1348489932264516E-5</c:v>
                </c:pt>
                <c:pt idx="5">
                  <c:v>6.1560535585362518E-5</c:v>
                </c:pt>
                <c:pt idx="6">
                  <c:v>2.7641713519449378E-5</c:v>
                </c:pt>
                <c:pt idx="7">
                  <c:v>1.4359998450328478E-4</c:v>
                </c:pt>
                <c:pt idx="8">
                  <c:v>8.7185139379497394E-4</c:v>
                </c:pt>
                <c:pt idx="9">
                  <c:v>9.1452506528565992E-4</c:v>
                </c:pt>
                <c:pt idx="10">
                  <c:v>5.7809792701919889E-4</c:v>
                </c:pt>
                <c:pt idx="11">
                  <c:v>6.403479334141822E-4</c:v>
                </c:pt>
                <c:pt idx="12">
                  <c:v>8.6120951812583731E-4</c:v>
                </c:pt>
                <c:pt idx="13">
                  <c:v>8.7598329082363112E-4</c:v>
                </c:pt>
                <c:pt idx="14">
                  <c:v>1.7393382588876231E-3</c:v>
                </c:pt>
                <c:pt idx="15">
                  <c:v>2.5248153335897736E-3</c:v>
                </c:pt>
                <c:pt idx="16">
                  <c:v>2.9138964378395728E-3</c:v>
                </c:pt>
                <c:pt idx="17">
                  <c:v>1.683726802196233E-3</c:v>
                </c:pt>
                <c:pt idx="18">
                  <c:v>6.3084611786872261E-4</c:v>
                </c:pt>
                <c:pt idx="19">
                  <c:v>4.1133033777742203E-4</c:v>
                </c:pt>
                <c:pt idx="20">
                  <c:v>4.9250937029918229E-4</c:v>
                </c:pt>
                <c:pt idx="21">
                  <c:v>5.2824884040162529E-4</c:v>
                </c:pt>
                <c:pt idx="22">
                  <c:v>1.5605075871660198E-3</c:v>
                </c:pt>
                <c:pt idx="23">
                  <c:v>2.8413342541970428E-3</c:v>
                </c:pt>
                <c:pt idx="24">
                  <c:v>4.0439673024979667E-3</c:v>
                </c:pt>
                <c:pt idx="25">
                  <c:v>4.0805558351553091E-3</c:v>
                </c:pt>
                <c:pt idx="26">
                  <c:v>4.4001118194283984E-3</c:v>
                </c:pt>
                <c:pt idx="27">
                  <c:v>4.8776374258342227E-3</c:v>
                </c:pt>
                <c:pt idx="28">
                  <c:v>7.035356049203273E-3</c:v>
                </c:pt>
                <c:pt idx="29">
                  <c:v>6.735720274249974E-3</c:v>
                </c:pt>
                <c:pt idx="30">
                  <c:v>5.8668155333921161E-3</c:v>
                </c:pt>
                <c:pt idx="31">
                  <c:v>6.9449294639328425E-3</c:v>
                </c:pt>
                <c:pt idx="32">
                  <c:v>7.1098848825250083E-3</c:v>
                </c:pt>
                <c:pt idx="33">
                  <c:v>4.1906401133652814E-3</c:v>
                </c:pt>
                <c:pt idx="34">
                  <c:v>2.6787371905244266E-3</c:v>
                </c:pt>
                <c:pt idx="35">
                  <c:v>1.531214138271236E-3</c:v>
                </c:pt>
                <c:pt idx="36">
                  <c:v>7.6947628944350199E-4</c:v>
                </c:pt>
                <c:pt idx="37">
                  <c:v>2.3502613477267235E-4</c:v>
                </c:pt>
                <c:pt idx="38">
                  <c:v>6.1735998606132943E-5</c:v>
                </c:pt>
                <c:pt idx="39">
                  <c:v>8.5707919502739545E-4</c:v>
                </c:pt>
                <c:pt idx="40">
                  <c:v>1.9936837091474391E-5</c:v>
                </c:pt>
                <c:pt idx="41">
                  <c:v>8.5252978429037514E-5</c:v>
                </c:pt>
                <c:pt idx="42">
                  <c:v>1.900961096149901E-5</c:v>
                </c:pt>
                <c:pt idx="43">
                  <c:v>3.4615880718266538E-6</c:v>
                </c:pt>
                <c:pt idx="44">
                  <c:v>2.6609580381304655E-4</c:v>
                </c:pt>
                <c:pt idx="45">
                  <c:v>2.7480063379656389E-3</c:v>
                </c:pt>
                <c:pt idx="46">
                  <c:v>3.7612680251225133E-3</c:v>
                </c:pt>
                <c:pt idx="47">
                  <c:v>3.138070549525418E-3</c:v>
                </c:pt>
                <c:pt idx="48">
                  <c:v>3.6153369679628004E-3</c:v>
                </c:pt>
                <c:pt idx="49">
                  <c:v>4.5178871106004541E-3</c:v>
                </c:pt>
              </c:numCache>
            </c:numRef>
          </c:val>
          <c:smooth val="0"/>
          <c:extLst>
            <c:ext xmlns:c16="http://schemas.microsoft.com/office/drawing/2014/chart" uri="{C3380CC4-5D6E-409C-BE32-E72D297353CC}">
              <c16:uniqueId val="{00000005-41EA-40E2-9CAF-2ABE1F2FFF8B}"/>
            </c:ext>
          </c:extLst>
        </c:ser>
        <c:ser>
          <c:idx val="6"/>
          <c:order val="6"/>
          <c:tx>
            <c:strRef>
              <c:f>Theil!$B$8</c:f>
              <c:strCache>
                <c:ptCount val="1"/>
                <c:pt idx="0">
                  <c:v>Pacific</c:v>
                </c:pt>
              </c:strCache>
            </c:strRef>
          </c:tx>
          <c:spPr>
            <a:ln w="28575" cap="rnd">
              <a:solidFill>
                <a:schemeClr val="accent1">
                  <a:lumMod val="60000"/>
                </a:schemeClr>
              </a:solidFill>
              <a:round/>
            </a:ln>
            <a:effectLst/>
          </c:spPr>
          <c:marker>
            <c:symbol val="none"/>
          </c:marker>
          <c:cat>
            <c:strRef>
              <c:f>Theil!$C$1:$AZ$1</c:f>
              <c:strCache>
                <c:ptCount val="50"/>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pt idx="48">
                  <c:v>2018</c:v>
                </c:pt>
                <c:pt idx="49">
                  <c:v>2019</c:v>
                </c:pt>
              </c:strCache>
            </c:strRef>
          </c:cat>
          <c:val>
            <c:numRef>
              <c:f>Theil!$C$8:$AZ$8</c:f>
              <c:numCache>
                <c:formatCode>General</c:formatCode>
                <c:ptCount val="50"/>
                <c:pt idx="0">
                  <c:v>0.14353926187202354</c:v>
                </c:pt>
                <c:pt idx="1">
                  <c:v>0.13774324304986901</c:v>
                </c:pt>
                <c:pt idx="2">
                  <c:v>0.13524308935343451</c:v>
                </c:pt>
                <c:pt idx="3">
                  <c:v>0.12678679194909001</c:v>
                </c:pt>
                <c:pt idx="4">
                  <c:v>0.13910078151139865</c:v>
                </c:pt>
                <c:pt idx="5">
                  <c:v>0.1531351481780627</c:v>
                </c:pt>
                <c:pt idx="6">
                  <c:v>0.15628612163578529</c:v>
                </c:pt>
                <c:pt idx="7">
                  <c:v>0.15378066533353138</c:v>
                </c:pt>
                <c:pt idx="8">
                  <c:v>0.14737526057460978</c:v>
                </c:pt>
                <c:pt idx="9">
                  <c:v>0.14825308087164876</c:v>
                </c:pt>
                <c:pt idx="10">
                  <c:v>0.14973627044625754</c:v>
                </c:pt>
                <c:pt idx="11">
                  <c:v>0.16328677270536535</c:v>
                </c:pt>
                <c:pt idx="12">
                  <c:v>0.17528223442644503</c:v>
                </c:pt>
                <c:pt idx="13">
                  <c:v>0.16800455739075557</c:v>
                </c:pt>
                <c:pt idx="14">
                  <c:v>0.18313500061939147</c:v>
                </c:pt>
                <c:pt idx="15">
                  <c:v>0.17521314864758783</c:v>
                </c:pt>
                <c:pt idx="16">
                  <c:v>0.16701019466697525</c:v>
                </c:pt>
                <c:pt idx="17">
                  <c:v>0.16490920099906275</c:v>
                </c:pt>
                <c:pt idx="18">
                  <c:v>0.17037929792199624</c:v>
                </c:pt>
                <c:pt idx="19">
                  <c:v>0.18543244635534312</c:v>
                </c:pt>
                <c:pt idx="20">
                  <c:v>0.19013313767654472</c:v>
                </c:pt>
                <c:pt idx="21">
                  <c:v>0.19241675538024344</c:v>
                </c:pt>
                <c:pt idx="22">
                  <c:v>0.18957841390473604</c:v>
                </c:pt>
                <c:pt idx="23">
                  <c:v>0.17952687326708922</c:v>
                </c:pt>
                <c:pt idx="24">
                  <c:v>0.17569695414439826</c:v>
                </c:pt>
                <c:pt idx="25">
                  <c:v>0.18883853011043295</c:v>
                </c:pt>
                <c:pt idx="26">
                  <c:v>0.19003693291683701</c:v>
                </c:pt>
                <c:pt idx="27">
                  <c:v>0.20025181685539517</c:v>
                </c:pt>
                <c:pt idx="28">
                  <c:v>0.21165138095316433</c:v>
                </c:pt>
                <c:pt idx="29">
                  <c:v>0.21162730386020515</c:v>
                </c:pt>
                <c:pt idx="30">
                  <c:v>0.22294401613813458</c:v>
                </c:pt>
                <c:pt idx="31">
                  <c:v>0.22019602089448398</c:v>
                </c:pt>
                <c:pt idx="32">
                  <c:v>0.21841586949352387</c:v>
                </c:pt>
                <c:pt idx="33">
                  <c:v>0.21788246341002129</c:v>
                </c:pt>
                <c:pt idx="34">
                  <c:v>0.22528804438969477</c:v>
                </c:pt>
                <c:pt idx="35">
                  <c:v>0.22560664136370656</c:v>
                </c:pt>
                <c:pt idx="36">
                  <c:v>0.21746308095459432</c:v>
                </c:pt>
                <c:pt idx="37">
                  <c:v>0.21955491012798023</c:v>
                </c:pt>
                <c:pt idx="38">
                  <c:v>0.22957196417785777</c:v>
                </c:pt>
                <c:pt idx="39">
                  <c:v>0.2249043936138182</c:v>
                </c:pt>
                <c:pt idx="40">
                  <c:v>0.2280281828474606</c:v>
                </c:pt>
                <c:pt idx="41">
                  <c:v>0.23052963588252653</c:v>
                </c:pt>
                <c:pt idx="42">
                  <c:v>0.23092513014311888</c:v>
                </c:pt>
                <c:pt idx="43">
                  <c:v>0.22911587260608968</c:v>
                </c:pt>
                <c:pt idx="44">
                  <c:v>0.21805118323197906</c:v>
                </c:pt>
                <c:pt idx="45">
                  <c:v>0.2193223400605035</c:v>
                </c:pt>
                <c:pt idx="46">
                  <c:v>0.21153466422691145</c:v>
                </c:pt>
                <c:pt idx="47">
                  <c:v>0.21235278094926299</c:v>
                </c:pt>
                <c:pt idx="48">
                  <c:v>0.21676970872639381</c:v>
                </c:pt>
                <c:pt idx="49">
                  <c:v>0.21271409928753374</c:v>
                </c:pt>
              </c:numCache>
            </c:numRef>
          </c:val>
          <c:smooth val="0"/>
          <c:extLst>
            <c:ext xmlns:c16="http://schemas.microsoft.com/office/drawing/2014/chart" uri="{C3380CC4-5D6E-409C-BE32-E72D297353CC}">
              <c16:uniqueId val="{00000006-41EA-40E2-9CAF-2ABE1F2FFF8B}"/>
            </c:ext>
          </c:extLst>
        </c:ser>
        <c:ser>
          <c:idx val="7"/>
          <c:order val="7"/>
          <c:tx>
            <c:strRef>
              <c:f>Theil!$B$9</c:f>
              <c:strCache>
                <c:ptCount val="1"/>
                <c:pt idx="0">
                  <c:v>South Asia</c:v>
                </c:pt>
              </c:strCache>
            </c:strRef>
          </c:tx>
          <c:spPr>
            <a:ln w="28575" cap="rnd">
              <a:solidFill>
                <a:schemeClr val="accent2">
                  <a:lumMod val="60000"/>
                </a:schemeClr>
              </a:solidFill>
              <a:round/>
            </a:ln>
            <a:effectLst/>
          </c:spPr>
          <c:marker>
            <c:symbol val="none"/>
          </c:marker>
          <c:cat>
            <c:strRef>
              <c:f>Theil!$C$1:$AZ$1</c:f>
              <c:strCache>
                <c:ptCount val="50"/>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pt idx="48">
                  <c:v>2018</c:v>
                </c:pt>
                <c:pt idx="49">
                  <c:v>2019</c:v>
                </c:pt>
              </c:strCache>
            </c:strRef>
          </c:cat>
          <c:val>
            <c:numRef>
              <c:f>Theil!$C$9:$AZ$9</c:f>
              <c:numCache>
                <c:formatCode>General</c:formatCode>
                <c:ptCount val="50"/>
                <c:pt idx="0">
                  <c:v>1.3503538253338299E-2</c:v>
                </c:pt>
                <c:pt idx="1">
                  <c:v>1.1635237439337963E-2</c:v>
                </c:pt>
                <c:pt idx="2">
                  <c:v>8.7662928076255933E-3</c:v>
                </c:pt>
                <c:pt idx="3">
                  <c:v>9.3624298133880585E-3</c:v>
                </c:pt>
                <c:pt idx="4">
                  <c:v>6.4442054467556565E-3</c:v>
                </c:pt>
                <c:pt idx="5">
                  <c:v>2.0572236311096479E-2</c:v>
                </c:pt>
                <c:pt idx="6">
                  <c:v>5.7326957103347263E-3</c:v>
                </c:pt>
                <c:pt idx="7">
                  <c:v>9.6834714259770305E-3</c:v>
                </c:pt>
                <c:pt idx="8">
                  <c:v>4.5432365147483203E-3</c:v>
                </c:pt>
                <c:pt idx="9">
                  <c:v>3.5358656498536631E-3</c:v>
                </c:pt>
                <c:pt idx="10">
                  <c:v>4.5532003338641996E-3</c:v>
                </c:pt>
                <c:pt idx="11">
                  <c:v>5.6808789697905763E-3</c:v>
                </c:pt>
                <c:pt idx="12">
                  <c:v>8.618634462751882E-3</c:v>
                </c:pt>
                <c:pt idx="13">
                  <c:v>7.7802461300799982E-3</c:v>
                </c:pt>
                <c:pt idx="14">
                  <c:v>8.2776861675581369E-3</c:v>
                </c:pt>
                <c:pt idx="15">
                  <c:v>5.0650135434352848E-3</c:v>
                </c:pt>
                <c:pt idx="16">
                  <c:v>5.9743176418859826E-3</c:v>
                </c:pt>
                <c:pt idx="17">
                  <c:v>5.8776760525853702E-3</c:v>
                </c:pt>
                <c:pt idx="18">
                  <c:v>5.1946540817521796E-3</c:v>
                </c:pt>
                <c:pt idx="19">
                  <c:v>4.2924402509596869E-3</c:v>
                </c:pt>
                <c:pt idx="20">
                  <c:v>4.0971979107640973E-3</c:v>
                </c:pt>
                <c:pt idx="21">
                  <c:v>8.7750798015778717E-3</c:v>
                </c:pt>
                <c:pt idx="22">
                  <c:v>1.0422442190206294E-2</c:v>
                </c:pt>
                <c:pt idx="23">
                  <c:v>1.3945380885455591E-2</c:v>
                </c:pt>
                <c:pt idx="24">
                  <c:v>9.994667668598415E-3</c:v>
                </c:pt>
                <c:pt idx="25">
                  <c:v>1.1385916583539282E-2</c:v>
                </c:pt>
                <c:pt idx="26">
                  <c:v>9.2175146535672138E-3</c:v>
                </c:pt>
                <c:pt idx="27">
                  <c:v>8.3870538942689664E-3</c:v>
                </c:pt>
                <c:pt idx="28">
                  <c:v>8.9694149473428953E-3</c:v>
                </c:pt>
                <c:pt idx="29">
                  <c:v>7.5963051874458846E-3</c:v>
                </c:pt>
                <c:pt idx="30">
                  <c:v>1.1028857028555057E-2</c:v>
                </c:pt>
                <c:pt idx="31">
                  <c:v>8.1113725731338446E-3</c:v>
                </c:pt>
                <c:pt idx="32">
                  <c:v>7.8346711067905032E-3</c:v>
                </c:pt>
                <c:pt idx="33">
                  <c:v>8.7529483831452187E-3</c:v>
                </c:pt>
                <c:pt idx="34">
                  <c:v>9.3931048044936273E-3</c:v>
                </c:pt>
                <c:pt idx="35">
                  <c:v>1.1231347993397351E-2</c:v>
                </c:pt>
                <c:pt idx="36">
                  <c:v>1.4063618486513264E-2</c:v>
                </c:pt>
                <c:pt idx="37">
                  <c:v>1.7913840773160671E-2</c:v>
                </c:pt>
                <c:pt idx="38">
                  <c:v>1.5313536823388875E-2</c:v>
                </c:pt>
                <c:pt idx="39">
                  <c:v>1.5042018366814999E-2</c:v>
                </c:pt>
                <c:pt idx="40">
                  <c:v>2.2451696730209247E-2</c:v>
                </c:pt>
                <c:pt idx="41">
                  <c:v>2.0487643523309732E-2</c:v>
                </c:pt>
                <c:pt idx="42">
                  <c:v>2.0110236201225311E-2</c:v>
                </c:pt>
                <c:pt idx="43">
                  <c:v>1.9200022231499407E-2</c:v>
                </c:pt>
                <c:pt idx="44">
                  <c:v>1.8408543084185904E-2</c:v>
                </c:pt>
                <c:pt idx="45">
                  <c:v>1.4929438916739871E-2</c:v>
                </c:pt>
                <c:pt idx="46">
                  <c:v>1.4417958404984426E-2</c:v>
                </c:pt>
                <c:pt idx="47">
                  <c:v>1.4297914776148037E-2</c:v>
                </c:pt>
                <c:pt idx="48">
                  <c:v>1.2537233228844757E-2</c:v>
                </c:pt>
                <c:pt idx="49">
                  <c:v>1.6335958318443686E-2</c:v>
                </c:pt>
              </c:numCache>
            </c:numRef>
          </c:val>
          <c:smooth val="0"/>
          <c:extLst>
            <c:ext xmlns:c16="http://schemas.microsoft.com/office/drawing/2014/chart" uri="{C3380CC4-5D6E-409C-BE32-E72D297353CC}">
              <c16:uniqueId val="{00000007-41EA-40E2-9CAF-2ABE1F2FFF8B}"/>
            </c:ext>
          </c:extLst>
        </c:ser>
        <c:ser>
          <c:idx val="8"/>
          <c:order val="8"/>
          <c:tx>
            <c:strRef>
              <c:f>Theil!$B$10</c:f>
              <c:strCache>
                <c:ptCount val="1"/>
                <c:pt idx="0">
                  <c:v>Sub-Saharan Africa</c:v>
                </c:pt>
              </c:strCache>
            </c:strRef>
          </c:tx>
          <c:spPr>
            <a:ln w="28575" cap="rnd">
              <a:solidFill>
                <a:schemeClr val="accent3">
                  <a:lumMod val="60000"/>
                </a:schemeClr>
              </a:solidFill>
              <a:round/>
            </a:ln>
            <a:effectLst/>
          </c:spPr>
          <c:marker>
            <c:symbol val="none"/>
          </c:marker>
          <c:cat>
            <c:strRef>
              <c:f>Theil!$C$1:$AZ$1</c:f>
              <c:strCache>
                <c:ptCount val="50"/>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pt idx="48">
                  <c:v>2018</c:v>
                </c:pt>
                <c:pt idx="49">
                  <c:v>2019</c:v>
                </c:pt>
              </c:strCache>
            </c:strRef>
          </c:cat>
          <c:val>
            <c:numRef>
              <c:f>Theil!$C$10:$AZ$10</c:f>
              <c:numCache>
                <c:formatCode>General</c:formatCode>
                <c:ptCount val="50"/>
                <c:pt idx="0">
                  <c:v>0.23575081798388559</c:v>
                </c:pt>
                <c:pt idx="1">
                  <c:v>0.2824598049172703</c:v>
                </c:pt>
                <c:pt idx="2">
                  <c:v>0.24202292903808781</c:v>
                </c:pt>
                <c:pt idx="3">
                  <c:v>0.28031910362635959</c:v>
                </c:pt>
                <c:pt idx="4">
                  <c:v>0.27442598934326357</c:v>
                </c:pt>
                <c:pt idx="5">
                  <c:v>0.24755427385154238</c:v>
                </c:pt>
                <c:pt idx="6">
                  <c:v>0.2243004830874398</c:v>
                </c:pt>
                <c:pt idx="7">
                  <c:v>0.21354313044837905</c:v>
                </c:pt>
                <c:pt idx="8">
                  <c:v>0.20934610621865482</c:v>
                </c:pt>
                <c:pt idx="9">
                  <c:v>0.2195179082507504</c:v>
                </c:pt>
                <c:pt idx="10">
                  <c:v>0.28742819835389394</c:v>
                </c:pt>
                <c:pt idx="11">
                  <c:v>0.31510952023643851</c:v>
                </c:pt>
                <c:pt idx="12">
                  <c:v>0.29011546420086826</c:v>
                </c:pt>
                <c:pt idx="13">
                  <c:v>0.31632670521972589</c:v>
                </c:pt>
                <c:pt idx="14">
                  <c:v>0.30876985475691876</c:v>
                </c:pt>
                <c:pt idx="15">
                  <c:v>0.24053284540658662</c:v>
                </c:pt>
                <c:pt idx="16">
                  <c:v>0.25547905596558929</c:v>
                </c:pt>
                <c:pt idx="17">
                  <c:v>0.33259226878023124</c:v>
                </c:pt>
                <c:pt idx="18">
                  <c:v>0.34697711251692559</c:v>
                </c:pt>
                <c:pt idx="19">
                  <c:v>0.38058767293900075</c:v>
                </c:pt>
                <c:pt idx="20">
                  <c:v>0.40449157889947474</c:v>
                </c:pt>
                <c:pt idx="21">
                  <c:v>0.44521679025983302</c:v>
                </c:pt>
                <c:pt idx="22">
                  <c:v>0.52017981279670089</c:v>
                </c:pt>
                <c:pt idx="23">
                  <c:v>0.59815841717218798</c:v>
                </c:pt>
                <c:pt idx="24">
                  <c:v>0.64425676409012023</c:v>
                </c:pt>
                <c:pt idx="25">
                  <c:v>0.60962228943357399</c:v>
                </c:pt>
                <c:pt idx="26">
                  <c:v>0.54561059162765824</c:v>
                </c:pt>
                <c:pt idx="27">
                  <c:v>0.53850912567829823</c:v>
                </c:pt>
                <c:pt idx="28">
                  <c:v>0.49137370309236544</c:v>
                </c:pt>
                <c:pt idx="29">
                  <c:v>0.49083833857147513</c:v>
                </c:pt>
                <c:pt idx="30">
                  <c:v>0.42335813157264512</c:v>
                </c:pt>
                <c:pt idx="31">
                  <c:v>0.40208301122523765</c:v>
                </c:pt>
                <c:pt idx="32">
                  <c:v>0.33358624061642883</c:v>
                </c:pt>
                <c:pt idx="33">
                  <c:v>0.44820569438299396</c:v>
                </c:pt>
                <c:pt idx="34">
                  <c:v>0.49669183960641744</c:v>
                </c:pt>
                <c:pt idx="35">
                  <c:v>0.4787230300858108</c:v>
                </c:pt>
                <c:pt idx="36">
                  <c:v>0.41406683347658663</c:v>
                </c:pt>
                <c:pt idx="37">
                  <c:v>0.39446894421529977</c:v>
                </c:pt>
                <c:pt idx="38">
                  <c:v>0.3342955703201968</c:v>
                </c:pt>
                <c:pt idx="39">
                  <c:v>0.34473484779740937</c:v>
                </c:pt>
                <c:pt idx="40">
                  <c:v>0.38711941793426563</c:v>
                </c:pt>
                <c:pt idx="41">
                  <c:v>0.39028493106917622</c:v>
                </c:pt>
                <c:pt idx="42">
                  <c:v>0.35790541390312341</c:v>
                </c:pt>
                <c:pt idx="43">
                  <c:v>0.31328359032903824</c:v>
                </c:pt>
                <c:pt idx="44">
                  <c:v>0.29354606926400156</c:v>
                </c:pt>
                <c:pt idx="45">
                  <c:v>0.27276359898347774</c:v>
                </c:pt>
                <c:pt idx="46">
                  <c:v>0.25969725472826305</c:v>
                </c:pt>
                <c:pt idx="47">
                  <c:v>0.29315276000609736</c:v>
                </c:pt>
                <c:pt idx="48">
                  <c:v>0.29863192186592274</c:v>
                </c:pt>
                <c:pt idx="49">
                  <c:v>0.29165116876996117</c:v>
                </c:pt>
              </c:numCache>
            </c:numRef>
          </c:val>
          <c:smooth val="0"/>
          <c:extLst>
            <c:ext xmlns:c16="http://schemas.microsoft.com/office/drawing/2014/chart" uri="{C3380CC4-5D6E-409C-BE32-E72D297353CC}">
              <c16:uniqueId val="{00000008-41EA-40E2-9CAF-2ABE1F2FFF8B}"/>
            </c:ext>
          </c:extLst>
        </c:ser>
        <c:dLbls>
          <c:showLegendKey val="0"/>
          <c:showVal val="0"/>
          <c:showCatName val="0"/>
          <c:showSerName val="0"/>
          <c:showPercent val="0"/>
          <c:showBubbleSize val="0"/>
        </c:dLbls>
        <c:smooth val="0"/>
        <c:axId val="1453331007"/>
        <c:axId val="1453324767"/>
      </c:lineChart>
      <c:catAx>
        <c:axId val="14533310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3324767"/>
        <c:crosses val="autoZero"/>
        <c:auto val="1"/>
        <c:lblAlgn val="ctr"/>
        <c:lblOffset val="100"/>
        <c:noMultiLvlLbl val="0"/>
      </c:catAx>
      <c:valAx>
        <c:axId val="14533247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333100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cked"/>
        <c:varyColors val="0"/>
        <c:ser>
          <c:idx val="0"/>
          <c:order val="0"/>
          <c:tx>
            <c:strRef>
              <c:f>Theil!$B$103</c:f>
              <c:strCache>
                <c:ptCount val="1"/>
                <c:pt idx="0">
                  <c:v>China</c:v>
                </c:pt>
              </c:strCache>
            </c:strRef>
          </c:tx>
          <c:spPr>
            <a:solidFill>
              <a:schemeClr val="accent1"/>
            </a:solidFill>
            <a:ln>
              <a:noFill/>
            </a:ln>
            <a:effectLst/>
          </c:spPr>
          <c:cat>
            <c:strRef>
              <c:f>Theil!$C$102:$AZ$102</c:f>
              <c:strCache>
                <c:ptCount val="50"/>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pt idx="48">
                  <c:v>2018</c:v>
                </c:pt>
                <c:pt idx="49">
                  <c:v>2019</c:v>
                </c:pt>
              </c:strCache>
            </c:strRef>
          </c:cat>
          <c:val>
            <c:numRef>
              <c:f>Theil!$C$103:$AZ$103</c:f>
              <c:numCache>
                <c:formatCode>_-* #,##0.0000_-;\-* #,##0.0000_-;_-* "-"??_-;_-@_-</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6="http://schemas.microsoft.com/office/drawing/2014/chart" uri="{C3380CC4-5D6E-409C-BE32-E72D297353CC}">
              <c16:uniqueId val="{00000000-F4B2-4E77-BCC4-E0FB72840454}"/>
            </c:ext>
          </c:extLst>
        </c:ser>
        <c:ser>
          <c:idx val="1"/>
          <c:order val="1"/>
          <c:tx>
            <c:strRef>
              <c:f>Theil!$B$104</c:f>
              <c:strCache>
                <c:ptCount val="1"/>
                <c:pt idx="0">
                  <c:v>East Asia</c:v>
                </c:pt>
              </c:strCache>
            </c:strRef>
          </c:tx>
          <c:spPr>
            <a:solidFill>
              <a:schemeClr val="accent2"/>
            </a:solidFill>
            <a:ln>
              <a:noFill/>
            </a:ln>
            <a:effectLst/>
          </c:spPr>
          <c:cat>
            <c:strRef>
              <c:f>Theil!$C$102:$AZ$102</c:f>
              <c:strCache>
                <c:ptCount val="50"/>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pt idx="48">
                  <c:v>2018</c:v>
                </c:pt>
                <c:pt idx="49">
                  <c:v>2019</c:v>
                </c:pt>
              </c:strCache>
            </c:strRef>
          </c:cat>
          <c:val>
            <c:numRef>
              <c:f>Theil!$C$104:$AZ$104</c:f>
              <c:numCache>
                <c:formatCode>_-* #,##0.0000_-;\-* #,##0.0000_-;_-* "-"??_-;_-@_-</c:formatCode>
                <c:ptCount val="50"/>
                <c:pt idx="0">
                  <c:v>2.9209096190718972E-2</c:v>
                </c:pt>
                <c:pt idx="1">
                  <c:v>3.0877215173825173E-2</c:v>
                </c:pt>
                <c:pt idx="2">
                  <c:v>3.8447961412057315E-2</c:v>
                </c:pt>
                <c:pt idx="3">
                  <c:v>4.4250764729651421E-2</c:v>
                </c:pt>
                <c:pt idx="4">
                  <c:v>4.0307868046648411E-2</c:v>
                </c:pt>
                <c:pt idx="5">
                  <c:v>3.9725587701318378E-2</c:v>
                </c:pt>
                <c:pt idx="6">
                  <c:v>4.0717699395280006E-2</c:v>
                </c:pt>
                <c:pt idx="7">
                  <c:v>4.5499586295349913E-2</c:v>
                </c:pt>
                <c:pt idx="8">
                  <c:v>5.7352987676429497E-2</c:v>
                </c:pt>
                <c:pt idx="9">
                  <c:v>4.9200986837423091E-2</c:v>
                </c:pt>
                <c:pt idx="10">
                  <c:v>4.5680746633510634E-2</c:v>
                </c:pt>
                <c:pt idx="11">
                  <c:v>4.9740268189752621E-2</c:v>
                </c:pt>
                <c:pt idx="12">
                  <c:v>4.5389685763148682E-2</c:v>
                </c:pt>
                <c:pt idx="13">
                  <c:v>5.0645756981944665E-2</c:v>
                </c:pt>
                <c:pt idx="14">
                  <c:v>5.307523779637837E-2</c:v>
                </c:pt>
                <c:pt idx="15">
                  <c:v>5.6294263507970246E-2</c:v>
                </c:pt>
                <c:pt idx="16">
                  <c:v>7.9682272254973777E-2</c:v>
                </c:pt>
                <c:pt idx="17">
                  <c:v>8.6815219724232798E-2</c:v>
                </c:pt>
                <c:pt idx="18">
                  <c:v>9.5209807756994932E-2</c:v>
                </c:pt>
                <c:pt idx="19">
                  <c:v>8.7929881815734412E-2</c:v>
                </c:pt>
                <c:pt idx="20">
                  <c:v>7.9381955703282159E-2</c:v>
                </c:pt>
                <c:pt idx="21">
                  <c:v>8.7569823268661431E-2</c:v>
                </c:pt>
                <c:pt idx="22">
                  <c:v>9.0380132381765857E-2</c:v>
                </c:pt>
                <c:pt idx="23">
                  <c:v>0.10403537464623284</c:v>
                </c:pt>
                <c:pt idx="24">
                  <c:v>0.10667418377993212</c:v>
                </c:pt>
                <c:pt idx="25">
                  <c:v>0.10637644835138958</c:v>
                </c:pt>
                <c:pt idx="26">
                  <c:v>8.8706617546862529E-2</c:v>
                </c:pt>
                <c:pt idx="27">
                  <c:v>8.3458339277262844E-2</c:v>
                </c:pt>
                <c:pt idx="28">
                  <c:v>8.1389421751966021E-2</c:v>
                </c:pt>
                <c:pt idx="29">
                  <c:v>8.8770532170733982E-2</c:v>
                </c:pt>
                <c:pt idx="30">
                  <c:v>9.4040188033924693E-2</c:v>
                </c:pt>
                <c:pt idx="31">
                  <c:v>8.3241225923916945E-2</c:v>
                </c:pt>
                <c:pt idx="32">
                  <c:v>7.5166729452996142E-2</c:v>
                </c:pt>
                <c:pt idx="33">
                  <c:v>7.3238448276125703E-2</c:v>
                </c:pt>
                <c:pt idx="34">
                  <c:v>7.1421103914033807E-2</c:v>
                </c:pt>
                <c:pt idx="35">
                  <c:v>6.5064979670035827E-2</c:v>
                </c:pt>
                <c:pt idx="36">
                  <c:v>5.6294595702073208E-2</c:v>
                </c:pt>
                <c:pt idx="37">
                  <c:v>4.9123895563372134E-2</c:v>
                </c:pt>
                <c:pt idx="38">
                  <c:v>4.9743597327658005E-2</c:v>
                </c:pt>
                <c:pt idx="39">
                  <c:v>5.6077279632735455E-2</c:v>
                </c:pt>
                <c:pt idx="40">
                  <c:v>5.5496575721502094E-2</c:v>
                </c:pt>
                <c:pt idx="41">
                  <c:v>5.4888406497851865E-2</c:v>
                </c:pt>
                <c:pt idx="42">
                  <c:v>5.3938939009787343E-2</c:v>
                </c:pt>
                <c:pt idx="43">
                  <c:v>4.2034160301352784E-2</c:v>
                </c:pt>
                <c:pt idx="44">
                  <c:v>3.908298660457922E-2</c:v>
                </c:pt>
                <c:pt idx="45">
                  <c:v>3.7453759029331651E-2</c:v>
                </c:pt>
                <c:pt idx="46">
                  <c:v>4.2162336660067738E-2</c:v>
                </c:pt>
                <c:pt idx="47">
                  <c:v>4.0062342578121343E-2</c:v>
                </c:pt>
                <c:pt idx="48">
                  <c:v>3.8703504731939044E-2</c:v>
                </c:pt>
                <c:pt idx="49">
                  <c:v>3.8124289357466271E-2</c:v>
                </c:pt>
              </c:numCache>
            </c:numRef>
          </c:val>
          <c:extLst>
            <c:ext xmlns:c16="http://schemas.microsoft.com/office/drawing/2014/chart" uri="{C3380CC4-5D6E-409C-BE32-E72D297353CC}">
              <c16:uniqueId val="{00000001-F4B2-4E77-BCC4-E0FB72840454}"/>
            </c:ext>
          </c:extLst>
        </c:ser>
        <c:ser>
          <c:idx val="2"/>
          <c:order val="2"/>
          <c:tx>
            <c:strRef>
              <c:f>Theil!$B$105</c:f>
              <c:strCache>
                <c:ptCount val="1"/>
                <c:pt idx="0">
                  <c:v>Europe</c:v>
                </c:pt>
              </c:strCache>
            </c:strRef>
          </c:tx>
          <c:spPr>
            <a:solidFill>
              <a:schemeClr val="accent3"/>
            </a:solidFill>
            <a:ln>
              <a:noFill/>
            </a:ln>
            <a:effectLst/>
          </c:spPr>
          <c:cat>
            <c:strRef>
              <c:f>Theil!$C$102:$AZ$102</c:f>
              <c:strCache>
                <c:ptCount val="50"/>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pt idx="48">
                  <c:v>2018</c:v>
                </c:pt>
                <c:pt idx="49">
                  <c:v>2019</c:v>
                </c:pt>
              </c:strCache>
            </c:strRef>
          </c:cat>
          <c:val>
            <c:numRef>
              <c:f>Theil!$C$105:$AZ$105</c:f>
              <c:numCache>
                <c:formatCode>_-* #,##0.0000_-;\-* #,##0.0000_-;_-* "-"??_-;_-@_-</c:formatCode>
                <c:ptCount val="50"/>
                <c:pt idx="0">
                  <c:v>2.1559472252010794E-2</c:v>
                </c:pt>
                <c:pt idx="1">
                  <c:v>2.2976833742031938E-2</c:v>
                </c:pt>
                <c:pt idx="2">
                  <c:v>2.4383347825245913E-2</c:v>
                </c:pt>
                <c:pt idx="3">
                  <c:v>2.8760865538277891E-2</c:v>
                </c:pt>
                <c:pt idx="4">
                  <c:v>2.8150323319289287E-2</c:v>
                </c:pt>
                <c:pt idx="5">
                  <c:v>3.1933455367302958E-2</c:v>
                </c:pt>
                <c:pt idx="6">
                  <c:v>3.6437596494940452E-2</c:v>
                </c:pt>
                <c:pt idx="7">
                  <c:v>3.6376658232104522E-2</c:v>
                </c:pt>
                <c:pt idx="8">
                  <c:v>3.8784370900747094E-2</c:v>
                </c:pt>
                <c:pt idx="9">
                  <c:v>3.4018163825258928E-2</c:v>
                </c:pt>
                <c:pt idx="10">
                  <c:v>3.0249495147506154E-2</c:v>
                </c:pt>
                <c:pt idx="11">
                  <c:v>2.5175121843519808E-2</c:v>
                </c:pt>
                <c:pt idx="12">
                  <c:v>2.3957377468830254E-2</c:v>
                </c:pt>
                <c:pt idx="13">
                  <c:v>2.5738235172520718E-2</c:v>
                </c:pt>
                <c:pt idx="14">
                  <c:v>2.3808305365031059E-2</c:v>
                </c:pt>
                <c:pt idx="15">
                  <c:v>2.3236903514498725E-2</c:v>
                </c:pt>
                <c:pt idx="16">
                  <c:v>2.8345432905962614E-2</c:v>
                </c:pt>
                <c:pt idx="17">
                  <c:v>3.0347229829686472E-2</c:v>
                </c:pt>
                <c:pt idx="18">
                  <c:v>2.6214872867916555E-2</c:v>
                </c:pt>
                <c:pt idx="19">
                  <c:v>2.2401194309238658E-2</c:v>
                </c:pt>
                <c:pt idx="20">
                  <c:v>2.354346357983322E-2</c:v>
                </c:pt>
                <c:pt idx="21">
                  <c:v>2.0593631546782058E-2</c:v>
                </c:pt>
                <c:pt idx="22">
                  <c:v>2.031492235549193E-2</c:v>
                </c:pt>
                <c:pt idx="23">
                  <c:v>2.3463065268970029E-2</c:v>
                </c:pt>
                <c:pt idx="24">
                  <c:v>2.539347996616266E-2</c:v>
                </c:pt>
                <c:pt idx="25">
                  <c:v>2.8621887921939697E-2</c:v>
                </c:pt>
                <c:pt idx="26">
                  <c:v>2.3184625880653231E-2</c:v>
                </c:pt>
                <c:pt idx="27">
                  <c:v>1.9819288428735014E-2</c:v>
                </c:pt>
                <c:pt idx="28">
                  <c:v>1.983955941980977E-2</c:v>
                </c:pt>
                <c:pt idx="29">
                  <c:v>1.9165015304603586E-2</c:v>
                </c:pt>
                <c:pt idx="30">
                  <c:v>1.9421790704158625E-2</c:v>
                </c:pt>
                <c:pt idx="31">
                  <c:v>1.8195143793159698E-2</c:v>
                </c:pt>
                <c:pt idx="32">
                  <c:v>1.8751540389076924E-2</c:v>
                </c:pt>
                <c:pt idx="33">
                  <c:v>1.7174316610488884E-2</c:v>
                </c:pt>
                <c:pt idx="34">
                  <c:v>1.7582868403404974E-2</c:v>
                </c:pt>
                <c:pt idx="35">
                  <c:v>1.8299711796787962E-2</c:v>
                </c:pt>
                <c:pt idx="36">
                  <c:v>1.8809469637296405E-2</c:v>
                </c:pt>
                <c:pt idx="37">
                  <c:v>1.9157536499514256E-2</c:v>
                </c:pt>
                <c:pt idx="38">
                  <c:v>1.8169894977674274E-2</c:v>
                </c:pt>
                <c:pt idx="39">
                  <c:v>1.6314784552492884E-2</c:v>
                </c:pt>
                <c:pt idx="40">
                  <c:v>1.8985489954199259E-2</c:v>
                </c:pt>
                <c:pt idx="41">
                  <c:v>2.3809430662949851E-2</c:v>
                </c:pt>
                <c:pt idx="42">
                  <c:v>2.5728545029699245E-2</c:v>
                </c:pt>
                <c:pt idx="43">
                  <c:v>2.6721382239840899E-2</c:v>
                </c:pt>
                <c:pt idx="44">
                  <c:v>2.6336305871633475E-2</c:v>
                </c:pt>
                <c:pt idx="45">
                  <c:v>2.6309214623486465E-2</c:v>
                </c:pt>
                <c:pt idx="46">
                  <c:v>2.3751940672868021E-2</c:v>
                </c:pt>
                <c:pt idx="47">
                  <c:v>2.3019208094312363E-2</c:v>
                </c:pt>
                <c:pt idx="48">
                  <c:v>2.3109683595502528E-2</c:v>
                </c:pt>
                <c:pt idx="49">
                  <c:v>2.2590594657594252E-2</c:v>
                </c:pt>
              </c:numCache>
            </c:numRef>
          </c:val>
          <c:extLst>
            <c:ext xmlns:c16="http://schemas.microsoft.com/office/drawing/2014/chart" uri="{C3380CC4-5D6E-409C-BE32-E72D297353CC}">
              <c16:uniqueId val="{00000002-F4B2-4E77-BCC4-E0FB72840454}"/>
            </c:ext>
          </c:extLst>
        </c:ser>
        <c:ser>
          <c:idx val="3"/>
          <c:order val="3"/>
          <c:tx>
            <c:strRef>
              <c:f>Theil!$B$106</c:f>
              <c:strCache>
                <c:ptCount val="1"/>
                <c:pt idx="0">
                  <c:v>Latin America and Caribbean</c:v>
                </c:pt>
              </c:strCache>
            </c:strRef>
          </c:tx>
          <c:spPr>
            <a:solidFill>
              <a:schemeClr val="accent4"/>
            </a:solidFill>
            <a:ln>
              <a:noFill/>
            </a:ln>
            <a:effectLst/>
          </c:spPr>
          <c:cat>
            <c:strRef>
              <c:f>Theil!$C$102:$AZ$102</c:f>
              <c:strCache>
                <c:ptCount val="50"/>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pt idx="48">
                  <c:v>2018</c:v>
                </c:pt>
                <c:pt idx="49">
                  <c:v>2019</c:v>
                </c:pt>
              </c:strCache>
            </c:strRef>
          </c:cat>
          <c:val>
            <c:numRef>
              <c:f>Theil!$C$106:$AZ$106</c:f>
              <c:numCache>
                <c:formatCode>_-* #,##0.0000_-;\-* #,##0.0000_-;_-* "-"??_-;_-@_-</c:formatCode>
                <c:ptCount val="50"/>
                <c:pt idx="0">
                  <c:v>1.8962407999894921E-2</c:v>
                </c:pt>
                <c:pt idx="1">
                  <c:v>1.8338009768495665E-2</c:v>
                </c:pt>
                <c:pt idx="2">
                  <c:v>1.5855925981720691E-2</c:v>
                </c:pt>
                <c:pt idx="3">
                  <c:v>2.0699156428754785E-2</c:v>
                </c:pt>
                <c:pt idx="4">
                  <c:v>2.3345974876155775E-2</c:v>
                </c:pt>
                <c:pt idx="5">
                  <c:v>1.3587499648348236E-2</c:v>
                </c:pt>
                <c:pt idx="6">
                  <c:v>1.1048637985484699E-2</c:v>
                </c:pt>
                <c:pt idx="7">
                  <c:v>1.0105977826208735E-2</c:v>
                </c:pt>
                <c:pt idx="8">
                  <c:v>9.4162415784341241E-3</c:v>
                </c:pt>
                <c:pt idx="9">
                  <c:v>9.9937529086323966E-3</c:v>
                </c:pt>
                <c:pt idx="10">
                  <c:v>1.3664331004182659E-2</c:v>
                </c:pt>
                <c:pt idx="11">
                  <c:v>1.8140573349338558E-2</c:v>
                </c:pt>
                <c:pt idx="12">
                  <c:v>1.1606051396909218E-2</c:v>
                </c:pt>
                <c:pt idx="13">
                  <c:v>1.3396260421251421E-2</c:v>
                </c:pt>
                <c:pt idx="14">
                  <c:v>1.1658344582857562E-2</c:v>
                </c:pt>
                <c:pt idx="15">
                  <c:v>1.3927249678296687E-2</c:v>
                </c:pt>
                <c:pt idx="16">
                  <c:v>1.2421999361164537E-2</c:v>
                </c:pt>
                <c:pt idx="17">
                  <c:v>1.0804817927378162E-2</c:v>
                </c:pt>
                <c:pt idx="18">
                  <c:v>1.2327564366116902E-2</c:v>
                </c:pt>
                <c:pt idx="19">
                  <c:v>1.1606471186968751E-2</c:v>
                </c:pt>
                <c:pt idx="20">
                  <c:v>1.3292458172288012E-2</c:v>
                </c:pt>
                <c:pt idx="21">
                  <c:v>1.7276359093006247E-2</c:v>
                </c:pt>
                <c:pt idx="22">
                  <c:v>1.8655099430595221E-2</c:v>
                </c:pt>
                <c:pt idx="23">
                  <c:v>2.3781191347644066E-2</c:v>
                </c:pt>
                <c:pt idx="24">
                  <c:v>2.0759220626547049E-2</c:v>
                </c:pt>
                <c:pt idx="25">
                  <c:v>1.529128231535315E-2</c:v>
                </c:pt>
                <c:pt idx="26">
                  <c:v>1.656546253651249E-2</c:v>
                </c:pt>
                <c:pt idx="27">
                  <c:v>1.8170819645092044E-2</c:v>
                </c:pt>
                <c:pt idx="28">
                  <c:v>1.923053471942263E-2</c:v>
                </c:pt>
                <c:pt idx="29">
                  <c:v>2.1700927990392617E-2</c:v>
                </c:pt>
                <c:pt idx="30">
                  <c:v>2.395645534818595E-2</c:v>
                </c:pt>
                <c:pt idx="31">
                  <c:v>2.7640591669366648E-2</c:v>
                </c:pt>
                <c:pt idx="32">
                  <c:v>2.6255944757131104E-2</c:v>
                </c:pt>
                <c:pt idx="33">
                  <c:v>2.0713708524889206E-2</c:v>
                </c:pt>
                <c:pt idx="34">
                  <c:v>1.8577114083399467E-2</c:v>
                </c:pt>
                <c:pt idx="35">
                  <c:v>1.7741101855709991E-2</c:v>
                </c:pt>
                <c:pt idx="36">
                  <c:v>1.7903181982890877E-2</c:v>
                </c:pt>
                <c:pt idx="37">
                  <c:v>1.6409231116323225E-2</c:v>
                </c:pt>
                <c:pt idx="38">
                  <c:v>1.5700607083815571E-2</c:v>
                </c:pt>
                <c:pt idx="39">
                  <c:v>1.4322327949533666E-2</c:v>
                </c:pt>
                <c:pt idx="40">
                  <c:v>1.7814613013971151E-2</c:v>
                </c:pt>
                <c:pt idx="41">
                  <c:v>1.915866093384062E-2</c:v>
                </c:pt>
                <c:pt idx="42">
                  <c:v>1.6726594660416864E-2</c:v>
                </c:pt>
                <c:pt idx="43">
                  <c:v>1.6072752554692444E-2</c:v>
                </c:pt>
                <c:pt idx="44">
                  <c:v>1.4681693046943506E-2</c:v>
                </c:pt>
                <c:pt idx="45">
                  <c:v>1.3907389199117538E-2</c:v>
                </c:pt>
                <c:pt idx="46">
                  <c:v>1.3059220747374501E-2</c:v>
                </c:pt>
                <c:pt idx="47">
                  <c:v>1.4020098069381435E-2</c:v>
                </c:pt>
                <c:pt idx="48">
                  <c:v>1.1462000054607954E-2</c:v>
                </c:pt>
                <c:pt idx="49">
                  <c:v>1.0893455802459789E-2</c:v>
                </c:pt>
              </c:numCache>
            </c:numRef>
          </c:val>
          <c:extLst>
            <c:ext xmlns:c16="http://schemas.microsoft.com/office/drawing/2014/chart" uri="{C3380CC4-5D6E-409C-BE32-E72D297353CC}">
              <c16:uniqueId val="{00000003-F4B2-4E77-BCC4-E0FB72840454}"/>
            </c:ext>
          </c:extLst>
        </c:ser>
        <c:ser>
          <c:idx val="4"/>
          <c:order val="4"/>
          <c:tx>
            <c:strRef>
              <c:f>Theil!$B$107</c:f>
              <c:strCache>
                <c:ptCount val="1"/>
                <c:pt idx="0">
                  <c:v>Middle East and North Africa</c:v>
                </c:pt>
              </c:strCache>
            </c:strRef>
          </c:tx>
          <c:spPr>
            <a:solidFill>
              <a:schemeClr val="accent5"/>
            </a:solidFill>
            <a:ln>
              <a:noFill/>
            </a:ln>
            <a:effectLst/>
          </c:spPr>
          <c:cat>
            <c:strRef>
              <c:f>Theil!$C$102:$AZ$102</c:f>
              <c:strCache>
                <c:ptCount val="50"/>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pt idx="48">
                  <c:v>2018</c:v>
                </c:pt>
                <c:pt idx="49">
                  <c:v>2019</c:v>
                </c:pt>
              </c:strCache>
            </c:strRef>
          </c:cat>
          <c:val>
            <c:numRef>
              <c:f>Theil!$C$107:$AZ$107</c:f>
              <c:numCache>
                <c:formatCode>_-* #,##0.0000_-;\-* #,##0.0000_-;_-* "-"??_-;_-@_-</c:formatCode>
                <c:ptCount val="50"/>
                <c:pt idx="0">
                  <c:v>7.3113588337386983E-3</c:v>
                </c:pt>
                <c:pt idx="1">
                  <c:v>6.8091182177757083E-3</c:v>
                </c:pt>
                <c:pt idx="2">
                  <c:v>8.0583212678104997E-3</c:v>
                </c:pt>
                <c:pt idx="3">
                  <c:v>9.8189336181320006E-3</c:v>
                </c:pt>
                <c:pt idx="4">
                  <c:v>2.8135496538624221E-2</c:v>
                </c:pt>
                <c:pt idx="5">
                  <c:v>2.2367190267409524E-2</c:v>
                </c:pt>
                <c:pt idx="6">
                  <c:v>2.8700700334394428E-2</c:v>
                </c:pt>
                <c:pt idx="7">
                  <c:v>2.8618243104193315E-2</c:v>
                </c:pt>
                <c:pt idx="8">
                  <c:v>2.3726738299838769E-2</c:v>
                </c:pt>
                <c:pt idx="9">
                  <c:v>2.8646192599569062E-2</c:v>
                </c:pt>
                <c:pt idx="10">
                  <c:v>4.306692450916564E-2</c:v>
                </c:pt>
                <c:pt idx="11">
                  <c:v>4.7877630105658972E-2</c:v>
                </c:pt>
                <c:pt idx="12">
                  <c:v>3.767582231298628E-2</c:v>
                </c:pt>
                <c:pt idx="13">
                  <c:v>2.961070526151896E-2</c:v>
                </c:pt>
                <c:pt idx="14">
                  <c:v>2.5301502026816108E-2</c:v>
                </c:pt>
                <c:pt idx="15">
                  <c:v>1.8682145390314851E-2</c:v>
                </c:pt>
                <c:pt idx="16">
                  <c:v>1.1805870208634902E-2</c:v>
                </c:pt>
                <c:pt idx="17">
                  <c:v>1.0102755354624999E-2</c:v>
                </c:pt>
                <c:pt idx="18">
                  <c:v>9.9613392951866768E-3</c:v>
                </c:pt>
                <c:pt idx="19">
                  <c:v>9.4208502691100291E-3</c:v>
                </c:pt>
                <c:pt idx="20">
                  <c:v>9.7480691857268226E-3</c:v>
                </c:pt>
                <c:pt idx="21">
                  <c:v>1.1519269335866224E-2</c:v>
                </c:pt>
                <c:pt idx="22">
                  <c:v>1.15148881290058E-2</c:v>
                </c:pt>
                <c:pt idx="23">
                  <c:v>1.083216985691344E-2</c:v>
                </c:pt>
                <c:pt idx="24">
                  <c:v>1.2124911058570055E-2</c:v>
                </c:pt>
                <c:pt idx="25">
                  <c:v>1.196575562170988E-2</c:v>
                </c:pt>
                <c:pt idx="26">
                  <c:v>1.2804657361079368E-2</c:v>
                </c:pt>
                <c:pt idx="27">
                  <c:v>1.3751016350035405E-2</c:v>
                </c:pt>
                <c:pt idx="28">
                  <c:v>1.2175948569102443E-2</c:v>
                </c:pt>
                <c:pt idx="29">
                  <c:v>1.2266517394826445E-2</c:v>
                </c:pt>
                <c:pt idx="30">
                  <c:v>1.4466309465765161E-2</c:v>
                </c:pt>
                <c:pt idx="31">
                  <c:v>1.453804745309948E-2</c:v>
                </c:pt>
                <c:pt idx="32">
                  <c:v>1.245315044846123E-2</c:v>
                </c:pt>
                <c:pt idx="33">
                  <c:v>1.0988009687886898E-2</c:v>
                </c:pt>
                <c:pt idx="34">
                  <c:v>1.0518343285390731E-2</c:v>
                </c:pt>
                <c:pt idx="35">
                  <c:v>1.1736623135991756E-2</c:v>
                </c:pt>
                <c:pt idx="36">
                  <c:v>1.2173390167958724E-2</c:v>
                </c:pt>
                <c:pt idx="37">
                  <c:v>1.2110829705752934E-2</c:v>
                </c:pt>
                <c:pt idx="38">
                  <c:v>1.3773511677871584E-2</c:v>
                </c:pt>
                <c:pt idx="39">
                  <c:v>1.2014567689040176E-2</c:v>
                </c:pt>
                <c:pt idx="40">
                  <c:v>1.3713967981457296E-2</c:v>
                </c:pt>
                <c:pt idx="41">
                  <c:v>1.5062354075298207E-2</c:v>
                </c:pt>
                <c:pt idx="42">
                  <c:v>1.5827948145022544E-2</c:v>
                </c:pt>
                <c:pt idx="43">
                  <c:v>1.5985619306266314E-2</c:v>
                </c:pt>
                <c:pt idx="44">
                  <c:v>1.5635003919274144E-2</c:v>
                </c:pt>
                <c:pt idx="45">
                  <c:v>1.5103498627074177E-2</c:v>
                </c:pt>
                <c:pt idx="46">
                  <c:v>1.5221957298322096E-2</c:v>
                </c:pt>
                <c:pt idx="47">
                  <c:v>1.5788952420833665E-2</c:v>
                </c:pt>
                <c:pt idx="48">
                  <c:v>1.6816293583789447E-2</c:v>
                </c:pt>
                <c:pt idx="49">
                  <c:v>1.7481451013224129E-2</c:v>
                </c:pt>
              </c:numCache>
            </c:numRef>
          </c:val>
          <c:extLst>
            <c:ext xmlns:c16="http://schemas.microsoft.com/office/drawing/2014/chart" uri="{C3380CC4-5D6E-409C-BE32-E72D297353CC}">
              <c16:uniqueId val="{00000004-F4B2-4E77-BCC4-E0FB72840454}"/>
            </c:ext>
          </c:extLst>
        </c:ser>
        <c:ser>
          <c:idx val="5"/>
          <c:order val="5"/>
          <c:tx>
            <c:strRef>
              <c:f>Theil!$B$108</c:f>
              <c:strCache>
                <c:ptCount val="1"/>
                <c:pt idx="0">
                  <c:v>North America</c:v>
                </c:pt>
              </c:strCache>
            </c:strRef>
          </c:tx>
          <c:spPr>
            <a:solidFill>
              <a:schemeClr val="accent6"/>
            </a:solidFill>
            <a:ln>
              <a:noFill/>
            </a:ln>
            <a:effectLst/>
          </c:spPr>
          <c:cat>
            <c:strRef>
              <c:f>Theil!$C$102:$AZ$102</c:f>
              <c:strCache>
                <c:ptCount val="50"/>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pt idx="48">
                  <c:v>2018</c:v>
                </c:pt>
                <c:pt idx="49">
                  <c:v>2019</c:v>
                </c:pt>
              </c:strCache>
            </c:strRef>
          </c:cat>
          <c:val>
            <c:numRef>
              <c:f>Theil!$C$108:$AZ$108</c:f>
              <c:numCache>
                <c:formatCode>_-* #,##0.0000_-;\-* #,##0.0000_-;_-* "-"??_-;_-@_-</c:formatCode>
                <c:ptCount val="50"/>
                <c:pt idx="0">
                  <c:v>2.2238006190760854E-4</c:v>
                </c:pt>
                <c:pt idx="1">
                  <c:v>1.8519485457633774E-4</c:v>
                </c:pt>
                <c:pt idx="2">
                  <c:v>1.2672804622177629E-4</c:v>
                </c:pt>
                <c:pt idx="3">
                  <c:v>7.4289061259419215E-5</c:v>
                </c:pt>
                <c:pt idx="4">
                  <c:v>2.8021786480434139E-6</c:v>
                </c:pt>
                <c:pt idx="5">
                  <c:v>5.430597499521683E-6</c:v>
                </c:pt>
                <c:pt idx="6">
                  <c:v>2.5403880357654711E-6</c:v>
                </c:pt>
                <c:pt idx="7">
                  <c:v>1.2980707415284742E-5</c:v>
                </c:pt>
                <c:pt idx="8">
                  <c:v>7.509260015895776E-5</c:v>
                </c:pt>
                <c:pt idx="9">
                  <c:v>7.6376373805623948E-5</c:v>
                </c:pt>
                <c:pt idx="10">
                  <c:v>4.7301513177350088E-5</c:v>
                </c:pt>
                <c:pt idx="11">
                  <c:v>5.7235230855681282E-5</c:v>
                </c:pt>
                <c:pt idx="12">
                  <c:v>8.1882713317045703E-5</c:v>
                </c:pt>
                <c:pt idx="13">
                  <c:v>8.9565692563275148E-5</c:v>
                </c:pt>
                <c:pt idx="14">
                  <c:v>1.9117647874776459E-4</c:v>
                </c:pt>
                <c:pt idx="15">
                  <c:v>2.8517015980585627E-4</c:v>
                </c:pt>
                <c:pt idx="16">
                  <c:v>2.9424653980600975E-4</c:v>
                </c:pt>
                <c:pt idx="17">
                  <c:v>1.5947449596944441E-4</c:v>
                </c:pt>
                <c:pt idx="18">
                  <c:v>5.8296805097909603E-5</c:v>
                </c:pt>
                <c:pt idx="19">
                  <c:v>3.944577856984824E-5</c:v>
                </c:pt>
                <c:pt idx="20">
                  <c:v>4.4533990302766354E-5</c:v>
                </c:pt>
                <c:pt idx="21">
                  <c:v>4.6537862806867271E-5</c:v>
                </c:pt>
                <c:pt idx="22">
                  <c:v>1.358822697607553E-4</c:v>
                </c:pt>
                <c:pt idx="23">
                  <c:v>2.5527441096409305E-4</c:v>
                </c:pt>
                <c:pt idx="24">
                  <c:v>3.5784530920770157E-4</c:v>
                </c:pt>
                <c:pt idx="25">
                  <c:v>3.4157454034842679E-4</c:v>
                </c:pt>
                <c:pt idx="26">
                  <c:v>3.825652892397582E-4</c:v>
                </c:pt>
                <c:pt idx="27">
                  <c:v>4.5373896778933475E-4</c:v>
                </c:pt>
                <c:pt idx="28">
                  <c:v>6.8512058312497571E-4</c:v>
                </c:pt>
                <c:pt idx="29">
                  <c:v>6.7287928211088005E-4</c:v>
                </c:pt>
                <c:pt idx="30">
                  <c:v>6.0931000373861365E-4</c:v>
                </c:pt>
                <c:pt idx="31">
                  <c:v>7.5151988983593548E-4</c:v>
                </c:pt>
                <c:pt idx="32">
                  <c:v>7.6950388150905092E-4</c:v>
                </c:pt>
                <c:pt idx="33">
                  <c:v>4.2943131934995699E-4</c:v>
                </c:pt>
                <c:pt idx="34">
                  <c:v>2.6340025870654225E-4</c:v>
                </c:pt>
                <c:pt idx="35">
                  <c:v>1.5092892011528097E-4</c:v>
                </c:pt>
                <c:pt idx="36">
                  <c:v>7.5442141873253475E-5</c:v>
                </c:pt>
                <c:pt idx="37">
                  <c:v>2.1788102093658396E-5</c:v>
                </c:pt>
                <c:pt idx="38">
                  <c:v>5.41600907912696E-6</c:v>
                </c:pt>
                <c:pt idx="39">
                  <c:v>7.6556776977313072E-5</c:v>
                </c:pt>
                <c:pt idx="40">
                  <c:v>1.7254707682683069E-6</c:v>
                </c:pt>
                <c:pt idx="41">
                  <c:v>7.0048231599297695E-6</c:v>
                </c:pt>
                <c:pt idx="42">
                  <c:v>1.6006293832495733E-6</c:v>
                </c:pt>
                <c:pt idx="43">
                  <c:v>2.9376438590324129E-7</c:v>
                </c:pt>
                <c:pt idx="44">
                  <c:v>2.27579525962328E-5</c:v>
                </c:pt>
                <c:pt idx="45">
                  <c:v>2.5178407340370397E-4</c:v>
                </c:pt>
                <c:pt idx="46">
                  <c:v>3.4789992416724743E-4</c:v>
                </c:pt>
                <c:pt idx="47">
                  <c:v>2.8707225573228781E-4</c:v>
                </c:pt>
                <c:pt idx="48">
                  <c:v>3.2925872160926651E-4</c:v>
                </c:pt>
                <c:pt idx="49">
                  <c:v>4.2346744147388047E-4</c:v>
                </c:pt>
              </c:numCache>
            </c:numRef>
          </c:val>
          <c:extLst>
            <c:ext xmlns:c16="http://schemas.microsoft.com/office/drawing/2014/chart" uri="{C3380CC4-5D6E-409C-BE32-E72D297353CC}">
              <c16:uniqueId val="{00000005-F4B2-4E77-BCC4-E0FB72840454}"/>
            </c:ext>
          </c:extLst>
        </c:ser>
        <c:ser>
          <c:idx val="6"/>
          <c:order val="6"/>
          <c:tx>
            <c:strRef>
              <c:f>Theil!$B$109</c:f>
              <c:strCache>
                <c:ptCount val="1"/>
                <c:pt idx="0">
                  <c:v>Pacific</c:v>
                </c:pt>
              </c:strCache>
            </c:strRef>
          </c:tx>
          <c:spPr>
            <a:solidFill>
              <a:schemeClr val="accent1">
                <a:lumMod val="60000"/>
              </a:schemeClr>
            </a:solidFill>
            <a:ln>
              <a:noFill/>
            </a:ln>
            <a:effectLst/>
          </c:spPr>
          <c:cat>
            <c:strRef>
              <c:f>Theil!$C$102:$AZ$102</c:f>
              <c:strCache>
                <c:ptCount val="50"/>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pt idx="48">
                  <c:v>2018</c:v>
                </c:pt>
                <c:pt idx="49">
                  <c:v>2019</c:v>
                </c:pt>
              </c:strCache>
            </c:strRef>
          </c:cat>
          <c:val>
            <c:numRef>
              <c:f>Theil!$C$109:$AZ$109</c:f>
              <c:numCache>
                <c:formatCode>_-* #,##0.0000_-;\-* #,##0.0000_-;_-* "-"??_-;_-@_-</c:formatCode>
                <c:ptCount val="50"/>
                <c:pt idx="0">
                  <c:v>1.896389405601805E-2</c:v>
                </c:pt>
                <c:pt idx="1">
                  <c:v>1.8168595280167316E-2</c:v>
                </c:pt>
                <c:pt idx="2">
                  <c:v>1.7963026368514424E-2</c:v>
                </c:pt>
                <c:pt idx="3">
                  <c:v>1.730324848786325E-2</c:v>
                </c:pt>
                <c:pt idx="4">
                  <c:v>2.214306089652435E-2</c:v>
                </c:pt>
                <c:pt idx="5">
                  <c:v>2.3479847088673757E-2</c:v>
                </c:pt>
                <c:pt idx="6">
                  <c:v>2.3968254809859684E-2</c:v>
                </c:pt>
                <c:pt idx="7">
                  <c:v>2.2255255504891051E-2</c:v>
                </c:pt>
                <c:pt idx="8">
                  <c:v>1.9745931080136805E-2</c:v>
                </c:pt>
                <c:pt idx="9">
                  <c:v>1.9596483319207547E-2</c:v>
                </c:pt>
                <c:pt idx="10">
                  <c:v>1.9727456482131384E-2</c:v>
                </c:pt>
                <c:pt idx="11">
                  <c:v>2.4115950456541267E-2</c:v>
                </c:pt>
                <c:pt idx="12">
                  <c:v>2.8383971980619163E-2</c:v>
                </c:pt>
                <c:pt idx="13">
                  <c:v>2.4764128763003761E-2</c:v>
                </c:pt>
                <c:pt idx="14">
                  <c:v>2.78555579067831E-2</c:v>
                </c:pt>
                <c:pt idx="15">
                  <c:v>2.4242748180583182E-2</c:v>
                </c:pt>
                <c:pt idx="16">
                  <c:v>2.023908442704191E-2</c:v>
                </c:pt>
                <c:pt idx="17">
                  <c:v>1.8849612904811474E-2</c:v>
                </c:pt>
                <c:pt idx="18">
                  <c:v>2.1236372823724061E-2</c:v>
                </c:pt>
                <c:pt idx="19">
                  <c:v>2.6878262595628984E-2</c:v>
                </c:pt>
                <c:pt idx="20">
                  <c:v>2.541379634882154E-2</c:v>
                </c:pt>
                <c:pt idx="21">
                  <c:v>2.4959829210785996E-2</c:v>
                </c:pt>
                <c:pt idx="22">
                  <c:v>2.3075426486730489E-2</c:v>
                </c:pt>
                <c:pt idx="23">
                  <c:v>2.114122304108447E-2</c:v>
                </c:pt>
                <c:pt idx="24">
                  <c:v>2.0291867463218045E-2</c:v>
                </c:pt>
                <c:pt idx="25">
                  <c:v>2.2325414860048142E-2</c:v>
                </c:pt>
                <c:pt idx="26">
                  <c:v>2.4030934661964494E-2</c:v>
                </c:pt>
                <c:pt idx="27">
                  <c:v>2.7084107715222339E-2</c:v>
                </c:pt>
                <c:pt idx="28">
                  <c:v>2.5844284135640872E-2</c:v>
                </c:pt>
                <c:pt idx="29">
                  <c:v>2.4469857552827923E-2</c:v>
                </c:pt>
                <c:pt idx="30">
                  <c:v>2.6191081308565119E-2</c:v>
                </c:pt>
                <c:pt idx="31">
                  <c:v>2.4093872023994753E-2</c:v>
                </c:pt>
                <c:pt idx="32">
                  <c:v>2.4558020959557256E-2</c:v>
                </c:pt>
                <c:pt idx="33">
                  <c:v>2.6257300934601401E-2</c:v>
                </c:pt>
                <c:pt idx="34">
                  <c:v>3.1214081484392274E-2</c:v>
                </c:pt>
                <c:pt idx="35">
                  <c:v>3.2776445712188906E-2</c:v>
                </c:pt>
                <c:pt idx="36">
                  <c:v>3.1229672811663563E-2</c:v>
                </c:pt>
                <c:pt idx="37">
                  <c:v>3.2686984767323214E-2</c:v>
                </c:pt>
                <c:pt idx="38">
                  <c:v>3.7574810553969946E-2</c:v>
                </c:pt>
                <c:pt idx="39">
                  <c:v>3.3718069331466774E-2</c:v>
                </c:pt>
                <c:pt idx="40">
                  <c:v>3.8568484147685045E-2</c:v>
                </c:pt>
                <c:pt idx="41">
                  <c:v>4.2655223382240835E-2</c:v>
                </c:pt>
                <c:pt idx="42">
                  <c:v>4.5961973073628919E-2</c:v>
                </c:pt>
                <c:pt idx="43">
                  <c:v>4.51927912021775E-2</c:v>
                </c:pt>
                <c:pt idx="44">
                  <c:v>3.9230426849010375E-2</c:v>
                </c:pt>
                <c:pt idx="45">
                  <c:v>3.7556613463770559E-2</c:v>
                </c:pt>
                <c:pt idx="46">
                  <c:v>3.2380342304274293E-2</c:v>
                </c:pt>
                <c:pt idx="47">
                  <c:v>3.3460812334281512E-2</c:v>
                </c:pt>
                <c:pt idx="48">
                  <c:v>3.4200733578583234E-2</c:v>
                </c:pt>
                <c:pt idx="49">
                  <c:v>3.210614008043592E-2</c:v>
                </c:pt>
              </c:numCache>
            </c:numRef>
          </c:val>
          <c:extLst>
            <c:ext xmlns:c16="http://schemas.microsoft.com/office/drawing/2014/chart" uri="{C3380CC4-5D6E-409C-BE32-E72D297353CC}">
              <c16:uniqueId val="{00000006-F4B2-4E77-BCC4-E0FB72840454}"/>
            </c:ext>
          </c:extLst>
        </c:ser>
        <c:ser>
          <c:idx val="7"/>
          <c:order val="7"/>
          <c:tx>
            <c:strRef>
              <c:f>Theil!$B$110</c:f>
              <c:strCache>
                <c:ptCount val="1"/>
                <c:pt idx="0">
                  <c:v>South Asia</c:v>
                </c:pt>
              </c:strCache>
            </c:strRef>
          </c:tx>
          <c:spPr>
            <a:solidFill>
              <a:schemeClr val="accent2">
                <a:lumMod val="60000"/>
              </a:schemeClr>
            </a:solidFill>
            <a:ln>
              <a:noFill/>
            </a:ln>
            <a:effectLst/>
          </c:spPr>
          <c:cat>
            <c:strRef>
              <c:f>Theil!$C$102:$AZ$102</c:f>
              <c:strCache>
                <c:ptCount val="50"/>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pt idx="48">
                  <c:v>2018</c:v>
                </c:pt>
                <c:pt idx="49">
                  <c:v>2019</c:v>
                </c:pt>
              </c:strCache>
            </c:strRef>
          </c:cat>
          <c:val>
            <c:numRef>
              <c:f>Theil!$C$110:$AZ$110</c:f>
              <c:numCache>
                <c:formatCode>_-* #,##0.0000_-;\-* #,##0.0000_-;_-* "-"??_-;_-@_-</c:formatCode>
                <c:ptCount val="50"/>
                <c:pt idx="0">
                  <c:v>8.2516169985826082E-5</c:v>
                </c:pt>
                <c:pt idx="1">
                  <c:v>6.842552360182357E-5</c:v>
                </c:pt>
                <c:pt idx="2">
                  <c:v>4.4923295991256316E-5</c:v>
                </c:pt>
                <c:pt idx="3">
                  <c:v>4.4949918690370826E-5</c:v>
                </c:pt>
                <c:pt idx="4">
                  <c:v>3.2665713990829228E-5</c:v>
                </c:pt>
                <c:pt idx="5">
                  <c:v>9.9741729576024898E-5</c:v>
                </c:pt>
                <c:pt idx="6">
                  <c:v>2.4867644735728355E-5</c:v>
                </c:pt>
                <c:pt idx="7">
                  <c:v>4.2811887425031843E-5</c:v>
                </c:pt>
                <c:pt idx="8">
                  <c:v>1.9181756113458626E-5</c:v>
                </c:pt>
                <c:pt idx="9">
                  <c:v>1.4328603610146242E-5</c:v>
                </c:pt>
                <c:pt idx="10">
                  <c:v>1.9768880822376325E-5</c:v>
                </c:pt>
                <c:pt idx="11">
                  <c:v>2.5135426163372409E-5</c:v>
                </c:pt>
                <c:pt idx="12">
                  <c:v>3.9732543696842903E-5</c:v>
                </c:pt>
                <c:pt idx="13">
                  <c:v>3.700857338944705E-5</c:v>
                </c:pt>
                <c:pt idx="14">
                  <c:v>3.7531051243240971E-5</c:v>
                </c:pt>
                <c:pt idx="15">
                  <c:v>2.3613150996225725E-5</c:v>
                </c:pt>
                <c:pt idx="16">
                  <c:v>2.467334479499354E-5</c:v>
                </c:pt>
                <c:pt idx="17">
                  <c:v>2.3381791434435547E-5</c:v>
                </c:pt>
                <c:pt idx="18">
                  <c:v>1.9676552927687624E-5</c:v>
                </c:pt>
                <c:pt idx="19">
                  <c:v>1.5569359957775036E-5</c:v>
                </c:pt>
                <c:pt idx="20">
                  <c:v>1.4134103127749018E-5</c:v>
                </c:pt>
                <c:pt idx="21">
                  <c:v>2.5210699987475065E-5</c:v>
                </c:pt>
                <c:pt idx="22">
                  <c:v>2.969127295949847E-5</c:v>
                </c:pt>
                <c:pt idx="23">
                  <c:v>3.853926453451634E-5</c:v>
                </c:pt>
                <c:pt idx="24">
                  <c:v>2.8936050261527588E-5</c:v>
                </c:pt>
                <c:pt idx="25">
                  <c:v>3.2743956996898659E-5</c:v>
                </c:pt>
                <c:pt idx="26">
                  <c:v>2.8295174334360247E-5</c:v>
                </c:pt>
                <c:pt idx="27">
                  <c:v>2.7022157276201702E-5</c:v>
                </c:pt>
                <c:pt idx="28">
                  <c:v>2.896775347239297E-5</c:v>
                </c:pt>
                <c:pt idx="29">
                  <c:v>2.5162004275303934E-5</c:v>
                </c:pt>
                <c:pt idx="30">
                  <c:v>3.7227477537960165E-5</c:v>
                </c:pt>
                <c:pt idx="31">
                  <c:v>2.814979213118412E-5</c:v>
                </c:pt>
                <c:pt idx="32">
                  <c:v>2.7387269957519989E-5</c:v>
                </c:pt>
                <c:pt idx="33">
                  <c:v>3.175668742214703E-5</c:v>
                </c:pt>
                <c:pt idx="34">
                  <c:v>3.5112433178177802E-5</c:v>
                </c:pt>
                <c:pt idx="35">
                  <c:v>4.4606253367998239E-5</c:v>
                </c:pt>
                <c:pt idx="36">
                  <c:v>5.9013888663241544E-5</c:v>
                </c:pt>
                <c:pt idx="37">
                  <c:v>8.4407588881357489E-5</c:v>
                </c:pt>
                <c:pt idx="38">
                  <c:v>6.7468985677677999E-5</c:v>
                </c:pt>
                <c:pt idx="39">
                  <c:v>7.5977740018345004E-5</c:v>
                </c:pt>
                <c:pt idx="40">
                  <c:v>1.27425757846918E-4</c:v>
                </c:pt>
                <c:pt idx="41">
                  <c:v>1.1588829085149443E-4</c:v>
                </c:pt>
                <c:pt idx="42">
                  <c:v>1.1264235062751732E-4</c:v>
                </c:pt>
                <c:pt idx="43">
                  <c:v>1.070068921059513E-4</c:v>
                </c:pt>
                <c:pt idx="44">
                  <c:v>1.0875263951047019E-4</c:v>
                </c:pt>
                <c:pt idx="45">
                  <c:v>9.604560567099298E-5</c:v>
                </c:pt>
                <c:pt idx="46">
                  <c:v>9.8851106545683672E-5</c:v>
                </c:pt>
                <c:pt idx="47">
                  <c:v>1.0578324762321936E-4</c:v>
                </c:pt>
                <c:pt idx="48">
                  <c:v>8.9868083138221961E-5</c:v>
                </c:pt>
                <c:pt idx="49">
                  <c:v>1.2043642565295551E-4</c:v>
                </c:pt>
              </c:numCache>
            </c:numRef>
          </c:val>
          <c:extLst>
            <c:ext xmlns:c16="http://schemas.microsoft.com/office/drawing/2014/chart" uri="{C3380CC4-5D6E-409C-BE32-E72D297353CC}">
              <c16:uniqueId val="{00000007-F4B2-4E77-BCC4-E0FB72840454}"/>
            </c:ext>
          </c:extLst>
        </c:ser>
        <c:ser>
          <c:idx val="8"/>
          <c:order val="8"/>
          <c:tx>
            <c:strRef>
              <c:f>Theil!$B$111</c:f>
              <c:strCache>
                <c:ptCount val="1"/>
                <c:pt idx="0">
                  <c:v>Sub-Saharan Africa</c:v>
                </c:pt>
              </c:strCache>
            </c:strRef>
          </c:tx>
          <c:spPr>
            <a:solidFill>
              <a:schemeClr val="accent3">
                <a:lumMod val="60000"/>
              </a:schemeClr>
            </a:solidFill>
            <a:ln>
              <a:noFill/>
            </a:ln>
            <a:effectLst/>
          </c:spPr>
          <c:cat>
            <c:strRef>
              <c:f>Theil!$C$102:$AZ$102</c:f>
              <c:strCache>
                <c:ptCount val="50"/>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pt idx="48">
                  <c:v>2018</c:v>
                </c:pt>
                <c:pt idx="49">
                  <c:v>2019</c:v>
                </c:pt>
              </c:strCache>
            </c:strRef>
          </c:cat>
          <c:val>
            <c:numRef>
              <c:f>Theil!$C$111:$AZ$111</c:f>
              <c:numCache>
                <c:formatCode>_-* #,##0.0000_-;\-* #,##0.0000_-;_-* "-"??_-;_-@_-</c:formatCode>
                <c:ptCount val="50"/>
                <c:pt idx="0">
                  <c:v>2.0632060537523891E-2</c:v>
                </c:pt>
                <c:pt idx="1">
                  <c:v>2.2609437671393659E-2</c:v>
                </c:pt>
                <c:pt idx="2">
                  <c:v>1.883781832039948E-2</c:v>
                </c:pt>
                <c:pt idx="3">
                  <c:v>2.2806884517739837E-2</c:v>
                </c:pt>
                <c:pt idx="4">
                  <c:v>2.5420014133433904E-2</c:v>
                </c:pt>
                <c:pt idx="5">
                  <c:v>2.2445373494702468E-2</c:v>
                </c:pt>
                <c:pt idx="6">
                  <c:v>2.0201824820574074E-2</c:v>
                </c:pt>
                <c:pt idx="7">
                  <c:v>1.8519777456052103E-2</c:v>
                </c:pt>
                <c:pt idx="8">
                  <c:v>1.6825826509875016E-2</c:v>
                </c:pt>
                <c:pt idx="9">
                  <c:v>1.8191238128465324E-2</c:v>
                </c:pt>
                <c:pt idx="10">
                  <c:v>2.6683646614360981E-2</c:v>
                </c:pt>
                <c:pt idx="11">
                  <c:v>3.9644901249601412E-2</c:v>
                </c:pt>
                <c:pt idx="12">
                  <c:v>3.3380928961337181E-2</c:v>
                </c:pt>
                <c:pt idx="13">
                  <c:v>3.0321925456389183E-2</c:v>
                </c:pt>
                <c:pt idx="14">
                  <c:v>2.4279799828361075E-2</c:v>
                </c:pt>
                <c:pt idx="15">
                  <c:v>1.6532422869101747E-2</c:v>
                </c:pt>
                <c:pt idx="16">
                  <c:v>1.4967484334596336E-2</c:v>
                </c:pt>
                <c:pt idx="17">
                  <c:v>1.9070214669563951E-2</c:v>
                </c:pt>
                <c:pt idx="18">
                  <c:v>1.7967456232116194E-2</c:v>
                </c:pt>
                <c:pt idx="19">
                  <c:v>1.8435566353542855E-2</c:v>
                </c:pt>
                <c:pt idx="20">
                  <c:v>1.9556473150994774E-2</c:v>
                </c:pt>
                <c:pt idx="21">
                  <c:v>2.0284293595537489E-2</c:v>
                </c:pt>
                <c:pt idx="22">
                  <c:v>2.2117749009898366E-2</c:v>
                </c:pt>
                <c:pt idx="23">
                  <c:v>2.3198302306735741E-2</c:v>
                </c:pt>
                <c:pt idx="24">
                  <c:v>2.2665875053957302E-2</c:v>
                </c:pt>
                <c:pt idx="25">
                  <c:v>2.1841048070544926E-2</c:v>
                </c:pt>
                <c:pt idx="26">
                  <c:v>1.9300442448817994E-2</c:v>
                </c:pt>
                <c:pt idx="27">
                  <c:v>1.9662785903820541E-2</c:v>
                </c:pt>
                <c:pt idx="28">
                  <c:v>1.6762867052602954E-2</c:v>
                </c:pt>
                <c:pt idx="29">
                  <c:v>1.6149827839610022E-2</c:v>
                </c:pt>
                <c:pt idx="30">
                  <c:v>1.4218511362298007E-2</c:v>
                </c:pt>
                <c:pt idx="31">
                  <c:v>1.277432665009459E-2</c:v>
                </c:pt>
                <c:pt idx="32">
                  <c:v>1.0928960994843249E-2</c:v>
                </c:pt>
                <c:pt idx="33">
                  <c:v>1.6493453906036532E-2</c:v>
                </c:pt>
                <c:pt idx="34">
                  <c:v>2.0094601955417003E-2</c:v>
                </c:pt>
                <c:pt idx="35">
                  <c:v>2.0919566471768066E-2</c:v>
                </c:pt>
                <c:pt idx="36">
                  <c:v>1.9674427813561029E-2</c:v>
                </c:pt>
                <c:pt idx="37">
                  <c:v>1.9031454587402664E-2</c:v>
                </c:pt>
                <c:pt idx="38">
                  <c:v>1.6422680909560759E-2</c:v>
                </c:pt>
                <c:pt idx="39">
                  <c:v>1.6561712644404813E-2</c:v>
                </c:pt>
                <c:pt idx="40">
                  <c:v>2.0436939233578977E-2</c:v>
                </c:pt>
                <c:pt idx="41">
                  <c:v>2.0529237138575632E-2</c:v>
                </c:pt>
                <c:pt idx="42">
                  <c:v>1.8806228477775782E-2</c:v>
                </c:pt>
                <c:pt idx="43">
                  <c:v>1.6723807009809393E-2</c:v>
                </c:pt>
                <c:pt idx="44">
                  <c:v>1.5586144499688004E-2</c:v>
                </c:pt>
                <c:pt idx="45">
                  <c:v>1.3617271664530698E-2</c:v>
                </c:pt>
                <c:pt idx="46">
                  <c:v>1.1470400133710276E-2</c:v>
                </c:pt>
                <c:pt idx="47">
                  <c:v>1.2617525513473959E-2</c:v>
                </c:pt>
                <c:pt idx="48">
                  <c:v>1.2666994386362278E-2</c:v>
                </c:pt>
                <c:pt idx="49">
                  <c:v>1.228960137848905E-2</c:v>
                </c:pt>
              </c:numCache>
            </c:numRef>
          </c:val>
          <c:extLst>
            <c:ext xmlns:c16="http://schemas.microsoft.com/office/drawing/2014/chart" uri="{C3380CC4-5D6E-409C-BE32-E72D297353CC}">
              <c16:uniqueId val="{00000008-F4B2-4E77-BCC4-E0FB72840454}"/>
            </c:ext>
          </c:extLst>
        </c:ser>
        <c:ser>
          <c:idx val="9"/>
          <c:order val="9"/>
          <c:tx>
            <c:strRef>
              <c:f>Theil!$B$112</c:f>
              <c:strCache>
                <c:ptCount val="1"/>
                <c:pt idx="0">
                  <c:v>Interbloc</c:v>
                </c:pt>
              </c:strCache>
            </c:strRef>
          </c:tx>
          <c:spPr>
            <a:solidFill>
              <a:schemeClr val="accent4">
                <a:lumMod val="60000"/>
              </a:schemeClr>
            </a:solidFill>
            <a:ln>
              <a:noFill/>
            </a:ln>
            <a:effectLst/>
          </c:spPr>
          <c:cat>
            <c:strRef>
              <c:f>Theil!$C$102:$AZ$102</c:f>
              <c:strCache>
                <c:ptCount val="50"/>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pt idx="48">
                  <c:v>2018</c:v>
                </c:pt>
                <c:pt idx="49">
                  <c:v>2019</c:v>
                </c:pt>
              </c:strCache>
            </c:strRef>
          </c:cat>
          <c:val>
            <c:numRef>
              <c:f>Theil!$C$112:$AZ$112</c:f>
              <c:numCache>
                <c:formatCode>_-* #,##0.0000_-;\-* #,##0.0000_-;_-* "-"??_-;_-@_-</c:formatCode>
                <c:ptCount val="50"/>
                <c:pt idx="0">
                  <c:v>0.8435249967665841</c:v>
                </c:pt>
                <c:pt idx="1">
                  <c:v>0.85601245831565387</c:v>
                </c:pt>
                <c:pt idx="2">
                  <c:v>0.85670418066492926</c:v>
                </c:pt>
                <c:pt idx="3">
                  <c:v>0.83261271774625345</c:v>
                </c:pt>
                <c:pt idx="4">
                  <c:v>0.80842713668985156</c:v>
                </c:pt>
                <c:pt idx="5">
                  <c:v>0.82318642331472625</c:v>
                </c:pt>
                <c:pt idx="6">
                  <c:v>0.8469008546905642</c:v>
                </c:pt>
                <c:pt idx="7">
                  <c:v>0.84395154674176931</c:v>
                </c:pt>
                <c:pt idx="8">
                  <c:v>0.87140790615480723</c:v>
                </c:pt>
                <c:pt idx="9">
                  <c:v>0.87284374297049916</c:v>
                </c:pt>
                <c:pt idx="10">
                  <c:v>0.86357349042525655</c:v>
                </c:pt>
                <c:pt idx="11">
                  <c:v>0.83623163853652427</c:v>
                </c:pt>
                <c:pt idx="12">
                  <c:v>0.86088984068784735</c:v>
                </c:pt>
                <c:pt idx="13">
                  <c:v>0.89384344023642748</c:v>
                </c:pt>
                <c:pt idx="14">
                  <c:v>0.92568118506637653</c:v>
                </c:pt>
                <c:pt idx="15">
                  <c:v>0.93435676094134357</c:v>
                </c:pt>
                <c:pt idx="16">
                  <c:v>0.95826189865527422</c:v>
                </c:pt>
                <c:pt idx="17">
                  <c:v>0.98183916716402586</c:v>
                </c:pt>
                <c:pt idx="18">
                  <c:v>0.98983109502989708</c:v>
                </c:pt>
                <c:pt idx="19">
                  <c:v>0.99541358211762332</c:v>
                </c:pt>
                <c:pt idx="20">
                  <c:v>1.0050189904869367</c:v>
                </c:pt>
                <c:pt idx="21">
                  <c:v>1.0023371985908305</c:v>
                </c:pt>
                <c:pt idx="22">
                  <c:v>1.0194314450264421</c:v>
                </c:pt>
                <c:pt idx="23">
                  <c:v>1.0062467725375674</c:v>
                </c:pt>
                <c:pt idx="24">
                  <c:v>0.99460938917531261</c:v>
                </c:pt>
                <c:pt idx="25">
                  <c:v>0.98647955475939453</c:v>
                </c:pt>
                <c:pt idx="26">
                  <c:v>0.96893656836644104</c:v>
                </c:pt>
                <c:pt idx="27">
                  <c:v>0.95197239968497571</c:v>
                </c:pt>
                <c:pt idx="28">
                  <c:v>0.96241331216379544</c:v>
                </c:pt>
                <c:pt idx="29">
                  <c:v>0.9778392004250791</c:v>
                </c:pt>
                <c:pt idx="30">
                  <c:v>0.96167265817761316</c:v>
                </c:pt>
                <c:pt idx="31">
                  <c:v>0.96956410777481106</c:v>
                </c:pt>
                <c:pt idx="32">
                  <c:v>0.98096707516346893</c:v>
                </c:pt>
                <c:pt idx="33">
                  <c:v>0.9783582254261427</c:v>
                </c:pt>
                <c:pt idx="34">
                  <c:v>0.95957702397866451</c:v>
                </c:pt>
                <c:pt idx="35">
                  <c:v>0.92596442162334314</c:v>
                </c:pt>
                <c:pt idx="36">
                  <c:v>0.89515090147565257</c:v>
                </c:pt>
                <c:pt idx="37">
                  <c:v>0.85444932468561285</c:v>
                </c:pt>
                <c:pt idx="38">
                  <c:v>0.81279035278556322</c:v>
                </c:pt>
                <c:pt idx="39">
                  <c:v>0.7743882865670858</c:v>
                </c:pt>
                <c:pt idx="40">
                  <c:v>0.71056403102490806</c:v>
                </c:pt>
                <c:pt idx="41">
                  <c:v>0.67679360460139648</c:v>
                </c:pt>
                <c:pt idx="42">
                  <c:v>0.6573715209386688</c:v>
                </c:pt>
                <c:pt idx="43">
                  <c:v>0.64795153941162853</c:v>
                </c:pt>
                <c:pt idx="44">
                  <c:v>0.63794057433854101</c:v>
                </c:pt>
                <c:pt idx="45">
                  <c:v>0.63169054425433857</c:v>
                </c:pt>
                <c:pt idx="46">
                  <c:v>0.63449402232536944</c:v>
                </c:pt>
                <c:pt idx="47">
                  <c:v>0.61671029060071236</c:v>
                </c:pt>
                <c:pt idx="48">
                  <c:v>0.62096028207367782</c:v>
                </c:pt>
                <c:pt idx="49">
                  <c:v>0.62212731088921414</c:v>
                </c:pt>
              </c:numCache>
            </c:numRef>
          </c:val>
          <c:extLst>
            <c:ext xmlns:c16="http://schemas.microsoft.com/office/drawing/2014/chart" uri="{C3380CC4-5D6E-409C-BE32-E72D297353CC}">
              <c16:uniqueId val="{00000009-F4B2-4E77-BCC4-E0FB72840454}"/>
            </c:ext>
          </c:extLst>
        </c:ser>
        <c:dLbls>
          <c:showLegendKey val="0"/>
          <c:showVal val="0"/>
          <c:showCatName val="0"/>
          <c:showSerName val="0"/>
          <c:showPercent val="0"/>
          <c:showBubbleSize val="0"/>
        </c:dLbls>
        <c:axId val="311517471"/>
        <c:axId val="311510399"/>
      </c:areaChart>
      <c:catAx>
        <c:axId val="311517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1510399"/>
        <c:crosses val="autoZero"/>
        <c:auto val="1"/>
        <c:lblAlgn val="ctr"/>
        <c:lblOffset val="100"/>
        <c:noMultiLvlLbl val="0"/>
      </c:catAx>
      <c:valAx>
        <c:axId val="311510399"/>
        <c:scaling>
          <c:orientation val="minMax"/>
        </c:scaling>
        <c:delete val="0"/>
        <c:axPos val="l"/>
        <c:majorGridlines>
          <c:spPr>
            <a:ln w="9525" cap="flat" cmpd="sng" algn="ctr">
              <a:solidFill>
                <a:schemeClr val="tx1">
                  <a:lumMod val="15000"/>
                  <a:lumOff val="85000"/>
                </a:schemeClr>
              </a:solidFill>
              <a:round/>
            </a:ln>
            <a:effectLst/>
          </c:spPr>
        </c:majorGridlines>
        <c:numFmt formatCode="_-* #,##0.0000_-;\-* #,##0.00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15174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C1C7C9D-B587-4EB2-9E45-96A707DF7CF4}">
  <sheetPr codeName="Chart5"/>
  <sheetViews>
    <sheetView zoomScale="120"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77D2EA28-A90B-4683-A874-04B4CE949FC3}">
  <sheetPr codeName="Chart6"/>
  <sheetViews>
    <sheetView zoomScale="120"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8659813" cy="6286500"/>
    <xdr:graphicFrame macro="">
      <xdr:nvGraphicFramePr>
        <xdr:cNvPr id="2" name="Chart 1">
          <a:extLst>
            <a:ext uri="{FF2B5EF4-FFF2-40B4-BE49-F238E27FC236}">
              <a16:creationId xmlns:a16="http://schemas.microsoft.com/office/drawing/2014/main" id="{A791A2F4-CF40-4C22-AEEE-255A2579D26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8659813" cy="6286500"/>
    <xdr:graphicFrame macro="">
      <xdr:nvGraphicFramePr>
        <xdr:cNvPr id="2" name="Chart 1">
          <a:extLst>
            <a:ext uri="{FF2B5EF4-FFF2-40B4-BE49-F238E27FC236}">
              <a16:creationId xmlns:a16="http://schemas.microsoft.com/office/drawing/2014/main" id="{FC8BC22F-4F5F-4EAB-AC38-A0734A18854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free/source/repos/MACROHISTORY/REPORTS/International%20Inequality%20Dispersion%2015.03.201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free/Documents/Github/MacroEconomic%20History/DATA/VALIDATIONS/Theil/Theil%20Comparison%206%20December%202020.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afree/source/repos/MACROHISTORY/REPORTS/Working%20Paper%202%20(inequality)%20Complete%20with%20Offline%20Dataset,%20Charts,%20Tables,%20Indexed%20and%20Annotated%2017.04.2019.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afree/AppData/Roaming/Microsoft/AddIns/Test%20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Geography"/>
      <sheetName val="Src UN Pop"/>
      <sheetName val="Src UN GDP"/>
      <sheetName val="Src MADDISON PPP"/>
      <sheetName val="Src PENN GDP"/>
      <sheetName val="SRC Quintiles"/>
      <sheetName val="Calc USD"/>
      <sheetName val="Dispersion PENN GDP-Cap"/>
      <sheetName val="Dispersion UN GD-Cap"/>
      <sheetName val="Table x top quartile"/>
      <sheetName val="Dispersion UN Ratios"/>
      <sheetName val="Dispersion Charts Calc"/>
      <sheetName val="Dispersion Weighted"/>
      <sheetName val="Table 1"/>
      <sheetName val="Dispersion PPP UN Geography"/>
      <sheetName val="Price Levels"/>
      <sheetName val="NORTH ADVANTAGE"/>
      <sheetName val="Price Levels Regressions"/>
      <sheetName val="CH REGRESS"/>
      <sheetName val="CH 1970"/>
      <sheetName val="CH1980"/>
      <sheetName val="CH 1990"/>
      <sheetName val="CH2000"/>
      <sheetName val="CH2010"/>
      <sheetName val="CH2016"/>
      <sheetName val="CHART SOUTH UNWEIGHTED IQ RANGE"/>
      <sheetName val="CHART PPP MAXMIN"/>
      <sheetName val="CHART SOUTH INTERQUARTILE"/>
      <sheetName val="CHART SOUTH MAXMIN QUARTILES"/>
      <sheetName val="CHART SOUTH QUART + MIN"/>
      <sheetName val="CHART NORTH QUART+MAXMIN"/>
      <sheetName val="CHART NORTH MAX-MIN"/>
      <sheetName val="CHART ALL MAX-MIN"/>
      <sheetName val="CHART NORTH INTERQUARTILE"/>
      <sheetName val="CHART MAXMIN SOUTH"/>
      <sheetName val="CH Q1-Q4 UN"/>
      <sheetName val="CH dispersion measures"/>
    </sheetNames>
    <sheetDataSet>
      <sheetData sheetId="0"/>
      <sheetData sheetId="1"/>
      <sheetData sheetId="2"/>
      <sheetData sheetId="3"/>
      <sheetData sheetId="4"/>
      <sheetData sheetId="5"/>
      <sheetData sheetId="6"/>
      <sheetData sheetId="7"/>
      <sheetData sheetId="8"/>
      <sheetData sheetId="9"/>
      <sheetData sheetId="10"/>
      <sheetData sheetId="11">
        <row r="5">
          <cell r="AZ5" t="str">
            <v>China Mainland</v>
          </cell>
          <cell r="BA5">
            <v>11.931175348929909</v>
          </cell>
          <cell r="BB5">
            <v>2.1063052556712782</v>
          </cell>
          <cell r="BC5">
            <v>3.1714588888523361</v>
          </cell>
          <cell r="BD5">
            <v>1.7860879108751808</v>
          </cell>
        </row>
        <row r="6">
          <cell r="AZ6" t="str">
            <v>Australia</v>
          </cell>
          <cell r="BA6">
            <v>1.4071041526480221</v>
          </cell>
          <cell r="BB6">
            <v>0.84910818011412748</v>
          </cell>
          <cell r="BC6">
            <v>1.8262946337456429</v>
          </cell>
          <cell r="BD6">
            <v>0.90738663231617955</v>
          </cell>
        </row>
        <row r="7">
          <cell r="AZ7" t="str">
            <v>Austria</v>
          </cell>
          <cell r="BA7">
            <v>1.0341907152930558</v>
          </cell>
          <cell r="BB7">
            <v>0.85486484835687704</v>
          </cell>
          <cell r="BC7">
            <v>1.2727478552487208</v>
          </cell>
          <cell r="BD7">
            <v>0.95051899716112331</v>
          </cell>
        </row>
        <row r="8">
          <cell r="AZ8" t="str">
            <v>Belgium</v>
          </cell>
          <cell r="BA8">
            <v>0.97615699653916144</v>
          </cell>
          <cell r="BB8">
            <v>0.84615387313684032</v>
          </cell>
          <cell r="BC8">
            <v>1.2742700119579475</v>
          </cell>
          <cell r="BD8">
            <v>0.90533406515467862</v>
          </cell>
        </row>
        <row r="9">
          <cell r="AZ9" t="str">
            <v>Canada</v>
          </cell>
          <cell r="BA9">
            <v>0.97514739682138962</v>
          </cell>
          <cell r="BB9">
            <v>0.84697933767597644</v>
          </cell>
          <cell r="BC9">
            <v>1.3011260516331467</v>
          </cell>
          <cell r="BD9">
            <v>0.88486715999393672</v>
          </cell>
        </row>
        <row r="10">
          <cell r="AZ10" t="str">
            <v>Cyprus</v>
          </cell>
          <cell r="BA10">
            <v>1.0736421642137974</v>
          </cell>
          <cell r="BB10">
            <v>1.0036262973878332</v>
          </cell>
          <cell r="BC10">
            <v>1.4218840920265954</v>
          </cell>
          <cell r="BD10">
            <v>0.7523559000723461</v>
          </cell>
        </row>
        <row r="11">
          <cell r="AZ11" t="str">
            <v>Denmark</v>
          </cell>
          <cell r="BA11">
            <v>0.99687595789198979</v>
          </cell>
          <cell r="BB11">
            <v>0.86083164123641254</v>
          </cell>
          <cell r="BC11">
            <v>1.2585191668876685</v>
          </cell>
          <cell r="BD11">
            <v>0.92015939801917324</v>
          </cell>
        </row>
        <row r="12">
          <cell r="AZ12" t="str">
            <v>Finland</v>
          </cell>
          <cell r="BA12">
            <v>0.74597039661547693</v>
          </cell>
          <cell r="BB12">
            <v>0.64307600555905042</v>
          </cell>
          <cell r="BC12">
            <v>1.2686024710964217</v>
          </cell>
          <cell r="BD12">
            <v>0.91439477251324486</v>
          </cell>
        </row>
        <row r="13">
          <cell r="AZ13" t="str">
            <v>France</v>
          </cell>
          <cell r="BA13">
            <v>0.82714580769224755</v>
          </cell>
          <cell r="BB13">
            <v>0.77008741949753223</v>
          </cell>
          <cell r="BC13">
            <v>1.2238480683663349</v>
          </cell>
          <cell r="BD13">
            <v>0.87763621862548469</v>
          </cell>
        </row>
        <row r="14">
          <cell r="AZ14" t="str">
            <v>Germany</v>
          </cell>
          <cell r="BA14">
            <v>0.93770970893429617</v>
          </cell>
          <cell r="BB14">
            <v>0.80954530542247727</v>
          </cell>
          <cell r="BC14">
            <v>1.1777271302045056</v>
          </cell>
          <cell r="BD14">
            <v>0.98351859284252729</v>
          </cell>
        </row>
        <row r="15">
          <cell r="AZ15" t="str">
            <v>Iceland</v>
          </cell>
          <cell r="BA15">
            <v>1.3549753797271757</v>
          </cell>
          <cell r="BB15">
            <v>0.96693313413076631</v>
          </cell>
          <cell r="BC15">
            <v>0.88695883392198882</v>
          </cell>
          <cell r="BD15">
            <v>1.5799069076552963</v>
          </cell>
        </row>
        <row r="16">
          <cell r="AZ16" t="str">
            <v>Ireland</v>
          </cell>
          <cell r="BA16">
            <v>2.3256654772908836</v>
          </cell>
          <cell r="BB16">
            <v>1.4116151636225509</v>
          </cell>
          <cell r="BC16">
            <v>1.2328311306831357</v>
          </cell>
          <cell r="BD16">
            <v>1.3363719114959356</v>
          </cell>
        </row>
        <row r="17">
          <cell r="AZ17" t="str">
            <v>Israel</v>
          </cell>
          <cell r="BA17">
            <v>1.5063517650578806</v>
          </cell>
          <cell r="BB17">
            <v>1.2655883578894078</v>
          </cell>
          <cell r="BC17">
            <v>0.95700768212956899</v>
          </cell>
          <cell r="BD17">
            <v>1.2437082225214233</v>
          </cell>
        </row>
        <row r="18">
          <cell r="AZ18" t="str">
            <v>Italy</v>
          </cell>
          <cell r="BA18">
            <v>0.73546065535271588</v>
          </cell>
          <cell r="BB18">
            <v>0.72492428173930989</v>
          </cell>
          <cell r="BC18">
            <v>1.194736080985384</v>
          </cell>
          <cell r="BD18">
            <v>0.84917034249774448</v>
          </cell>
        </row>
        <row r="19">
          <cell r="AZ19" t="str">
            <v>Japan</v>
          </cell>
          <cell r="BA19">
            <v>0.70646054279830339</v>
          </cell>
          <cell r="BB19">
            <v>1.1478810293510939</v>
          </cell>
          <cell r="BC19">
            <v>0.77089402465012646</v>
          </cell>
          <cell r="BD19">
            <v>0.79835555738857999</v>
          </cell>
        </row>
        <row r="20">
          <cell r="AZ20">
            <v>0</v>
          </cell>
          <cell r="BA20" t="e">
            <v>#DIV/0!</v>
          </cell>
          <cell r="BB20" t="e">
            <v>#DIV/0!</v>
          </cell>
          <cell r="BC20" t="e">
            <v>#DIV/0!</v>
          </cell>
          <cell r="BD20" t="e">
            <v>#DIV/0!</v>
          </cell>
        </row>
        <row r="21">
          <cell r="AZ21" t="str">
            <v>Netherlands</v>
          </cell>
          <cell r="BA21">
            <v>1.066495495118837</v>
          </cell>
          <cell r="BB21">
            <v>0.92507850295720861</v>
          </cell>
          <cell r="BC21">
            <v>1.295720271996363</v>
          </cell>
          <cell r="BD21">
            <v>0.88975243027593975</v>
          </cell>
        </row>
        <row r="22">
          <cell r="AZ22" t="str">
            <v>New Zealand</v>
          </cell>
          <cell r="BA22">
            <v>1.4900226465140474</v>
          </cell>
          <cell r="BB22">
            <v>0.79398100481562461</v>
          </cell>
          <cell r="BC22">
            <v>1.5894272312548783</v>
          </cell>
          <cell r="BD22">
            <v>1.1807069164699107</v>
          </cell>
        </row>
        <row r="23">
          <cell r="AZ23" t="str">
            <v>Norway</v>
          </cell>
          <cell r="BA23">
            <v>1.2380928245738634</v>
          </cell>
          <cell r="BB23">
            <v>1.0123002486733685</v>
          </cell>
          <cell r="BC23">
            <v>1.5401084615528597</v>
          </cell>
          <cell r="BD23">
            <v>0.79413174334844538</v>
          </cell>
        </row>
        <row r="24">
          <cell r="AZ24" t="str">
            <v>Portugal</v>
          </cell>
          <cell r="BA24">
            <v>1.1081779342281051</v>
          </cell>
          <cell r="BB24">
            <v>1.0842050793119991</v>
          </cell>
          <cell r="BC24">
            <v>1.3070344656025428</v>
          </cell>
          <cell r="BD24">
            <v>0.78200768501943252</v>
          </cell>
        </row>
        <row r="25">
          <cell r="AZ25" t="str">
            <v>Spain</v>
          </cell>
          <cell r="BA25">
            <v>0.96302019355923918</v>
          </cell>
          <cell r="BB25">
            <v>0.80425719486342861</v>
          </cell>
          <cell r="BC25">
            <v>1.4006278932548377</v>
          </cell>
          <cell r="BD25">
            <v>0.85490462806878675</v>
          </cell>
        </row>
        <row r="26">
          <cell r="AZ26" t="str">
            <v>Sweden</v>
          </cell>
          <cell r="BA26">
            <v>0.83418313830473867</v>
          </cell>
          <cell r="BB26">
            <v>0.73154863291569294</v>
          </cell>
          <cell r="BC26">
            <v>1.1858687908218599</v>
          </cell>
          <cell r="BD26">
            <v>0.96157145908189834</v>
          </cell>
        </row>
        <row r="27">
          <cell r="AZ27" t="str">
            <v>Switzerland</v>
          </cell>
          <cell r="BA27">
            <v>0.96361317055608331</v>
          </cell>
          <cell r="BB27">
            <v>0.73888228087799401</v>
          </cell>
          <cell r="BC27">
            <v>1.3098053215677046</v>
          </cell>
          <cell r="BD27">
            <v>0.99568215774264679</v>
          </cell>
        </row>
        <row r="28">
          <cell r="AZ28" t="str">
            <v>United Kingdom</v>
          </cell>
          <cell r="BA28">
            <v>0.96821421138739505</v>
          </cell>
          <cell r="BB28">
            <v>1.1050230600059556</v>
          </cell>
          <cell r="BC28">
            <v>0.92172816511075295</v>
          </cell>
          <cell r="BD28">
            <v>0.95059878180595614</v>
          </cell>
        </row>
        <row r="29">
          <cell r="AZ29" t="str">
            <v>United States</v>
          </cell>
          <cell r="BA29">
            <v>1.1826465741585974</v>
          </cell>
          <cell r="BB29">
            <v>1.1647045208640456</v>
          </cell>
          <cell r="BC29">
            <v>0.88695953479521117</v>
          </cell>
          <cell r="BD29">
            <v>1.1448152609066593</v>
          </cell>
        </row>
        <row r="30">
          <cell r="AZ30" t="str">
            <v>Greece</v>
          </cell>
          <cell r="BA30">
            <v>0.88264897655726127</v>
          </cell>
          <cell r="BB30">
            <v>0.93336425358999398</v>
          </cell>
          <cell r="BC30">
            <v>1.4699157495877413</v>
          </cell>
          <cell r="BD30">
            <v>0.64334571796603357</v>
          </cell>
        </row>
        <row r="31">
          <cell r="AZ31">
            <v>0</v>
          </cell>
          <cell r="BA31" t="e">
            <v>#DIV/0!</v>
          </cell>
          <cell r="BB31" t="e">
            <v>#DIV/0!</v>
          </cell>
          <cell r="BC31" t="e">
            <v>#DIV/0!</v>
          </cell>
          <cell r="BD31" t="e">
            <v>#DIV/0!</v>
          </cell>
        </row>
        <row r="32">
          <cell r="AZ32" t="str">
            <v>Malta</v>
          </cell>
          <cell r="BA32">
            <v>1.8751643620702008</v>
          </cell>
          <cell r="BB32">
            <v>1.0636715544916735</v>
          </cell>
          <cell r="BC32">
            <v>1.3703309277608018</v>
          </cell>
          <cell r="BD32">
            <v>1.2864897658729839</v>
          </cell>
        </row>
        <row r="33">
          <cell r="AZ33" t="str">
            <v>Singapore</v>
          </cell>
          <cell r="BA33">
            <v>2.0356167628075061</v>
          </cell>
          <cell r="BB33">
            <v>1.4272200348586506</v>
          </cell>
          <cell r="BC33">
            <v>1.2662198918384344</v>
          </cell>
          <cell r="BD33">
            <v>1.1264085883856438</v>
          </cell>
        </row>
        <row r="34">
          <cell r="AZ34" t="str">
            <v>South Korea</v>
          </cell>
          <cell r="BA34">
            <v>2.1473899679374227</v>
          </cell>
          <cell r="BB34">
            <v>1.3731092748696769</v>
          </cell>
          <cell r="BC34">
            <v>1.2363906910859026</v>
          </cell>
          <cell r="BD34">
            <v>1.2648822338377816</v>
          </cell>
        </row>
        <row r="36">
          <cell r="AZ36" t="str">
            <v>Argentina</v>
          </cell>
          <cell r="BA36">
            <v>1.4282040429694804</v>
          </cell>
          <cell r="BB36">
            <v>1.3380143781585838</v>
          </cell>
          <cell r="BC36">
            <v>0.82883257732348314</v>
          </cell>
          <cell r="BD36">
            <v>1.2878422389855149</v>
          </cell>
        </row>
        <row r="37">
          <cell r="AZ37" t="str">
            <v>Bolivia</v>
          </cell>
          <cell r="BA37">
            <v>2.2158147493707441</v>
          </cell>
          <cell r="BB37">
            <v>1.067419413320521</v>
          </cell>
          <cell r="BC37">
            <v>1.3115252966576911</v>
          </cell>
          <cell r="BD37">
            <v>1.5827841044817832</v>
          </cell>
        </row>
        <row r="38">
          <cell r="AZ38" t="str">
            <v>Brazil</v>
          </cell>
          <cell r="BA38">
            <v>1.6758914688419786</v>
          </cell>
          <cell r="BB38">
            <v>1.0271833870865323</v>
          </cell>
          <cell r="BC38">
            <v>2.0126130801164428</v>
          </cell>
          <cell r="BD38">
            <v>0.81065788722788823</v>
          </cell>
        </row>
        <row r="39">
          <cell r="AZ39" t="str">
            <v>Colombia</v>
          </cell>
          <cell r="BA39">
            <v>1.7582764448896349</v>
          </cell>
          <cell r="BB39">
            <v>1.119960081232757</v>
          </cell>
          <cell r="BC39">
            <v>1.6855558605596894</v>
          </cell>
          <cell r="BD39">
            <v>0.93141121886995126</v>
          </cell>
        </row>
        <row r="40">
          <cell r="AZ40" t="str">
            <v>Congo DR</v>
          </cell>
          <cell r="BA40">
            <v>0.5004415151511008</v>
          </cell>
          <cell r="BB40">
            <v>0.31117660386844914</v>
          </cell>
          <cell r="BC40">
            <v>1.2578036104995731</v>
          </cell>
          <cell r="BD40">
            <v>1.2785966334689198</v>
          </cell>
        </row>
        <row r="41">
          <cell r="AZ41" t="str">
            <v>Costa Rica</v>
          </cell>
          <cell r="BA41">
            <v>2.3208538193839612</v>
          </cell>
          <cell r="BB41">
            <v>1.2220967135838947</v>
          </cell>
          <cell r="BC41">
            <v>1.4352285401733922</v>
          </cell>
          <cell r="BD41">
            <v>1.3231867667477011</v>
          </cell>
        </row>
        <row r="42">
          <cell r="AZ42" t="str">
            <v>Ecuador</v>
          </cell>
          <cell r="BA42">
            <v>1.9456016081757121</v>
          </cell>
          <cell r="BB42">
            <v>0.73229375796236096</v>
          </cell>
          <cell r="BC42">
            <v>2.1403190929044325</v>
          </cell>
          <cell r="BD42">
            <v>1.2413380239599168</v>
          </cell>
        </row>
        <row r="43">
          <cell r="AZ43" t="str">
            <v>Egypt</v>
          </cell>
          <cell r="BA43">
            <v>1.4759319563910198</v>
          </cell>
          <cell r="BB43">
            <v>1.6420484054667239</v>
          </cell>
          <cell r="BC43">
            <v>1.2449764823659799</v>
          </cell>
          <cell r="BD43">
            <v>0.72197013505373997</v>
          </cell>
        </row>
        <row r="44">
          <cell r="AZ44" t="str">
            <v>El Salvador</v>
          </cell>
          <cell r="BA44">
            <v>1.9676307872923455</v>
          </cell>
          <cell r="BB44">
            <v>1.64871223632556</v>
          </cell>
          <cell r="BC44">
            <v>0.99324767741581532</v>
          </cell>
          <cell r="BD44">
            <v>1.2015481799750736</v>
          </cell>
        </row>
        <row r="45">
          <cell r="AZ45" t="str">
            <v>Ethiopia (Former)</v>
          </cell>
          <cell r="BA45">
            <v>1.5173381918318383</v>
          </cell>
          <cell r="BB45">
            <v>0.41712198034477033</v>
          </cell>
          <cell r="BC45">
            <v>1.6471265380043132</v>
          </cell>
          <cell r="BD45">
            <v>2.2084742967587401</v>
          </cell>
        </row>
        <row r="46">
          <cell r="AZ46" t="str">
            <v>Guatemala</v>
          </cell>
          <cell r="BA46">
            <v>2.8109407728196256</v>
          </cell>
          <cell r="BB46">
            <v>1.5087125884405745</v>
          </cell>
          <cell r="BC46">
            <v>1.276178308588944</v>
          </cell>
          <cell r="BD46">
            <v>1.4599360154865579</v>
          </cell>
        </row>
        <row r="47">
          <cell r="AZ47" t="str">
            <v>Honduras</v>
          </cell>
          <cell r="BA47">
            <v>1.5643224968871101</v>
          </cell>
          <cell r="BB47">
            <v>1.1294411850828063</v>
          </cell>
          <cell r="BC47">
            <v>1.1696255895369805</v>
          </cell>
          <cell r="BD47">
            <v>1.1841747853625524</v>
          </cell>
        </row>
        <row r="48">
          <cell r="AZ48" t="str">
            <v>India</v>
          </cell>
          <cell r="BA48">
            <v>2.4219187740108135</v>
          </cell>
          <cell r="BB48">
            <v>0.89109463551199364</v>
          </cell>
          <cell r="BC48">
            <v>2.0703227916077593</v>
          </cell>
          <cell r="BD48">
            <v>1.3127973197816434</v>
          </cell>
        </row>
        <row r="49">
          <cell r="AZ49" t="str">
            <v>Kenya</v>
          </cell>
          <cell r="BA49">
            <v>1.2904080378021159</v>
          </cell>
          <cell r="BB49">
            <v>0.63957860865005112</v>
          </cell>
          <cell r="BC49">
            <v>1.4020904809675019</v>
          </cell>
          <cell r="BD49">
            <v>1.4389877235108806</v>
          </cell>
        </row>
        <row r="50">
          <cell r="AZ50" t="str">
            <v>Mauritius</v>
          </cell>
          <cell r="BA50">
            <v>1.8915167550252874</v>
          </cell>
          <cell r="BB50">
            <v>1.1936163297881262</v>
          </cell>
          <cell r="BC50">
            <v>1.3006208610687804</v>
          </cell>
          <cell r="BD50">
            <v>1.2184135646707628</v>
          </cell>
        </row>
        <row r="51">
          <cell r="AZ51" t="str">
            <v>Mexico</v>
          </cell>
          <cell r="BA51">
            <v>1.1844090901732269</v>
          </cell>
          <cell r="BB51">
            <v>1.4903392021478554</v>
          </cell>
          <cell r="BC51">
            <v>0.86534788863247702</v>
          </cell>
          <cell r="BD51">
            <v>0.91838729730110547</v>
          </cell>
        </row>
        <row r="52">
          <cell r="AZ52" t="str">
            <v>Morocco</v>
          </cell>
          <cell r="BA52">
            <v>1.1707208131407525</v>
          </cell>
          <cell r="BB52">
            <v>0.83265177448118444</v>
          </cell>
          <cell r="BC52">
            <v>1.4219515182410636</v>
          </cell>
          <cell r="BD52">
            <v>0.98879244195417071</v>
          </cell>
        </row>
        <row r="53">
          <cell r="AZ53" t="str">
            <v>Nigeria</v>
          </cell>
          <cell r="BA53">
            <v>1.2735489745368485</v>
          </cell>
          <cell r="BB53">
            <v>0.63968186436152941</v>
          </cell>
          <cell r="BC53">
            <v>2.5444040875418392</v>
          </cell>
          <cell r="BD53">
            <v>0.78246609403597411</v>
          </cell>
        </row>
        <row r="54">
          <cell r="AZ54" t="str">
            <v>Pakistan</v>
          </cell>
          <cell r="BA54">
            <v>1.4785261879687266</v>
          </cell>
          <cell r="BB54">
            <v>0.8702996597919449</v>
          </cell>
          <cell r="BC54">
            <v>1.232623894414598</v>
          </cell>
          <cell r="BD54">
            <v>1.3782551540481276</v>
          </cell>
        </row>
        <row r="55">
          <cell r="AZ55" t="str">
            <v>Panama</v>
          </cell>
          <cell r="BA55">
            <v>2.7997344043811832</v>
          </cell>
          <cell r="BB55">
            <v>1.1735222053829222</v>
          </cell>
          <cell r="BC55">
            <v>1.3824635551196569</v>
          </cell>
          <cell r="BD55">
            <v>1.7257259562045686</v>
          </cell>
        </row>
        <row r="56">
          <cell r="AZ56" t="str">
            <v>Peru</v>
          </cell>
          <cell r="BA56">
            <v>2.2798900933986443</v>
          </cell>
          <cell r="BB56">
            <v>1.1262940849785459</v>
          </cell>
          <cell r="BC56">
            <v>1.6822112932786688</v>
          </cell>
          <cell r="BD56">
            <v>1.2033211884238886</v>
          </cell>
        </row>
        <row r="57">
          <cell r="AZ57" t="str">
            <v>Philippines</v>
          </cell>
          <cell r="BA57">
            <v>1.7504713457153176</v>
          </cell>
          <cell r="BB57">
            <v>0.98649363316479566</v>
          </cell>
          <cell r="BC57">
            <v>1.3692175141723375</v>
          </cell>
          <cell r="BD57">
            <v>1.2959500823118042</v>
          </cell>
        </row>
        <row r="58">
          <cell r="AZ58" t="str">
            <v>South Africa</v>
          </cell>
          <cell r="BA58">
            <v>0.91927385163082675</v>
          </cell>
          <cell r="BB58">
            <v>0.72907826740580572</v>
          </cell>
          <cell r="BC58">
            <v>1.6058246063340564</v>
          </cell>
          <cell r="BD58">
            <v>0.78518617766333121</v>
          </cell>
        </row>
        <row r="59">
          <cell r="AZ59" t="str">
            <v>Sri Lanka</v>
          </cell>
          <cell r="BA59">
            <v>3.5840046865079818</v>
          </cell>
          <cell r="BB59">
            <v>1.4148042763290418</v>
          </cell>
          <cell r="BC59">
            <v>1.8379357398424938</v>
          </cell>
          <cell r="BD59">
            <v>1.3782940523437179</v>
          </cell>
        </row>
        <row r="60">
          <cell r="AZ60" t="str">
            <v>Thailand</v>
          </cell>
          <cell r="BA60">
            <v>1.9567708092747906</v>
          </cell>
          <cell r="BB60">
            <v>0.96335894686158774</v>
          </cell>
          <cell r="BC60">
            <v>1.6900129289093009</v>
          </cell>
          <cell r="BD60">
            <v>1.2018819110509935</v>
          </cell>
        </row>
        <row r="61">
          <cell r="AZ61" t="str">
            <v>Trinidad and Tobago</v>
          </cell>
          <cell r="BA61">
            <v>1.8108954029987916</v>
          </cell>
          <cell r="BB61">
            <v>1.1668398876338151</v>
          </cell>
          <cell r="BC61">
            <v>1.7266953184365579</v>
          </cell>
          <cell r="BD61">
            <v>0.89880687974723084</v>
          </cell>
        </row>
        <row r="62">
          <cell r="AZ62" t="str">
            <v>Turkey</v>
          </cell>
          <cell r="BA62">
            <v>1.2688059837465269</v>
          </cell>
          <cell r="BB62">
            <v>0.8462480600555109</v>
          </cell>
          <cell r="BC62">
            <v>1.6482714654176061</v>
          </cell>
          <cell r="BD62">
            <v>0.90963841283452795</v>
          </cell>
        </row>
        <row r="63">
          <cell r="AZ63" t="str">
            <v>Uganda</v>
          </cell>
          <cell r="BA63">
            <v>1.2078113103579702</v>
          </cell>
          <cell r="BB63">
            <v>0.85705600687071459</v>
          </cell>
          <cell r="BC63">
            <v>1.371998738054617</v>
          </cell>
          <cell r="BD63">
            <v>1.0271554554972395</v>
          </cell>
        </row>
        <row r="64">
          <cell r="AZ64" t="str">
            <v>Uruguay</v>
          </cell>
          <cell r="BA64">
            <v>2.6737523485793462</v>
          </cell>
          <cell r="BB64">
            <v>1.7407053073190784</v>
          </cell>
          <cell r="BC64">
            <v>1.1580967827863098</v>
          </cell>
          <cell r="BD64">
            <v>1.3263284042882328</v>
          </cell>
        </row>
        <row r="65">
          <cell r="AZ65" t="str">
            <v>Venezuela</v>
          </cell>
          <cell r="BA65">
            <v>1.561335065017238</v>
          </cell>
          <cell r="BB65">
            <v>1.5182690684423741</v>
          </cell>
          <cell r="BC65">
            <v>1.8937970610908152</v>
          </cell>
          <cell r="BD65">
            <v>0.54301763112074619</v>
          </cell>
        </row>
        <row r="66">
          <cell r="AZ66" t="str">
            <v>Afghanistan</v>
          </cell>
          <cell r="BA66">
            <v>0.96768729996480363</v>
          </cell>
          <cell r="BB66">
            <v>0.44738579846248316</v>
          </cell>
          <cell r="BC66">
            <v>2.1170321482554271</v>
          </cell>
          <cell r="BD66">
            <v>1.021704707257987</v>
          </cell>
        </row>
        <row r="67">
          <cell r="AZ67" t="str">
            <v>Algeria</v>
          </cell>
          <cell r="BA67">
            <v>0.7893833570392782</v>
          </cell>
          <cell r="BB67">
            <v>0.55359517105731071</v>
          </cell>
          <cell r="BC67">
            <v>1.6950813621073018</v>
          </cell>
          <cell r="BD67">
            <v>0.84121135015331239</v>
          </cell>
        </row>
        <row r="68">
          <cell r="AZ68" t="str">
            <v>Angola</v>
          </cell>
          <cell r="BA68">
            <v>1.7597234242898032</v>
          </cell>
          <cell r="BB68">
            <v>0.49780842484250459</v>
          </cell>
          <cell r="BC68">
            <v>3.2194724974783204</v>
          </cell>
          <cell r="BD68">
            <v>1.0979876452499444</v>
          </cell>
        </row>
        <row r="69">
          <cell r="AZ69" t="str">
            <v>Antigua</v>
          </cell>
          <cell r="BA69">
            <v>0.99707290467235121</v>
          </cell>
          <cell r="BB69">
            <v>1.0849657293531947</v>
          </cell>
          <cell r="BC69">
            <v>0.81714947557209172</v>
          </cell>
          <cell r="BD69">
            <v>1.1246292838978704</v>
          </cell>
        </row>
        <row r="70">
          <cell r="AZ70" t="str">
            <v>Aruba</v>
          </cell>
          <cell r="BA70">
            <v>0.96831494183455835</v>
          </cell>
          <cell r="BB70">
            <v>1.2608827695115479</v>
          </cell>
          <cell r="BC70">
            <v>0.76011378944531371</v>
          </cell>
          <cell r="BD70">
            <v>1.0103301474410715</v>
          </cell>
        </row>
        <row r="71">
          <cell r="AZ71" t="str">
            <v>Bahamas</v>
          </cell>
          <cell r="BA71">
            <v>0.75159132485484015</v>
          </cell>
          <cell r="BB71">
            <v>1.1073348957418343</v>
          </cell>
          <cell r="BC71">
            <v>0.68793683144926376</v>
          </cell>
          <cell r="BD71">
            <v>0.98662975923240759</v>
          </cell>
        </row>
        <row r="72">
          <cell r="AZ72" t="str">
            <v>Bahrain</v>
          </cell>
          <cell r="BA72">
            <v>1.0806772439241989</v>
          </cell>
          <cell r="BB72">
            <v>1.0366907594656676</v>
          </cell>
          <cell r="BC72">
            <v>1.0130183900958198</v>
          </cell>
          <cell r="BD72">
            <v>1.0290333487544154</v>
          </cell>
        </row>
        <row r="73">
          <cell r="AZ73" t="str">
            <v>Bangladesh</v>
          </cell>
          <cell r="BA73">
            <v>2.6157907965284379</v>
          </cell>
          <cell r="BB73">
            <v>0.98145050666915334</v>
          </cell>
          <cell r="BC73">
            <v>1.4580846579100164</v>
          </cell>
          <cell r="BD73">
            <v>1.8278976039036807</v>
          </cell>
        </row>
        <row r="74">
          <cell r="AZ74" t="str">
            <v>Barbados</v>
          </cell>
          <cell r="BA74">
            <v>0.98050910589277396</v>
          </cell>
          <cell r="BB74">
            <v>1.1139528192335892</v>
          </cell>
          <cell r="BC74">
            <v>0.89973764222530961</v>
          </cell>
          <cell r="BD74">
            <v>0.97829299527685498</v>
          </cell>
        </row>
        <row r="75">
          <cell r="AZ75" t="str">
            <v>Belize</v>
          </cell>
          <cell r="BA75">
            <v>1.0881236705431838</v>
          </cell>
          <cell r="BB75">
            <v>1.1711960029305435</v>
          </cell>
          <cell r="BC75">
            <v>0.86074784585414421</v>
          </cell>
          <cell r="BD75">
            <v>1.0793759367015325</v>
          </cell>
        </row>
        <row r="76">
          <cell r="AZ76" t="str">
            <v>Benin</v>
          </cell>
          <cell r="BA76">
            <v>0.9560110000989458</v>
          </cell>
          <cell r="BB76">
            <v>0.7034498899072108</v>
          </cell>
          <cell r="BC76">
            <v>1.3498344090974088</v>
          </cell>
          <cell r="BD76">
            <v>1.0068139601515462</v>
          </cell>
        </row>
        <row r="77">
          <cell r="AZ77" t="str">
            <v>Bhutan</v>
          </cell>
          <cell r="BA77">
            <v>2.890152609153636</v>
          </cell>
          <cell r="BB77">
            <v>1.1317609926356302</v>
          </cell>
          <cell r="BC77">
            <v>1.8966400135324279</v>
          </cell>
          <cell r="BD77">
            <v>1.3464218331008138</v>
          </cell>
        </row>
        <row r="78">
          <cell r="AZ78" t="str">
            <v>Botswana</v>
          </cell>
          <cell r="BA78">
            <v>1.3066864164097753</v>
          </cell>
          <cell r="BB78">
            <v>0.93322393618438992</v>
          </cell>
          <cell r="BC78">
            <v>1.2631878218799726</v>
          </cell>
          <cell r="BD78">
            <v>1.108453749811525</v>
          </cell>
        </row>
        <row r="79">
          <cell r="AZ79" t="str">
            <v>Brunei</v>
          </cell>
          <cell r="BA79">
            <v>0.87106536990390071</v>
          </cell>
          <cell r="BB79">
            <v>0.9962652735470845</v>
          </cell>
          <cell r="BC79">
            <v>1.1781785807035239</v>
          </cell>
          <cell r="BD79">
            <v>0.74210376120167165</v>
          </cell>
        </row>
        <row r="80">
          <cell r="AZ80" t="str">
            <v>Burkina Faso</v>
          </cell>
          <cell r="BA80">
            <v>0.83648055828145051</v>
          </cell>
          <cell r="BB80">
            <v>0.47995830502721715</v>
          </cell>
          <cell r="BC80">
            <v>1.691375233684919</v>
          </cell>
          <cell r="BD80">
            <v>1.0304154774233505</v>
          </cell>
        </row>
        <row r="81">
          <cell r="AZ81" t="str">
            <v>Burundi</v>
          </cell>
          <cell r="BA81">
            <v>0.63396512743524269</v>
          </cell>
          <cell r="BB81">
            <v>0.3931796807944033</v>
          </cell>
          <cell r="BC81">
            <v>1.394759059256786</v>
          </cell>
          <cell r="BD81">
            <v>1.1560459926391635</v>
          </cell>
        </row>
        <row r="82">
          <cell r="AZ82" t="str">
            <v>Cabo Verde</v>
          </cell>
          <cell r="BA82">
            <v>1.4662757360755039</v>
          </cell>
          <cell r="BB82">
            <v>1.035136343294387</v>
          </cell>
          <cell r="BC82">
            <v>1.5668031100283069</v>
          </cell>
          <cell r="BD82">
            <v>0.90407334745702261</v>
          </cell>
        </row>
        <row r="83">
          <cell r="AZ83" t="str">
            <v>Cambodia</v>
          </cell>
          <cell r="BA83">
            <v>3.3871892653893254</v>
          </cell>
          <cell r="BB83">
            <v>1.2001356501644558</v>
          </cell>
          <cell r="BC83">
            <v>1.7359080332593779</v>
          </cell>
          <cell r="BD83">
            <v>1.6258572601934074</v>
          </cell>
        </row>
        <row r="84">
          <cell r="AZ84" t="str">
            <v>Cameroon</v>
          </cell>
          <cell r="BA84">
            <v>0.61485317527816352</v>
          </cell>
          <cell r="BB84">
            <v>0.45254016265500302</v>
          </cell>
          <cell r="BC84">
            <v>1.3267718230231176</v>
          </cell>
          <cell r="BD84">
            <v>1.024042666646656</v>
          </cell>
        </row>
        <row r="85">
          <cell r="AZ85" t="str">
            <v>Central African Republic</v>
          </cell>
          <cell r="BA85">
            <v>0.38701372938140355</v>
          </cell>
          <cell r="BB85">
            <v>0.37397955428052071</v>
          </cell>
          <cell r="BC85">
            <v>1.1960493269068579</v>
          </cell>
          <cell r="BD85">
            <v>0.86522572070987225</v>
          </cell>
        </row>
        <row r="86">
          <cell r="AZ86" t="str">
            <v>Chad</v>
          </cell>
          <cell r="BA86">
            <v>1.0813648416979098</v>
          </cell>
          <cell r="BB86">
            <v>0.46176577403065644</v>
          </cell>
          <cell r="BC86">
            <v>3.2568726593466062</v>
          </cell>
          <cell r="BD86">
            <v>0.71903449696405275</v>
          </cell>
        </row>
        <row r="87">
          <cell r="AZ87" t="str">
            <v>Chile</v>
          </cell>
          <cell r="BA87">
            <v>2.7002324858015134</v>
          </cell>
          <cell r="BB87">
            <v>1.4652727925844093</v>
          </cell>
          <cell r="BC87">
            <v>1.6732750743095188</v>
          </cell>
          <cell r="BD87">
            <v>1.1013245757950396</v>
          </cell>
        </row>
        <row r="88">
          <cell r="AZ88" t="str">
            <v>Comoros</v>
          </cell>
          <cell r="BA88">
            <v>0.49607670204620385</v>
          </cell>
          <cell r="BB88">
            <v>0.47179434239753421</v>
          </cell>
          <cell r="BC88">
            <v>1.1269650768842132</v>
          </cell>
          <cell r="BD88">
            <v>0.9330085946997736</v>
          </cell>
        </row>
        <row r="89">
          <cell r="AZ89" t="str">
            <v>Congo R</v>
          </cell>
          <cell r="BA89">
            <v>0.78987627695721541</v>
          </cell>
          <cell r="BB89">
            <v>0.62233743237895189</v>
          </cell>
          <cell r="BC89">
            <v>1.9961358497750163</v>
          </cell>
          <cell r="BD89">
            <v>0.63583298250024256</v>
          </cell>
        </row>
        <row r="90">
          <cell r="AZ90" t="str">
            <v>Cote d'Ivoire</v>
          </cell>
          <cell r="BA90">
            <v>0.74968955053273678</v>
          </cell>
          <cell r="BB90">
            <v>0.49691378210865172</v>
          </cell>
          <cell r="BC90">
            <v>1.2702375095483585</v>
          </cell>
          <cell r="BD90">
            <v>1.1877238630717042</v>
          </cell>
        </row>
        <row r="91">
          <cell r="AZ91" t="str">
            <v>Djibouti</v>
          </cell>
          <cell r="BA91">
            <v>1.1828521746656497</v>
          </cell>
          <cell r="BB91">
            <v>0.73528369928170767</v>
          </cell>
          <cell r="BC91">
            <v>1.0787076688627144</v>
          </cell>
          <cell r="BD91">
            <v>1.4913231801710094</v>
          </cell>
        </row>
        <row r="92">
          <cell r="AZ92" t="str">
            <v>Dominican Republic</v>
          </cell>
          <cell r="BA92">
            <v>2.4661417511920285</v>
          </cell>
          <cell r="BB92">
            <v>1.5885882283595223</v>
          </cell>
          <cell r="BC92">
            <v>1.2794899111889713</v>
          </cell>
          <cell r="BD92">
            <v>1.2133045602079209</v>
          </cell>
        </row>
        <row r="93">
          <cell r="AZ93" t="str">
            <v>Equatorial Guinea</v>
          </cell>
          <cell r="BA93">
            <v>11.46567069261339</v>
          </cell>
          <cell r="BB93">
            <v>4.654299119628746</v>
          </cell>
          <cell r="BC93">
            <v>4.6450065390219866</v>
          </cell>
          <cell r="BD93">
            <v>0.53034544559546493</v>
          </cell>
        </row>
        <row r="94">
          <cell r="AZ94" t="str">
            <v>Fiji</v>
          </cell>
          <cell r="BA94">
            <v>1.3567389995097119</v>
          </cell>
          <cell r="BB94">
            <v>0.8621127684098745</v>
          </cell>
          <cell r="BC94">
            <v>1.1563204564387104</v>
          </cell>
          <cell r="BD94">
            <v>1.3609871441296015</v>
          </cell>
        </row>
        <row r="95">
          <cell r="AZ95" t="str">
            <v>French Polynesia</v>
          </cell>
          <cell r="BA95">
            <v>0.50875753820178449</v>
          </cell>
          <cell r="BB95">
            <v>0.66254209765530481</v>
          </cell>
          <cell r="BC95">
            <v>0.95580311542955354</v>
          </cell>
          <cell r="BD95">
            <v>0.80339465313368874</v>
          </cell>
        </row>
        <row r="96">
          <cell r="AZ96" t="str">
            <v>Gabon</v>
          </cell>
          <cell r="BA96">
            <v>0.52891571439209017</v>
          </cell>
          <cell r="BB96">
            <v>0.54710288210135383</v>
          </cell>
          <cell r="BC96">
            <v>1.2655918393352155</v>
          </cell>
          <cell r="BD96">
            <v>0.7638776475129766</v>
          </cell>
        </row>
        <row r="97">
          <cell r="AZ97" t="str">
            <v>Gambia</v>
          </cell>
          <cell r="BA97">
            <v>0.28125631965913794</v>
          </cell>
          <cell r="BB97">
            <v>0.61966726540565664</v>
          </cell>
          <cell r="BC97">
            <v>0.59036118453095732</v>
          </cell>
          <cell r="BD97">
            <v>0.76882224280227107</v>
          </cell>
        </row>
        <row r="98">
          <cell r="AZ98" t="str">
            <v>Ghana</v>
          </cell>
          <cell r="BA98">
            <v>1.0493581064151205</v>
          </cell>
          <cell r="BB98">
            <v>0.46496867822350885</v>
          </cell>
          <cell r="BC98">
            <v>2.0752353886114157</v>
          </cell>
          <cell r="BD98">
            <v>1.0875084964613462</v>
          </cell>
        </row>
        <row r="99">
          <cell r="AZ99" t="str">
            <v>Grenada</v>
          </cell>
          <cell r="BA99">
            <v>1.9758325428515118</v>
          </cell>
          <cell r="BB99">
            <v>1.5705230146992566</v>
          </cell>
          <cell r="BC99">
            <v>0.9594608006171268</v>
          </cell>
          <cell r="BD99">
            <v>1.3112291428424176</v>
          </cell>
        </row>
        <row r="100">
          <cell r="AZ100" t="str">
            <v>Guinea</v>
          </cell>
          <cell r="BA100">
            <v>0.5748602945367508</v>
          </cell>
          <cell r="BB100">
            <v>0.56416401557128482</v>
          </cell>
          <cell r="BC100">
            <v>0.87324466721904959</v>
          </cell>
          <cell r="BD100">
            <v>1.166866009381234</v>
          </cell>
        </row>
        <row r="101">
          <cell r="AZ101" t="str">
            <v>Guinea-Bissau</v>
          </cell>
          <cell r="BA101">
            <v>0.55596379599148649</v>
          </cell>
          <cell r="BB101">
            <v>0.36418425127478427</v>
          </cell>
          <cell r="BC101">
            <v>1.2469967346838275</v>
          </cell>
          <cell r="BD101">
            <v>1.2242215889893655</v>
          </cell>
        </row>
        <row r="102">
          <cell r="AZ102" t="str">
            <v>Guyana</v>
          </cell>
          <cell r="BA102">
            <v>2.4852022349711818</v>
          </cell>
          <cell r="BB102">
            <v>1.3355461450011317</v>
          </cell>
          <cell r="BC102">
            <v>1.3371804729180043</v>
          </cell>
          <cell r="BD102">
            <v>1.39159484573975</v>
          </cell>
        </row>
        <row r="103">
          <cell r="AZ103" t="str">
            <v>Haiti</v>
          </cell>
          <cell r="BA103">
            <v>0.82410391947227513</v>
          </cell>
          <cell r="BB103">
            <v>0.7396471893616906</v>
          </cell>
          <cell r="BC103">
            <v>1.0432458685198787</v>
          </cell>
          <cell r="BD103">
            <v>1.067998628293507</v>
          </cell>
        </row>
        <row r="104">
          <cell r="AZ104" t="str">
            <v>Indonesia (Former)</v>
          </cell>
          <cell r="BA104">
            <v>2.4273264479301497</v>
          </cell>
          <cell r="BB104">
            <v>0.84861520828305592</v>
          </cell>
          <cell r="BC104">
            <v>2.5001620692378723</v>
          </cell>
          <cell r="BD104">
            <v>1.1440610898606791</v>
          </cell>
        </row>
        <row r="105">
          <cell r="AZ105" t="str">
            <v>Iran</v>
          </cell>
          <cell r="BA105">
            <v>1.5360354399208624</v>
          </cell>
          <cell r="BB105">
            <v>0.74364775160106389</v>
          </cell>
          <cell r="BC105">
            <v>2.5918260644045561</v>
          </cell>
          <cell r="BD105">
            <v>0.79694456617220955</v>
          </cell>
        </row>
        <row r="106">
          <cell r="AZ106" t="str">
            <v>Iraq</v>
          </cell>
          <cell r="BA106">
            <v>2.2550111011164549</v>
          </cell>
          <cell r="BB106">
            <v>0.55196267081800987</v>
          </cell>
          <cell r="BC106">
            <v>3.5356677274006079</v>
          </cell>
          <cell r="BD106">
            <v>1.1554935679926197</v>
          </cell>
        </row>
        <row r="107">
          <cell r="AZ107" t="str">
            <v>Jamaica</v>
          </cell>
          <cell r="BA107">
            <v>1.0928125184428823</v>
          </cell>
          <cell r="BB107">
            <v>1.1717611297980177</v>
          </cell>
          <cell r="BC107">
            <v>0.92290764975024908</v>
          </cell>
          <cell r="BD107">
            <v>1.0105279457649314</v>
          </cell>
        </row>
        <row r="108">
          <cell r="AZ108" t="str">
            <v>Jordan</v>
          </cell>
          <cell r="BA108">
            <v>1.6986844897443549</v>
          </cell>
          <cell r="BB108">
            <v>1.1050172616916998</v>
          </cell>
          <cell r="BC108">
            <v>1.4692655419329224</v>
          </cell>
          <cell r="BD108">
            <v>1.0462690191507213</v>
          </cell>
        </row>
        <row r="109">
          <cell r="AZ109" t="str">
            <v>Kiribati</v>
          </cell>
          <cell r="BA109">
            <v>1.4212082723167712</v>
          </cell>
          <cell r="BB109">
            <v>1.2057435150321094</v>
          </cell>
          <cell r="BC109">
            <v>1.1456340715841586</v>
          </cell>
          <cell r="BD109">
            <v>1.0288613920559246</v>
          </cell>
        </row>
        <row r="110">
          <cell r="AZ110" t="str">
            <v>Kuwait</v>
          </cell>
          <cell r="BA110">
            <v>1.5455768275079984</v>
          </cell>
          <cell r="BB110">
            <v>1.573344214893815</v>
          </cell>
          <cell r="BC110">
            <v>1.3902720179145813</v>
          </cell>
          <cell r="BD110">
            <v>0.70658931938148917</v>
          </cell>
        </row>
        <row r="111">
          <cell r="AZ111" t="str">
            <v>Laos</v>
          </cell>
          <cell r="BA111">
            <v>5.3652217965819151</v>
          </cell>
          <cell r="BB111">
            <v>1.2042984249428617</v>
          </cell>
          <cell r="BC111">
            <v>2.3031846963980258</v>
          </cell>
          <cell r="BD111">
            <v>1.9343042931375463</v>
          </cell>
        </row>
        <row r="112">
          <cell r="AZ112" t="str">
            <v>Lebanon</v>
          </cell>
          <cell r="BA112">
            <v>3.7546396251925089</v>
          </cell>
          <cell r="BB112">
            <v>3.5544043606867786</v>
          </cell>
          <cell r="BC112">
            <v>1.14550330577322</v>
          </cell>
          <cell r="BD112">
            <v>0.92215745027533613</v>
          </cell>
        </row>
        <row r="113">
          <cell r="AZ113" t="str">
            <v>Lesotho</v>
          </cell>
          <cell r="BA113">
            <v>1.3940169918138572</v>
          </cell>
          <cell r="BB113">
            <v>0.90325134582819522</v>
          </cell>
          <cell r="BC113">
            <v>1.6569256383278275</v>
          </cell>
          <cell r="BD113">
            <v>0.93144331927849244</v>
          </cell>
        </row>
        <row r="114">
          <cell r="AZ114" t="str">
            <v>Liberia</v>
          </cell>
          <cell r="BA114">
            <v>0.9531056891738815</v>
          </cell>
          <cell r="BB114">
            <v>0.5928747859899608</v>
          </cell>
          <cell r="BC114">
            <v>0.97567371537584158</v>
          </cell>
          <cell r="BD114">
            <v>1.6476822975714596</v>
          </cell>
        </row>
        <row r="115">
          <cell r="AZ115" t="str">
            <v>Libya</v>
          </cell>
          <cell r="BA115">
            <v>0.25901884131933006</v>
          </cell>
          <cell r="BB115">
            <v>0.77143727199787848</v>
          </cell>
          <cell r="BC115">
            <v>1.2176580782544804</v>
          </cell>
          <cell r="BD115">
            <v>0.27574356363202362</v>
          </cell>
        </row>
        <row r="116">
          <cell r="AZ116" t="str">
            <v>Madagascar</v>
          </cell>
          <cell r="BA116">
            <v>0.75723954020408346</v>
          </cell>
          <cell r="BB116">
            <v>0.69049753490960852</v>
          </cell>
          <cell r="BC116">
            <v>1.1138097082972058</v>
          </cell>
          <cell r="BD116">
            <v>0.98460072590190539</v>
          </cell>
        </row>
        <row r="117">
          <cell r="AZ117" t="str">
            <v>Malawi</v>
          </cell>
          <cell r="BA117">
            <v>0.47031846434299651</v>
          </cell>
          <cell r="BB117">
            <v>0.62116283297977271</v>
          </cell>
          <cell r="BC117">
            <v>1.0900882770395983</v>
          </cell>
          <cell r="BD117">
            <v>0.69458419669437266</v>
          </cell>
        </row>
        <row r="118">
          <cell r="AZ118" t="str">
            <v>Maldives</v>
          </cell>
          <cell r="BA118">
            <v>4.1137203451446993</v>
          </cell>
          <cell r="BB118">
            <v>1.8915628397230368</v>
          </cell>
          <cell r="BC118">
            <v>1.4975143572057059</v>
          </cell>
          <cell r="BD118">
            <v>1.4522553871733155</v>
          </cell>
        </row>
        <row r="119">
          <cell r="AZ119" t="str">
            <v>Mali</v>
          </cell>
          <cell r="BA119">
            <v>1.179376517705051</v>
          </cell>
          <cell r="BB119">
            <v>0.62811694883278513</v>
          </cell>
          <cell r="BC119">
            <v>1.7531841916189597</v>
          </cell>
          <cell r="BD119">
            <v>1.070987539515269</v>
          </cell>
        </row>
        <row r="120">
          <cell r="AZ120" t="str">
            <v>Mauritania</v>
          </cell>
          <cell r="BA120">
            <v>0.65457874250965509</v>
          </cell>
          <cell r="BB120">
            <v>0.44960156333049239</v>
          </cell>
          <cell r="BC120">
            <v>1.6778209107854103</v>
          </cell>
          <cell r="BD120">
            <v>0.86773773137166832</v>
          </cell>
        </row>
        <row r="121">
          <cell r="AZ121" t="str">
            <v>Micronesia Federated States</v>
          </cell>
          <cell r="BA121">
            <v>0.90013845010059923</v>
          </cell>
          <cell r="BB121">
            <v>0.99652661919126073</v>
          </cell>
          <cell r="BC121">
            <v>0.8789119015409671</v>
          </cell>
          <cell r="BD121">
            <v>1.0277206049808376</v>
          </cell>
        </row>
        <row r="122">
          <cell r="AZ122" t="str">
            <v>Mongolia</v>
          </cell>
          <cell r="BA122">
            <v>2.1322251262692218</v>
          </cell>
          <cell r="BB122">
            <v>0.52598062302321913</v>
          </cell>
          <cell r="BC122">
            <v>3.2132231285396164</v>
          </cell>
          <cell r="BD122">
            <v>1.2616021699670514</v>
          </cell>
        </row>
        <row r="123">
          <cell r="AZ123" t="str">
            <v>Mozambique</v>
          </cell>
          <cell r="BA123">
            <v>0.74316122596376122</v>
          </cell>
          <cell r="BB123">
            <v>0.78521961748939562</v>
          </cell>
          <cell r="BC123">
            <v>1.0065471955290233</v>
          </cell>
          <cell r="BD123">
            <v>0.94028121130513354</v>
          </cell>
        </row>
        <row r="124">
          <cell r="AZ124" t="str">
            <v>Myanmar</v>
          </cell>
          <cell r="BA124">
            <v>4.5639012821729379</v>
          </cell>
          <cell r="BB124">
            <v>0.92998930871902041</v>
          </cell>
          <cell r="BC124">
            <v>3.490088210302237</v>
          </cell>
          <cell r="BD124">
            <v>1.406118371276579</v>
          </cell>
        </row>
        <row r="125">
          <cell r="AZ125" t="str">
            <v>Namibia</v>
          </cell>
          <cell r="BA125">
            <v>1.2315349978891519</v>
          </cell>
          <cell r="BB125">
            <v>0.77147413999965242</v>
          </cell>
          <cell r="BC125">
            <v>1.7144070482510898</v>
          </cell>
          <cell r="BD125">
            <v>0.9311324062505919</v>
          </cell>
        </row>
        <row r="126">
          <cell r="AZ126" t="str">
            <v>Nepal</v>
          </cell>
          <cell r="BA126">
            <v>1.9508084248024231</v>
          </cell>
          <cell r="BB126">
            <v>0.90093786914215479</v>
          </cell>
          <cell r="BC126">
            <v>1.6639311566624686</v>
          </cell>
          <cell r="BD126">
            <v>1.3013209650967508</v>
          </cell>
        </row>
        <row r="127">
          <cell r="AZ127" t="str">
            <v>New Caledonia</v>
          </cell>
          <cell r="BA127">
            <v>1.1154043950539632</v>
          </cell>
          <cell r="BB127">
            <v>0.80955894464077738</v>
          </cell>
          <cell r="BC127">
            <v>1.5501142211765209</v>
          </cell>
          <cell r="BD127">
            <v>0.88883300981762792</v>
          </cell>
        </row>
        <row r="128">
          <cell r="AZ128" t="str">
            <v>Nicaragua</v>
          </cell>
          <cell r="BA128">
            <v>1.2003347664981834</v>
          </cell>
          <cell r="BB128">
            <v>0.88883709437876846</v>
          </cell>
          <cell r="BC128">
            <v>1.0044589659690921</v>
          </cell>
          <cell r="BD128">
            <v>1.3444603985885011</v>
          </cell>
        </row>
        <row r="129">
          <cell r="AZ129" t="str">
            <v>Niger</v>
          </cell>
          <cell r="BA129">
            <v>0.53292248072180537</v>
          </cell>
          <cell r="BB129">
            <v>0.34775291777215689</v>
          </cell>
          <cell r="BC129">
            <v>1.5256405818263867</v>
          </cell>
          <cell r="BD129">
            <v>1.0044793798882925</v>
          </cell>
        </row>
        <row r="130">
          <cell r="AZ130" t="str">
            <v>Oman</v>
          </cell>
          <cell r="BA130">
            <v>1.0993597141634739</v>
          </cell>
          <cell r="BB130">
            <v>1.0150362593853948</v>
          </cell>
          <cell r="BC130">
            <v>1.4537286768266329</v>
          </cell>
          <cell r="BD130">
            <v>0.74503196153747564</v>
          </cell>
        </row>
        <row r="131">
          <cell r="AZ131" t="str">
            <v>Papua New Guinea</v>
          </cell>
          <cell r="BA131">
            <v>1.0791782011750857</v>
          </cell>
          <cell r="BB131">
            <v>0.62038986979472144</v>
          </cell>
          <cell r="BC131">
            <v>1.4162216613038672</v>
          </cell>
          <cell r="BD131">
            <v>1.2282795857195099</v>
          </cell>
        </row>
        <row r="132">
          <cell r="AZ132" t="str">
            <v>Paraguay</v>
          </cell>
          <cell r="BA132">
            <v>1.813745016995655</v>
          </cell>
          <cell r="BB132">
            <v>0.91198505510802852</v>
          </cell>
          <cell r="BC132">
            <v>1.6083493105677293</v>
          </cell>
          <cell r="BD132">
            <v>1.2365398972606891</v>
          </cell>
        </row>
        <row r="133">
          <cell r="AZ133" t="str">
            <v>Qatar</v>
          </cell>
          <cell r="BA133">
            <v>1.9266086418949293</v>
          </cell>
          <cell r="BB133">
            <v>1.4607175790758224</v>
          </cell>
          <cell r="BC133">
            <v>1.5614484652611362</v>
          </cell>
          <cell r="BD133">
            <v>0.84469435726355069</v>
          </cell>
        </row>
        <row r="134">
          <cell r="AZ134" t="str">
            <v>Rwanda</v>
          </cell>
          <cell r="BA134">
            <v>1.0290428524632502</v>
          </cell>
          <cell r="BB134">
            <v>0.48334103344684215</v>
          </cell>
          <cell r="BC134">
            <v>1.7374083899584118</v>
          </cell>
          <cell r="BD134">
            <v>1.225400010625006</v>
          </cell>
        </row>
        <row r="135">
          <cell r="AZ135" t="str">
            <v>Sao Tome</v>
          </cell>
          <cell r="BA135">
            <v>0.89258740155362026</v>
          </cell>
          <cell r="BB135">
            <v>0.39496824186420842</v>
          </cell>
          <cell r="BC135">
            <v>1.4405112559538436</v>
          </cell>
          <cell r="BD135">
            <v>1.5688156741352179</v>
          </cell>
        </row>
        <row r="136">
          <cell r="AZ136" t="str">
            <v>Saudi Arabia</v>
          </cell>
          <cell r="BA136">
            <v>1.3432718952717924</v>
          </cell>
          <cell r="BB136">
            <v>0.96091762485037124</v>
          </cell>
          <cell r="BC136">
            <v>1.4025612992821346</v>
          </cell>
          <cell r="BD136">
            <v>0.99668040004200786</v>
          </cell>
        </row>
        <row r="137">
          <cell r="AZ137" t="str">
            <v>Senegal</v>
          </cell>
          <cell r="BA137">
            <v>0.58079928591039631</v>
          </cell>
          <cell r="BB137">
            <v>0.43386486100069244</v>
          </cell>
          <cell r="BC137">
            <v>1.4090447816159979</v>
          </cell>
          <cell r="BD137">
            <v>0.95005073896614722</v>
          </cell>
        </row>
        <row r="138">
          <cell r="AZ138" t="str">
            <v>Seychelles</v>
          </cell>
          <cell r="BA138">
            <v>1.1526239162998537</v>
          </cell>
          <cell r="BB138">
            <v>1.0982799628921447</v>
          </cell>
          <cell r="BC138">
            <v>0.76864948298294999</v>
          </cell>
          <cell r="BD138">
            <v>1.3653570179232264</v>
          </cell>
        </row>
        <row r="139">
          <cell r="AZ139" t="str">
            <v>Sierra Leone</v>
          </cell>
          <cell r="BA139">
            <v>1.1229073391757376</v>
          </cell>
          <cell r="BB139">
            <v>0.69591466598975815</v>
          </cell>
          <cell r="BC139">
            <v>1.4111372714034081</v>
          </cell>
          <cell r="BD139">
            <v>1.1434539221792919</v>
          </cell>
        </row>
        <row r="140">
          <cell r="AZ140" t="str">
            <v>Solomon Islands</v>
          </cell>
          <cell r="BA140">
            <v>1.3753451434738424</v>
          </cell>
          <cell r="BB140">
            <v>0.92418771604126515</v>
          </cell>
          <cell r="BC140">
            <v>1.1089437786610181</v>
          </cell>
          <cell r="BD140">
            <v>1.3419674368112138</v>
          </cell>
        </row>
        <row r="141">
          <cell r="AZ141" t="str">
            <v>Somalia</v>
          </cell>
          <cell r="BA141">
            <v>0.35917215718429751</v>
          </cell>
          <cell r="BB141">
            <v>1.2752155143662212</v>
          </cell>
          <cell r="BC141">
            <v>0.26541232463450914</v>
          </cell>
          <cell r="BD141">
            <v>1.0612018281882987</v>
          </cell>
        </row>
        <row r="142">
          <cell r="AZ142" t="str">
            <v>St. Lucia</v>
          </cell>
          <cell r="BA142">
            <v>1.3245076091977832</v>
          </cell>
          <cell r="BB142">
            <v>1.114636608617833</v>
          </cell>
          <cell r="BC142">
            <v>1.0711828769314495</v>
          </cell>
          <cell r="BD142">
            <v>1.1093217628441856</v>
          </cell>
        </row>
        <row r="143">
          <cell r="AZ143" t="str">
            <v>St. Vincent</v>
          </cell>
          <cell r="BA143">
            <v>1.5090385929851402</v>
          </cell>
          <cell r="BB143">
            <v>1.2683659079700451</v>
          </cell>
          <cell r="BC143">
            <v>1.1311563704611138</v>
          </cell>
          <cell r="BD143">
            <v>1.0517999379300229</v>
          </cell>
        </row>
        <row r="144">
          <cell r="AZ144" t="str">
            <v>Sudan (Former)</v>
          </cell>
          <cell r="BA144">
            <v>2.2478598464610053</v>
          </cell>
          <cell r="BB144">
            <v>0.59511051520439162</v>
          </cell>
          <cell r="BC144">
            <v>2.7091719615937286</v>
          </cell>
          <cell r="BD144">
            <v>1.3942319582291804</v>
          </cell>
        </row>
        <row r="145">
          <cell r="AZ145" t="str">
            <v>Suriname</v>
          </cell>
          <cell r="BA145">
            <v>1.6954186107605176</v>
          </cell>
          <cell r="BB145">
            <v>0.99704434128691477</v>
          </cell>
          <cell r="BC145">
            <v>2.26060729218886</v>
          </cell>
          <cell r="BD145">
            <v>0.75220696242561236</v>
          </cell>
        </row>
        <row r="146">
          <cell r="AZ146" t="str">
            <v>Swaziland</v>
          </cell>
          <cell r="BA146">
            <v>1.0273846541157865</v>
          </cell>
          <cell r="BB146">
            <v>0.84616504607924081</v>
          </cell>
          <cell r="BC146">
            <v>1.5023315308310556</v>
          </cell>
          <cell r="BD146">
            <v>0.80818765232896006</v>
          </cell>
        </row>
        <row r="147">
          <cell r="AZ147" t="str">
            <v>Syria</v>
          </cell>
          <cell r="BA147">
            <v>0.43801882111207341</v>
          </cell>
          <cell r="BB147">
            <v>1.005407770506711</v>
          </cell>
          <cell r="BC147">
            <v>1.6002903856942612</v>
          </cell>
          <cell r="BD147">
            <v>0.27223987612569411</v>
          </cell>
        </row>
        <row r="148">
          <cell r="AZ148" t="str">
            <v>Tanzania</v>
          </cell>
          <cell r="BA148">
            <v>1.5641556900241533</v>
          </cell>
          <cell r="BB148">
            <v>1.0631751328939043</v>
          </cell>
          <cell r="BC148">
            <v>1.1810764655330594</v>
          </cell>
          <cell r="BD148">
            <v>1.2456532143100483</v>
          </cell>
        </row>
        <row r="149">
          <cell r="AZ149" t="str">
            <v>Togo</v>
          </cell>
          <cell r="BA149">
            <v>0.52335958881709921</v>
          </cell>
          <cell r="BB149">
            <v>0.41480207045428352</v>
          </cell>
          <cell r="BC149">
            <v>1.1729843681783414</v>
          </cell>
          <cell r="BD149">
            <v>1.0756402515348917</v>
          </cell>
        </row>
        <row r="150">
          <cell r="AZ150" t="str">
            <v>Tonga</v>
          </cell>
          <cell r="BA150">
            <v>1.0719579849280039</v>
          </cell>
          <cell r="BB150">
            <v>0.8526041642792711</v>
          </cell>
          <cell r="BC150">
            <v>1.2401916567168252</v>
          </cell>
          <cell r="BD150">
            <v>1.0137748404008209</v>
          </cell>
        </row>
        <row r="151">
          <cell r="AZ151" t="str">
            <v>Tunisia</v>
          </cell>
          <cell r="BA151">
            <v>0.98117751282171362</v>
          </cell>
          <cell r="BB151">
            <v>1.0145831788158908</v>
          </cell>
          <cell r="BC151">
            <v>1.2466165309132302</v>
          </cell>
          <cell r="BD151">
            <v>0.77575940041470204</v>
          </cell>
        </row>
        <row r="152">
          <cell r="AZ152" t="str">
            <v>United Arab Emirates</v>
          </cell>
          <cell r="BA152">
            <v>0.68256293500451359</v>
          </cell>
          <cell r="BB152">
            <v>0.91568565786562461</v>
          </cell>
          <cell r="BC152">
            <v>0.69569850337607075</v>
          </cell>
          <cell r="BD152">
            <v>1.0714581685260156</v>
          </cell>
        </row>
        <row r="153">
          <cell r="AZ153" t="str">
            <v>Vanuatu</v>
          </cell>
          <cell r="BA153">
            <v>1.2395197036530206</v>
          </cell>
          <cell r="BB153">
            <v>0.92136430344256315</v>
          </cell>
          <cell r="BC153">
            <v>1.3808221362409103</v>
          </cell>
          <cell r="BD153">
            <v>0.97428117628984967</v>
          </cell>
        </row>
        <row r="154">
          <cell r="AZ154" t="str">
            <v>Virgin Islands</v>
          </cell>
          <cell r="BA154">
            <v>3.9595407152296773</v>
          </cell>
          <cell r="BB154">
            <v>5.0026908227991385</v>
          </cell>
          <cell r="BC154">
            <v>0.76972305340660174</v>
          </cell>
          <cell r="BD154">
            <v>1.0282687934001011</v>
          </cell>
        </row>
        <row r="155">
          <cell r="AZ155" t="str">
            <v>West Bank and Gaza</v>
          </cell>
          <cell r="BA155">
            <v>1.4795210219162584</v>
          </cell>
          <cell r="BB155">
            <v>1.0930609698509699</v>
          </cell>
          <cell r="BC155">
            <v>1.091630949006984</v>
          </cell>
          <cell r="BD155">
            <v>1.239940693170688</v>
          </cell>
        </row>
        <row r="156">
          <cell r="AZ156" t="str">
            <v>Western Samoa</v>
          </cell>
          <cell r="BA156">
            <v>2.9312740514916324</v>
          </cell>
          <cell r="BB156">
            <v>1.4471842048325723</v>
          </cell>
          <cell r="BC156">
            <v>1.8381540312614295</v>
          </cell>
          <cell r="BD156">
            <v>1.1019216315749205</v>
          </cell>
        </row>
        <row r="157">
          <cell r="AZ157" t="str">
            <v>Yemen</v>
          </cell>
          <cell r="BA157">
            <v>0.66107122004144259</v>
          </cell>
          <cell r="BB157">
            <v>0.6615473922497539</v>
          </cell>
          <cell r="BC157">
            <v>1.4359027446335406</v>
          </cell>
          <cell r="BD157">
            <v>0.6959247193120025</v>
          </cell>
        </row>
        <row r="158">
          <cell r="AZ158" t="str">
            <v>Zambia</v>
          </cell>
          <cell r="BA158">
            <v>1.4845250636034302</v>
          </cell>
          <cell r="BB158">
            <v>0.54426596210326217</v>
          </cell>
          <cell r="BC158">
            <v>2.8528956922726008</v>
          </cell>
          <cell r="BD158">
            <v>0.95607170686764598</v>
          </cell>
        </row>
        <row r="159">
          <cell r="AZ159" t="str">
            <v>Zimbabwe</v>
          </cell>
          <cell r="BA159">
            <v>0.43866465480021855</v>
          </cell>
          <cell r="BB159">
            <v>0.40322296551687348</v>
          </cell>
          <cell r="BC159">
            <v>0.77711671737775156</v>
          </cell>
          <cell r="BD159">
            <v>1.3999132747607606</v>
          </cell>
        </row>
      </sheetData>
      <sheetData sheetId="12"/>
      <sheetData sheetId="13"/>
      <sheetData sheetId="14"/>
      <sheetData sheetId="15"/>
      <sheetData sheetId="16"/>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Explanation"/>
      <sheetName val="GDP"/>
      <sheetName val="POP"/>
      <sheetName val="Interbloc Theil"/>
      <sheetName val="Global Theil"/>
      <sheetName val="Decomposition"/>
      <sheetName val="Chart Decomposition"/>
      <sheetName val="Chart Discrepancy"/>
    </sheetNames>
    <sheetDataSet>
      <sheetData sheetId="0"/>
      <sheetData sheetId="1"/>
      <sheetData sheetId="2">
        <row r="11">
          <cell r="B11" t="str">
            <v>Australia</v>
          </cell>
          <cell r="C11">
            <v>19652816896</v>
          </cell>
          <cell r="D11">
            <v>19892486144</v>
          </cell>
          <cell r="E11">
            <v>21507446784</v>
          </cell>
          <cell r="F11">
            <v>23764140032</v>
          </cell>
          <cell r="G11">
            <v>25936834560</v>
          </cell>
          <cell r="H11">
            <v>27268450304</v>
          </cell>
          <cell r="I11">
            <v>30397581312</v>
          </cell>
          <cell r="J11">
            <v>32665473024</v>
          </cell>
          <cell r="K11">
            <v>36628963328</v>
          </cell>
          <cell r="L11">
            <v>41271140352</v>
          </cell>
          <cell r="M11">
            <v>45149511680</v>
          </cell>
          <cell r="N11">
            <v>51967291392</v>
          </cell>
          <cell r="O11">
            <v>63737348096</v>
          </cell>
          <cell r="P11">
            <v>88831246336</v>
          </cell>
          <cell r="Q11">
            <v>97170554880</v>
          </cell>
          <cell r="R11">
            <v>104921219072</v>
          </cell>
          <cell r="S11">
            <v>110201880576</v>
          </cell>
          <cell r="T11">
            <v>118338600960</v>
          </cell>
          <cell r="U11">
            <v>134712033280</v>
          </cell>
          <cell r="V11">
            <v>149774925824</v>
          </cell>
          <cell r="W11">
            <v>176642277376</v>
          </cell>
          <cell r="X11">
            <v>193770274816</v>
          </cell>
          <cell r="Y11">
            <v>177030414336</v>
          </cell>
          <cell r="Z11">
            <v>193242169344</v>
          </cell>
          <cell r="AA11">
            <v>180234715136</v>
          </cell>
          <cell r="AB11">
            <v>182036938752</v>
          </cell>
          <cell r="AC11">
            <v>189060349952</v>
          </cell>
          <cell r="AD11">
            <v>235659198464</v>
          </cell>
          <cell r="AE11">
            <v>299267981312</v>
          </cell>
          <cell r="AF11">
            <v>310777217024</v>
          </cell>
          <cell r="AG11">
            <v>325310414848</v>
          </cell>
          <cell r="AH11">
            <v>324878860288</v>
          </cell>
          <cell r="AI11">
            <v>311544414208</v>
          </cell>
          <cell r="AJ11">
            <v>322211676160</v>
          </cell>
          <cell r="AK11">
            <v>367216361472</v>
          </cell>
          <cell r="AL11">
            <v>400302735360</v>
          </cell>
          <cell r="AM11">
            <v>434568003584</v>
          </cell>
          <cell r="AN11">
            <v>398899150848</v>
          </cell>
          <cell r="AO11">
            <v>388608229376</v>
          </cell>
          <cell r="AP11">
            <v>415222628352</v>
          </cell>
          <cell r="AQ11">
            <v>378376093696</v>
          </cell>
          <cell r="AR11">
            <v>394648911872</v>
          </cell>
          <cell r="AS11">
            <v>466488066048</v>
          </cell>
          <cell r="AT11">
            <v>612490412032</v>
          </cell>
          <cell r="AU11">
            <v>693407776768</v>
          </cell>
          <cell r="AV11">
            <v>746054221824</v>
          </cell>
          <cell r="AW11">
            <v>853099610112</v>
          </cell>
          <cell r="AX11">
            <v>1053995499520</v>
          </cell>
          <cell r="AY11">
            <v>927805210624</v>
          </cell>
          <cell r="AZ11">
            <v>1146138525696</v>
          </cell>
          <cell r="BA11">
            <v>1396649885696</v>
          </cell>
          <cell r="BB11">
            <v>1546151788544</v>
          </cell>
          <cell r="BC11">
            <v>1576184446976</v>
          </cell>
          <cell r="BD11">
            <v>1467483684864</v>
          </cell>
          <cell r="BE11">
            <v>1351694024704</v>
          </cell>
          <cell r="BF11">
            <v>1208847040512</v>
          </cell>
          <cell r="BG11">
            <v>1330135695360</v>
          </cell>
          <cell r="BH11">
            <v>1433904349184</v>
          </cell>
          <cell r="BI11">
            <v>1392680632320</v>
          </cell>
        </row>
        <row r="12">
          <cell r="B12" t="str">
            <v>Austria</v>
          </cell>
          <cell r="C12">
            <v>7311749632</v>
          </cell>
          <cell r="D12">
            <v>7756110336</v>
          </cell>
          <cell r="E12">
            <v>8374175232</v>
          </cell>
          <cell r="F12">
            <v>9169983488</v>
          </cell>
          <cell r="G12">
            <v>9994071040</v>
          </cell>
          <cell r="H12">
            <v>10887682048</v>
          </cell>
          <cell r="I12">
            <v>11579431936</v>
          </cell>
          <cell r="J12">
            <v>12440625152</v>
          </cell>
          <cell r="K12">
            <v>13582798848</v>
          </cell>
          <cell r="L12">
            <v>15373005824</v>
          </cell>
          <cell r="M12">
            <v>17858486272</v>
          </cell>
          <cell r="N12">
            <v>22059612160</v>
          </cell>
          <cell r="O12">
            <v>29515468800</v>
          </cell>
          <cell r="P12">
            <v>35189301248</v>
          </cell>
          <cell r="Q12">
            <v>40059207680</v>
          </cell>
          <cell r="R12">
            <v>42959974400</v>
          </cell>
          <cell r="S12">
            <v>51545759744</v>
          </cell>
          <cell r="T12">
            <v>62052257792</v>
          </cell>
          <cell r="U12">
            <v>73937297408</v>
          </cell>
          <cell r="V12">
            <v>82058911744</v>
          </cell>
          <cell r="W12">
            <v>71034224640</v>
          </cell>
          <cell r="X12">
            <v>71275290624</v>
          </cell>
          <cell r="Y12">
            <v>72121016320</v>
          </cell>
          <cell r="Z12">
            <v>67985346560</v>
          </cell>
          <cell r="AA12">
            <v>69386772480</v>
          </cell>
          <cell r="AB12">
            <v>99036168192</v>
          </cell>
          <cell r="AC12">
            <v>124168445952</v>
          </cell>
          <cell r="AD12">
            <v>133339398144</v>
          </cell>
          <cell r="AE12">
            <v>133105803264</v>
          </cell>
          <cell r="AF12">
            <v>166463389696</v>
          </cell>
          <cell r="AG12">
            <v>173794181120</v>
          </cell>
          <cell r="AH12">
            <v>195078127616</v>
          </cell>
          <cell r="AI12">
            <v>190379720704</v>
          </cell>
          <cell r="AJ12">
            <v>203535237120</v>
          </cell>
          <cell r="AK12">
            <v>241038278656</v>
          </cell>
          <cell r="AL12">
            <v>237250953216</v>
          </cell>
          <cell r="AM12">
            <v>212790345728</v>
          </cell>
          <cell r="AN12">
            <v>218259898368</v>
          </cell>
          <cell r="AO12">
            <v>217185779712</v>
          </cell>
          <cell r="AP12">
            <v>196799774720</v>
          </cell>
          <cell r="AQ12">
            <v>197337874432</v>
          </cell>
          <cell r="AR12">
            <v>213377777664</v>
          </cell>
          <cell r="AS12">
            <v>261695782912</v>
          </cell>
          <cell r="AT12">
            <v>300904218624</v>
          </cell>
          <cell r="AU12">
            <v>315974418432</v>
          </cell>
          <cell r="AV12">
            <v>335998550016</v>
          </cell>
          <cell r="AW12">
            <v>388691460096</v>
          </cell>
          <cell r="AX12">
            <v>430294302720</v>
          </cell>
          <cell r="AY12">
            <v>400172285952</v>
          </cell>
          <cell r="AZ12">
            <v>391892762624</v>
          </cell>
          <cell r="BA12">
            <v>431120318464</v>
          </cell>
          <cell r="BB12">
            <v>409425248256</v>
          </cell>
          <cell r="BC12">
            <v>430068727808</v>
          </cell>
          <cell r="BD12">
            <v>441996115968</v>
          </cell>
          <cell r="BE12">
            <v>381817552896</v>
          </cell>
          <cell r="BF12">
            <v>395227693056</v>
          </cell>
          <cell r="BG12">
            <v>418316156928</v>
          </cell>
          <cell r="BH12">
            <v>455508262912</v>
          </cell>
          <cell r="BI12">
            <v>446314741760</v>
          </cell>
        </row>
        <row r="13">
          <cell r="B13" t="str">
            <v>Belgium</v>
          </cell>
          <cell r="C13">
            <v>12400145408</v>
          </cell>
          <cell r="D13">
            <v>13264015360</v>
          </cell>
          <cell r="E13">
            <v>14260017152</v>
          </cell>
          <cell r="F13">
            <v>15960107008</v>
          </cell>
          <cell r="G13">
            <v>17371457536</v>
          </cell>
          <cell r="H13">
            <v>18651883520</v>
          </cell>
          <cell r="I13">
            <v>19992041472</v>
          </cell>
          <cell r="J13">
            <v>21376352256</v>
          </cell>
          <cell r="K13">
            <v>23710736384</v>
          </cell>
          <cell r="L13">
            <v>26706196480</v>
          </cell>
          <cell r="M13">
            <v>29821661184</v>
          </cell>
          <cell r="N13">
            <v>37209419776</v>
          </cell>
          <cell r="O13">
            <v>47743803392</v>
          </cell>
          <cell r="P13">
            <v>56033079296</v>
          </cell>
          <cell r="Q13">
            <v>65678188544</v>
          </cell>
          <cell r="R13">
            <v>71113883648</v>
          </cell>
          <cell r="S13">
            <v>82839904256</v>
          </cell>
          <cell r="T13">
            <v>101246525440</v>
          </cell>
          <cell r="U13">
            <v>116315455488</v>
          </cell>
          <cell r="V13">
            <v>126829314048</v>
          </cell>
          <cell r="W13">
            <v>104730017792</v>
          </cell>
          <cell r="X13">
            <v>92095930368</v>
          </cell>
          <cell r="Y13">
            <v>87184236544</v>
          </cell>
          <cell r="Z13">
            <v>83349528576</v>
          </cell>
          <cell r="AA13">
            <v>86268264448</v>
          </cell>
          <cell r="AB13">
            <v>120018788352</v>
          </cell>
          <cell r="AC13">
            <v>149394407424</v>
          </cell>
          <cell r="AD13">
            <v>162299101184</v>
          </cell>
          <cell r="AE13">
            <v>164221059072</v>
          </cell>
          <cell r="AF13">
            <v>205331742720</v>
          </cell>
          <cell r="AG13">
            <v>210511003648</v>
          </cell>
          <cell r="AH13">
            <v>234781655040</v>
          </cell>
          <cell r="AI13">
            <v>224721797120</v>
          </cell>
          <cell r="AJ13">
            <v>244884127744</v>
          </cell>
          <cell r="AK13">
            <v>288025575424</v>
          </cell>
          <cell r="AL13">
            <v>279201447936</v>
          </cell>
          <cell r="AM13">
            <v>252708044800</v>
          </cell>
          <cell r="AN13">
            <v>258528346112</v>
          </cell>
          <cell r="AO13">
            <v>258158526464</v>
          </cell>
          <cell r="AP13">
            <v>236204539904</v>
          </cell>
          <cell r="AQ13">
            <v>236541296640</v>
          </cell>
          <cell r="AR13">
            <v>257157824512</v>
          </cell>
          <cell r="AS13">
            <v>317381705728</v>
          </cell>
          <cell r="AT13">
            <v>368537010176</v>
          </cell>
          <cell r="AU13">
            <v>385570963456</v>
          </cell>
          <cell r="AV13">
            <v>407918084096</v>
          </cell>
          <cell r="AW13">
            <v>470324248576</v>
          </cell>
          <cell r="AX13">
            <v>515223519232</v>
          </cell>
          <cell r="AY13">
            <v>481345929216</v>
          </cell>
          <cell r="AZ13">
            <v>480951631872</v>
          </cell>
          <cell r="BA13">
            <v>522645504000</v>
          </cell>
          <cell r="BB13">
            <v>496181248000</v>
          </cell>
          <cell r="BC13">
            <v>521642704896</v>
          </cell>
          <cell r="BD13">
            <v>534678077440</v>
          </cell>
          <cell r="BE13">
            <v>462149681152</v>
          </cell>
          <cell r="BF13">
            <v>475900870656</v>
          </cell>
          <cell r="BG13">
            <v>503788765184</v>
          </cell>
          <cell r="BH13">
            <v>542685921280</v>
          </cell>
          <cell r="BI13">
            <v>529606705152</v>
          </cell>
        </row>
        <row r="14">
          <cell r="B14" t="str">
            <v>Finland</v>
          </cell>
          <cell r="C14">
            <v>5921659392</v>
          </cell>
          <cell r="D14">
            <v>6340580864</v>
          </cell>
          <cell r="E14">
            <v>6885920256</v>
          </cell>
          <cell r="F14">
            <v>7766654976</v>
          </cell>
          <cell r="G14">
            <v>8589340160</v>
          </cell>
          <cell r="H14">
            <v>9208524800</v>
          </cell>
          <cell r="I14">
            <v>9368953856</v>
          </cell>
          <cell r="J14">
            <v>8823033856</v>
          </cell>
          <cell r="K14">
            <v>10070766592</v>
          </cell>
          <cell r="L14">
            <v>11357516800</v>
          </cell>
          <cell r="M14">
            <v>12527405056</v>
          </cell>
          <cell r="N14">
            <v>14743185408</v>
          </cell>
          <cell r="O14">
            <v>19472363520</v>
          </cell>
          <cell r="P14">
            <v>24848822272</v>
          </cell>
          <cell r="Q14">
            <v>29472624640</v>
          </cell>
          <cell r="R14">
            <v>31849515008</v>
          </cell>
          <cell r="S14">
            <v>33499799552</v>
          </cell>
          <cell r="T14">
            <v>36256161792</v>
          </cell>
          <cell r="U14">
            <v>44465254400</v>
          </cell>
          <cell r="V14">
            <v>53645201408</v>
          </cell>
          <cell r="W14">
            <v>52448333824</v>
          </cell>
          <cell r="X14">
            <v>52797583360</v>
          </cell>
          <cell r="Y14">
            <v>50973528064</v>
          </cell>
          <cell r="Z14">
            <v>52888801280</v>
          </cell>
          <cell r="AA14">
            <v>55875862528</v>
          </cell>
          <cell r="AB14">
            <v>73531547648</v>
          </cell>
          <cell r="AC14">
            <v>91594752000</v>
          </cell>
          <cell r="AD14">
            <v>109058990080</v>
          </cell>
          <cell r="AE14">
            <v>119012057088</v>
          </cell>
          <cell r="AF14">
            <v>141438353408</v>
          </cell>
          <cell r="AG14">
            <v>127773859840</v>
          </cell>
          <cell r="AH14">
            <v>112532520960</v>
          </cell>
          <cell r="AI14">
            <v>89214115840</v>
          </cell>
          <cell r="AJ14">
            <v>103299940352</v>
          </cell>
          <cell r="AK14">
            <v>134189817856</v>
          </cell>
          <cell r="AL14">
            <v>132129177600</v>
          </cell>
          <cell r="AM14">
            <v>126912151552</v>
          </cell>
          <cell r="AN14">
            <v>134038716416</v>
          </cell>
          <cell r="AO14">
            <v>135218413568</v>
          </cell>
          <cell r="AP14">
            <v>125706649600</v>
          </cell>
          <cell r="AQ14">
            <v>129421025280</v>
          </cell>
          <cell r="AR14">
            <v>139738382336</v>
          </cell>
          <cell r="AS14">
            <v>171274272768</v>
          </cell>
          <cell r="AT14">
            <v>197116952576</v>
          </cell>
          <cell r="AU14">
            <v>204809109504</v>
          </cell>
          <cell r="AV14">
            <v>216907546624</v>
          </cell>
          <cell r="AW14">
            <v>256052559872</v>
          </cell>
          <cell r="AX14">
            <v>284553969664</v>
          </cell>
          <cell r="AY14">
            <v>252496527360</v>
          </cell>
          <cell r="AZ14">
            <v>249181192192</v>
          </cell>
          <cell r="BA14">
            <v>275243696128</v>
          </cell>
          <cell r="BB14">
            <v>258304835584</v>
          </cell>
          <cell r="BC14">
            <v>271285272576</v>
          </cell>
          <cell r="BD14">
            <v>274497224704</v>
          </cell>
          <cell r="BE14">
            <v>234440081408</v>
          </cell>
          <cell r="BF14">
            <v>240607903744</v>
          </cell>
          <cell r="BG14">
            <v>255122538496</v>
          </cell>
          <cell r="BH14">
            <v>275893682176</v>
          </cell>
          <cell r="BI14">
            <v>268761202688</v>
          </cell>
        </row>
        <row r="15">
          <cell r="B15" t="str">
            <v>France</v>
          </cell>
          <cell r="C15">
            <v>67461644288</v>
          </cell>
          <cell r="D15">
            <v>75607531520</v>
          </cell>
          <cell r="E15">
            <v>84759191552</v>
          </cell>
          <cell r="F15">
            <v>94007853056</v>
          </cell>
          <cell r="G15">
            <v>101537251328</v>
          </cell>
          <cell r="H15">
            <v>110045855744</v>
          </cell>
          <cell r="I15">
            <v>118972981248</v>
          </cell>
          <cell r="J15">
            <v>129785438208</v>
          </cell>
          <cell r="K15">
            <v>141903069184</v>
          </cell>
          <cell r="L15">
            <v>148456357888</v>
          </cell>
          <cell r="M15">
            <v>165966610432</v>
          </cell>
          <cell r="N15">
            <v>203494146048</v>
          </cell>
          <cell r="O15">
            <v>264429879296</v>
          </cell>
          <cell r="P15">
            <v>285552377856</v>
          </cell>
          <cell r="Q15">
            <v>360832172032</v>
          </cell>
          <cell r="R15">
            <v>372319027200</v>
          </cell>
          <cell r="S15">
            <v>410279477248</v>
          </cell>
          <cell r="T15">
            <v>506707836928</v>
          </cell>
          <cell r="U15">
            <v>613953110016</v>
          </cell>
          <cell r="V15">
            <v>701288415232</v>
          </cell>
          <cell r="W15">
            <v>615552188416</v>
          </cell>
          <cell r="X15">
            <v>584877735936</v>
          </cell>
          <cell r="Y15">
            <v>559869198336</v>
          </cell>
          <cell r="Z15">
            <v>530683789312</v>
          </cell>
          <cell r="AA15">
            <v>553138388992</v>
          </cell>
          <cell r="AB15">
            <v>771470786560</v>
          </cell>
          <cell r="AC15">
            <v>934173278208</v>
          </cell>
          <cell r="AD15">
            <v>1018847035392</v>
          </cell>
          <cell r="AE15">
            <v>1025211826176</v>
          </cell>
          <cell r="AF15">
            <v>1269179613184</v>
          </cell>
          <cell r="AG15">
            <v>1269276868608</v>
          </cell>
          <cell r="AH15">
            <v>1401465864192</v>
          </cell>
          <cell r="AI15">
            <v>1322815586304</v>
          </cell>
          <cell r="AJ15">
            <v>1393982701568</v>
          </cell>
          <cell r="AK15">
            <v>1601094811648</v>
          </cell>
          <cell r="AL15">
            <v>1605675122688</v>
          </cell>
          <cell r="AM15">
            <v>1452884885504</v>
          </cell>
          <cell r="AN15">
            <v>1503108792320</v>
          </cell>
          <cell r="AO15">
            <v>1492647542784</v>
          </cell>
          <cell r="AP15">
            <v>1362248990720</v>
          </cell>
          <cell r="AQ15">
            <v>1376465321984</v>
          </cell>
          <cell r="AR15">
            <v>1494286598144</v>
          </cell>
          <cell r="AS15">
            <v>1840480780288</v>
          </cell>
          <cell r="AT15">
            <v>2115742466048</v>
          </cell>
          <cell r="AU15">
            <v>2196126040064</v>
          </cell>
          <cell r="AV15">
            <v>2318593687552</v>
          </cell>
          <cell r="AW15">
            <v>2657213218816</v>
          </cell>
          <cell r="AX15">
            <v>2918382829568</v>
          </cell>
          <cell r="AY15">
            <v>2690222391296</v>
          </cell>
          <cell r="AZ15">
            <v>2642609438720</v>
          </cell>
          <cell r="BA15">
            <v>2861408190464</v>
          </cell>
          <cell r="BB15">
            <v>2683825291264</v>
          </cell>
          <cell r="BC15">
            <v>2811077853184</v>
          </cell>
          <cell r="BD15">
            <v>2852165779456</v>
          </cell>
          <cell r="BE15">
            <v>2438207897600</v>
          </cell>
          <cell r="BF15">
            <v>2471285489664</v>
          </cell>
          <cell r="BG15">
            <v>2595151151104</v>
          </cell>
          <cell r="BH15">
            <v>2787863953408</v>
          </cell>
          <cell r="BI15">
            <v>2715518238720</v>
          </cell>
        </row>
        <row r="16">
          <cell r="B16" t="str">
            <v>Greece</v>
          </cell>
          <cell r="C16">
            <v>4961400320</v>
          </cell>
          <cell r="D16">
            <v>5213047808</v>
          </cell>
          <cell r="E16">
            <v>5895278080</v>
          </cell>
          <cell r="F16">
            <v>6669673472</v>
          </cell>
          <cell r="G16">
            <v>7689154048</v>
          </cell>
          <cell r="H16">
            <v>8591517696</v>
          </cell>
          <cell r="I16">
            <v>9275600896</v>
          </cell>
          <cell r="J16">
            <v>10090676224</v>
          </cell>
          <cell r="K16">
            <v>11615656960</v>
          </cell>
          <cell r="L16">
            <v>13139862528</v>
          </cell>
          <cell r="M16">
            <v>14591755264</v>
          </cell>
          <cell r="N16">
            <v>16885507072</v>
          </cell>
          <cell r="O16">
            <v>22347845632</v>
          </cell>
          <cell r="P16">
            <v>25351305216</v>
          </cell>
          <cell r="Q16">
            <v>28525873152</v>
          </cell>
          <cell r="R16">
            <v>31152840704</v>
          </cell>
          <cell r="S16">
            <v>36176232448</v>
          </cell>
          <cell r="T16">
            <v>44270202880</v>
          </cell>
          <cell r="U16">
            <v>54481874944</v>
          </cell>
          <cell r="V16">
            <v>56829665280</v>
          </cell>
          <cell r="W16">
            <v>52346507264</v>
          </cell>
          <cell r="X16">
            <v>54617993216</v>
          </cell>
          <cell r="Y16">
            <v>49428873216</v>
          </cell>
          <cell r="Z16">
            <v>48020025344</v>
          </cell>
          <cell r="AA16">
            <v>47820849152</v>
          </cell>
          <cell r="AB16">
            <v>56379592704</v>
          </cell>
          <cell r="AC16">
            <v>65652752384</v>
          </cell>
          <cell r="AD16">
            <v>76261277696</v>
          </cell>
          <cell r="AE16">
            <v>79169044480</v>
          </cell>
          <cell r="AF16">
            <v>97891090432</v>
          </cell>
          <cell r="AG16">
            <v>105143230464</v>
          </cell>
          <cell r="AH16">
            <v>116224671744</v>
          </cell>
          <cell r="AI16">
            <v>108809060352</v>
          </cell>
          <cell r="AJ16">
            <v>116601798656</v>
          </cell>
          <cell r="AK16">
            <v>136878366720</v>
          </cell>
          <cell r="AL16">
            <v>145861607424</v>
          </cell>
          <cell r="AM16">
            <v>143157592064</v>
          </cell>
          <cell r="AN16">
            <v>144428171264</v>
          </cell>
          <cell r="AO16">
            <v>142540734464</v>
          </cell>
          <cell r="AP16">
            <v>130133843968</v>
          </cell>
          <cell r="AQ16">
            <v>136191352832</v>
          </cell>
          <cell r="AR16">
            <v>153830948864</v>
          </cell>
          <cell r="AS16">
            <v>201924263936</v>
          </cell>
          <cell r="AT16">
            <v>240521265152</v>
          </cell>
          <cell r="AU16">
            <v>247782998016</v>
          </cell>
          <cell r="AV16">
            <v>273317740544</v>
          </cell>
          <cell r="AW16">
            <v>318497947648</v>
          </cell>
          <cell r="AX16">
            <v>354460794880</v>
          </cell>
          <cell r="AY16">
            <v>330000236544</v>
          </cell>
          <cell r="AZ16">
            <v>299361566720</v>
          </cell>
          <cell r="BA16">
            <v>287797837824</v>
          </cell>
          <cell r="BB16">
            <v>245670674432</v>
          </cell>
          <cell r="BC16">
            <v>239862005760</v>
          </cell>
          <cell r="BD16">
            <v>237029572608</v>
          </cell>
          <cell r="BE16">
            <v>196591353856</v>
          </cell>
          <cell r="BF16">
            <v>195222437888</v>
          </cell>
          <cell r="BG16">
            <v>203588419584</v>
          </cell>
          <cell r="BH16">
            <v>218138361856</v>
          </cell>
          <cell r="BI16">
            <v>209852760064</v>
          </cell>
        </row>
        <row r="17">
          <cell r="B17" t="str">
            <v>Israel</v>
          </cell>
          <cell r="C17">
            <v>3138500096</v>
          </cell>
          <cell r="D17">
            <v>2510000128</v>
          </cell>
          <cell r="E17">
            <v>2992333312</v>
          </cell>
          <cell r="F17">
            <v>3405333248</v>
          </cell>
          <cell r="G17">
            <v>3663333376</v>
          </cell>
          <cell r="H17">
            <v>3980000000</v>
          </cell>
          <cell r="I17">
            <v>4030000128</v>
          </cell>
          <cell r="J17">
            <v>4618999808</v>
          </cell>
          <cell r="K17">
            <v>5329333248</v>
          </cell>
          <cell r="L17">
            <v>7048666624</v>
          </cell>
          <cell r="M17">
            <v>6711750144</v>
          </cell>
          <cell r="N17">
            <v>8775249920</v>
          </cell>
          <cell r="O17">
            <v>11326249984</v>
          </cell>
          <cell r="P17">
            <v>16341000192</v>
          </cell>
          <cell r="Q17">
            <v>15360166912</v>
          </cell>
          <cell r="R17">
            <v>15183125504</v>
          </cell>
          <cell r="S17">
            <v>17372798976</v>
          </cell>
          <cell r="T17">
            <v>16843176960</v>
          </cell>
          <cell r="U17">
            <v>21514080256</v>
          </cell>
          <cell r="V17">
            <v>24164509696</v>
          </cell>
          <cell r="W17">
            <v>25579227136</v>
          </cell>
          <cell r="X17">
            <v>27837509632</v>
          </cell>
          <cell r="Y17">
            <v>31092230144</v>
          </cell>
          <cell r="Z17">
            <v>29160458240</v>
          </cell>
          <cell r="AA17">
            <v>27504906240</v>
          </cell>
          <cell r="AB17">
            <v>34097559552</v>
          </cell>
          <cell r="AC17">
            <v>40963276800</v>
          </cell>
          <cell r="AD17">
            <v>50099380224</v>
          </cell>
          <cell r="AE17">
            <v>49901961216</v>
          </cell>
          <cell r="AF17">
            <v>59011272704</v>
          </cell>
          <cell r="AG17">
            <v>67558014976</v>
          </cell>
          <cell r="AH17">
            <v>75607007232</v>
          </cell>
          <cell r="AI17">
            <v>75985903616</v>
          </cell>
          <cell r="AJ17">
            <v>86342656000</v>
          </cell>
          <cell r="AK17">
            <v>100384808960</v>
          </cell>
          <cell r="AL17">
            <v>109995843584</v>
          </cell>
          <cell r="AM17">
            <v>114692620288</v>
          </cell>
          <cell r="AN17">
            <v>115932848128</v>
          </cell>
          <cell r="AO17">
            <v>117111537664</v>
          </cell>
          <cell r="AP17">
            <v>132343046144</v>
          </cell>
          <cell r="AQ17">
            <v>130756337664</v>
          </cell>
          <cell r="AR17">
            <v>121123831808</v>
          </cell>
          <cell r="AS17">
            <v>126965981184</v>
          </cell>
          <cell r="AT17">
            <v>135477428224</v>
          </cell>
          <cell r="AU17">
            <v>142528905216</v>
          </cell>
          <cell r="AV17">
            <v>154034323456</v>
          </cell>
          <cell r="AW17">
            <v>178959187968</v>
          </cell>
          <cell r="AX17">
            <v>216105172992</v>
          </cell>
          <cell r="AY17">
            <v>207468167168</v>
          </cell>
          <cell r="AZ17">
            <v>233995681792</v>
          </cell>
          <cell r="BA17">
            <v>261468635136</v>
          </cell>
          <cell r="BB17">
            <v>257180139520</v>
          </cell>
          <cell r="BC17">
            <v>292636164096</v>
          </cell>
          <cell r="BD17">
            <v>309558444032</v>
          </cell>
          <cell r="BE17">
            <v>299813109760</v>
          </cell>
          <cell r="BF17">
            <v>318950604800</v>
          </cell>
          <cell r="BG17">
            <v>353253392384</v>
          </cell>
          <cell r="BH17">
            <v>370587992064</v>
          </cell>
          <cell r="BI17">
            <v>395098652672</v>
          </cell>
        </row>
        <row r="18">
          <cell r="B18" t="str">
            <v>Italy</v>
          </cell>
          <cell r="C18">
            <v>44842762240</v>
          </cell>
          <cell r="D18">
            <v>50383892480</v>
          </cell>
          <cell r="E18">
            <v>57710743552</v>
          </cell>
          <cell r="F18">
            <v>63175417856</v>
          </cell>
          <cell r="G18">
            <v>67978153984</v>
          </cell>
          <cell r="H18">
            <v>73654870016</v>
          </cell>
          <cell r="I18">
            <v>81133117440</v>
          </cell>
          <cell r="J18">
            <v>87942234112</v>
          </cell>
          <cell r="K18">
            <v>97085079552</v>
          </cell>
          <cell r="L18">
            <v>113395318784</v>
          </cell>
          <cell r="M18">
            <v>124672368640</v>
          </cell>
          <cell r="N18">
            <v>145260036096</v>
          </cell>
          <cell r="O18">
            <v>175492055040</v>
          </cell>
          <cell r="P18">
            <v>199564492800</v>
          </cell>
          <cell r="Q18">
            <v>227695853568</v>
          </cell>
          <cell r="R18">
            <v>224717275136</v>
          </cell>
          <cell r="S18">
            <v>257596309504</v>
          </cell>
          <cell r="T18">
            <v>315058323456</v>
          </cell>
          <cell r="U18">
            <v>393677176832</v>
          </cell>
          <cell r="V18">
            <v>477256777728</v>
          </cell>
          <cell r="W18">
            <v>430702854144</v>
          </cell>
          <cell r="X18">
            <v>427272634368</v>
          </cell>
          <cell r="Y18">
            <v>443042365440</v>
          </cell>
          <cell r="Z18">
            <v>437887696896</v>
          </cell>
          <cell r="AA18">
            <v>452217503744</v>
          </cell>
          <cell r="AB18">
            <v>640386334720</v>
          </cell>
          <cell r="AC18">
            <v>805713149952</v>
          </cell>
          <cell r="AD18">
            <v>891608956928</v>
          </cell>
          <cell r="AE18">
            <v>928661307392</v>
          </cell>
          <cell r="AF18">
            <v>1181222699008</v>
          </cell>
          <cell r="AG18">
            <v>1246220124160</v>
          </cell>
          <cell r="AH18">
            <v>1320161640448</v>
          </cell>
          <cell r="AI18">
            <v>1064958099456</v>
          </cell>
          <cell r="AJ18">
            <v>1099216715776</v>
          </cell>
          <cell r="AK18">
            <v>1174662021120</v>
          </cell>
          <cell r="AL18">
            <v>1312426557440</v>
          </cell>
          <cell r="AM18">
            <v>1241879543808</v>
          </cell>
          <cell r="AN18">
            <v>1270052552704</v>
          </cell>
          <cell r="AO18">
            <v>1252023730176</v>
          </cell>
          <cell r="AP18">
            <v>1143829823488</v>
          </cell>
          <cell r="AQ18">
            <v>1167012790272</v>
          </cell>
          <cell r="AR18">
            <v>1270712369152</v>
          </cell>
          <cell r="AS18">
            <v>1574145884160</v>
          </cell>
          <cell r="AT18">
            <v>1803226972160</v>
          </cell>
          <cell r="AU18">
            <v>1857524334592</v>
          </cell>
          <cell r="AV18">
            <v>1947919712256</v>
          </cell>
          <cell r="AW18">
            <v>2210292563968</v>
          </cell>
          <cell r="AX18">
            <v>2398856675328</v>
          </cell>
          <cell r="AY18">
            <v>2191241904128</v>
          </cell>
          <cell r="AZ18">
            <v>2134017835008</v>
          </cell>
          <cell r="BA18">
            <v>2291991052288</v>
          </cell>
          <cell r="BB18">
            <v>2087077019648</v>
          </cell>
          <cell r="BC18">
            <v>2141315268608</v>
          </cell>
          <cell r="BD18">
            <v>2159133982720</v>
          </cell>
          <cell r="BE18">
            <v>1835899289600</v>
          </cell>
          <cell r="BF18">
            <v>1875797475328</v>
          </cell>
          <cell r="BG18">
            <v>1961796173824</v>
          </cell>
          <cell r="BH18">
            <v>2085764333568</v>
          </cell>
          <cell r="BI18">
            <v>2001244389376</v>
          </cell>
        </row>
        <row r="19">
          <cell r="B19" t="str">
            <v>Japan</v>
          </cell>
          <cell r="C19">
            <v>53508616192</v>
          </cell>
          <cell r="D19">
            <v>60723019776</v>
          </cell>
          <cell r="E19">
            <v>69498134528</v>
          </cell>
          <cell r="F19">
            <v>81749008384</v>
          </cell>
          <cell r="G19">
            <v>90950279168</v>
          </cell>
          <cell r="H19">
            <v>105628073984</v>
          </cell>
          <cell r="I19">
            <v>123781881856</v>
          </cell>
          <cell r="J19">
            <v>146601066496</v>
          </cell>
          <cell r="K19">
            <v>172204195840</v>
          </cell>
          <cell r="L19">
            <v>212609187840</v>
          </cell>
          <cell r="M19">
            <v>240151805952</v>
          </cell>
          <cell r="N19">
            <v>318031298560</v>
          </cell>
          <cell r="O19">
            <v>432082681856</v>
          </cell>
          <cell r="P19">
            <v>479626002432</v>
          </cell>
          <cell r="Q19">
            <v>521541910528</v>
          </cell>
          <cell r="R19">
            <v>586161848320</v>
          </cell>
          <cell r="S19">
            <v>721411768320</v>
          </cell>
          <cell r="T19">
            <v>1013612150784</v>
          </cell>
          <cell r="U19">
            <v>1055012093952</v>
          </cell>
          <cell r="V19">
            <v>1105386012672</v>
          </cell>
          <cell r="W19">
            <v>1218988998656</v>
          </cell>
          <cell r="X19">
            <v>1134517944320</v>
          </cell>
          <cell r="Y19">
            <v>1243323564032</v>
          </cell>
          <cell r="Z19">
            <v>1318381682688</v>
          </cell>
          <cell r="AA19">
            <v>1398892789760</v>
          </cell>
          <cell r="AB19">
            <v>2078953308160</v>
          </cell>
          <cell r="AC19">
            <v>2532808589312</v>
          </cell>
          <cell r="AD19">
            <v>3071683067904</v>
          </cell>
          <cell r="AE19">
            <v>3054914240512</v>
          </cell>
          <cell r="AF19">
            <v>3132817670144</v>
          </cell>
          <cell r="AG19">
            <v>3584419954688</v>
          </cell>
          <cell r="AH19">
            <v>3908809523200</v>
          </cell>
          <cell r="AI19">
            <v>4454143754240</v>
          </cell>
          <cell r="AJ19">
            <v>4907039457280</v>
          </cell>
          <cell r="AK19">
            <v>5449116549120</v>
          </cell>
          <cell r="AL19">
            <v>4833712537600</v>
          </cell>
          <cell r="AM19">
            <v>4414733025280</v>
          </cell>
          <cell r="AN19">
            <v>4032509771776</v>
          </cell>
          <cell r="AO19">
            <v>4562078924800</v>
          </cell>
          <cell r="AP19">
            <v>4887519690752</v>
          </cell>
          <cell r="AQ19">
            <v>4303544385536</v>
          </cell>
          <cell r="AR19">
            <v>4115116326912</v>
          </cell>
          <cell r="AS19">
            <v>4445658152960</v>
          </cell>
          <cell r="AT19">
            <v>4815149072384</v>
          </cell>
          <cell r="AU19">
            <v>4755410649088</v>
          </cell>
          <cell r="AV19">
            <v>4530377326592</v>
          </cell>
          <cell r="AW19">
            <v>4515264724992</v>
          </cell>
          <cell r="AX19">
            <v>5037908557824</v>
          </cell>
          <cell r="AY19">
            <v>5231382888448</v>
          </cell>
          <cell r="AZ19">
            <v>5700097933312</v>
          </cell>
          <cell r="BA19">
            <v>6157459521536</v>
          </cell>
          <cell r="BB19">
            <v>6203213086720</v>
          </cell>
          <cell r="BC19">
            <v>5155717120000</v>
          </cell>
          <cell r="BD19">
            <v>4850413731840</v>
          </cell>
          <cell r="BE19">
            <v>4389475713024</v>
          </cell>
          <cell r="BF19">
            <v>4922537934848</v>
          </cell>
          <cell r="BG19">
            <v>4866864316416</v>
          </cell>
          <cell r="BH19">
            <v>4954806812672</v>
          </cell>
          <cell r="BI19">
            <v>5081769443328</v>
          </cell>
        </row>
        <row r="20">
          <cell r="B20" t="str">
            <v>Luxemburg</v>
          </cell>
          <cell r="C20">
            <v>704145664</v>
          </cell>
          <cell r="D20">
            <v>741509504</v>
          </cell>
          <cell r="E20">
            <v>791140608</v>
          </cell>
          <cell r="F20">
            <v>903158784</v>
          </cell>
          <cell r="G20">
            <v>921600768</v>
          </cell>
          <cell r="H20">
            <v>968440128</v>
          </cell>
          <cell r="I20">
            <v>974721792</v>
          </cell>
          <cell r="J20">
            <v>1066447104</v>
          </cell>
          <cell r="K20">
            <v>1234878976</v>
          </cell>
          <cell r="L20">
            <v>1509155072</v>
          </cell>
          <cell r="M20">
            <v>1572310784</v>
          </cell>
          <cell r="N20">
            <v>1968733056</v>
          </cell>
          <cell r="O20">
            <v>2701874688</v>
          </cell>
          <cell r="P20">
            <v>3295860992</v>
          </cell>
          <cell r="Q20">
            <v>3233431552</v>
          </cell>
          <cell r="R20">
            <v>3544268032</v>
          </cell>
          <cell r="S20">
            <v>3922895872</v>
          </cell>
          <cell r="T20">
            <v>4884869120</v>
          </cell>
          <cell r="U20">
            <v>5711457792</v>
          </cell>
          <cell r="V20">
            <v>6232005632</v>
          </cell>
          <cell r="W20">
            <v>5231808512</v>
          </cell>
          <cell r="X20">
            <v>4764549632</v>
          </cell>
          <cell r="Y20">
            <v>4683697664</v>
          </cell>
          <cell r="Z20">
            <v>4594891776</v>
          </cell>
          <cell r="AA20">
            <v>4738559488</v>
          </cell>
          <cell r="AB20">
            <v>6921264128</v>
          </cell>
          <cell r="AC20">
            <v>8614215680</v>
          </cell>
          <cell r="AD20">
            <v>9750161408</v>
          </cell>
          <cell r="AE20">
            <v>10391504896</v>
          </cell>
          <cell r="AF20">
            <v>13229247488</v>
          </cell>
          <cell r="AG20">
            <v>14321879040</v>
          </cell>
          <cell r="AH20">
            <v>16065740800</v>
          </cell>
          <cell r="AI20">
            <v>16486899712</v>
          </cell>
          <cell r="AJ20">
            <v>18325790720</v>
          </cell>
          <cell r="AK20">
            <v>21588170752</v>
          </cell>
          <cell r="AL20">
            <v>21776609280</v>
          </cell>
          <cell r="AM20">
            <v>19731912704</v>
          </cell>
          <cell r="AN20">
            <v>20209121280</v>
          </cell>
          <cell r="AO20">
            <v>22235928576</v>
          </cell>
          <cell r="AP20">
            <v>21263515648</v>
          </cell>
          <cell r="AQ20">
            <v>21272418304</v>
          </cell>
          <cell r="AR20">
            <v>23616329728</v>
          </cell>
          <cell r="AS20">
            <v>29557325824</v>
          </cell>
          <cell r="AT20">
            <v>34685280256</v>
          </cell>
          <cell r="AU20">
            <v>37347393536</v>
          </cell>
          <cell r="AV20">
            <v>42414309376</v>
          </cell>
          <cell r="AW20">
            <v>50888134656</v>
          </cell>
          <cell r="AX20">
            <v>55849684992</v>
          </cell>
          <cell r="AY20">
            <v>51370545152</v>
          </cell>
          <cell r="AZ20">
            <v>53212475392</v>
          </cell>
          <cell r="BA20">
            <v>60004630528</v>
          </cell>
          <cell r="BB20">
            <v>56677961728</v>
          </cell>
          <cell r="BC20">
            <v>61739352064</v>
          </cell>
          <cell r="BD20">
            <v>66103853056</v>
          </cell>
          <cell r="BE20">
            <v>57744457728</v>
          </cell>
          <cell r="BF20">
            <v>60691484672</v>
          </cell>
          <cell r="BG20">
            <v>64181944320</v>
          </cell>
          <cell r="BH20">
            <v>70919954432</v>
          </cell>
          <cell r="BI20">
            <v>71104921600</v>
          </cell>
        </row>
        <row r="21">
          <cell r="B21" t="str">
            <v>Netherlands</v>
          </cell>
          <cell r="C21">
            <v>13493833728</v>
          </cell>
          <cell r="D21">
            <v>14647057408</v>
          </cell>
          <cell r="E21">
            <v>15891240960</v>
          </cell>
          <cell r="F21">
            <v>18699380736</v>
          </cell>
          <cell r="G21">
            <v>21000587264</v>
          </cell>
          <cell r="H21">
            <v>22867204096</v>
          </cell>
          <cell r="I21">
            <v>25087561728</v>
          </cell>
          <cell r="J21">
            <v>27817605120</v>
          </cell>
          <cell r="K21">
            <v>34035947520</v>
          </cell>
          <cell r="L21">
            <v>38164717568</v>
          </cell>
          <cell r="M21">
            <v>44579123200</v>
          </cell>
          <cell r="N21">
            <v>54706556928</v>
          </cell>
          <cell r="O21">
            <v>71840907264</v>
          </cell>
          <cell r="P21">
            <v>87243415552</v>
          </cell>
          <cell r="Q21">
            <v>100249526272</v>
          </cell>
          <cell r="R21">
            <v>109168721920</v>
          </cell>
          <cell r="S21">
            <v>127016992768</v>
          </cell>
          <cell r="T21">
            <v>155859697664</v>
          </cell>
          <cell r="U21">
            <v>179669401600</v>
          </cell>
          <cell r="V21">
            <v>195152084992</v>
          </cell>
          <cell r="W21">
            <v>164134223872</v>
          </cell>
          <cell r="X21">
            <v>158479532032</v>
          </cell>
          <cell r="Y21">
            <v>153445466112</v>
          </cell>
          <cell r="Z21">
            <v>143912665088</v>
          </cell>
          <cell r="AA21">
            <v>143845818368</v>
          </cell>
          <cell r="AB21">
            <v>200862089216</v>
          </cell>
          <cell r="AC21">
            <v>245046312960</v>
          </cell>
          <cell r="AD21">
            <v>261910511616</v>
          </cell>
          <cell r="AE21">
            <v>258336702464</v>
          </cell>
          <cell r="AF21">
            <v>318330503168</v>
          </cell>
          <cell r="AG21">
            <v>327500333056</v>
          </cell>
          <cell r="AH21">
            <v>362962878464</v>
          </cell>
          <cell r="AI21">
            <v>353550172160</v>
          </cell>
          <cell r="AJ21">
            <v>379130249216</v>
          </cell>
          <cell r="AK21">
            <v>452301684736</v>
          </cell>
          <cell r="AL21">
            <v>450490204160</v>
          </cell>
          <cell r="AM21">
            <v>416812728320</v>
          </cell>
          <cell r="AN21">
            <v>438008217600</v>
          </cell>
          <cell r="AO21">
            <v>446898569216</v>
          </cell>
          <cell r="AP21">
            <v>416442777600</v>
          </cell>
          <cell r="AQ21">
            <v>431213412352</v>
          </cell>
          <cell r="AR21">
            <v>471613964288</v>
          </cell>
          <cell r="AS21">
            <v>578792325120</v>
          </cell>
          <cell r="AT21">
            <v>657171611648</v>
          </cell>
          <cell r="AU21">
            <v>685092634624</v>
          </cell>
          <cell r="AV21">
            <v>733340893184</v>
          </cell>
          <cell r="AW21">
            <v>847481536512</v>
          </cell>
          <cell r="AX21">
            <v>947997638656</v>
          </cell>
          <cell r="AY21">
            <v>868077273088</v>
          </cell>
          <cell r="AZ21">
            <v>846554923008</v>
          </cell>
          <cell r="BA21">
            <v>904085962752</v>
          </cell>
          <cell r="BB21">
            <v>838971293696</v>
          </cell>
          <cell r="BC21">
            <v>876923518976</v>
          </cell>
          <cell r="BD21">
            <v>890981318656</v>
          </cell>
          <cell r="BE21">
            <v>765264920576</v>
          </cell>
          <cell r="BF21">
            <v>783528165376</v>
          </cell>
          <cell r="BG21">
            <v>833869643776</v>
          </cell>
          <cell r="BH21">
            <v>914104844288</v>
          </cell>
          <cell r="BI21">
            <v>909070368768</v>
          </cell>
        </row>
        <row r="22">
          <cell r="B22" t="str">
            <v>Norway</v>
          </cell>
          <cell r="C22">
            <v>5632460800</v>
          </cell>
          <cell r="D22">
            <v>6066976768</v>
          </cell>
          <cell r="E22">
            <v>6510239744</v>
          </cell>
          <cell r="F22">
            <v>7159202816</v>
          </cell>
          <cell r="G22">
            <v>8058680832</v>
          </cell>
          <cell r="H22">
            <v>8696460288</v>
          </cell>
          <cell r="I22">
            <v>9514497024</v>
          </cell>
          <cell r="J22">
            <v>10159934464</v>
          </cell>
          <cell r="K22">
            <v>11063064576</v>
          </cell>
          <cell r="L22">
            <v>12814123008</v>
          </cell>
          <cell r="M22">
            <v>14583114752</v>
          </cell>
          <cell r="N22">
            <v>17358610432</v>
          </cell>
          <cell r="O22">
            <v>22534254592</v>
          </cell>
          <cell r="P22">
            <v>27145693184</v>
          </cell>
          <cell r="Q22">
            <v>32877805568</v>
          </cell>
          <cell r="R22">
            <v>35942268928</v>
          </cell>
          <cell r="S22">
            <v>41508028416</v>
          </cell>
          <cell r="T22">
            <v>46523092992</v>
          </cell>
          <cell r="U22">
            <v>53132242944</v>
          </cell>
          <cell r="V22">
            <v>64439382016</v>
          </cell>
          <cell r="W22">
            <v>63596654592</v>
          </cell>
          <cell r="X22">
            <v>62647193600</v>
          </cell>
          <cell r="Y22">
            <v>61627240448</v>
          </cell>
          <cell r="Z22">
            <v>62057955328</v>
          </cell>
          <cell r="AA22">
            <v>65416880128</v>
          </cell>
          <cell r="AB22">
            <v>78693253120</v>
          </cell>
          <cell r="AC22">
            <v>94230052864</v>
          </cell>
          <cell r="AD22">
            <v>101900263424</v>
          </cell>
          <cell r="AE22">
            <v>102633791488</v>
          </cell>
          <cell r="AF22">
            <v>119791681536</v>
          </cell>
          <cell r="AG22">
            <v>121872465920</v>
          </cell>
          <cell r="AH22">
            <v>130838036480</v>
          </cell>
          <cell r="AI22">
            <v>120579072000</v>
          </cell>
          <cell r="AJ22">
            <v>127131459584</v>
          </cell>
          <cell r="AK22">
            <v>152029609984</v>
          </cell>
          <cell r="AL22">
            <v>163520102400</v>
          </cell>
          <cell r="AM22">
            <v>161356627968</v>
          </cell>
          <cell r="AN22">
            <v>154163363840</v>
          </cell>
          <cell r="AO22">
            <v>162284470272</v>
          </cell>
          <cell r="AP22">
            <v>171247124480</v>
          </cell>
          <cell r="AQ22">
            <v>173972226048</v>
          </cell>
          <cell r="AR22">
            <v>195524182016</v>
          </cell>
          <cell r="AS22">
            <v>228858511360</v>
          </cell>
          <cell r="AT22">
            <v>264511635456</v>
          </cell>
          <cell r="AU22">
            <v>308884275200</v>
          </cell>
          <cell r="AV22">
            <v>345581355008</v>
          </cell>
          <cell r="AW22">
            <v>400937091072</v>
          </cell>
          <cell r="AX22">
            <v>462249984000</v>
          </cell>
          <cell r="AY22">
            <v>386190376960</v>
          </cell>
          <cell r="AZ22">
            <v>428757024768</v>
          </cell>
          <cell r="BA22">
            <v>498283446272</v>
          </cell>
          <cell r="BB22">
            <v>509506322432</v>
          </cell>
          <cell r="BC22">
            <v>522761535488</v>
          </cell>
          <cell r="BD22">
            <v>498410061824</v>
          </cell>
          <cell r="BE22">
            <v>385801551872</v>
          </cell>
          <cell r="BF22">
            <v>368819929088</v>
          </cell>
          <cell r="BG22">
            <v>398393966592</v>
          </cell>
          <cell r="BH22">
            <v>434166628352</v>
          </cell>
          <cell r="BI22">
            <v>403336364032</v>
          </cell>
        </row>
        <row r="23">
          <cell r="B23" t="str">
            <v>Portugal</v>
          </cell>
          <cell r="C23">
            <v>3417516544</v>
          </cell>
          <cell r="D23">
            <v>3668222464</v>
          </cell>
          <cell r="E23">
            <v>3905734400</v>
          </cell>
          <cell r="F23">
            <v>4235608064</v>
          </cell>
          <cell r="G23">
            <v>4687463936</v>
          </cell>
          <cell r="H23">
            <v>5135387648</v>
          </cell>
          <cell r="I23">
            <v>5740241408</v>
          </cell>
          <cell r="J23">
            <v>6354262528</v>
          </cell>
          <cell r="K23">
            <v>6969026048</v>
          </cell>
          <cell r="L23">
            <v>8108234752</v>
          </cell>
          <cell r="M23">
            <v>9201606656</v>
          </cell>
          <cell r="N23">
            <v>11239116800</v>
          </cell>
          <cell r="O23">
            <v>15090566144</v>
          </cell>
          <cell r="P23">
            <v>17512388608</v>
          </cell>
          <cell r="Q23">
            <v>19347609600</v>
          </cell>
          <cell r="R23">
            <v>20332834816</v>
          </cell>
          <cell r="S23">
            <v>21439524864</v>
          </cell>
          <cell r="T23">
            <v>23487612928</v>
          </cell>
          <cell r="U23">
            <v>26622818304</v>
          </cell>
          <cell r="V23">
            <v>32896522240</v>
          </cell>
          <cell r="W23">
            <v>31977275392</v>
          </cell>
          <cell r="X23">
            <v>30527754240</v>
          </cell>
          <cell r="Y23">
            <v>27239651328</v>
          </cell>
          <cell r="Z23">
            <v>25217970176</v>
          </cell>
          <cell r="AA23">
            <v>27115806720</v>
          </cell>
          <cell r="AB23">
            <v>38745903104</v>
          </cell>
          <cell r="AC23">
            <v>48182923264</v>
          </cell>
          <cell r="AD23">
            <v>56347250688</v>
          </cell>
          <cell r="AE23">
            <v>60594094080</v>
          </cell>
          <cell r="AF23">
            <v>78713856000</v>
          </cell>
          <cell r="AG23">
            <v>89233596416</v>
          </cell>
          <cell r="AH23">
            <v>107592097792</v>
          </cell>
          <cell r="AI23">
            <v>95009751040</v>
          </cell>
          <cell r="AJ23">
            <v>99688644608</v>
          </cell>
          <cell r="AK23">
            <v>118122004480</v>
          </cell>
          <cell r="AL23">
            <v>122630086656</v>
          </cell>
          <cell r="AM23">
            <v>117016535040</v>
          </cell>
          <cell r="AN23">
            <v>123946328064</v>
          </cell>
          <cell r="AO23">
            <v>127427346432</v>
          </cell>
          <cell r="AP23">
            <v>118310707200</v>
          </cell>
          <cell r="AQ23">
            <v>121498886144</v>
          </cell>
          <cell r="AR23">
            <v>134156091392</v>
          </cell>
          <cell r="AS23">
            <v>164862148608</v>
          </cell>
          <cell r="AT23">
            <v>189034496000</v>
          </cell>
          <cell r="AU23">
            <v>197180325888</v>
          </cell>
          <cell r="AV23">
            <v>208581689344</v>
          </cell>
          <cell r="AW23">
            <v>240190799872</v>
          </cell>
          <cell r="AX23">
            <v>262344785920</v>
          </cell>
          <cell r="AY23">
            <v>243701628928</v>
          </cell>
          <cell r="AZ23">
            <v>237880901632</v>
          </cell>
          <cell r="BA23">
            <v>244797227008</v>
          </cell>
          <cell r="BB23">
            <v>216236605440</v>
          </cell>
          <cell r="BC23">
            <v>226369503232</v>
          </cell>
          <cell r="BD23">
            <v>229596168192</v>
          </cell>
          <cell r="BE23">
            <v>199313899520</v>
          </cell>
          <cell r="BF23">
            <v>206286028800</v>
          </cell>
          <cell r="BG23">
            <v>221357867008</v>
          </cell>
          <cell r="BH23">
            <v>241274634240</v>
          </cell>
          <cell r="BI23">
            <v>237686079488</v>
          </cell>
        </row>
        <row r="24">
          <cell r="B24" t="str">
            <v>Singapore</v>
          </cell>
          <cell r="C24">
            <v>764634752</v>
          </cell>
          <cell r="D24">
            <v>826244608</v>
          </cell>
          <cell r="E24">
            <v>917614016</v>
          </cell>
          <cell r="F24">
            <v>894159168</v>
          </cell>
          <cell r="G24">
            <v>974650432</v>
          </cell>
          <cell r="H24">
            <v>1096432768</v>
          </cell>
          <cell r="I24">
            <v>1238043904</v>
          </cell>
          <cell r="J24">
            <v>1425715456</v>
          </cell>
          <cell r="K24">
            <v>1659904640</v>
          </cell>
          <cell r="L24">
            <v>1920586752</v>
          </cell>
          <cell r="M24">
            <v>2263785472</v>
          </cell>
          <cell r="N24">
            <v>2721441024</v>
          </cell>
          <cell r="O24">
            <v>3696213248</v>
          </cell>
          <cell r="P24">
            <v>5221534720</v>
          </cell>
          <cell r="Q24">
            <v>5633673728</v>
          </cell>
          <cell r="R24">
            <v>6327077888</v>
          </cell>
          <cell r="S24">
            <v>6618585088</v>
          </cell>
          <cell r="T24">
            <v>7517176320</v>
          </cell>
          <cell r="U24">
            <v>9296921600</v>
          </cell>
          <cell r="V24">
            <v>11896256512</v>
          </cell>
          <cell r="W24">
            <v>14175228928</v>
          </cell>
          <cell r="X24">
            <v>16084252672</v>
          </cell>
          <cell r="Y24">
            <v>17784113152</v>
          </cell>
          <cell r="Z24">
            <v>19749361664</v>
          </cell>
          <cell r="AA24">
            <v>19156533248</v>
          </cell>
          <cell r="AB24">
            <v>18586746880</v>
          </cell>
          <cell r="AC24">
            <v>20919216128</v>
          </cell>
          <cell r="AD24">
            <v>25371461632</v>
          </cell>
          <cell r="AE24">
            <v>30465363968</v>
          </cell>
          <cell r="AF24">
            <v>36144336896</v>
          </cell>
          <cell r="AG24">
            <v>45466165248</v>
          </cell>
          <cell r="AH24">
            <v>52130263040</v>
          </cell>
          <cell r="AI24">
            <v>60603478016</v>
          </cell>
          <cell r="AJ24">
            <v>73690849280</v>
          </cell>
          <cell r="AK24">
            <v>87810990080</v>
          </cell>
          <cell r="AL24">
            <v>96295886848</v>
          </cell>
          <cell r="AM24">
            <v>100124188672</v>
          </cell>
          <cell r="AN24">
            <v>85728313344</v>
          </cell>
          <cell r="AO24">
            <v>86284664832</v>
          </cell>
          <cell r="AP24">
            <v>96074481664</v>
          </cell>
          <cell r="AQ24">
            <v>89794945024</v>
          </cell>
          <cell r="AR24">
            <v>92537749504</v>
          </cell>
          <cell r="AS24">
            <v>97645445120</v>
          </cell>
          <cell r="AT24">
            <v>115035496448</v>
          </cell>
          <cell r="AU24">
            <v>127807619072</v>
          </cell>
          <cell r="AV24">
            <v>148630372352</v>
          </cell>
          <cell r="AW24">
            <v>180941946880</v>
          </cell>
          <cell r="AX24">
            <v>193611988992</v>
          </cell>
          <cell r="AY24">
            <v>194152284160</v>
          </cell>
          <cell r="AZ24">
            <v>239809380352</v>
          </cell>
          <cell r="BA24">
            <v>279351164928</v>
          </cell>
          <cell r="BB24">
            <v>295087210496</v>
          </cell>
          <cell r="BC24">
            <v>307576373248</v>
          </cell>
          <cell r="BD24">
            <v>314851164160</v>
          </cell>
          <cell r="BE24">
            <v>308004159488</v>
          </cell>
          <cell r="BF24">
            <v>318652350464</v>
          </cell>
          <cell r="BG24">
            <v>341863333888</v>
          </cell>
          <cell r="BH24">
            <v>373217067008</v>
          </cell>
          <cell r="BI24">
            <v>372062519296</v>
          </cell>
        </row>
        <row r="25">
          <cell r="B25" t="str">
            <v>South Korea</v>
          </cell>
          <cell r="C25">
            <v>2417558272</v>
          </cell>
          <cell r="D25">
            <v>2814318592</v>
          </cell>
          <cell r="E25">
            <v>3988784640</v>
          </cell>
          <cell r="F25">
            <v>3458939392</v>
          </cell>
          <cell r="G25">
            <v>3120833280</v>
          </cell>
          <cell r="H25">
            <v>3928908288</v>
          </cell>
          <cell r="I25">
            <v>4855907328</v>
          </cell>
          <cell r="J25">
            <v>6119284224</v>
          </cell>
          <cell r="K25">
            <v>7678581248</v>
          </cell>
          <cell r="L25">
            <v>9005023232</v>
          </cell>
          <cell r="M25">
            <v>9903500288</v>
          </cell>
          <cell r="N25">
            <v>10862327808</v>
          </cell>
          <cell r="O25">
            <v>13876531200</v>
          </cell>
          <cell r="P25">
            <v>19544094720</v>
          </cell>
          <cell r="Q25">
            <v>21784297472</v>
          </cell>
          <cell r="R25">
            <v>29902479360</v>
          </cell>
          <cell r="S25">
            <v>38446489600</v>
          </cell>
          <cell r="T25">
            <v>51972108288</v>
          </cell>
          <cell r="U25">
            <v>66946899968</v>
          </cell>
          <cell r="V25">
            <v>65398644736</v>
          </cell>
          <cell r="W25">
            <v>72933351424</v>
          </cell>
          <cell r="X25">
            <v>78358863872</v>
          </cell>
          <cell r="Y25">
            <v>87760363520</v>
          </cell>
          <cell r="Z25">
            <v>97510236160</v>
          </cell>
          <cell r="AA25">
            <v>101296177152</v>
          </cell>
          <cell r="AB25">
            <v>116836802560</v>
          </cell>
          <cell r="AC25">
            <v>147948257280</v>
          </cell>
          <cell r="AD25">
            <v>199590821888</v>
          </cell>
          <cell r="AE25">
            <v>246927294464</v>
          </cell>
          <cell r="AF25">
            <v>283367538688</v>
          </cell>
          <cell r="AG25">
            <v>330648518656</v>
          </cell>
          <cell r="AH25">
            <v>355525263360</v>
          </cell>
          <cell r="AI25">
            <v>392666087424</v>
          </cell>
          <cell r="AJ25">
            <v>463617392640</v>
          </cell>
          <cell r="AK25">
            <v>566583427072</v>
          </cell>
          <cell r="AL25">
            <v>610169585664</v>
          </cell>
          <cell r="AM25">
            <v>569754517504</v>
          </cell>
          <cell r="AN25">
            <v>383330942976</v>
          </cell>
          <cell r="AO25">
            <v>497512644608</v>
          </cell>
          <cell r="AP25">
            <v>576178094080</v>
          </cell>
          <cell r="AQ25">
            <v>547658235904</v>
          </cell>
          <cell r="AR25">
            <v>627246104576</v>
          </cell>
          <cell r="AS25">
            <v>702717362176</v>
          </cell>
          <cell r="AT25">
            <v>793174999040</v>
          </cell>
          <cell r="AU25">
            <v>934901055488</v>
          </cell>
          <cell r="AV25">
            <v>1053216931840</v>
          </cell>
          <cell r="AW25">
            <v>1172614021120</v>
          </cell>
          <cell r="AX25">
            <v>1047339008000</v>
          </cell>
          <cell r="AY25">
            <v>943941877760</v>
          </cell>
          <cell r="AZ25">
            <v>1144066932736</v>
          </cell>
          <cell r="BA25">
            <v>1253223038976</v>
          </cell>
          <cell r="BB25">
            <v>1278427660288</v>
          </cell>
          <cell r="BC25">
            <v>1370795147264</v>
          </cell>
          <cell r="BD25">
            <v>1484318179328</v>
          </cell>
          <cell r="BE25">
            <v>1465773195264</v>
          </cell>
          <cell r="BF25">
            <v>1500111568896</v>
          </cell>
          <cell r="BG25">
            <v>1623901470720</v>
          </cell>
          <cell r="BH25">
            <v>1720578867200</v>
          </cell>
          <cell r="BI25">
            <v>1642383278080</v>
          </cell>
        </row>
        <row r="26">
          <cell r="B26" t="str">
            <v>Spain</v>
          </cell>
          <cell r="C26">
            <v>13834300416</v>
          </cell>
          <cell r="D26">
            <v>16138545152</v>
          </cell>
          <cell r="E26">
            <v>19074914304</v>
          </cell>
          <cell r="F26">
            <v>21343844352</v>
          </cell>
          <cell r="G26">
            <v>24756959232</v>
          </cell>
          <cell r="H26">
            <v>28721061888</v>
          </cell>
          <cell r="I26">
            <v>31647119360</v>
          </cell>
          <cell r="J26">
            <v>31475548160</v>
          </cell>
          <cell r="K26">
            <v>36038713344</v>
          </cell>
          <cell r="L26">
            <v>40992997376</v>
          </cell>
          <cell r="M26">
            <v>46619418624</v>
          </cell>
          <cell r="N26">
            <v>59132416000</v>
          </cell>
          <cell r="O26">
            <v>78639529984</v>
          </cell>
          <cell r="P26">
            <v>97274003456</v>
          </cell>
          <cell r="Q26">
            <v>114777047040</v>
          </cell>
          <cell r="R26">
            <v>118507184128</v>
          </cell>
          <cell r="S26">
            <v>132449280000</v>
          </cell>
          <cell r="T26">
            <v>160599687168</v>
          </cell>
          <cell r="U26">
            <v>214601957376</v>
          </cell>
          <cell r="V26">
            <v>232766816256</v>
          </cell>
          <cell r="W26">
            <v>202807885824</v>
          </cell>
          <cell r="X26">
            <v>195996762112</v>
          </cell>
          <cell r="Y26">
            <v>170951180288</v>
          </cell>
          <cell r="Z26">
            <v>172102909952</v>
          </cell>
          <cell r="AA26">
            <v>180793458688</v>
          </cell>
          <cell r="AB26">
            <v>251321073664</v>
          </cell>
          <cell r="AC26">
            <v>318747934720</v>
          </cell>
          <cell r="AD26">
            <v>376160419840</v>
          </cell>
          <cell r="AE26">
            <v>414757060608</v>
          </cell>
          <cell r="AF26">
            <v>536558600192</v>
          </cell>
          <cell r="AG26">
            <v>577166180352</v>
          </cell>
          <cell r="AH26">
            <v>630915989504</v>
          </cell>
          <cell r="AI26">
            <v>525075644416</v>
          </cell>
          <cell r="AJ26">
            <v>530562646016</v>
          </cell>
          <cell r="AK26">
            <v>614608994304</v>
          </cell>
          <cell r="AL26">
            <v>642588999680</v>
          </cell>
          <cell r="AM26">
            <v>590077296640</v>
          </cell>
          <cell r="AN26">
            <v>619214864384</v>
          </cell>
          <cell r="AO26">
            <v>634693156864</v>
          </cell>
          <cell r="AP26">
            <v>596877639680</v>
          </cell>
          <cell r="AQ26">
            <v>627286802432</v>
          </cell>
          <cell r="AR26">
            <v>705394311168</v>
          </cell>
          <cell r="AS26">
            <v>905492103168</v>
          </cell>
          <cell r="AT26">
            <v>1067093393408</v>
          </cell>
          <cell r="AU26">
            <v>1153285619712</v>
          </cell>
          <cell r="AV26">
            <v>1259343839232</v>
          </cell>
          <cell r="AW26">
            <v>1472131104768</v>
          </cell>
          <cell r="AX26">
            <v>1625224904704</v>
          </cell>
          <cell r="AY26">
            <v>1485583548416</v>
          </cell>
          <cell r="AZ26">
            <v>1420722044928</v>
          </cell>
          <cell r="BA26">
            <v>1478772785152</v>
          </cell>
          <cell r="BB26">
            <v>1324820070400</v>
          </cell>
          <cell r="BC26">
            <v>1354757439488</v>
          </cell>
          <cell r="BD26">
            <v>1369398837248</v>
          </cell>
          <cell r="BE26">
            <v>1195119214592</v>
          </cell>
          <cell r="BF26">
            <v>1232076013568</v>
          </cell>
          <cell r="BG26">
            <v>1312551731200</v>
          </cell>
          <cell r="BH26">
            <v>1419735203840</v>
          </cell>
          <cell r="BI26">
            <v>1394116263936</v>
          </cell>
        </row>
        <row r="27">
          <cell r="B27" t="str">
            <v>Sweden</v>
          </cell>
          <cell r="C27">
            <v>17212686336</v>
          </cell>
          <cell r="D27">
            <v>18667251712</v>
          </cell>
          <cell r="E27">
            <v>20204869632</v>
          </cell>
          <cell r="F27">
            <v>22532417536</v>
          </cell>
          <cell r="G27">
            <v>24795500544</v>
          </cell>
          <cell r="H27">
            <v>26971486208</v>
          </cell>
          <cell r="I27">
            <v>29275996160</v>
          </cell>
          <cell r="J27">
            <v>31066820608</v>
          </cell>
          <cell r="K27">
            <v>33738102784</v>
          </cell>
          <cell r="L27">
            <v>38092451840</v>
          </cell>
          <cell r="M27">
            <v>41566412800</v>
          </cell>
          <cell r="N27">
            <v>48954146816</v>
          </cell>
          <cell r="O27">
            <v>59404967936</v>
          </cell>
          <cell r="P27">
            <v>66013339648</v>
          </cell>
          <cell r="Q27">
            <v>82885394432</v>
          </cell>
          <cell r="R27">
            <v>89362071552</v>
          </cell>
          <cell r="S27">
            <v>94468743168</v>
          </cell>
          <cell r="T27">
            <v>104442347520</v>
          </cell>
          <cell r="U27">
            <v>123386413056</v>
          </cell>
          <cell r="V27">
            <v>142092075008</v>
          </cell>
          <cell r="W27">
            <v>129686937600</v>
          </cell>
          <cell r="X27">
            <v>114380554240</v>
          </cell>
          <cell r="Y27">
            <v>105014353920</v>
          </cell>
          <cell r="Z27">
            <v>109201358848</v>
          </cell>
          <cell r="AA27">
            <v>114123538432</v>
          </cell>
          <cell r="AB27">
            <v>150498050048</v>
          </cell>
          <cell r="AC27">
            <v>183009640448</v>
          </cell>
          <cell r="AD27">
            <v>206986674176</v>
          </cell>
          <cell r="AE27">
            <v>217948323840</v>
          </cell>
          <cell r="AF27">
            <v>261846188032</v>
          </cell>
          <cell r="AG27">
            <v>274229035008</v>
          </cell>
          <cell r="AH27">
            <v>284321120256</v>
          </cell>
          <cell r="AI27">
            <v>212953333760</v>
          </cell>
          <cell r="AJ27">
            <v>229033574400</v>
          </cell>
          <cell r="AK27">
            <v>267305877504</v>
          </cell>
          <cell r="AL27">
            <v>291743825920</v>
          </cell>
          <cell r="AM27">
            <v>268146147328</v>
          </cell>
          <cell r="AN27">
            <v>270809071616</v>
          </cell>
          <cell r="AO27">
            <v>274072174592</v>
          </cell>
          <cell r="AP27">
            <v>262835453952</v>
          </cell>
          <cell r="AQ27">
            <v>242395856896</v>
          </cell>
          <cell r="AR27">
            <v>266849058816</v>
          </cell>
          <cell r="AS27">
            <v>334337212416</v>
          </cell>
          <cell r="AT27">
            <v>385118044160</v>
          </cell>
          <cell r="AU27">
            <v>392218083328</v>
          </cell>
          <cell r="AV27">
            <v>423093436416</v>
          </cell>
          <cell r="AW27">
            <v>491252580352</v>
          </cell>
          <cell r="AX27">
            <v>517706153984</v>
          </cell>
          <cell r="AY27">
            <v>436536999936</v>
          </cell>
          <cell r="AZ27">
            <v>495812542464</v>
          </cell>
          <cell r="BA27">
            <v>574094114816</v>
          </cell>
          <cell r="BB27">
            <v>552483749888</v>
          </cell>
          <cell r="BC27">
            <v>586841849856</v>
          </cell>
          <cell r="BD27">
            <v>581964005376</v>
          </cell>
          <cell r="BE27">
            <v>505103777792</v>
          </cell>
          <cell r="BF27">
            <v>515654680576</v>
          </cell>
          <cell r="BG27">
            <v>541018750976</v>
          </cell>
          <cell r="BH27">
            <v>555455348736</v>
          </cell>
          <cell r="BI27">
            <v>530832916480</v>
          </cell>
        </row>
        <row r="28">
          <cell r="B28" t="str">
            <v>United Kingdom</v>
          </cell>
          <cell r="C28">
            <v>77741965312</v>
          </cell>
          <cell r="D28">
            <v>81247567872</v>
          </cell>
          <cell r="E28">
            <v>86561964032</v>
          </cell>
          <cell r="F28">
            <v>94407557120</v>
          </cell>
          <cell r="G28">
            <v>101824757760</v>
          </cell>
          <cell r="H28">
            <v>108572753920</v>
          </cell>
          <cell r="I28">
            <v>113116889088</v>
          </cell>
          <cell r="J28">
            <v>107759910912</v>
          </cell>
          <cell r="K28">
            <v>116464705536</v>
          </cell>
          <cell r="L28">
            <v>130671943680</v>
          </cell>
          <cell r="M28">
            <v>148113899520</v>
          </cell>
          <cell r="N28">
            <v>169965027328</v>
          </cell>
          <cell r="O28">
            <v>192537968640</v>
          </cell>
          <cell r="P28">
            <v>206131363840</v>
          </cell>
          <cell r="Q28">
            <v>241756635136</v>
          </cell>
          <cell r="R28">
            <v>232614559744</v>
          </cell>
          <cell r="S28">
            <v>263066451968</v>
          </cell>
          <cell r="T28">
            <v>335883042816</v>
          </cell>
          <cell r="U28">
            <v>438994075648</v>
          </cell>
          <cell r="V28">
            <v>564947714048</v>
          </cell>
          <cell r="W28">
            <v>540765683712</v>
          </cell>
          <cell r="X28">
            <v>515048931328</v>
          </cell>
          <cell r="Y28">
            <v>489618014208</v>
          </cell>
          <cell r="Z28">
            <v>461487112192</v>
          </cell>
          <cell r="AA28">
            <v>489285156864</v>
          </cell>
          <cell r="AB28">
            <v>601452642304</v>
          </cell>
          <cell r="AC28">
            <v>745162604544</v>
          </cell>
          <cell r="AD28">
            <v>910122745856</v>
          </cell>
          <cell r="AE28">
            <v>926884823040</v>
          </cell>
          <cell r="AF28">
            <v>1093169381376</v>
          </cell>
          <cell r="AG28">
            <v>1142797238272</v>
          </cell>
          <cell r="AH28">
            <v>1179659534336</v>
          </cell>
          <cell r="AI28">
            <v>1061388746752</v>
          </cell>
          <cell r="AJ28">
            <v>1140489715712</v>
          </cell>
          <cell r="AK28">
            <v>1341584310272</v>
          </cell>
          <cell r="AL28">
            <v>1415358840832</v>
          </cell>
          <cell r="AM28">
            <v>1559078240256</v>
          </cell>
          <cell r="AN28">
            <v>1650172231680</v>
          </cell>
          <cell r="AO28">
            <v>1682399297536</v>
          </cell>
          <cell r="AP28">
            <v>1657816612864</v>
          </cell>
          <cell r="AQ28">
            <v>1640246149120</v>
          </cell>
          <cell r="AR28">
            <v>1784473976832</v>
          </cell>
          <cell r="AS28">
            <v>2053018746880</v>
          </cell>
          <cell r="AT28">
            <v>2416931504128</v>
          </cell>
          <cell r="AU28">
            <v>2538680090624</v>
          </cell>
          <cell r="AV28">
            <v>2713749815296</v>
          </cell>
          <cell r="AW28">
            <v>3100882239488</v>
          </cell>
          <cell r="AX28">
            <v>2922667311104</v>
          </cell>
          <cell r="AY28">
            <v>2410909794304</v>
          </cell>
          <cell r="AZ28">
            <v>2475244388352</v>
          </cell>
          <cell r="BA28">
            <v>2659310108672</v>
          </cell>
          <cell r="BB28">
            <v>2704887775232</v>
          </cell>
          <cell r="BC28">
            <v>2786022916096</v>
          </cell>
          <cell r="BD28">
            <v>3063803281408</v>
          </cell>
          <cell r="BE28">
            <v>2928590979072</v>
          </cell>
          <cell r="BF28">
            <v>2694283264000</v>
          </cell>
          <cell r="BG28">
            <v>2666229137408</v>
          </cell>
          <cell r="BH28">
            <v>2860667633664</v>
          </cell>
          <cell r="BI28">
            <v>2827113201664</v>
          </cell>
        </row>
        <row r="29">
          <cell r="B29" t="str">
            <v>United States</v>
          </cell>
          <cell r="C29">
            <v>563300007936</v>
          </cell>
          <cell r="D29">
            <v>605099982848</v>
          </cell>
          <cell r="E29">
            <v>638600019968</v>
          </cell>
          <cell r="F29">
            <v>685800030208</v>
          </cell>
          <cell r="G29">
            <v>743699972096</v>
          </cell>
          <cell r="H29">
            <v>814999994368</v>
          </cell>
          <cell r="I29">
            <v>861700030464</v>
          </cell>
          <cell r="J29">
            <v>942500020224</v>
          </cell>
          <cell r="K29">
            <v>1019900002304</v>
          </cell>
          <cell r="L29">
            <v>1073302994944</v>
          </cell>
          <cell r="M29">
            <v>1164849971200</v>
          </cell>
          <cell r="N29">
            <v>1279110021120</v>
          </cell>
          <cell r="O29">
            <v>1425376018432</v>
          </cell>
          <cell r="P29">
            <v>1545242935296</v>
          </cell>
          <cell r="Q29">
            <v>1684903952384</v>
          </cell>
          <cell r="R29">
            <v>1873411964928</v>
          </cell>
          <cell r="S29">
            <v>2081826013184</v>
          </cell>
          <cell r="T29">
            <v>2351598927872</v>
          </cell>
          <cell r="U29">
            <v>2627334045696</v>
          </cell>
          <cell r="V29">
            <v>2857306947584</v>
          </cell>
          <cell r="W29">
            <v>3207041908736</v>
          </cell>
          <cell r="X29">
            <v>3343789064192</v>
          </cell>
          <cell r="Y29">
            <v>3634038046720</v>
          </cell>
          <cell r="Z29">
            <v>4037612929024</v>
          </cell>
          <cell r="AA29">
            <v>4338978914304</v>
          </cell>
          <cell r="AB29">
            <v>4579631038464</v>
          </cell>
          <cell r="AC29">
            <v>4855215161344</v>
          </cell>
          <cell r="AD29">
            <v>5236438073344</v>
          </cell>
          <cell r="AE29">
            <v>5641580052480</v>
          </cell>
          <cell r="AF29">
            <v>5963144232960</v>
          </cell>
          <cell r="AG29">
            <v>6158129037312</v>
          </cell>
          <cell r="AH29">
            <v>6520327110656</v>
          </cell>
          <cell r="AI29">
            <v>6858558930944</v>
          </cell>
          <cell r="AJ29">
            <v>7287236198400</v>
          </cell>
          <cell r="AK29">
            <v>7639749099520</v>
          </cell>
          <cell r="AL29">
            <v>8073121890304</v>
          </cell>
          <cell r="AM29">
            <v>8577554579456</v>
          </cell>
          <cell r="AN29">
            <v>9062818250752</v>
          </cell>
          <cell r="AO29">
            <v>9630664097792</v>
          </cell>
          <cell r="AP29">
            <v>10252345933824</v>
          </cell>
          <cell r="AQ29">
            <v>10581821095936</v>
          </cell>
          <cell r="AR29">
            <v>10936419090432</v>
          </cell>
          <cell r="AS29">
            <v>11458243985408</v>
          </cell>
          <cell r="AT29">
            <v>12213729361920</v>
          </cell>
          <cell r="AU29">
            <v>13036640272384</v>
          </cell>
          <cell r="AV29">
            <v>13814611312640</v>
          </cell>
          <cell r="AW29">
            <v>14451858210816</v>
          </cell>
          <cell r="AX29">
            <v>14712844582912</v>
          </cell>
          <cell r="AY29">
            <v>14448932683776</v>
          </cell>
          <cell r="AZ29">
            <v>14992053108736</v>
          </cell>
          <cell r="BA29">
            <v>15542580674560</v>
          </cell>
          <cell r="BB29">
            <v>16197007441920</v>
          </cell>
          <cell r="BC29">
            <v>16784849633280</v>
          </cell>
          <cell r="BD29">
            <v>17521746903040</v>
          </cell>
          <cell r="BE29">
            <v>18219297406976</v>
          </cell>
          <cell r="BF29">
            <v>18707187236864</v>
          </cell>
          <cell r="BG29">
            <v>19485394206720</v>
          </cell>
          <cell r="BH29">
            <v>20529048190976</v>
          </cell>
          <cell r="BI29">
            <v>21374418550784</v>
          </cell>
        </row>
      </sheetData>
      <sheetData sheetId="3">
        <row r="11">
          <cell r="B11" t="str">
            <v>Australia</v>
          </cell>
          <cell r="C11">
            <v>10483000</v>
          </cell>
          <cell r="D11">
            <v>10742000</v>
          </cell>
          <cell r="E11">
            <v>10950000</v>
          </cell>
          <cell r="F11">
            <v>11167000</v>
          </cell>
          <cell r="G11">
            <v>11388000</v>
          </cell>
          <cell r="H11">
            <v>11651000</v>
          </cell>
          <cell r="I11">
            <v>11799000</v>
          </cell>
          <cell r="J11">
            <v>12009000</v>
          </cell>
          <cell r="K11">
            <v>12263000</v>
          </cell>
          <cell r="L11">
            <v>12507000</v>
          </cell>
          <cell r="M11">
            <v>12937000</v>
          </cell>
          <cell r="N11">
            <v>13177000</v>
          </cell>
          <cell r="O11">
            <v>13380000</v>
          </cell>
          <cell r="P11">
            <v>13723000</v>
          </cell>
          <cell r="Q11">
            <v>13893000</v>
          </cell>
          <cell r="R11">
            <v>14033000</v>
          </cell>
          <cell r="S11">
            <v>14192000</v>
          </cell>
          <cell r="T11">
            <v>14358000</v>
          </cell>
          <cell r="U11">
            <v>14514000</v>
          </cell>
          <cell r="V11">
            <v>14692000</v>
          </cell>
          <cell r="W11">
            <v>14927000</v>
          </cell>
          <cell r="X11">
            <v>15178000</v>
          </cell>
          <cell r="Y11">
            <v>15369000</v>
          </cell>
          <cell r="Z11">
            <v>15544000</v>
          </cell>
          <cell r="AA11">
            <v>15758000</v>
          </cell>
          <cell r="AB11">
            <v>16018400</v>
          </cell>
          <cell r="AC11">
            <v>16263900</v>
          </cell>
          <cell r="AD11">
            <v>16532200</v>
          </cell>
          <cell r="AE11">
            <v>16814400</v>
          </cell>
          <cell r="AF11">
            <v>17065100</v>
          </cell>
          <cell r="AG11">
            <v>17284000</v>
          </cell>
          <cell r="AH11">
            <v>17495000</v>
          </cell>
          <cell r="AI11">
            <v>17667000</v>
          </cell>
          <cell r="AJ11">
            <v>17855000</v>
          </cell>
          <cell r="AK11">
            <v>18072000</v>
          </cell>
          <cell r="AL11">
            <v>18311000</v>
          </cell>
          <cell r="AM11">
            <v>18517000</v>
          </cell>
          <cell r="AN11">
            <v>18711000</v>
          </cell>
          <cell r="AO11">
            <v>18926000</v>
          </cell>
          <cell r="AP11">
            <v>19153000</v>
          </cell>
          <cell r="AQ11">
            <v>19413000</v>
          </cell>
          <cell r="AR11">
            <v>19651400</v>
          </cell>
          <cell r="AS11">
            <v>19895400</v>
          </cell>
          <cell r="AT11">
            <v>20127400</v>
          </cell>
          <cell r="AU11">
            <v>20394800</v>
          </cell>
          <cell r="AV11">
            <v>20697900</v>
          </cell>
          <cell r="AW11">
            <v>20827600</v>
          </cell>
          <cell r="AX11">
            <v>21249200</v>
          </cell>
          <cell r="AY11">
            <v>21691700</v>
          </cell>
          <cell r="AZ11">
            <v>22031750</v>
          </cell>
          <cell r="BA11">
            <v>22340024</v>
          </cell>
          <cell r="BB11">
            <v>22733464</v>
          </cell>
          <cell r="BC11">
            <v>23128128</v>
          </cell>
          <cell r="BD11">
            <v>23475686</v>
          </cell>
          <cell r="BE11">
            <v>23815996</v>
          </cell>
          <cell r="BF11">
            <v>24190908</v>
          </cell>
          <cell r="BG11">
            <v>24601860</v>
          </cell>
          <cell r="BH11">
            <v>24982688</v>
          </cell>
          <cell r="BI11">
            <v>25364308</v>
          </cell>
        </row>
        <row r="12">
          <cell r="B12" t="str">
            <v>Austria</v>
          </cell>
          <cell r="C12">
            <v>7086299</v>
          </cell>
          <cell r="D12">
            <v>7129864</v>
          </cell>
          <cell r="E12">
            <v>7175811</v>
          </cell>
          <cell r="F12">
            <v>7223801</v>
          </cell>
          <cell r="G12">
            <v>7270889</v>
          </cell>
          <cell r="H12">
            <v>7322066</v>
          </cell>
          <cell r="I12">
            <v>7376998</v>
          </cell>
          <cell r="J12">
            <v>7415403</v>
          </cell>
          <cell r="K12">
            <v>7441055</v>
          </cell>
          <cell r="L12">
            <v>7467086</v>
          </cell>
          <cell r="M12">
            <v>7500482</v>
          </cell>
          <cell r="N12">
            <v>7544201</v>
          </cell>
          <cell r="O12">
            <v>7586115</v>
          </cell>
          <cell r="P12">
            <v>7599038</v>
          </cell>
          <cell r="Q12">
            <v>7578903</v>
          </cell>
          <cell r="R12">
            <v>7565525</v>
          </cell>
          <cell r="S12">
            <v>7568430</v>
          </cell>
          <cell r="T12">
            <v>7562305</v>
          </cell>
          <cell r="U12">
            <v>7549425</v>
          </cell>
          <cell r="V12">
            <v>7549433</v>
          </cell>
          <cell r="W12">
            <v>7568710</v>
          </cell>
          <cell r="X12">
            <v>7574140</v>
          </cell>
          <cell r="Y12">
            <v>7561910</v>
          </cell>
          <cell r="Z12">
            <v>7561434</v>
          </cell>
          <cell r="AA12">
            <v>7564985</v>
          </cell>
          <cell r="AB12">
            <v>7569794</v>
          </cell>
          <cell r="AC12">
            <v>7574586</v>
          </cell>
          <cell r="AD12">
            <v>7585317</v>
          </cell>
          <cell r="AE12">
            <v>7619567</v>
          </cell>
          <cell r="AF12">
            <v>7677850</v>
          </cell>
          <cell r="AG12">
            <v>7754891</v>
          </cell>
          <cell r="AH12">
            <v>7840709</v>
          </cell>
          <cell r="AI12">
            <v>7905633</v>
          </cell>
          <cell r="AJ12">
            <v>7936118</v>
          </cell>
          <cell r="AK12">
            <v>7948278</v>
          </cell>
          <cell r="AL12">
            <v>7959017</v>
          </cell>
          <cell r="AM12">
            <v>7968041</v>
          </cell>
          <cell r="AN12">
            <v>7976789</v>
          </cell>
          <cell r="AO12">
            <v>7992324</v>
          </cell>
          <cell r="AP12">
            <v>8011566</v>
          </cell>
          <cell r="AQ12">
            <v>8042293</v>
          </cell>
          <cell r="AR12">
            <v>8081957</v>
          </cell>
          <cell r="AS12">
            <v>8121423</v>
          </cell>
          <cell r="AT12">
            <v>8171966</v>
          </cell>
          <cell r="AU12">
            <v>8227829</v>
          </cell>
          <cell r="AV12">
            <v>8268641</v>
          </cell>
          <cell r="AW12">
            <v>8295487</v>
          </cell>
          <cell r="AX12">
            <v>8321496</v>
          </cell>
          <cell r="AY12">
            <v>8343323</v>
          </cell>
          <cell r="AZ12">
            <v>8363404</v>
          </cell>
          <cell r="BA12">
            <v>8391643</v>
          </cell>
          <cell r="BB12">
            <v>8429991</v>
          </cell>
          <cell r="BC12">
            <v>8479823</v>
          </cell>
          <cell r="BD12">
            <v>8546356</v>
          </cell>
          <cell r="BE12">
            <v>8642699</v>
          </cell>
          <cell r="BF12">
            <v>8736668</v>
          </cell>
          <cell r="BG12">
            <v>8797566</v>
          </cell>
          <cell r="BH12">
            <v>8840521</v>
          </cell>
          <cell r="BI12">
            <v>8877067</v>
          </cell>
        </row>
        <row r="13">
          <cell r="B13" t="str">
            <v>Belgium</v>
          </cell>
          <cell r="C13">
            <v>9183948</v>
          </cell>
          <cell r="D13">
            <v>9220578</v>
          </cell>
          <cell r="E13">
            <v>9289770</v>
          </cell>
          <cell r="F13">
            <v>9378113</v>
          </cell>
          <cell r="G13">
            <v>9463667</v>
          </cell>
          <cell r="H13">
            <v>9527807</v>
          </cell>
          <cell r="I13">
            <v>9580991</v>
          </cell>
          <cell r="J13">
            <v>9618756</v>
          </cell>
          <cell r="K13">
            <v>9646032</v>
          </cell>
          <cell r="L13">
            <v>9655549</v>
          </cell>
          <cell r="M13">
            <v>9673162</v>
          </cell>
          <cell r="N13">
            <v>9711115</v>
          </cell>
          <cell r="O13">
            <v>9741720</v>
          </cell>
          <cell r="P13">
            <v>9772419</v>
          </cell>
          <cell r="Q13">
            <v>9800700</v>
          </cell>
          <cell r="R13">
            <v>9818227</v>
          </cell>
          <cell r="S13">
            <v>9830358</v>
          </cell>
          <cell r="T13">
            <v>9839534</v>
          </cell>
          <cell r="U13">
            <v>9848382</v>
          </cell>
          <cell r="V13">
            <v>9859242</v>
          </cell>
          <cell r="W13">
            <v>9858982</v>
          </cell>
          <cell r="X13">
            <v>9856303</v>
          </cell>
          <cell r="Y13">
            <v>9855520</v>
          </cell>
          <cell r="Z13">
            <v>9855372</v>
          </cell>
          <cell r="AA13">
            <v>9858308</v>
          </cell>
          <cell r="AB13">
            <v>9861823</v>
          </cell>
          <cell r="AC13">
            <v>9870234</v>
          </cell>
          <cell r="AD13">
            <v>9901664</v>
          </cell>
          <cell r="AE13">
            <v>9937697</v>
          </cell>
          <cell r="AF13">
            <v>9967379</v>
          </cell>
          <cell r="AG13">
            <v>10004486</v>
          </cell>
          <cell r="AH13">
            <v>10045158</v>
          </cell>
          <cell r="AI13">
            <v>10084475</v>
          </cell>
          <cell r="AJ13">
            <v>10115603</v>
          </cell>
          <cell r="AK13">
            <v>10136811</v>
          </cell>
          <cell r="AL13">
            <v>10156637</v>
          </cell>
          <cell r="AM13">
            <v>10181245</v>
          </cell>
          <cell r="AN13">
            <v>10203008</v>
          </cell>
          <cell r="AO13">
            <v>10226419</v>
          </cell>
          <cell r="AP13">
            <v>10251250</v>
          </cell>
          <cell r="AQ13">
            <v>10286570</v>
          </cell>
          <cell r="AR13">
            <v>10332785</v>
          </cell>
          <cell r="AS13">
            <v>10376133</v>
          </cell>
          <cell r="AT13">
            <v>10421137</v>
          </cell>
          <cell r="AU13">
            <v>10478617</v>
          </cell>
          <cell r="AV13">
            <v>10547958</v>
          </cell>
          <cell r="AW13">
            <v>10625700</v>
          </cell>
          <cell r="AX13">
            <v>10709973</v>
          </cell>
          <cell r="AY13">
            <v>10796493</v>
          </cell>
          <cell r="AZ13">
            <v>10895586</v>
          </cell>
          <cell r="BA13">
            <v>11038264</v>
          </cell>
          <cell r="BB13">
            <v>11106932</v>
          </cell>
          <cell r="BC13">
            <v>11159407</v>
          </cell>
          <cell r="BD13">
            <v>11209057</v>
          </cell>
          <cell r="BE13">
            <v>11274196</v>
          </cell>
          <cell r="BF13">
            <v>11331422</v>
          </cell>
          <cell r="BG13">
            <v>11375158</v>
          </cell>
          <cell r="BH13">
            <v>11427054</v>
          </cell>
          <cell r="BI13">
            <v>11484055</v>
          </cell>
        </row>
        <row r="14">
          <cell r="B14" t="str">
            <v>Finland</v>
          </cell>
          <cell r="C14">
            <v>4461005</v>
          </cell>
          <cell r="D14">
            <v>4491443</v>
          </cell>
          <cell r="E14">
            <v>4523309</v>
          </cell>
          <cell r="F14">
            <v>4548543</v>
          </cell>
          <cell r="G14">
            <v>4563732</v>
          </cell>
          <cell r="H14">
            <v>4580869</v>
          </cell>
          <cell r="I14">
            <v>4605744</v>
          </cell>
          <cell r="J14">
            <v>4626469</v>
          </cell>
          <cell r="K14">
            <v>4623785</v>
          </cell>
          <cell r="L14">
            <v>4606307</v>
          </cell>
          <cell r="M14">
            <v>4612124</v>
          </cell>
          <cell r="N14">
            <v>4639657</v>
          </cell>
          <cell r="O14">
            <v>4666081</v>
          </cell>
          <cell r="P14">
            <v>4690574</v>
          </cell>
          <cell r="Q14">
            <v>4711440</v>
          </cell>
          <cell r="R14">
            <v>4725664</v>
          </cell>
          <cell r="S14">
            <v>4738902</v>
          </cell>
          <cell r="T14">
            <v>4752528</v>
          </cell>
          <cell r="U14">
            <v>4764690</v>
          </cell>
          <cell r="V14">
            <v>4779535</v>
          </cell>
          <cell r="W14">
            <v>4799964</v>
          </cell>
          <cell r="X14">
            <v>4826933</v>
          </cell>
          <cell r="Y14">
            <v>4855787</v>
          </cell>
          <cell r="Z14">
            <v>4881803</v>
          </cell>
          <cell r="AA14">
            <v>4902206</v>
          </cell>
          <cell r="AB14">
            <v>4918154</v>
          </cell>
          <cell r="AC14">
            <v>4932123</v>
          </cell>
          <cell r="AD14">
            <v>4946481</v>
          </cell>
          <cell r="AE14">
            <v>4964371</v>
          </cell>
          <cell r="AF14">
            <v>4986431</v>
          </cell>
          <cell r="AG14">
            <v>5013740</v>
          </cell>
          <cell r="AH14">
            <v>5041992</v>
          </cell>
          <cell r="AI14">
            <v>5066447</v>
          </cell>
          <cell r="AJ14">
            <v>5088333</v>
          </cell>
          <cell r="AK14">
            <v>5107790</v>
          </cell>
          <cell r="AL14">
            <v>5124573</v>
          </cell>
          <cell r="AM14">
            <v>5139835</v>
          </cell>
          <cell r="AN14">
            <v>5153498</v>
          </cell>
          <cell r="AO14">
            <v>5165474</v>
          </cell>
          <cell r="AP14">
            <v>5176209</v>
          </cell>
          <cell r="AQ14">
            <v>5188008</v>
          </cell>
          <cell r="AR14">
            <v>5200598</v>
          </cell>
          <cell r="AS14">
            <v>5213014</v>
          </cell>
          <cell r="AT14">
            <v>5228172</v>
          </cell>
          <cell r="AU14">
            <v>5246096</v>
          </cell>
          <cell r="AV14">
            <v>5266268</v>
          </cell>
          <cell r="AW14">
            <v>5288720</v>
          </cell>
          <cell r="AX14">
            <v>5313399</v>
          </cell>
          <cell r="AY14">
            <v>5338871</v>
          </cell>
          <cell r="AZ14">
            <v>5363352</v>
          </cell>
          <cell r="BA14">
            <v>5388272</v>
          </cell>
          <cell r="BB14">
            <v>5413971</v>
          </cell>
          <cell r="BC14">
            <v>5438972</v>
          </cell>
          <cell r="BD14">
            <v>5461512</v>
          </cell>
          <cell r="BE14">
            <v>5479531</v>
          </cell>
          <cell r="BF14">
            <v>5495303</v>
          </cell>
          <cell r="BG14">
            <v>5508214</v>
          </cell>
          <cell r="BH14">
            <v>5515525</v>
          </cell>
          <cell r="BI14">
            <v>5520314</v>
          </cell>
        </row>
        <row r="15">
          <cell r="B15" t="str">
            <v>France</v>
          </cell>
          <cell r="C15">
            <v>47240544</v>
          </cell>
          <cell r="D15">
            <v>47904876</v>
          </cell>
          <cell r="E15">
            <v>48582612</v>
          </cell>
          <cell r="F15">
            <v>49230596</v>
          </cell>
          <cell r="G15">
            <v>49818028</v>
          </cell>
          <cell r="H15">
            <v>50330264</v>
          </cell>
          <cell r="I15">
            <v>50775792</v>
          </cell>
          <cell r="J15">
            <v>51175508</v>
          </cell>
          <cell r="K15">
            <v>51561836</v>
          </cell>
          <cell r="L15">
            <v>51957736</v>
          </cell>
          <cell r="M15">
            <v>52371344</v>
          </cell>
          <cell r="N15">
            <v>52793136</v>
          </cell>
          <cell r="O15">
            <v>53207736</v>
          </cell>
          <cell r="P15">
            <v>53592232</v>
          </cell>
          <cell r="Q15">
            <v>53931392</v>
          </cell>
          <cell r="R15">
            <v>54220024</v>
          </cell>
          <cell r="S15">
            <v>54467704</v>
          </cell>
          <cell r="T15">
            <v>54691852</v>
          </cell>
          <cell r="U15">
            <v>54917120</v>
          </cell>
          <cell r="V15">
            <v>55161528</v>
          </cell>
          <cell r="W15">
            <v>55430296</v>
          </cell>
          <cell r="X15">
            <v>55718932</v>
          </cell>
          <cell r="Y15">
            <v>56023768</v>
          </cell>
          <cell r="Z15">
            <v>56337664</v>
          </cell>
          <cell r="AA15">
            <v>56654696</v>
          </cell>
          <cell r="AB15">
            <v>56976124</v>
          </cell>
          <cell r="AC15">
            <v>57302664</v>
          </cell>
          <cell r="AD15">
            <v>57627104</v>
          </cell>
          <cell r="AE15">
            <v>57940212</v>
          </cell>
          <cell r="AF15">
            <v>58235696</v>
          </cell>
          <cell r="AG15">
            <v>58559312</v>
          </cell>
          <cell r="AH15">
            <v>58851216</v>
          </cell>
          <cell r="AI15">
            <v>59106768</v>
          </cell>
          <cell r="AJ15">
            <v>59327192</v>
          </cell>
          <cell r="AK15">
            <v>59541900</v>
          </cell>
          <cell r="AL15">
            <v>59753100</v>
          </cell>
          <cell r="AM15">
            <v>59964852</v>
          </cell>
          <cell r="AN15">
            <v>60186288</v>
          </cell>
          <cell r="AO15">
            <v>60496720</v>
          </cell>
          <cell r="AP15">
            <v>60912500</v>
          </cell>
          <cell r="AQ15">
            <v>61357432</v>
          </cell>
          <cell r="AR15">
            <v>61805268</v>
          </cell>
          <cell r="AS15">
            <v>62244888</v>
          </cell>
          <cell r="AT15">
            <v>62704896</v>
          </cell>
          <cell r="AU15">
            <v>63179352</v>
          </cell>
          <cell r="AV15">
            <v>63621380</v>
          </cell>
          <cell r="AW15">
            <v>64016224</v>
          </cell>
          <cell r="AX15">
            <v>64374984</v>
          </cell>
          <cell r="AY15">
            <v>64707040</v>
          </cell>
          <cell r="AZ15">
            <v>65027508</v>
          </cell>
          <cell r="BA15">
            <v>65342780</v>
          </cell>
          <cell r="BB15">
            <v>65659808</v>
          </cell>
          <cell r="BC15">
            <v>65998688</v>
          </cell>
          <cell r="BD15">
            <v>66312068</v>
          </cell>
          <cell r="BE15">
            <v>66548272</v>
          </cell>
          <cell r="BF15">
            <v>66724104</v>
          </cell>
          <cell r="BG15">
            <v>66864380</v>
          </cell>
          <cell r="BH15">
            <v>66965912</v>
          </cell>
          <cell r="BI15">
            <v>67059888</v>
          </cell>
        </row>
        <row r="16">
          <cell r="B16" t="str">
            <v>Greece</v>
          </cell>
          <cell r="C16">
            <v>8398050</v>
          </cell>
          <cell r="D16">
            <v>8448233</v>
          </cell>
          <cell r="E16">
            <v>8479625</v>
          </cell>
          <cell r="F16">
            <v>8510429</v>
          </cell>
          <cell r="G16">
            <v>8550333</v>
          </cell>
          <cell r="H16">
            <v>8613651</v>
          </cell>
          <cell r="I16">
            <v>8684088</v>
          </cell>
          <cell r="J16">
            <v>8740765</v>
          </cell>
          <cell r="K16">
            <v>8772764</v>
          </cell>
          <cell r="L16">
            <v>8792806</v>
          </cell>
          <cell r="M16">
            <v>8831036</v>
          </cell>
          <cell r="N16">
            <v>8888628</v>
          </cell>
          <cell r="O16">
            <v>8929086</v>
          </cell>
          <cell r="P16">
            <v>8962022</v>
          </cell>
          <cell r="Q16">
            <v>9046541</v>
          </cell>
          <cell r="R16">
            <v>9188150</v>
          </cell>
          <cell r="S16">
            <v>9308479</v>
          </cell>
          <cell r="T16">
            <v>9429959</v>
          </cell>
          <cell r="U16">
            <v>9548258</v>
          </cell>
          <cell r="V16">
            <v>9642505</v>
          </cell>
          <cell r="W16">
            <v>9729350</v>
          </cell>
          <cell r="X16">
            <v>9789513</v>
          </cell>
          <cell r="Y16">
            <v>9846627</v>
          </cell>
          <cell r="Z16">
            <v>9895801</v>
          </cell>
          <cell r="AA16">
            <v>9934300</v>
          </cell>
          <cell r="AB16">
            <v>9967213</v>
          </cell>
          <cell r="AC16">
            <v>10000595</v>
          </cell>
          <cell r="AD16">
            <v>10036983</v>
          </cell>
          <cell r="AE16">
            <v>10089498</v>
          </cell>
          <cell r="AF16">
            <v>10196792</v>
          </cell>
          <cell r="AG16">
            <v>10319927</v>
          </cell>
          <cell r="AH16">
            <v>10399061</v>
          </cell>
          <cell r="AI16">
            <v>10460415</v>
          </cell>
          <cell r="AJ16">
            <v>10512922</v>
          </cell>
          <cell r="AK16">
            <v>10562153</v>
          </cell>
          <cell r="AL16">
            <v>10608800</v>
          </cell>
          <cell r="AM16">
            <v>10661259</v>
          </cell>
          <cell r="AN16">
            <v>10720509</v>
          </cell>
          <cell r="AO16">
            <v>10761698</v>
          </cell>
          <cell r="AP16">
            <v>10805808</v>
          </cell>
          <cell r="AQ16">
            <v>10862132</v>
          </cell>
          <cell r="AR16">
            <v>10902022</v>
          </cell>
          <cell r="AS16">
            <v>10928070</v>
          </cell>
          <cell r="AT16">
            <v>10955141</v>
          </cell>
          <cell r="AU16">
            <v>10987314</v>
          </cell>
          <cell r="AV16">
            <v>11020362</v>
          </cell>
          <cell r="AW16">
            <v>11048473</v>
          </cell>
          <cell r="AX16">
            <v>11077841</v>
          </cell>
          <cell r="AY16">
            <v>11107017</v>
          </cell>
          <cell r="AZ16">
            <v>11121341</v>
          </cell>
          <cell r="BA16">
            <v>11104899</v>
          </cell>
          <cell r="BB16">
            <v>11045011</v>
          </cell>
          <cell r="BC16">
            <v>10965211</v>
          </cell>
          <cell r="BD16">
            <v>10892413</v>
          </cell>
          <cell r="BE16">
            <v>10820883</v>
          </cell>
          <cell r="BF16">
            <v>10775971</v>
          </cell>
          <cell r="BG16">
            <v>10754679</v>
          </cell>
          <cell r="BH16">
            <v>10732882</v>
          </cell>
          <cell r="BI16">
            <v>10716322</v>
          </cell>
        </row>
        <row r="17">
          <cell r="B17" t="str">
            <v>Israel</v>
          </cell>
          <cell r="C17">
            <v>2185000</v>
          </cell>
          <cell r="D17">
            <v>2293000</v>
          </cell>
          <cell r="E17">
            <v>2379000</v>
          </cell>
          <cell r="F17">
            <v>2475000</v>
          </cell>
          <cell r="G17">
            <v>2563000</v>
          </cell>
          <cell r="H17">
            <v>2629000</v>
          </cell>
          <cell r="I17">
            <v>2745000</v>
          </cell>
          <cell r="J17">
            <v>2803000</v>
          </cell>
          <cell r="K17">
            <v>2877000</v>
          </cell>
          <cell r="L17">
            <v>2974000</v>
          </cell>
          <cell r="M17">
            <v>3069000</v>
          </cell>
          <cell r="N17">
            <v>3148000</v>
          </cell>
          <cell r="O17">
            <v>3278000</v>
          </cell>
          <cell r="P17">
            <v>3377000</v>
          </cell>
          <cell r="Q17">
            <v>3455000</v>
          </cell>
          <cell r="R17">
            <v>3533000</v>
          </cell>
          <cell r="S17">
            <v>3613000</v>
          </cell>
          <cell r="T17">
            <v>3690000</v>
          </cell>
          <cell r="U17">
            <v>3786000</v>
          </cell>
          <cell r="V17">
            <v>3878000</v>
          </cell>
          <cell r="W17">
            <v>3956000</v>
          </cell>
          <cell r="X17">
            <v>4031000</v>
          </cell>
          <cell r="Y17">
            <v>4105000</v>
          </cell>
          <cell r="Z17">
            <v>4159000</v>
          </cell>
          <cell r="AA17">
            <v>4233000</v>
          </cell>
          <cell r="AB17">
            <v>4299000</v>
          </cell>
          <cell r="AC17">
            <v>4369000</v>
          </cell>
          <cell r="AD17">
            <v>4442000</v>
          </cell>
          <cell r="AE17">
            <v>4518000</v>
          </cell>
          <cell r="AF17">
            <v>4660000</v>
          </cell>
          <cell r="AG17">
            <v>4949000</v>
          </cell>
          <cell r="AH17">
            <v>5123000</v>
          </cell>
          <cell r="AI17">
            <v>5261000</v>
          </cell>
          <cell r="AJ17">
            <v>5399000</v>
          </cell>
          <cell r="AK17">
            <v>5545000</v>
          </cell>
          <cell r="AL17">
            <v>5692000</v>
          </cell>
          <cell r="AM17">
            <v>5836000</v>
          </cell>
          <cell r="AN17">
            <v>5971000</v>
          </cell>
          <cell r="AO17">
            <v>6125000</v>
          </cell>
          <cell r="AP17">
            <v>6289000</v>
          </cell>
          <cell r="AQ17">
            <v>6439000</v>
          </cell>
          <cell r="AR17">
            <v>6570000</v>
          </cell>
          <cell r="AS17">
            <v>6689700</v>
          </cell>
          <cell r="AT17">
            <v>6809000</v>
          </cell>
          <cell r="AU17">
            <v>6930100</v>
          </cell>
          <cell r="AV17">
            <v>7053700</v>
          </cell>
          <cell r="AW17">
            <v>7180100</v>
          </cell>
          <cell r="AX17">
            <v>7308800</v>
          </cell>
          <cell r="AY17">
            <v>7485600</v>
          </cell>
          <cell r="AZ17">
            <v>7623600</v>
          </cell>
          <cell r="BA17">
            <v>7765800</v>
          </cell>
          <cell r="BB17">
            <v>7910500</v>
          </cell>
          <cell r="BC17">
            <v>8059500</v>
          </cell>
          <cell r="BD17">
            <v>8215700</v>
          </cell>
          <cell r="BE17">
            <v>8380100</v>
          </cell>
          <cell r="BF17">
            <v>8546000</v>
          </cell>
          <cell r="BG17">
            <v>8713300</v>
          </cell>
          <cell r="BH17">
            <v>8882800</v>
          </cell>
          <cell r="BI17">
            <v>9053300</v>
          </cell>
        </row>
        <row r="18">
          <cell r="B18" t="str">
            <v>Italy</v>
          </cell>
          <cell r="C18">
            <v>50536352</v>
          </cell>
          <cell r="D18">
            <v>50879448</v>
          </cell>
          <cell r="E18">
            <v>51252000</v>
          </cell>
          <cell r="F18">
            <v>51675352</v>
          </cell>
          <cell r="G18">
            <v>52112352</v>
          </cell>
          <cell r="H18">
            <v>52519000</v>
          </cell>
          <cell r="I18">
            <v>52900500</v>
          </cell>
          <cell r="J18">
            <v>53235752</v>
          </cell>
          <cell r="K18">
            <v>53537952</v>
          </cell>
          <cell r="L18">
            <v>53821848</v>
          </cell>
          <cell r="M18">
            <v>54073488</v>
          </cell>
          <cell r="N18">
            <v>54381344</v>
          </cell>
          <cell r="O18">
            <v>54751408</v>
          </cell>
          <cell r="P18">
            <v>55110868</v>
          </cell>
          <cell r="Q18">
            <v>55441000</v>
          </cell>
          <cell r="R18">
            <v>55718260</v>
          </cell>
          <cell r="S18">
            <v>55955412</v>
          </cell>
          <cell r="T18">
            <v>56155144</v>
          </cell>
          <cell r="U18">
            <v>56317748</v>
          </cell>
          <cell r="V18">
            <v>56433884</v>
          </cell>
          <cell r="W18">
            <v>56501676</v>
          </cell>
          <cell r="X18">
            <v>56543548</v>
          </cell>
          <cell r="Y18">
            <v>56564072</v>
          </cell>
          <cell r="Z18">
            <v>56576720</v>
          </cell>
          <cell r="AA18">
            <v>56593072</v>
          </cell>
          <cell r="AB18">
            <v>56596156</v>
          </cell>
          <cell r="AC18">
            <v>56601932</v>
          </cell>
          <cell r="AD18">
            <v>56629288</v>
          </cell>
          <cell r="AE18">
            <v>56671780</v>
          </cell>
          <cell r="AF18">
            <v>56719240</v>
          </cell>
          <cell r="AG18">
            <v>56758520</v>
          </cell>
          <cell r="AH18">
            <v>56797088</v>
          </cell>
          <cell r="AI18">
            <v>56831820</v>
          </cell>
          <cell r="AJ18">
            <v>56843400</v>
          </cell>
          <cell r="AK18">
            <v>56844304</v>
          </cell>
          <cell r="AL18">
            <v>56860280</v>
          </cell>
          <cell r="AM18">
            <v>56890372</v>
          </cell>
          <cell r="AN18">
            <v>56906744</v>
          </cell>
          <cell r="AO18">
            <v>56916316</v>
          </cell>
          <cell r="AP18">
            <v>56942108</v>
          </cell>
          <cell r="AQ18">
            <v>56974100</v>
          </cell>
          <cell r="AR18">
            <v>57059008</v>
          </cell>
          <cell r="AS18">
            <v>57313204</v>
          </cell>
          <cell r="AT18">
            <v>57685328</v>
          </cell>
          <cell r="AU18">
            <v>57969484</v>
          </cell>
          <cell r="AV18">
            <v>58143980</v>
          </cell>
          <cell r="AW18">
            <v>58438312</v>
          </cell>
          <cell r="AX18">
            <v>58826732</v>
          </cell>
          <cell r="AY18">
            <v>59095364</v>
          </cell>
          <cell r="AZ18">
            <v>59277416</v>
          </cell>
          <cell r="BA18">
            <v>59379448</v>
          </cell>
          <cell r="BB18">
            <v>59539716</v>
          </cell>
          <cell r="BC18">
            <v>60233948</v>
          </cell>
          <cell r="BD18">
            <v>60789140</v>
          </cell>
          <cell r="BE18">
            <v>60730584</v>
          </cell>
          <cell r="BF18">
            <v>60627496</v>
          </cell>
          <cell r="BG18">
            <v>60536708</v>
          </cell>
          <cell r="BH18">
            <v>60421760</v>
          </cell>
          <cell r="BI18">
            <v>60297396</v>
          </cell>
        </row>
        <row r="19">
          <cell r="B19" t="str">
            <v>Japan</v>
          </cell>
          <cell r="C19">
            <v>94943000</v>
          </cell>
          <cell r="D19">
            <v>95832000</v>
          </cell>
          <cell r="E19">
            <v>96812000</v>
          </cell>
          <cell r="F19">
            <v>97826000</v>
          </cell>
          <cell r="G19">
            <v>98883000</v>
          </cell>
          <cell r="H19">
            <v>99790000</v>
          </cell>
          <cell r="I19">
            <v>100725000</v>
          </cell>
          <cell r="J19">
            <v>101061000</v>
          </cell>
          <cell r="K19">
            <v>103172000</v>
          </cell>
          <cell r="L19">
            <v>104345000</v>
          </cell>
          <cell r="M19">
            <v>105697000</v>
          </cell>
          <cell r="N19">
            <v>107188000</v>
          </cell>
          <cell r="O19">
            <v>108079000</v>
          </cell>
          <cell r="P19">
            <v>110162000</v>
          </cell>
          <cell r="Q19">
            <v>111940000</v>
          </cell>
          <cell r="R19">
            <v>112771000</v>
          </cell>
          <cell r="S19">
            <v>113863000</v>
          </cell>
          <cell r="T19">
            <v>114898000</v>
          </cell>
          <cell r="U19">
            <v>115870000</v>
          </cell>
          <cell r="V19">
            <v>116782000</v>
          </cell>
          <cell r="W19">
            <v>117648000</v>
          </cell>
          <cell r="X19">
            <v>118449000</v>
          </cell>
          <cell r="Y19">
            <v>119259000</v>
          </cell>
          <cell r="Z19">
            <v>120018000</v>
          </cell>
          <cell r="AA19">
            <v>120754000</v>
          </cell>
          <cell r="AB19">
            <v>121492000</v>
          </cell>
          <cell r="AC19">
            <v>122091000</v>
          </cell>
          <cell r="AD19">
            <v>122613000</v>
          </cell>
          <cell r="AE19">
            <v>123116000</v>
          </cell>
          <cell r="AF19">
            <v>123537000</v>
          </cell>
          <cell r="AG19">
            <v>123921000</v>
          </cell>
          <cell r="AH19">
            <v>124229000</v>
          </cell>
          <cell r="AI19">
            <v>124536000</v>
          </cell>
          <cell r="AJ19">
            <v>124961000</v>
          </cell>
          <cell r="AK19">
            <v>125439000</v>
          </cell>
          <cell r="AL19">
            <v>125757000</v>
          </cell>
          <cell r="AM19">
            <v>126057000</v>
          </cell>
          <cell r="AN19">
            <v>126400000</v>
          </cell>
          <cell r="AO19">
            <v>126631000</v>
          </cell>
          <cell r="AP19">
            <v>126843000</v>
          </cell>
          <cell r="AQ19">
            <v>127149000</v>
          </cell>
          <cell r="AR19">
            <v>127445000</v>
          </cell>
          <cell r="AS19">
            <v>127718000</v>
          </cell>
          <cell r="AT19">
            <v>127761000</v>
          </cell>
          <cell r="AU19">
            <v>127773000</v>
          </cell>
          <cell r="AV19">
            <v>127854000</v>
          </cell>
          <cell r="AW19">
            <v>128001000</v>
          </cell>
          <cell r="AX19">
            <v>128063000</v>
          </cell>
          <cell r="AY19">
            <v>128047000</v>
          </cell>
          <cell r="AZ19">
            <v>128070000</v>
          </cell>
          <cell r="BA19">
            <v>127833000</v>
          </cell>
          <cell r="BB19">
            <v>127629000</v>
          </cell>
          <cell r="BC19">
            <v>127445000</v>
          </cell>
          <cell r="BD19">
            <v>127276000</v>
          </cell>
          <cell r="BE19">
            <v>127141000</v>
          </cell>
          <cell r="BF19">
            <v>126994512</v>
          </cell>
          <cell r="BG19">
            <v>126785800</v>
          </cell>
          <cell r="BH19">
            <v>126529104</v>
          </cell>
          <cell r="BI19">
            <v>126264928</v>
          </cell>
        </row>
        <row r="20">
          <cell r="B20" t="str">
            <v>Luxemburg</v>
          </cell>
          <cell r="C20">
            <v>316845</v>
          </cell>
          <cell r="D20">
            <v>320750</v>
          </cell>
          <cell r="E20">
            <v>324100</v>
          </cell>
          <cell r="F20">
            <v>327750</v>
          </cell>
          <cell r="G20">
            <v>331500</v>
          </cell>
          <cell r="H20">
            <v>333895</v>
          </cell>
          <cell r="I20">
            <v>334995</v>
          </cell>
          <cell r="J20">
            <v>335850</v>
          </cell>
          <cell r="K20">
            <v>337500</v>
          </cell>
          <cell r="L20">
            <v>339171</v>
          </cell>
          <cell r="M20">
            <v>342421</v>
          </cell>
          <cell r="N20">
            <v>346600</v>
          </cell>
          <cell r="O20">
            <v>350450</v>
          </cell>
          <cell r="P20">
            <v>355050</v>
          </cell>
          <cell r="Q20">
            <v>358950</v>
          </cell>
          <cell r="R20">
            <v>360731</v>
          </cell>
          <cell r="S20">
            <v>361358</v>
          </cell>
          <cell r="T20">
            <v>362007</v>
          </cell>
          <cell r="U20">
            <v>362856</v>
          </cell>
          <cell r="V20">
            <v>364150</v>
          </cell>
          <cell r="W20">
            <v>365225</v>
          </cell>
          <cell r="X20">
            <v>365525</v>
          </cell>
          <cell r="Y20">
            <v>365622</v>
          </cell>
          <cell r="Z20">
            <v>365998</v>
          </cell>
          <cell r="AA20">
            <v>366706</v>
          </cell>
          <cell r="AB20">
            <v>368355</v>
          </cell>
          <cell r="AC20">
            <v>370750</v>
          </cell>
          <cell r="AD20">
            <v>373450</v>
          </cell>
          <cell r="AE20">
            <v>377100</v>
          </cell>
          <cell r="AF20">
            <v>381850</v>
          </cell>
          <cell r="AG20">
            <v>387000</v>
          </cell>
          <cell r="AH20">
            <v>392175</v>
          </cell>
          <cell r="AI20">
            <v>397475</v>
          </cell>
          <cell r="AJ20">
            <v>402925</v>
          </cell>
          <cell r="AK20">
            <v>408625</v>
          </cell>
          <cell r="AL20">
            <v>414225</v>
          </cell>
          <cell r="AM20">
            <v>419450</v>
          </cell>
          <cell r="AN20">
            <v>424700</v>
          </cell>
          <cell r="AO20">
            <v>430475</v>
          </cell>
          <cell r="AP20">
            <v>436300</v>
          </cell>
          <cell r="AQ20">
            <v>441525</v>
          </cell>
          <cell r="AR20">
            <v>446175</v>
          </cell>
          <cell r="AS20">
            <v>451630</v>
          </cell>
          <cell r="AT20">
            <v>458095</v>
          </cell>
          <cell r="AU20">
            <v>465158</v>
          </cell>
          <cell r="AV20">
            <v>472637</v>
          </cell>
          <cell r="AW20">
            <v>479993</v>
          </cell>
          <cell r="AX20">
            <v>488650</v>
          </cell>
          <cell r="AY20">
            <v>497783</v>
          </cell>
          <cell r="AZ20">
            <v>506953</v>
          </cell>
          <cell r="BA20">
            <v>518347</v>
          </cell>
          <cell r="BB20">
            <v>530946</v>
          </cell>
          <cell r="BC20">
            <v>543360</v>
          </cell>
          <cell r="BD20">
            <v>556319</v>
          </cell>
          <cell r="BE20">
            <v>569604</v>
          </cell>
          <cell r="BF20">
            <v>582014</v>
          </cell>
          <cell r="BG20">
            <v>596336</v>
          </cell>
          <cell r="BH20">
            <v>607950</v>
          </cell>
          <cell r="BI20">
            <v>619896</v>
          </cell>
        </row>
        <row r="21">
          <cell r="B21" t="str">
            <v>Netherlands</v>
          </cell>
          <cell r="C21">
            <v>11638712</v>
          </cell>
          <cell r="D21">
            <v>11805689</v>
          </cell>
          <cell r="E21">
            <v>11965966</v>
          </cell>
          <cell r="F21">
            <v>12127120</v>
          </cell>
          <cell r="G21">
            <v>12294732</v>
          </cell>
          <cell r="H21">
            <v>12456251</v>
          </cell>
          <cell r="I21">
            <v>12598201</v>
          </cell>
          <cell r="J21">
            <v>12729721</v>
          </cell>
          <cell r="K21">
            <v>12877984</v>
          </cell>
          <cell r="L21">
            <v>13038526</v>
          </cell>
          <cell r="M21">
            <v>13194497</v>
          </cell>
          <cell r="N21">
            <v>13328593</v>
          </cell>
          <cell r="O21">
            <v>13439322</v>
          </cell>
          <cell r="P21">
            <v>13545056</v>
          </cell>
          <cell r="Q21">
            <v>13666335</v>
          </cell>
          <cell r="R21">
            <v>13774037</v>
          </cell>
          <cell r="S21">
            <v>13856185</v>
          </cell>
          <cell r="T21">
            <v>13941700</v>
          </cell>
          <cell r="U21">
            <v>14038270</v>
          </cell>
          <cell r="V21">
            <v>14149800</v>
          </cell>
          <cell r="W21">
            <v>14247208</v>
          </cell>
          <cell r="X21">
            <v>14312690</v>
          </cell>
          <cell r="Y21">
            <v>14367070</v>
          </cell>
          <cell r="Z21">
            <v>14424211</v>
          </cell>
          <cell r="AA21">
            <v>14491632</v>
          </cell>
          <cell r="AB21">
            <v>14572278</v>
          </cell>
          <cell r="AC21">
            <v>14665037</v>
          </cell>
          <cell r="AD21">
            <v>14760094</v>
          </cell>
          <cell r="AE21">
            <v>14848907</v>
          </cell>
          <cell r="AF21">
            <v>14951510</v>
          </cell>
          <cell r="AG21">
            <v>15069798</v>
          </cell>
          <cell r="AH21">
            <v>15184166</v>
          </cell>
          <cell r="AI21">
            <v>15290368</v>
          </cell>
          <cell r="AJ21">
            <v>15382838</v>
          </cell>
          <cell r="AK21">
            <v>15459006</v>
          </cell>
          <cell r="AL21">
            <v>15530498</v>
          </cell>
          <cell r="AM21">
            <v>15610650</v>
          </cell>
          <cell r="AN21">
            <v>15707209</v>
          </cell>
          <cell r="AO21">
            <v>15812088</v>
          </cell>
          <cell r="AP21">
            <v>15925513</v>
          </cell>
          <cell r="AQ21">
            <v>16046180</v>
          </cell>
          <cell r="AR21">
            <v>16148929</v>
          </cell>
          <cell r="AS21">
            <v>16225302</v>
          </cell>
          <cell r="AT21">
            <v>16281779</v>
          </cell>
          <cell r="AU21">
            <v>16319868</v>
          </cell>
          <cell r="AV21">
            <v>16346101</v>
          </cell>
          <cell r="AW21">
            <v>16381696</v>
          </cell>
          <cell r="AX21">
            <v>16445593</v>
          </cell>
          <cell r="AY21">
            <v>16530388</v>
          </cell>
          <cell r="AZ21">
            <v>16615394</v>
          </cell>
          <cell r="BA21">
            <v>16693074</v>
          </cell>
          <cell r="BB21">
            <v>16754962</v>
          </cell>
          <cell r="BC21">
            <v>16804432</v>
          </cell>
          <cell r="BD21">
            <v>16865008</v>
          </cell>
          <cell r="BE21">
            <v>16939924</v>
          </cell>
          <cell r="BF21">
            <v>17030314</v>
          </cell>
          <cell r="BG21">
            <v>17131296</v>
          </cell>
          <cell r="BH21">
            <v>17231624</v>
          </cell>
          <cell r="BI21">
            <v>17332850</v>
          </cell>
        </row>
        <row r="22">
          <cell r="B22" t="str">
            <v>Norway</v>
          </cell>
          <cell r="C22">
            <v>3609800</v>
          </cell>
          <cell r="D22">
            <v>3638918</v>
          </cell>
          <cell r="E22">
            <v>3666537</v>
          </cell>
          <cell r="F22">
            <v>3694339</v>
          </cell>
          <cell r="G22">
            <v>3723168</v>
          </cell>
          <cell r="H22">
            <v>3753012</v>
          </cell>
          <cell r="I22">
            <v>3784539</v>
          </cell>
          <cell r="J22">
            <v>3816486</v>
          </cell>
          <cell r="K22">
            <v>3847707</v>
          </cell>
          <cell r="L22">
            <v>3875763</v>
          </cell>
          <cell r="M22">
            <v>3903039</v>
          </cell>
          <cell r="N22">
            <v>3933004</v>
          </cell>
          <cell r="O22">
            <v>3960612</v>
          </cell>
          <cell r="P22">
            <v>3985258</v>
          </cell>
          <cell r="Q22">
            <v>4007313</v>
          </cell>
          <cell r="R22">
            <v>4026152</v>
          </cell>
          <cell r="S22">
            <v>4043205</v>
          </cell>
          <cell r="T22">
            <v>4058671</v>
          </cell>
          <cell r="U22">
            <v>4072517</v>
          </cell>
          <cell r="V22">
            <v>4085620</v>
          </cell>
          <cell r="W22">
            <v>4099702</v>
          </cell>
          <cell r="X22">
            <v>4114787</v>
          </cell>
          <cell r="Y22">
            <v>4128432</v>
          </cell>
          <cell r="Z22">
            <v>4140099</v>
          </cell>
          <cell r="AA22">
            <v>4152516</v>
          </cell>
          <cell r="AB22">
            <v>4167354</v>
          </cell>
          <cell r="AC22">
            <v>4186905</v>
          </cell>
          <cell r="AD22">
            <v>4209488</v>
          </cell>
          <cell r="AE22">
            <v>4226901</v>
          </cell>
          <cell r="AF22">
            <v>4241473</v>
          </cell>
          <cell r="AG22">
            <v>4261732</v>
          </cell>
          <cell r="AH22">
            <v>4286401</v>
          </cell>
          <cell r="AI22">
            <v>4311991</v>
          </cell>
          <cell r="AJ22">
            <v>4336613</v>
          </cell>
          <cell r="AK22">
            <v>4359184</v>
          </cell>
          <cell r="AL22">
            <v>4381336</v>
          </cell>
          <cell r="AM22">
            <v>4405157</v>
          </cell>
          <cell r="AN22">
            <v>4431464</v>
          </cell>
          <cell r="AO22">
            <v>4461913</v>
          </cell>
          <cell r="AP22">
            <v>4490967</v>
          </cell>
          <cell r="AQ22">
            <v>4513751</v>
          </cell>
          <cell r="AR22">
            <v>4538159</v>
          </cell>
          <cell r="AS22">
            <v>4564855</v>
          </cell>
          <cell r="AT22">
            <v>4591910</v>
          </cell>
          <cell r="AU22">
            <v>4623291</v>
          </cell>
          <cell r="AV22">
            <v>4660677</v>
          </cell>
          <cell r="AW22">
            <v>4709153</v>
          </cell>
          <cell r="AX22">
            <v>4768212</v>
          </cell>
          <cell r="AY22">
            <v>4828726</v>
          </cell>
          <cell r="AZ22">
            <v>4889252</v>
          </cell>
          <cell r="BA22">
            <v>4953088</v>
          </cell>
          <cell r="BB22">
            <v>5018573</v>
          </cell>
          <cell r="BC22">
            <v>5079623</v>
          </cell>
          <cell r="BD22">
            <v>5137232</v>
          </cell>
          <cell r="BE22">
            <v>5188607</v>
          </cell>
          <cell r="BF22">
            <v>5234519</v>
          </cell>
          <cell r="BG22">
            <v>5276968</v>
          </cell>
          <cell r="BH22">
            <v>5311916</v>
          </cell>
          <cell r="BI22">
            <v>5347896</v>
          </cell>
        </row>
        <row r="23">
          <cell r="B23" t="str">
            <v>Portugal</v>
          </cell>
          <cell r="C23">
            <v>8929316</v>
          </cell>
          <cell r="D23">
            <v>8993985</v>
          </cell>
          <cell r="E23">
            <v>9030355</v>
          </cell>
          <cell r="F23">
            <v>9035365</v>
          </cell>
          <cell r="G23">
            <v>8998595</v>
          </cell>
          <cell r="H23">
            <v>8930990</v>
          </cell>
          <cell r="I23">
            <v>8874520</v>
          </cell>
          <cell r="J23">
            <v>8836650</v>
          </cell>
          <cell r="K23">
            <v>8757705</v>
          </cell>
          <cell r="L23">
            <v>8680431</v>
          </cell>
          <cell r="M23">
            <v>8643756</v>
          </cell>
          <cell r="N23">
            <v>8630430</v>
          </cell>
          <cell r="O23">
            <v>8633100</v>
          </cell>
          <cell r="P23">
            <v>8754365</v>
          </cell>
          <cell r="Q23">
            <v>9093470</v>
          </cell>
          <cell r="R23">
            <v>9355810</v>
          </cell>
          <cell r="S23">
            <v>9455675</v>
          </cell>
          <cell r="T23">
            <v>9558250</v>
          </cell>
          <cell r="U23">
            <v>9661265</v>
          </cell>
          <cell r="V23">
            <v>9766312</v>
          </cell>
          <cell r="W23">
            <v>9851362</v>
          </cell>
          <cell r="X23">
            <v>9911771</v>
          </cell>
          <cell r="Y23">
            <v>9957865</v>
          </cell>
          <cell r="Z23">
            <v>9996232</v>
          </cell>
          <cell r="AA23">
            <v>10023613</v>
          </cell>
          <cell r="AB23">
            <v>10032734</v>
          </cell>
          <cell r="AC23">
            <v>10030031</v>
          </cell>
          <cell r="AD23">
            <v>10019610</v>
          </cell>
          <cell r="AE23">
            <v>10005000</v>
          </cell>
          <cell r="AF23">
            <v>9983218</v>
          </cell>
          <cell r="AG23">
            <v>9960235</v>
          </cell>
          <cell r="AH23">
            <v>9952494</v>
          </cell>
          <cell r="AI23">
            <v>9964675</v>
          </cell>
          <cell r="AJ23">
            <v>9991525</v>
          </cell>
          <cell r="AK23">
            <v>10026176</v>
          </cell>
          <cell r="AL23">
            <v>10063945</v>
          </cell>
          <cell r="AM23">
            <v>10108977</v>
          </cell>
          <cell r="AN23">
            <v>10160196</v>
          </cell>
          <cell r="AO23">
            <v>10217828</v>
          </cell>
          <cell r="AP23">
            <v>10289898</v>
          </cell>
          <cell r="AQ23">
            <v>10362722</v>
          </cell>
          <cell r="AR23">
            <v>10419631</v>
          </cell>
          <cell r="AS23">
            <v>10458821</v>
          </cell>
          <cell r="AT23">
            <v>10483861</v>
          </cell>
          <cell r="AU23">
            <v>10503330</v>
          </cell>
          <cell r="AV23">
            <v>10522288</v>
          </cell>
          <cell r="AW23">
            <v>10542964</v>
          </cell>
          <cell r="AX23">
            <v>10558177</v>
          </cell>
          <cell r="AY23">
            <v>10568247</v>
          </cell>
          <cell r="AZ23">
            <v>10573100</v>
          </cell>
          <cell r="BA23">
            <v>10557560</v>
          </cell>
          <cell r="BB23">
            <v>10514844</v>
          </cell>
          <cell r="BC23">
            <v>10457295</v>
          </cell>
          <cell r="BD23">
            <v>10401062</v>
          </cell>
          <cell r="BE23">
            <v>10358076</v>
          </cell>
          <cell r="BF23">
            <v>10325452</v>
          </cell>
          <cell r="BG23">
            <v>10300300</v>
          </cell>
          <cell r="BH23">
            <v>10283822</v>
          </cell>
          <cell r="BI23">
            <v>10269417</v>
          </cell>
        </row>
        <row r="24">
          <cell r="B24" t="str">
            <v>Singapore</v>
          </cell>
          <cell r="C24">
            <v>1702400</v>
          </cell>
          <cell r="D24">
            <v>1750200</v>
          </cell>
          <cell r="E24">
            <v>1795000</v>
          </cell>
          <cell r="F24">
            <v>1841600</v>
          </cell>
          <cell r="G24">
            <v>1886900</v>
          </cell>
          <cell r="H24">
            <v>1934400</v>
          </cell>
          <cell r="I24">
            <v>1977600</v>
          </cell>
          <cell r="J24">
            <v>2012000</v>
          </cell>
          <cell r="K24">
            <v>2042500</v>
          </cell>
          <cell r="L24">
            <v>2074507</v>
          </cell>
          <cell r="M24">
            <v>2112900</v>
          </cell>
          <cell r="N24">
            <v>2152400</v>
          </cell>
          <cell r="O24">
            <v>2193000</v>
          </cell>
          <cell r="P24">
            <v>2229800</v>
          </cell>
          <cell r="Q24">
            <v>2262600</v>
          </cell>
          <cell r="R24">
            <v>2293300</v>
          </cell>
          <cell r="S24">
            <v>2325300</v>
          </cell>
          <cell r="T24">
            <v>2353600</v>
          </cell>
          <cell r="U24">
            <v>2383500</v>
          </cell>
          <cell r="V24">
            <v>2413945</v>
          </cell>
          <cell r="W24">
            <v>2532835</v>
          </cell>
          <cell r="X24">
            <v>2646466</v>
          </cell>
          <cell r="Y24">
            <v>2681061</v>
          </cell>
          <cell r="Z24">
            <v>2732221</v>
          </cell>
          <cell r="AA24">
            <v>2735957</v>
          </cell>
          <cell r="AB24">
            <v>2733373</v>
          </cell>
          <cell r="AC24">
            <v>2774789</v>
          </cell>
          <cell r="AD24">
            <v>2846108</v>
          </cell>
          <cell r="AE24">
            <v>2930901</v>
          </cell>
          <cell r="AF24">
            <v>3047132</v>
          </cell>
          <cell r="AG24">
            <v>3135083</v>
          </cell>
          <cell r="AH24">
            <v>3230698</v>
          </cell>
          <cell r="AI24">
            <v>3313471</v>
          </cell>
          <cell r="AJ24">
            <v>3419048</v>
          </cell>
          <cell r="AK24">
            <v>3524506</v>
          </cell>
          <cell r="AL24">
            <v>3670704</v>
          </cell>
          <cell r="AM24">
            <v>3796038</v>
          </cell>
          <cell r="AN24">
            <v>3927213</v>
          </cell>
          <cell r="AO24">
            <v>3958723</v>
          </cell>
          <cell r="AP24">
            <v>4027887</v>
          </cell>
          <cell r="AQ24">
            <v>4138012</v>
          </cell>
          <cell r="AR24">
            <v>4175950</v>
          </cell>
          <cell r="AS24">
            <v>4114826</v>
          </cell>
          <cell r="AT24">
            <v>4166664</v>
          </cell>
          <cell r="AU24">
            <v>4265762</v>
          </cell>
          <cell r="AV24">
            <v>4401365</v>
          </cell>
          <cell r="AW24">
            <v>4588599</v>
          </cell>
          <cell r="AX24">
            <v>4839396</v>
          </cell>
          <cell r="AY24">
            <v>4987573</v>
          </cell>
          <cell r="AZ24">
            <v>5076732</v>
          </cell>
          <cell r="BA24">
            <v>5183688</v>
          </cell>
          <cell r="BB24">
            <v>5312437</v>
          </cell>
          <cell r="BC24">
            <v>5399162</v>
          </cell>
          <cell r="BD24">
            <v>5469724</v>
          </cell>
          <cell r="BE24">
            <v>5535002</v>
          </cell>
          <cell r="BF24">
            <v>5607283</v>
          </cell>
          <cell r="BG24">
            <v>5612253</v>
          </cell>
          <cell r="BH24">
            <v>5638676</v>
          </cell>
          <cell r="BI24">
            <v>5703569</v>
          </cell>
        </row>
        <row r="25">
          <cell r="B25" t="str">
            <v>South Korea</v>
          </cell>
          <cell r="C25">
            <v>25765672</v>
          </cell>
          <cell r="D25">
            <v>26513030</v>
          </cell>
          <cell r="E25">
            <v>27261748</v>
          </cell>
          <cell r="F25">
            <v>27984156</v>
          </cell>
          <cell r="G25">
            <v>28704674</v>
          </cell>
          <cell r="H25">
            <v>29435572</v>
          </cell>
          <cell r="I25">
            <v>30130984</v>
          </cell>
          <cell r="J25">
            <v>30838302</v>
          </cell>
          <cell r="K25">
            <v>31544266</v>
          </cell>
          <cell r="L25">
            <v>32240828</v>
          </cell>
          <cell r="M25">
            <v>32882704</v>
          </cell>
          <cell r="N25">
            <v>33505406</v>
          </cell>
          <cell r="O25">
            <v>34103148</v>
          </cell>
          <cell r="P25">
            <v>34692264</v>
          </cell>
          <cell r="Q25">
            <v>35280724</v>
          </cell>
          <cell r="R25">
            <v>35848524</v>
          </cell>
          <cell r="S25">
            <v>36411796</v>
          </cell>
          <cell r="T25">
            <v>36969184</v>
          </cell>
          <cell r="U25">
            <v>37534236</v>
          </cell>
          <cell r="V25">
            <v>38123776</v>
          </cell>
          <cell r="W25">
            <v>38723248</v>
          </cell>
          <cell r="X25">
            <v>39326352</v>
          </cell>
          <cell r="Y25">
            <v>39910404</v>
          </cell>
          <cell r="Z25">
            <v>40405956</v>
          </cell>
          <cell r="AA25">
            <v>40805744</v>
          </cell>
          <cell r="AB25">
            <v>41213672</v>
          </cell>
          <cell r="AC25">
            <v>41621688</v>
          </cell>
          <cell r="AD25">
            <v>42031248</v>
          </cell>
          <cell r="AE25">
            <v>42449040</v>
          </cell>
          <cell r="AF25">
            <v>42869284</v>
          </cell>
          <cell r="AG25">
            <v>43295704</v>
          </cell>
          <cell r="AH25">
            <v>43747960</v>
          </cell>
          <cell r="AI25">
            <v>44194628</v>
          </cell>
          <cell r="AJ25">
            <v>44641540</v>
          </cell>
          <cell r="AK25">
            <v>45092992</v>
          </cell>
          <cell r="AL25">
            <v>45524680</v>
          </cell>
          <cell r="AM25">
            <v>45953580</v>
          </cell>
          <cell r="AN25">
            <v>46286504</v>
          </cell>
          <cell r="AO25">
            <v>46616676</v>
          </cell>
          <cell r="AP25">
            <v>47008112</v>
          </cell>
          <cell r="AQ25">
            <v>47370164</v>
          </cell>
          <cell r="AR25">
            <v>47644736</v>
          </cell>
          <cell r="AS25">
            <v>47892328</v>
          </cell>
          <cell r="AT25">
            <v>48082520</v>
          </cell>
          <cell r="AU25">
            <v>48184560</v>
          </cell>
          <cell r="AV25">
            <v>48438292</v>
          </cell>
          <cell r="AW25">
            <v>48683640</v>
          </cell>
          <cell r="AX25">
            <v>49054708</v>
          </cell>
          <cell r="AY25">
            <v>49307836</v>
          </cell>
          <cell r="AZ25">
            <v>49554112</v>
          </cell>
          <cell r="BA25">
            <v>49936640</v>
          </cell>
          <cell r="BB25">
            <v>50199852</v>
          </cell>
          <cell r="BC25">
            <v>50428892</v>
          </cell>
          <cell r="BD25">
            <v>50746660</v>
          </cell>
          <cell r="BE25">
            <v>51014948</v>
          </cell>
          <cell r="BF25">
            <v>51217804</v>
          </cell>
          <cell r="BG25">
            <v>51361912</v>
          </cell>
          <cell r="BH25">
            <v>51606632</v>
          </cell>
          <cell r="BI25">
            <v>51709096</v>
          </cell>
        </row>
        <row r="26">
          <cell r="B26" t="str">
            <v>Spain</v>
          </cell>
          <cell r="C26">
            <v>30739250</v>
          </cell>
          <cell r="D26">
            <v>31023366</v>
          </cell>
          <cell r="E26">
            <v>31296652</v>
          </cell>
          <cell r="F26">
            <v>31609196</v>
          </cell>
          <cell r="G26">
            <v>31954292</v>
          </cell>
          <cell r="H26">
            <v>32283194</v>
          </cell>
          <cell r="I26">
            <v>32682948</v>
          </cell>
          <cell r="J26">
            <v>33113134</v>
          </cell>
          <cell r="K26">
            <v>33441054</v>
          </cell>
          <cell r="L26">
            <v>33814532</v>
          </cell>
          <cell r="M26">
            <v>34224488</v>
          </cell>
          <cell r="N26">
            <v>34604468</v>
          </cell>
          <cell r="O26">
            <v>34988948</v>
          </cell>
          <cell r="P26">
            <v>35373336</v>
          </cell>
          <cell r="Q26">
            <v>35757900</v>
          </cell>
          <cell r="R26">
            <v>36137812</v>
          </cell>
          <cell r="S26">
            <v>36511640</v>
          </cell>
          <cell r="T26">
            <v>36864896</v>
          </cell>
          <cell r="U26">
            <v>37191328</v>
          </cell>
          <cell r="V26">
            <v>37491164</v>
          </cell>
          <cell r="W26">
            <v>37758632</v>
          </cell>
          <cell r="X26">
            <v>37986012</v>
          </cell>
          <cell r="Y26">
            <v>38171524</v>
          </cell>
          <cell r="Z26">
            <v>38330364</v>
          </cell>
          <cell r="AA26">
            <v>38469512</v>
          </cell>
          <cell r="AB26">
            <v>38584624</v>
          </cell>
          <cell r="AC26">
            <v>38684816</v>
          </cell>
          <cell r="AD26">
            <v>38766940</v>
          </cell>
          <cell r="AE26">
            <v>38827764</v>
          </cell>
          <cell r="AF26">
            <v>38867320</v>
          </cell>
          <cell r="AG26">
            <v>38966376</v>
          </cell>
          <cell r="AH26">
            <v>39157684</v>
          </cell>
          <cell r="AI26">
            <v>39361264</v>
          </cell>
          <cell r="AJ26">
            <v>39549108</v>
          </cell>
          <cell r="AK26">
            <v>39724048</v>
          </cell>
          <cell r="AL26">
            <v>39889852</v>
          </cell>
          <cell r="AM26">
            <v>40057388</v>
          </cell>
          <cell r="AN26">
            <v>40223508</v>
          </cell>
          <cell r="AO26">
            <v>40386876</v>
          </cell>
          <cell r="AP26">
            <v>40567864</v>
          </cell>
          <cell r="AQ26">
            <v>40850412</v>
          </cell>
          <cell r="AR26">
            <v>41431560</v>
          </cell>
          <cell r="AS26">
            <v>42187644</v>
          </cell>
          <cell r="AT26">
            <v>42921896</v>
          </cell>
          <cell r="AU26">
            <v>43653156</v>
          </cell>
          <cell r="AV26">
            <v>44397320</v>
          </cell>
          <cell r="AW26">
            <v>45226804</v>
          </cell>
          <cell r="AX26">
            <v>45954104</v>
          </cell>
          <cell r="AY26">
            <v>46362944</v>
          </cell>
          <cell r="AZ26">
            <v>46576896</v>
          </cell>
          <cell r="BA26">
            <v>46742696</v>
          </cell>
          <cell r="BB26">
            <v>46773056</v>
          </cell>
          <cell r="BC26">
            <v>46620044</v>
          </cell>
          <cell r="BD26">
            <v>46480880</v>
          </cell>
          <cell r="BE26">
            <v>46444832</v>
          </cell>
          <cell r="BF26">
            <v>46484064</v>
          </cell>
          <cell r="BG26">
            <v>46593236</v>
          </cell>
          <cell r="BH26">
            <v>46797752</v>
          </cell>
          <cell r="BI26">
            <v>47076780</v>
          </cell>
        </row>
        <row r="27">
          <cell r="B27" t="str">
            <v>Sweden</v>
          </cell>
          <cell r="C27">
            <v>7519998</v>
          </cell>
          <cell r="D27">
            <v>7561588</v>
          </cell>
          <cell r="E27">
            <v>7604328</v>
          </cell>
          <cell r="F27">
            <v>7661354</v>
          </cell>
          <cell r="G27">
            <v>7733853</v>
          </cell>
          <cell r="H27">
            <v>7807797</v>
          </cell>
          <cell r="I27">
            <v>7867931</v>
          </cell>
          <cell r="J27">
            <v>7912273</v>
          </cell>
          <cell r="K27">
            <v>7968072</v>
          </cell>
          <cell r="L27">
            <v>8042801</v>
          </cell>
          <cell r="M27">
            <v>8098334</v>
          </cell>
          <cell r="N27">
            <v>8122300</v>
          </cell>
          <cell r="O27">
            <v>8136312</v>
          </cell>
          <cell r="P27">
            <v>8159955</v>
          </cell>
          <cell r="Q27">
            <v>8192437</v>
          </cell>
          <cell r="R27">
            <v>8222286</v>
          </cell>
          <cell r="S27">
            <v>8251540</v>
          </cell>
          <cell r="T27">
            <v>8275599</v>
          </cell>
          <cell r="U27">
            <v>8293678</v>
          </cell>
          <cell r="V27">
            <v>8310531</v>
          </cell>
          <cell r="W27">
            <v>8320503</v>
          </cell>
          <cell r="X27">
            <v>8325263</v>
          </cell>
          <cell r="Y27">
            <v>8329033</v>
          </cell>
          <cell r="Z27">
            <v>8336605</v>
          </cell>
          <cell r="AA27">
            <v>8350386</v>
          </cell>
          <cell r="AB27">
            <v>8369829</v>
          </cell>
          <cell r="AC27">
            <v>8397804</v>
          </cell>
          <cell r="AD27">
            <v>8436489</v>
          </cell>
          <cell r="AE27">
            <v>8492964</v>
          </cell>
          <cell r="AF27">
            <v>8558835</v>
          </cell>
          <cell r="AG27">
            <v>8617375</v>
          </cell>
          <cell r="AH27">
            <v>8668067</v>
          </cell>
          <cell r="AI27">
            <v>8718561</v>
          </cell>
          <cell r="AJ27">
            <v>8780745</v>
          </cell>
          <cell r="AK27">
            <v>8826939</v>
          </cell>
          <cell r="AL27">
            <v>8840998</v>
          </cell>
          <cell r="AM27">
            <v>8846062</v>
          </cell>
          <cell r="AN27">
            <v>8850974</v>
          </cell>
          <cell r="AO27">
            <v>8857874</v>
          </cell>
          <cell r="AP27">
            <v>8872109</v>
          </cell>
          <cell r="AQ27">
            <v>8895960</v>
          </cell>
          <cell r="AR27">
            <v>8924958</v>
          </cell>
          <cell r="AS27">
            <v>8958229</v>
          </cell>
          <cell r="AT27">
            <v>8993531</v>
          </cell>
          <cell r="AU27">
            <v>9029572</v>
          </cell>
          <cell r="AV27">
            <v>9080505</v>
          </cell>
          <cell r="AW27">
            <v>9148092</v>
          </cell>
          <cell r="AX27">
            <v>9219637</v>
          </cell>
          <cell r="AY27">
            <v>9298515</v>
          </cell>
          <cell r="AZ27">
            <v>9378126</v>
          </cell>
          <cell r="BA27">
            <v>9449213</v>
          </cell>
          <cell r="BB27">
            <v>9519374</v>
          </cell>
          <cell r="BC27">
            <v>9600379</v>
          </cell>
          <cell r="BD27">
            <v>9696110</v>
          </cell>
          <cell r="BE27">
            <v>9799186</v>
          </cell>
          <cell r="BF27">
            <v>9923085</v>
          </cell>
          <cell r="BG27">
            <v>10057698</v>
          </cell>
          <cell r="BH27">
            <v>10175214</v>
          </cell>
          <cell r="BI27">
            <v>10285453</v>
          </cell>
        </row>
        <row r="28">
          <cell r="B28" t="str">
            <v>United Kingdom</v>
          </cell>
          <cell r="C28">
            <v>52800000</v>
          </cell>
          <cell r="D28">
            <v>53250000</v>
          </cell>
          <cell r="E28">
            <v>53650000</v>
          </cell>
          <cell r="F28">
            <v>54000000</v>
          </cell>
          <cell r="G28">
            <v>54348048</v>
          </cell>
          <cell r="H28">
            <v>54648500</v>
          </cell>
          <cell r="I28">
            <v>54943600</v>
          </cell>
          <cell r="J28">
            <v>55211700</v>
          </cell>
          <cell r="K28">
            <v>55441752</v>
          </cell>
          <cell r="L28">
            <v>55663248</v>
          </cell>
          <cell r="M28">
            <v>55896224</v>
          </cell>
          <cell r="N28">
            <v>56086064</v>
          </cell>
          <cell r="O28">
            <v>56194528</v>
          </cell>
          <cell r="P28">
            <v>56229976</v>
          </cell>
          <cell r="Q28">
            <v>56225800</v>
          </cell>
          <cell r="R28">
            <v>56211968</v>
          </cell>
          <cell r="S28">
            <v>56193492</v>
          </cell>
          <cell r="T28">
            <v>56196504</v>
          </cell>
          <cell r="U28">
            <v>56246952</v>
          </cell>
          <cell r="V28">
            <v>56314216</v>
          </cell>
          <cell r="W28">
            <v>56333828</v>
          </cell>
          <cell r="X28">
            <v>56313640</v>
          </cell>
          <cell r="Y28">
            <v>56332848</v>
          </cell>
          <cell r="Z28">
            <v>56422072</v>
          </cell>
          <cell r="AA28">
            <v>56550268</v>
          </cell>
          <cell r="AB28">
            <v>56681396</v>
          </cell>
          <cell r="AC28">
            <v>56802048</v>
          </cell>
          <cell r="AD28">
            <v>56928328</v>
          </cell>
          <cell r="AE28">
            <v>57076712</v>
          </cell>
          <cell r="AF28">
            <v>57247584</v>
          </cell>
          <cell r="AG28">
            <v>57424896</v>
          </cell>
          <cell r="AH28">
            <v>57580400</v>
          </cell>
          <cell r="AI28">
            <v>57718616</v>
          </cell>
          <cell r="AJ28">
            <v>57865744</v>
          </cell>
          <cell r="AK28">
            <v>58019032</v>
          </cell>
          <cell r="AL28">
            <v>58166952</v>
          </cell>
          <cell r="AM28">
            <v>58316952</v>
          </cell>
          <cell r="AN28">
            <v>58487140</v>
          </cell>
          <cell r="AO28">
            <v>58682464</v>
          </cell>
          <cell r="AP28">
            <v>58892512</v>
          </cell>
          <cell r="AQ28">
            <v>59119672</v>
          </cell>
          <cell r="AR28">
            <v>59370480</v>
          </cell>
          <cell r="AS28">
            <v>59647576</v>
          </cell>
          <cell r="AT28">
            <v>59987904</v>
          </cell>
          <cell r="AU28">
            <v>60401208</v>
          </cell>
          <cell r="AV28">
            <v>60846820</v>
          </cell>
          <cell r="AW28">
            <v>61322464</v>
          </cell>
          <cell r="AX28">
            <v>61806996</v>
          </cell>
          <cell r="AY28">
            <v>62276272</v>
          </cell>
          <cell r="AZ28">
            <v>62766364</v>
          </cell>
          <cell r="BA28">
            <v>63258808</v>
          </cell>
          <cell r="BB28">
            <v>63700216</v>
          </cell>
          <cell r="BC28">
            <v>64128272</v>
          </cell>
          <cell r="BD28">
            <v>64602296</v>
          </cell>
          <cell r="BE28">
            <v>65116220</v>
          </cell>
          <cell r="BF28">
            <v>65611592</v>
          </cell>
          <cell r="BG28">
            <v>66058860</v>
          </cell>
          <cell r="BH28">
            <v>66460344</v>
          </cell>
          <cell r="BI28">
            <v>66834404</v>
          </cell>
        </row>
        <row r="29">
          <cell r="B29" t="str">
            <v>United States</v>
          </cell>
          <cell r="C29">
            <v>183691008</v>
          </cell>
          <cell r="D29">
            <v>186538000</v>
          </cell>
          <cell r="E29">
            <v>189242000</v>
          </cell>
          <cell r="F29">
            <v>191888992</v>
          </cell>
          <cell r="G29">
            <v>194303008</v>
          </cell>
          <cell r="H29">
            <v>196560000</v>
          </cell>
          <cell r="I29">
            <v>198712000</v>
          </cell>
          <cell r="J29">
            <v>200706000</v>
          </cell>
          <cell r="K29">
            <v>202676992</v>
          </cell>
          <cell r="L29">
            <v>205052000</v>
          </cell>
          <cell r="M29">
            <v>207660992</v>
          </cell>
          <cell r="N29">
            <v>209896000</v>
          </cell>
          <cell r="O29">
            <v>211908992</v>
          </cell>
          <cell r="P29">
            <v>213854000</v>
          </cell>
          <cell r="Q29">
            <v>215972992</v>
          </cell>
          <cell r="R29">
            <v>218035008</v>
          </cell>
          <cell r="S29">
            <v>220239008</v>
          </cell>
          <cell r="T29">
            <v>222584992</v>
          </cell>
          <cell r="U29">
            <v>225055008</v>
          </cell>
          <cell r="V29">
            <v>227224992</v>
          </cell>
          <cell r="W29">
            <v>229466000</v>
          </cell>
          <cell r="X29">
            <v>231664000</v>
          </cell>
          <cell r="Y29">
            <v>233792000</v>
          </cell>
          <cell r="Z29">
            <v>235824992</v>
          </cell>
          <cell r="AA29">
            <v>237924000</v>
          </cell>
          <cell r="AB29">
            <v>240132992</v>
          </cell>
          <cell r="AC29">
            <v>242288992</v>
          </cell>
          <cell r="AD29">
            <v>244499008</v>
          </cell>
          <cell r="AE29">
            <v>246819008</v>
          </cell>
          <cell r="AF29">
            <v>249623008</v>
          </cell>
          <cell r="AG29">
            <v>252980992</v>
          </cell>
          <cell r="AH29">
            <v>256514000</v>
          </cell>
          <cell r="AI29">
            <v>259919008</v>
          </cell>
          <cell r="AJ29">
            <v>263126000</v>
          </cell>
          <cell r="AK29">
            <v>266278000</v>
          </cell>
          <cell r="AL29">
            <v>269393984</v>
          </cell>
          <cell r="AM29">
            <v>272656992</v>
          </cell>
          <cell r="AN29">
            <v>275854016</v>
          </cell>
          <cell r="AO29">
            <v>279040000</v>
          </cell>
          <cell r="AP29">
            <v>282162400</v>
          </cell>
          <cell r="AQ29">
            <v>284968960</v>
          </cell>
          <cell r="AR29">
            <v>287625184</v>
          </cell>
          <cell r="AS29">
            <v>290107936</v>
          </cell>
          <cell r="AT29">
            <v>292805312</v>
          </cell>
          <cell r="AU29">
            <v>295516608</v>
          </cell>
          <cell r="AV29">
            <v>298379904</v>
          </cell>
          <cell r="AW29">
            <v>301231200</v>
          </cell>
          <cell r="AX29">
            <v>304093952</v>
          </cell>
          <cell r="AY29">
            <v>306771520</v>
          </cell>
          <cell r="AZ29">
            <v>309321664</v>
          </cell>
          <cell r="BA29">
            <v>311556864</v>
          </cell>
          <cell r="BB29">
            <v>313830976</v>
          </cell>
          <cell r="BC29">
            <v>315993728</v>
          </cell>
          <cell r="BD29">
            <v>318300992</v>
          </cell>
          <cell r="BE29">
            <v>320635168</v>
          </cell>
          <cell r="BF29">
            <v>322941312</v>
          </cell>
          <cell r="BG29">
            <v>324985536</v>
          </cell>
          <cell r="BH29">
            <v>326687488</v>
          </cell>
          <cell r="BI29">
            <v>328239520</v>
          </cell>
        </row>
      </sheetData>
      <sheetData sheetId="4"/>
      <sheetData sheetId="5"/>
      <sheetData sheetId="6"/>
      <sheetData sheetId="7" refreshError="1"/>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Index"/>
      <sheetName val="Geography Geopolitical"/>
      <sheetName val="Geography Geoeconomic"/>
      <sheetName val="Src UN Pop"/>
      <sheetName val="Src UN GDP"/>
      <sheetName val="Src UN Consumption"/>
      <sheetName val="Src UN Real GDP"/>
      <sheetName val="Src PENN GDP"/>
      <sheetName val="Src North"/>
      <sheetName val="Src GDP comparisons"/>
      <sheetName val="Src MADDISON Multiple"/>
      <sheetName val="Src WID"/>
      <sheetName val="Src US Quintiles"/>
      <sheetName val="SRC Countries"/>
      <sheetName val="Real and Nominal GDP"/>
      <sheetName val="Growth"/>
      <sheetName val="Table 1"/>
      <sheetName val="Short Series"/>
      <sheetName val="CH Inverted Current Long Series"/>
      <sheetName val="Long Series"/>
      <sheetName val="Price Index"/>
      <sheetName val="Country GDP-Cap ratio North"/>
      <sheetName val="Geoeconomic"/>
      <sheetName val="PPP"/>
      <sheetName val="NDP-GDP-FI"/>
      <sheetName val="Comparisons"/>
      <sheetName val="MADDISON Multiple"/>
      <sheetName val="Transitional"/>
      <sheetName val="North"/>
      <sheetName val="Dispersion UN GD-Cap"/>
      <sheetName val="Dispersion PPP GD-Cap"/>
      <sheetName val="Dispersion Weighted"/>
      <sheetName val="Dispersion Weighted North"/>
      <sheetName val="Scale (includes Tables 4 and 5)"/>
      <sheetName val="In-text calculations"/>
      <sheetName val="CHART 1"/>
      <sheetName val="CHART 2"/>
      <sheetName val="CHART 3"/>
      <sheetName val="CHART 4"/>
      <sheetName val="CHART 5"/>
      <sheetName val="CHART 6"/>
      <sheetName val="CHART 7"/>
      <sheetName val="CHART 8"/>
      <sheetName val="CHART 9"/>
      <sheetName val="CHART 10"/>
      <sheetName val="CHART 11"/>
      <sheetName val="CHART 12"/>
      <sheetName val="CHART 13"/>
      <sheetName val="CHART 14"/>
      <sheetName val="CHART 15"/>
      <sheetName val="CHART 16"/>
      <sheetName val="CHART 17"/>
      <sheetName val="CHART 18"/>
      <sheetName val="CHART 19"/>
      <sheetName val="CHART 20"/>
      <sheetName val="CHART 21"/>
      <sheetName val="CHART 22"/>
      <sheetName val="CHART 23"/>
      <sheetName val="CHART 24"/>
      <sheetName val="CHART 25"/>
      <sheetName val="CHART 26"/>
      <sheetName val="CHART 27"/>
      <sheetName val="CHART 28"/>
      <sheetName val="CHART 29"/>
      <sheetName val="CHART 30"/>
      <sheetName val="CHART 31"/>
      <sheetName val="CHART 32"/>
      <sheetName val="CHART 33"/>
      <sheetName val="CHART 35"/>
      <sheetName val="CHART 36"/>
      <sheetName val="CHART X1"/>
      <sheetName val="CHART X2"/>
      <sheetName val="CHART X3"/>
      <sheetName val="CHART X4"/>
      <sheetName val="CHART X5"/>
      <sheetName val="CHART X6"/>
      <sheetName val="CHART X7"/>
      <sheetName val="CHART X8"/>
      <sheetName val="CHART X9"/>
      <sheetName val="CHART X10"/>
      <sheetName val="1970"/>
      <sheetName val="1975"/>
      <sheetName val="1980"/>
      <sheetName val="1985"/>
      <sheetName val="1990"/>
      <sheetName val="1995"/>
      <sheetName val="2000"/>
      <sheetName val="2005"/>
      <sheetName val="2010"/>
      <sheetName val="2015"/>
      <sheetName val="TO D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ow r="45">
          <cell r="C45">
            <v>6.554239893559016</v>
          </cell>
        </row>
      </sheetData>
      <sheetData sheetId="21"/>
      <sheetData sheetId="22"/>
      <sheetData sheetId="23"/>
      <sheetData sheetId="24"/>
      <sheetData sheetId="25"/>
      <sheetData sheetId="26"/>
      <sheetData sheetId="27"/>
      <sheetData sheetId="28"/>
      <sheetData sheetId="29"/>
      <sheetData sheetId="30">
        <row r="3">
          <cell r="E3">
            <v>4097.7420707694846</v>
          </cell>
          <cell r="F3">
            <v>4426.1704918032783</v>
          </cell>
          <cell r="G3">
            <v>5336.3827309236949</v>
          </cell>
          <cell r="H3">
            <v>6760.5480376877294</v>
          </cell>
          <cell r="I3">
            <v>7996.4589498644982</v>
          </cell>
          <cell r="J3">
            <v>9070.6502914834709</v>
          </cell>
          <cell r="K3">
            <v>9050.2050665575716</v>
          </cell>
          <cell r="L3">
            <v>9807.1507399835209</v>
          </cell>
          <cell r="M3">
            <v>11552.477354240153</v>
          </cell>
          <cell r="N3">
            <v>14956.124220230915</v>
          </cell>
          <cell r="O3">
            <v>15660.095297640502</v>
          </cell>
          <cell r="P3">
            <v>13125.066093333333</v>
          </cell>
          <cell r="Q3">
            <v>12160.719128700721</v>
          </cell>
          <cell r="R3">
            <v>10150.898659064771</v>
          </cell>
          <cell r="S3">
            <v>9779.6489767245821</v>
          </cell>
          <cell r="T3">
            <v>9837.2758811659187</v>
          </cell>
          <cell r="U3">
            <v>13110.947397725564</v>
          </cell>
          <cell r="V3">
            <v>15963.130682076155</v>
          </cell>
          <cell r="W3">
            <v>18099.664400999325</v>
          </cell>
          <cell r="X3">
            <v>19191.441389566808</v>
          </cell>
          <cell r="Y3">
            <v>23886.077234952027</v>
          </cell>
          <cell r="Z3">
            <v>24714.173298512465</v>
          </cell>
          <cell r="AA3">
            <v>25999.083599375084</v>
          </cell>
          <cell r="AB3">
            <v>20900.057551950926</v>
          </cell>
          <cell r="AC3">
            <v>20542.220687014375</v>
          </cell>
          <cell r="AD3">
            <v>23359.37334377447</v>
          </cell>
          <cell r="AE3">
            <v>24064.444422001245</v>
          </cell>
          <cell r="AF3">
            <v>23223.546691125033</v>
          </cell>
          <cell r="AG3">
            <v>23908.137912756072</v>
          </cell>
          <cell r="AH3">
            <v>24371.617710113405</v>
          </cell>
          <cell r="AI3">
            <v>21936.513258908089</v>
          </cell>
          <cell r="AJ3">
            <v>22228.647584680952</v>
          </cell>
          <cell r="AK3">
            <v>24742.619009550457</v>
          </cell>
          <cell r="AL3">
            <v>32775.178363532017</v>
          </cell>
          <cell r="AM3">
            <v>38505.152916950843</v>
          </cell>
          <cell r="AN3">
            <v>41280.993355902974</v>
          </cell>
          <cell r="AO3">
            <v>43746.531145435911</v>
          </cell>
          <cell r="AP3">
            <v>48580.31493777439</v>
          </cell>
          <cell r="AQ3">
            <v>47787.429246014239</v>
          </cell>
          <cell r="AR3">
            <v>43336.769328218608</v>
          </cell>
          <cell r="AS3">
            <v>39733.988336155548</v>
          </cell>
          <cell r="AT3">
            <v>41101.323423003902</v>
          </cell>
          <cell r="AU3">
            <v>38391.396489184895</v>
          </cell>
          <cell r="AV3">
            <v>40621.912722186462</v>
          </cell>
          <cell r="AW3">
            <v>42293.269959481462</v>
          </cell>
          <cell r="AX3">
            <v>36039.907862691311</v>
          </cell>
          <cell r="AY3">
            <v>37060.605963804985</v>
          </cell>
          <cell r="AZ3">
            <v>38952.39437184111</v>
          </cell>
        </row>
        <row r="4">
          <cell r="E4">
            <v>1516.6329631359633</v>
          </cell>
          <cell r="F4">
            <v>1673.9902257433216</v>
          </cell>
          <cell r="G4">
            <v>1924.5067126139627</v>
          </cell>
          <cell r="H4">
            <v>2528.2344226842383</v>
          </cell>
          <cell r="I4">
            <v>2842.5758789146635</v>
          </cell>
          <cell r="J4">
            <v>3167.3615923431926</v>
          </cell>
          <cell r="K4">
            <v>3415.1128542081406</v>
          </cell>
          <cell r="L4">
            <v>3908.3161922038857</v>
          </cell>
          <cell r="M4">
            <v>4711.9389498401479</v>
          </cell>
          <cell r="N4">
            <v>5722.0523996205711</v>
          </cell>
          <cell r="O4">
            <v>5900.1121751571227</v>
          </cell>
          <cell r="P4">
            <v>5380.927442431549</v>
          </cell>
          <cell r="Q4">
            <v>5569.5480398842692</v>
          </cell>
          <cell r="R4">
            <v>5008.6100909876714</v>
          </cell>
          <cell r="S4">
            <v>4839.6933145718021</v>
          </cell>
          <cell r="T4">
            <v>4793.7407172257845</v>
          </cell>
          <cell r="U4">
            <v>5624.7690750639458</v>
          </cell>
          <cell r="V4">
            <v>6520.006877837438</v>
          </cell>
          <cell r="W4">
            <v>7538.4552438632709</v>
          </cell>
          <cell r="X4">
            <v>7780.6518630661631</v>
          </cell>
          <cell r="Y4">
            <v>9551.8934363021763</v>
          </cell>
          <cell r="Z4">
            <v>10152.881116917484</v>
          </cell>
          <cell r="AA4">
            <v>11098.973469339133</v>
          </cell>
          <cell r="AB4">
            <v>10312.768285720827</v>
          </cell>
          <cell r="AC4">
            <v>10950.116323928025</v>
          </cell>
          <cell r="AD4">
            <v>12697.677112900423</v>
          </cell>
          <cell r="AE4">
            <v>13417.992903536027</v>
          </cell>
          <cell r="AF4">
            <v>13046.108505487988</v>
          </cell>
          <cell r="AG4">
            <v>13054.838571934835</v>
          </cell>
          <cell r="AH4">
            <v>13435.205251163497</v>
          </cell>
          <cell r="AI4">
            <v>11846.938629896162</v>
          </cell>
          <cell r="AJ4">
            <v>12159.796173204852</v>
          </cell>
          <cell r="AK4">
            <v>13729.407115167171</v>
          </cell>
          <cell r="AL4">
            <v>17965.828815713019</v>
          </cell>
          <cell r="AM4">
            <v>21383.302710551001</v>
          </cell>
          <cell r="AN4">
            <v>21944.56449065073</v>
          </cell>
          <cell r="AO4">
            <v>24076.685566423872</v>
          </cell>
          <cell r="AP4">
            <v>27941.558560805883</v>
          </cell>
          <cell r="AQ4">
            <v>30999.206893172792</v>
          </cell>
          <cell r="AR4">
            <v>28836.504708040004</v>
          </cell>
          <cell r="AS4">
            <v>26122.651527760121</v>
          </cell>
          <cell r="AT4">
            <v>25212.721393738229</v>
          </cell>
          <cell r="AU4">
            <v>21620.18312646656</v>
          </cell>
          <cell r="AV4">
            <v>21198.978915848886</v>
          </cell>
          <cell r="AW4">
            <v>21039.126917068377</v>
          </cell>
          <cell r="AX4">
            <v>17561.375670808891</v>
          </cell>
          <cell r="AY4">
            <v>17412.842694790103</v>
          </cell>
          <cell r="AZ4">
            <v>18166.521856518306</v>
          </cell>
        </row>
        <row r="5">
          <cell r="E5">
            <v>1648.8279708729438</v>
          </cell>
          <cell r="F5">
            <v>2051.1617988386388</v>
          </cell>
          <cell r="G5">
            <v>2411.5992740811612</v>
          </cell>
          <cell r="H5">
            <v>3142.380883499528</v>
          </cell>
          <cell r="I5">
            <v>3771.365580696267</v>
          </cell>
          <cell r="J5">
            <v>4654.1559371596823</v>
          </cell>
          <cell r="K5">
            <v>5285.5075934110082</v>
          </cell>
          <cell r="L5">
            <v>6188.331564481181</v>
          </cell>
          <cell r="M5">
            <v>7801.973387484958</v>
          </cell>
          <cell r="N5">
            <v>9203.1785748608509</v>
          </cell>
          <cell r="O5">
            <v>10367.026082624205</v>
          </cell>
          <cell r="P5">
            <v>9413.3727028309349</v>
          </cell>
          <cell r="Q5">
            <v>8595.6399006978518</v>
          </cell>
          <cell r="R5">
            <v>8774.7479480599668</v>
          </cell>
          <cell r="S5">
            <v>7891.2665930635394</v>
          </cell>
          <cell r="T5">
            <v>8482.2696503102088</v>
          </cell>
          <cell r="U5">
            <v>12248.785134858821</v>
          </cell>
          <cell r="V5">
            <v>15824.458435252791</v>
          </cell>
          <cell r="W5">
            <v>17893.440604613872</v>
          </cell>
          <cell r="X5">
            <v>18374.92789583145</v>
          </cell>
          <cell r="Y5">
            <v>20025.365549241062</v>
          </cell>
          <cell r="Z5">
            <v>19910.438419760168</v>
          </cell>
          <cell r="AA5">
            <v>20303.717155081362</v>
          </cell>
          <cell r="AB5">
            <v>18142.386943131358</v>
          </cell>
          <cell r="AC5">
            <v>19693.392278061452</v>
          </cell>
          <cell r="AD5">
            <v>23670.735482252603</v>
          </cell>
          <cell r="AE5">
            <v>23435.872503895265</v>
          </cell>
          <cell r="AF5">
            <v>20965.980404788748</v>
          </cell>
          <cell r="AG5">
            <v>22458.549456638306</v>
          </cell>
          <cell r="AH5">
            <v>22062.41738928737</v>
          </cell>
          <cell r="AI5">
            <v>20775.92386292835</v>
          </cell>
          <cell r="AJ5">
            <v>21071.887922310791</v>
          </cell>
          <cell r="AK5">
            <v>22604.79199547047</v>
          </cell>
          <cell r="AL5">
            <v>27487.475206320098</v>
          </cell>
          <cell r="AM5">
            <v>32051.843460368265</v>
          </cell>
          <cell r="AN5">
            <v>32480.599954346719</v>
          </cell>
          <cell r="AO5">
            <v>35335.641238524862</v>
          </cell>
          <cell r="AP5">
            <v>39520.989425053136</v>
          </cell>
          <cell r="AQ5">
            <v>43966.369275698882</v>
          </cell>
          <cell r="AR5">
            <v>44598.153663094061</v>
          </cell>
          <cell r="AS5">
            <v>44195.896518238638</v>
          </cell>
          <cell r="AT5">
            <v>47468.906634601779</v>
          </cell>
          <cell r="AU5">
            <v>46213.541615016824</v>
          </cell>
          <cell r="AV5">
            <v>47593.631722622042</v>
          </cell>
          <cell r="AW5">
            <v>50407.32639849597</v>
          </cell>
          <cell r="AX5">
            <v>44328.592954573673</v>
          </cell>
          <cell r="AY5">
            <v>48080.640572673954</v>
          </cell>
          <cell r="AZ5">
            <v>49363.478945506016</v>
          </cell>
        </row>
        <row r="6">
          <cell r="E6">
            <v>5201.8770185751237</v>
          </cell>
          <cell r="F6">
            <v>5927.3040044186691</v>
          </cell>
          <cell r="G6">
            <v>6924.8907724256242</v>
          </cell>
          <cell r="H6">
            <v>9138.158861853477</v>
          </cell>
          <cell r="I6">
            <v>10798.909964753493</v>
          </cell>
          <cell r="J6">
            <v>12192.841673779449</v>
          </cell>
          <cell r="K6">
            <v>13470.275022987544</v>
          </cell>
          <cell r="L6">
            <v>15384.370998363338</v>
          </cell>
          <cell r="M6">
            <v>20931.671396522714</v>
          </cell>
          <cell r="N6">
            <v>24641.711584862656</v>
          </cell>
          <cell r="O6">
            <v>26476.260152323513</v>
          </cell>
          <cell r="P6">
            <v>23186.973474679682</v>
          </cell>
          <cell r="Q6">
            <v>23706.97023948708</v>
          </cell>
          <cell r="R6">
            <v>23833.176271249766</v>
          </cell>
          <cell r="S6">
            <v>23481.8956536226</v>
          </cell>
          <cell r="T6">
            <v>24995.405892064424</v>
          </cell>
          <cell r="U6">
            <v>36642.20037058567</v>
          </cell>
          <cell r="V6">
            <v>45682.524027048414</v>
          </cell>
          <cell r="W6">
            <v>51738.808186510054</v>
          </cell>
          <cell r="X6">
            <v>51087.746224522125</v>
          </cell>
          <cell r="Y6">
            <v>61079.781124986956</v>
          </cell>
          <cell r="Z6">
            <v>65232.765974989692</v>
          </cell>
          <cell r="AA6">
            <v>68926.197918432386</v>
          </cell>
          <cell r="AB6">
            <v>67207.262074267186</v>
          </cell>
          <cell r="AC6">
            <v>73952.501498435697</v>
          </cell>
          <cell r="AD6">
            <v>87414.296468069922</v>
          </cell>
          <cell r="AE6">
            <v>86767.603351955302</v>
          </cell>
          <cell r="AF6">
            <v>80515.191689176456</v>
          </cell>
          <cell r="AG6">
            <v>84764.083016535311</v>
          </cell>
          <cell r="AH6">
            <v>89717.31484075269</v>
          </cell>
          <cell r="AI6">
            <v>82532.544222796365</v>
          </cell>
          <cell r="AJ6">
            <v>81848.673131181131</v>
          </cell>
          <cell r="AK6">
            <v>87412.730348638957</v>
          </cell>
          <cell r="AL6">
            <v>98956.986917630609</v>
          </cell>
          <cell r="AM6">
            <v>110432.74815007516</v>
          </cell>
          <cell r="AN6">
            <v>116094.77757374039</v>
          </cell>
          <cell r="AO6">
            <v>126060.80965949566</v>
          </cell>
          <cell r="AP6">
            <v>144079.42390011891</v>
          </cell>
          <cell r="AQ6">
            <v>158130.24470330041</v>
          </cell>
          <cell r="AR6">
            <v>139289.60319856848</v>
          </cell>
          <cell r="AS6">
            <v>156127.46762769768</v>
          </cell>
          <cell r="AT6">
            <v>175052.49586366644</v>
          </cell>
          <cell r="AU6">
            <v>165123.43308250103</v>
          </cell>
          <cell r="AV6">
            <v>173527.48626269208</v>
          </cell>
          <cell r="AW6">
            <v>179317.65658415708</v>
          </cell>
          <cell r="AX6">
            <v>167593.8598508141</v>
          </cell>
          <cell r="AY6">
            <v>165134.42644948716</v>
          </cell>
          <cell r="AZ6">
            <v>166337.51698811096</v>
          </cell>
        </row>
        <row r="7">
          <cell r="E7">
            <v>810.17816180651448</v>
          </cell>
          <cell r="F7">
            <v>854.95124969538688</v>
          </cell>
          <cell r="G7">
            <v>952.88860035527307</v>
          </cell>
          <cell r="H7">
            <v>1114.1134300959316</v>
          </cell>
          <cell r="I7">
            <v>1209.1952484278002</v>
          </cell>
          <cell r="J7">
            <v>1520.6372853686719</v>
          </cell>
          <cell r="K7">
            <v>1683.8605682144082</v>
          </cell>
          <cell r="L7">
            <v>1984.2272271443424</v>
          </cell>
          <cell r="M7">
            <v>2501.1803931127574</v>
          </cell>
          <cell r="N7">
            <v>3132.4544071431378</v>
          </cell>
          <cell r="O7">
            <v>3879.9012584239995</v>
          </cell>
          <cell r="P7">
            <v>3825.6347693140547</v>
          </cell>
          <cell r="Q7">
            <v>3762.5955142599501</v>
          </cell>
          <cell r="R7">
            <v>3518.9907596577045</v>
          </cell>
          <cell r="S7">
            <v>3294.1074525651252</v>
          </cell>
          <cell r="T7">
            <v>3310.828666422296</v>
          </cell>
          <cell r="U7">
            <v>4212.5913673311843</v>
          </cell>
          <cell r="V7">
            <v>5096.8314035122276</v>
          </cell>
          <cell r="W7">
            <v>5828.3586938930403</v>
          </cell>
          <cell r="X7">
            <v>6063.7030972851371</v>
          </cell>
          <cell r="Y7">
            <v>7229.5769734188361</v>
          </cell>
          <cell r="Z7">
            <v>7739.6114391284473</v>
          </cell>
          <cell r="AA7">
            <v>8432.8584860863048</v>
          </cell>
          <cell r="AB7">
            <v>7496.5675844872976</v>
          </cell>
          <cell r="AC7">
            <v>8226.2019543455535</v>
          </cell>
          <cell r="AD7">
            <v>9721.9962240833011</v>
          </cell>
          <cell r="AE7">
            <v>9919.3967866357398</v>
          </cell>
          <cell r="AF7">
            <v>9753.1940963469569</v>
          </cell>
          <cell r="AG7">
            <v>10178.367650183689</v>
          </cell>
          <cell r="AH7">
            <v>10395.2526199515</v>
          </cell>
          <cell r="AI7">
            <v>10218.471479927799</v>
          </cell>
          <cell r="AJ7">
            <v>10187.598757374955</v>
          </cell>
          <cell r="AK7">
            <v>11131.599033647892</v>
          </cell>
          <cell r="AL7">
            <v>13431.516027588534</v>
          </cell>
          <cell r="AM7">
            <v>14923.134814953815</v>
          </cell>
          <cell r="AN7">
            <v>15716.123145528249</v>
          </cell>
          <cell r="AO7">
            <v>16601.871782319984</v>
          </cell>
          <cell r="AP7">
            <v>19327.06677893567</v>
          </cell>
          <cell r="AQ7">
            <v>21783.237489323707</v>
          </cell>
          <cell r="AR7">
            <v>20596.042898718737</v>
          </cell>
          <cell r="AS7">
            <v>21005.35723486578</v>
          </cell>
          <cell r="AT7">
            <v>22727.688118326732</v>
          </cell>
          <cell r="AU7">
            <v>21887.197581210534</v>
          </cell>
          <cell r="AV7">
            <v>23972.335471569724</v>
          </cell>
          <cell r="AW7">
            <v>26397.814582794839</v>
          </cell>
          <cell r="AX7">
            <v>24703.045349098258</v>
          </cell>
          <cell r="AY7">
            <v>26266.187856296478</v>
          </cell>
          <cell r="AZ7">
            <v>29211.006515522069</v>
          </cell>
        </row>
        <row r="8">
          <cell r="E8">
            <v>12096.740040027255</v>
          </cell>
          <cell r="F8">
            <v>13393.913178752109</v>
          </cell>
          <cell r="G8">
            <v>16199.423695480438</v>
          </cell>
          <cell r="H8">
            <v>20710.653537378781</v>
          </cell>
          <cell r="I8">
            <v>22004.213074290317</v>
          </cell>
          <cell r="J8">
            <v>27403.083529785294</v>
          </cell>
          <cell r="K8">
            <v>27904.743435332839</v>
          </cell>
          <cell r="L8">
            <v>30407.973253516218</v>
          </cell>
          <cell r="M8">
            <v>37153.866998888334</v>
          </cell>
          <cell r="N8">
            <v>44501.425307823454</v>
          </cell>
          <cell r="O8">
            <v>50172.588259487755</v>
          </cell>
          <cell r="P8">
            <v>43363.590082462084</v>
          </cell>
          <cell r="Q8">
            <v>40517.785548798143</v>
          </cell>
          <cell r="R8">
            <v>38144.12514682328</v>
          </cell>
          <cell r="S8">
            <v>35632.24677328844</v>
          </cell>
          <cell r="T8">
            <v>36724.007907057392</v>
          </cell>
          <cell r="U8">
            <v>50871.043972315005</v>
          </cell>
          <cell r="V8">
            <v>61349.900761003701</v>
          </cell>
          <cell r="W8">
            <v>66771.533401744484</v>
          </cell>
          <cell r="X8">
            <v>67025.83617631004</v>
          </cell>
          <cell r="Y8">
            <v>82621.82652264004</v>
          </cell>
          <cell r="Z8">
            <v>82122.067040237642</v>
          </cell>
          <cell r="AA8">
            <v>89968.890098114731</v>
          </cell>
          <cell r="AB8">
            <v>84180.40261463933</v>
          </cell>
          <cell r="AC8">
            <v>87860.474315574989</v>
          </cell>
          <cell r="AD8">
            <v>100041.13463230262</v>
          </cell>
          <cell r="AE8">
            <v>99429.249297639428</v>
          </cell>
          <cell r="AF8">
            <v>89149.783270935324</v>
          </cell>
          <cell r="AG8">
            <v>91411.06696697649</v>
          </cell>
          <cell r="AH8">
            <v>89981.006226415091</v>
          </cell>
          <cell r="AI8">
            <v>81354.749797394179</v>
          </cell>
          <cell r="AJ8">
            <v>81467.369561186657</v>
          </cell>
          <cell r="AK8">
            <v>87705.029145851848</v>
          </cell>
          <cell r="AL8">
            <v>107029.2647800079</v>
          </cell>
          <cell r="AM8">
            <v>121615.51816053312</v>
          </cell>
          <cell r="AN8">
            <v>124374.15808007575</v>
          </cell>
          <cell r="AO8">
            <v>133187.40327830738</v>
          </cell>
          <cell r="AP8">
            <v>167129.76773660677</v>
          </cell>
          <cell r="AQ8">
            <v>180647.59294898613</v>
          </cell>
          <cell r="AR8">
            <v>149241.88068648381</v>
          </cell>
          <cell r="AS8">
            <v>144561.10271202889</v>
          </cell>
          <cell r="AT8">
            <v>162165.74485958877</v>
          </cell>
          <cell r="AU8">
            <v>152003.12600905169</v>
          </cell>
          <cell r="AV8">
            <v>172597.20923862947</v>
          </cell>
          <cell r="AW8">
            <v>185144.142478758</v>
          </cell>
          <cell r="AX8">
            <v>163393.91602057064</v>
          </cell>
          <cell r="AY8">
            <v>168011.80980336131</v>
          </cell>
          <cell r="AZ8">
            <v>165429.53991678081</v>
          </cell>
        </row>
        <row r="9">
          <cell r="E9">
            <v>926.26811257111694</v>
          </cell>
          <cell r="F9">
            <v>1075.4888892573338</v>
          </cell>
          <cell r="G9">
            <v>1371.8785649451017</v>
          </cell>
          <cell r="H9">
            <v>1930.7209804373788</v>
          </cell>
          <cell r="I9">
            <v>2362.8824755075898</v>
          </cell>
          <cell r="J9">
            <v>2561.8916529630737</v>
          </cell>
          <cell r="K9">
            <v>2652.630798448854</v>
          </cell>
          <cell r="L9">
            <v>2895.3219672442729</v>
          </cell>
          <cell r="M9">
            <v>3443.367435869292</v>
          </cell>
          <cell r="N9">
            <v>4096.6085437376059</v>
          </cell>
          <cell r="O9">
            <v>5008.4507604594273</v>
          </cell>
          <cell r="P9">
            <v>5837.7206016777036</v>
          </cell>
          <cell r="Q9">
            <v>6305.0863091088704</v>
          </cell>
          <cell r="R9">
            <v>6976.808802287831</v>
          </cell>
          <cell r="S9">
            <v>7394.2760402897029</v>
          </cell>
          <cell r="T9">
            <v>6858.1826023318863</v>
          </cell>
          <cell r="U9">
            <v>6789.265234808794</v>
          </cell>
          <cell r="V9">
            <v>7662.8914325111955</v>
          </cell>
          <cell r="W9">
            <v>9216.6731472714309</v>
          </cell>
          <cell r="X9">
            <v>10676.921972652795</v>
          </cell>
          <cell r="Y9">
            <v>12910.876442812085</v>
          </cell>
          <cell r="Z9">
            <v>14684.998783169765</v>
          </cell>
          <cell r="AA9">
            <v>16353.214583281731</v>
          </cell>
          <cell r="AB9">
            <v>18446.629077305308</v>
          </cell>
          <cell r="AC9">
            <v>21792.623809059623</v>
          </cell>
          <cell r="AD9">
            <v>25265.059982827308</v>
          </cell>
          <cell r="AE9">
            <v>27032.35328323425</v>
          </cell>
          <cell r="AF9">
            <v>27403.754588416159</v>
          </cell>
          <cell r="AG9">
            <v>22969.02827889501</v>
          </cell>
          <cell r="AH9">
            <v>22596.881352230295</v>
          </cell>
          <cell r="AI9">
            <v>24485.679717983832</v>
          </cell>
          <cell r="AJ9">
            <v>22216.968734782382</v>
          </cell>
          <cell r="AK9">
            <v>22255.425518153526</v>
          </cell>
          <cell r="AL9">
            <v>22827.858629725637</v>
          </cell>
          <cell r="AM9">
            <v>26086.717741714034</v>
          </cell>
          <cell r="AN9">
            <v>28278.515320052673</v>
          </cell>
          <cell r="AO9">
            <v>32090.888334333282</v>
          </cell>
          <cell r="AP9">
            <v>38034.640259920277</v>
          </cell>
          <cell r="AQ9">
            <v>39578.578836303204</v>
          </cell>
          <cell r="AR9">
            <v>38666.660759260165</v>
          </cell>
          <cell r="AS9">
            <v>46509.318023622007</v>
          </cell>
          <cell r="AT9">
            <v>53322.854233284008</v>
          </cell>
          <cell r="AU9">
            <v>55208.180372524308</v>
          </cell>
          <cell r="AV9">
            <v>56707.562643669262</v>
          </cell>
          <cell r="AW9">
            <v>57265.127629653201</v>
          </cell>
          <cell r="AX9">
            <v>54920.616223766825</v>
          </cell>
          <cell r="AY9">
            <v>55017.507990849343</v>
          </cell>
          <cell r="AZ9">
            <v>56629.931785401925</v>
          </cell>
        </row>
        <row r="10">
          <cell r="E10">
            <v>279.40203703189707</v>
          </cell>
          <cell r="F10">
            <v>300.94089013825101</v>
          </cell>
          <cell r="G10">
            <v>323.46742868033255</v>
          </cell>
          <cell r="H10">
            <v>405.1518440579801</v>
          </cell>
          <cell r="I10">
            <v>559.98717005400647</v>
          </cell>
          <cell r="J10">
            <v>613.36236019671674</v>
          </cell>
          <cell r="K10">
            <v>828.37895832343509</v>
          </cell>
          <cell r="L10">
            <v>1048.8876427350303</v>
          </cell>
          <cell r="M10">
            <v>1397.3971380730745</v>
          </cell>
          <cell r="N10">
            <v>1774.3658523420422</v>
          </cell>
          <cell r="O10">
            <v>1707.7484706872124</v>
          </cell>
          <cell r="P10">
            <v>1875.9837742398881</v>
          </cell>
          <cell r="Q10">
            <v>1985.0406588193064</v>
          </cell>
          <cell r="R10">
            <v>2189.1870195590545</v>
          </cell>
          <cell r="S10">
            <v>2396.9472650643665</v>
          </cell>
          <cell r="T10">
            <v>2450.4657943400512</v>
          </cell>
          <cell r="U10">
            <v>2810.8047333951708</v>
          </cell>
          <cell r="V10">
            <v>3501.9689700603722</v>
          </cell>
          <cell r="W10">
            <v>4680.3327949445948</v>
          </cell>
          <cell r="X10">
            <v>5741.7536181519235</v>
          </cell>
          <cell r="Y10">
            <v>6499.9916595089098</v>
          </cell>
          <cell r="Z10">
            <v>7515.313026619423</v>
          </cell>
          <cell r="AA10">
            <v>7981.1284166298619</v>
          </cell>
          <cell r="AB10">
            <v>8705.3478801350284</v>
          </cell>
          <cell r="AC10">
            <v>10172.693972973293</v>
          </cell>
          <cell r="AD10">
            <v>12274.106765125607</v>
          </cell>
          <cell r="AE10">
            <v>13068.935795246929</v>
          </cell>
          <cell r="AF10">
            <v>12077.241360681748</v>
          </cell>
          <cell r="AG10">
            <v>8021.0279612176864</v>
          </cell>
          <cell r="AH10">
            <v>10313.908592825603</v>
          </cell>
          <cell r="AI10">
            <v>11859.964962033762</v>
          </cell>
          <cell r="AJ10">
            <v>11171.009331921665</v>
          </cell>
          <cell r="AK10">
            <v>12686.235605184684</v>
          </cell>
          <cell r="AL10">
            <v>14109.596216092215</v>
          </cell>
          <cell r="AM10">
            <v>15773.819023448432</v>
          </cell>
          <cell r="AN10">
            <v>18436.208746827248</v>
          </cell>
          <cell r="AO10">
            <v>20656.152289752888</v>
          </cell>
          <cell r="AP10">
            <v>22828.05897824706</v>
          </cell>
          <cell r="AQ10">
            <v>20317.363722908216</v>
          </cell>
          <cell r="AR10">
            <v>18266.79763677052</v>
          </cell>
          <cell r="AS10">
            <v>21996.713973458965</v>
          </cell>
          <cell r="AT10">
            <v>24123.192318532281</v>
          </cell>
          <cell r="AU10">
            <v>24423.327208283175</v>
          </cell>
          <cell r="AV10">
            <v>26111.617397433169</v>
          </cell>
          <cell r="AW10">
            <v>27984.208173929197</v>
          </cell>
          <cell r="AX10">
            <v>27276.142720163538</v>
          </cell>
          <cell r="AY10">
            <v>27788.573496244011</v>
          </cell>
          <cell r="AZ10">
            <v>30075.857209108275</v>
          </cell>
        </row>
        <row r="11">
          <cell r="E11">
            <v>393.25049866474149</v>
          </cell>
          <cell r="F11">
            <v>446.89854148880846</v>
          </cell>
          <cell r="G11">
            <v>524.90572744184738</v>
          </cell>
          <cell r="H11">
            <v>699.9348901178322</v>
          </cell>
          <cell r="I11">
            <v>927.44519189414405</v>
          </cell>
          <cell r="J11">
            <v>978.39934691917267</v>
          </cell>
          <cell r="K11">
            <v>1150.557159794387</v>
          </cell>
          <cell r="L11">
            <v>1322.5548493245265</v>
          </cell>
          <cell r="M11">
            <v>1598.6182243493276</v>
          </cell>
          <cell r="N11">
            <v>1943.3259481526945</v>
          </cell>
          <cell r="O11">
            <v>2384.7401283344543</v>
          </cell>
          <cell r="P11">
            <v>2721.212587521597</v>
          </cell>
          <cell r="Q11">
            <v>2699.5554514190185</v>
          </cell>
          <cell r="R11">
            <v>2904.0072753658446</v>
          </cell>
          <cell r="S11">
            <v>3225.173115412696</v>
          </cell>
          <cell r="T11">
            <v>3315.1628210344202</v>
          </cell>
          <cell r="U11">
            <v>4038.1325261915636</v>
          </cell>
          <cell r="V11">
            <v>5350.2677248289847</v>
          </cell>
          <cell r="W11">
            <v>6369.3274596487945</v>
          </cell>
          <cell r="X11">
            <v>7614.3729714312412</v>
          </cell>
          <cell r="Y11">
            <v>8216.1763268176819</v>
          </cell>
          <cell r="Z11">
            <v>9135.6810031368095</v>
          </cell>
          <cell r="AA11">
            <v>10778.424268932895</v>
          </cell>
          <cell r="AB11">
            <v>11251.233845247336</v>
          </cell>
          <cell r="AC11">
            <v>12159.530532415361</v>
          </cell>
          <cell r="AD11">
            <v>13129.057332305963</v>
          </cell>
          <cell r="AE11">
            <v>13649.523566854785</v>
          </cell>
          <cell r="AF11">
            <v>14039.700438485943</v>
          </cell>
          <cell r="AG11">
            <v>12839.926813983631</v>
          </cell>
          <cell r="AH11">
            <v>13819.36138567146</v>
          </cell>
          <cell r="AI11">
            <v>14940.701902078761</v>
          </cell>
          <cell r="AJ11">
            <v>13448.288954458631</v>
          </cell>
          <cell r="AK11">
            <v>13750.265576138378</v>
          </cell>
          <cell r="AL11">
            <v>14120.228082333311</v>
          </cell>
          <cell r="AM11">
            <v>15387.52528571254</v>
          </cell>
          <cell r="AN11">
            <v>16532.042189373155</v>
          </cell>
          <cell r="AO11">
            <v>17025.866022327402</v>
          </cell>
          <cell r="AP11">
            <v>17814.116595569241</v>
          </cell>
          <cell r="AQ11">
            <v>18130.555421827747</v>
          </cell>
          <cell r="AR11">
            <v>16988.377696183772</v>
          </cell>
          <cell r="AS11">
            <v>19277.718274348124</v>
          </cell>
          <cell r="AT11">
            <v>20939.178207067653</v>
          </cell>
          <cell r="AU11">
            <v>21307.98359322951</v>
          </cell>
          <cell r="AV11">
            <v>21915.652330118912</v>
          </cell>
          <cell r="AW11">
            <v>22619.431152931047</v>
          </cell>
          <cell r="AX11"/>
          <cell r="AY11"/>
          <cell r="AZ11"/>
        </row>
        <row r="12">
          <cell r="E12">
            <v>3520.5742157908639</v>
          </cell>
          <cell r="F12">
            <v>3856.7853888485133</v>
          </cell>
          <cell r="G12">
            <v>4466.4404296739867</v>
          </cell>
          <cell r="H12">
            <v>6361.8359115283074</v>
          </cell>
          <cell r="I12">
            <v>7465.9377569160933</v>
          </cell>
          <cell r="J12">
            <v>7880.7299956345096</v>
          </cell>
          <cell r="K12">
            <v>8431.8098458243567</v>
          </cell>
          <cell r="L12">
            <v>8196.68366418611</v>
          </cell>
          <cell r="M12">
            <v>9504.30971526346</v>
          </cell>
          <cell r="N12">
            <v>10363.953010666166</v>
          </cell>
          <cell r="O12">
            <v>11809.587938219336</v>
          </cell>
          <cell r="P12">
            <v>13613.241343764401</v>
          </cell>
          <cell r="Q12">
            <v>12765.053538429625</v>
          </cell>
          <cell r="R12">
            <v>12649.634360024849</v>
          </cell>
          <cell r="S12">
            <v>13365.864254216414</v>
          </cell>
          <cell r="T12">
            <v>11570.510532247934</v>
          </cell>
          <cell r="U12">
            <v>12010.38598127731</v>
          </cell>
          <cell r="V12">
            <v>14026.509487734033</v>
          </cell>
          <cell r="W12">
            <v>17486.082228150415</v>
          </cell>
          <cell r="X12">
            <v>19056.360018470376</v>
          </cell>
          <cell r="Y12">
            <v>19012.486744071743</v>
          </cell>
          <cell r="Z12">
            <v>19106.207004520762</v>
          </cell>
          <cell r="AA12">
            <v>18643.541659851671</v>
          </cell>
          <cell r="AB12">
            <v>17922.281749576538</v>
          </cell>
          <cell r="AC12">
            <v>20298.907281301923</v>
          </cell>
          <cell r="AD12">
            <v>21630.001509121332</v>
          </cell>
          <cell r="AE12">
            <v>23807.329417474601</v>
          </cell>
          <cell r="AF12">
            <v>23608.930413652288</v>
          </cell>
          <cell r="AG12">
            <v>20841.097401109797</v>
          </cell>
          <cell r="AH12">
            <v>22582.563123034892</v>
          </cell>
          <cell r="AI12">
            <v>21451.983537464603</v>
          </cell>
          <cell r="AJ12">
            <v>20240.254940023453</v>
          </cell>
          <cell r="AK12">
            <v>22336.108419367574</v>
          </cell>
          <cell r="AL12">
            <v>28329.227456890327</v>
          </cell>
          <cell r="AM12">
            <v>33987.640529870325</v>
          </cell>
          <cell r="AN12">
            <v>37551.44053255058</v>
          </cell>
          <cell r="AO12">
            <v>39711.074470853579</v>
          </cell>
          <cell r="AP12">
            <v>46976.454102667616</v>
          </cell>
          <cell r="AQ12">
            <v>49666.177689090851</v>
          </cell>
          <cell r="AR12">
            <v>46460.193274404024</v>
          </cell>
          <cell r="AS12">
            <v>58770.173540185053</v>
          </cell>
          <cell r="AT12">
            <v>68505.947561811045</v>
          </cell>
          <cell r="AU12">
            <v>69670.0810556621</v>
          </cell>
          <cell r="AV12">
            <v>66520.586307264297</v>
          </cell>
          <cell r="AW12">
            <v>62194.702817522273</v>
          </cell>
          <cell r="AX12">
            <v>52521.988225326553</v>
          </cell>
          <cell r="AY12">
            <v>53865.951017453233</v>
          </cell>
          <cell r="AZ12">
            <v>57644.710709406063</v>
          </cell>
        </row>
        <row r="13">
          <cell r="E13">
            <v>2045.3124369781217</v>
          </cell>
          <cell r="F13">
            <v>2365.2907800178536</v>
          </cell>
          <cell r="G13">
            <v>2909.8851656029051</v>
          </cell>
          <cell r="H13">
            <v>3879.9143702597521</v>
          </cell>
          <cell r="I13">
            <v>4614.084011360701</v>
          </cell>
          <cell r="J13">
            <v>5244.8363222173621</v>
          </cell>
          <cell r="K13">
            <v>5622.3683651956107</v>
          </cell>
          <cell r="L13">
            <v>6750.0889316101875</v>
          </cell>
          <cell r="M13">
            <v>8134.821135539285</v>
          </cell>
          <cell r="N13">
            <v>9706.2109748586354</v>
          </cell>
          <cell r="O13">
            <v>10782.916843019326</v>
          </cell>
          <cell r="P13">
            <v>9340.6737622777418</v>
          </cell>
          <cell r="Q13">
            <v>9375.3036168173312</v>
          </cell>
          <cell r="R13">
            <v>9485.3990213468132</v>
          </cell>
          <cell r="S13">
            <v>8936.7610711195157</v>
          </cell>
          <cell r="T13">
            <v>9112.2272907422685</v>
          </cell>
          <cell r="U13">
            <v>12987.611671031251</v>
          </cell>
          <cell r="V13">
            <v>16231.743215916742</v>
          </cell>
          <cell r="W13">
            <v>17365.55405257193</v>
          </cell>
          <cell r="X13">
            <v>17302.901735650172</v>
          </cell>
          <cell r="Y13">
            <v>21491.597109198934</v>
          </cell>
          <cell r="Z13">
            <v>22386.040579716111</v>
          </cell>
          <cell r="AA13">
            <v>24901.247399256255</v>
          </cell>
          <cell r="AB13">
            <v>24074.750325832738</v>
          </cell>
          <cell r="AC13">
            <v>25669.389089930817</v>
          </cell>
          <cell r="AD13">
            <v>30162.246604275453</v>
          </cell>
          <cell r="AE13">
            <v>29558.99845133298</v>
          </cell>
          <cell r="AF13">
            <v>26516.032364996048</v>
          </cell>
          <cell r="AG13">
            <v>27110.887259748415</v>
          </cell>
          <cell r="AH13">
            <v>26952.795222225795</v>
          </cell>
          <cell r="AI13">
            <v>24413.590512953084</v>
          </cell>
          <cell r="AJ13">
            <v>24327.751369887035</v>
          </cell>
          <cell r="AK13">
            <v>26185.051851320048</v>
          </cell>
          <cell r="AL13">
            <v>32045.589866352766</v>
          </cell>
          <cell r="AM13">
            <v>36632.243311116668</v>
          </cell>
          <cell r="AN13">
            <v>38286.09160795527</v>
          </cell>
          <cell r="AO13">
            <v>40556.517498749206</v>
          </cell>
          <cell r="AP13">
            <v>46801.029333898638</v>
          </cell>
          <cell r="AQ13">
            <v>51568.318487853801</v>
          </cell>
          <cell r="AR13">
            <v>47789.508243570701</v>
          </cell>
          <cell r="AS13">
            <v>46611.459831682689</v>
          </cell>
          <cell r="AT13">
            <v>50946.445474773587</v>
          </cell>
          <cell r="AU13">
            <v>48018.51424846681</v>
          </cell>
          <cell r="AV13">
            <v>50129.509003609557</v>
          </cell>
          <cell r="AW13">
            <v>51197.583288738155</v>
          </cell>
          <cell r="AX13">
            <v>44016.026903701808</v>
          </cell>
          <cell r="AY13">
            <v>45320.601848390397</v>
          </cell>
          <cell r="AZ13">
            <v>47892.071255132891</v>
          </cell>
        </row>
        <row r="14">
          <cell r="E14">
            <v>2787.5153439823594</v>
          </cell>
          <cell r="F14">
            <v>3102.609331633711</v>
          </cell>
          <cell r="G14">
            <v>3859.4269007265771</v>
          </cell>
          <cell r="H14">
            <v>4937.8082603820831</v>
          </cell>
          <cell r="I14">
            <v>5779.6160878914789</v>
          </cell>
          <cell r="J14">
            <v>6757.1323729842834</v>
          </cell>
          <cell r="K14">
            <v>7299.2736201140669</v>
          </cell>
          <cell r="L14">
            <v>8483.6678677836207</v>
          </cell>
          <cell r="M14">
            <v>10369.211006734498</v>
          </cell>
          <cell r="N14">
            <v>11872.896683372272</v>
          </cell>
          <cell r="O14">
            <v>12969.912336565172</v>
          </cell>
          <cell r="P14">
            <v>10626.89361123301</v>
          </cell>
          <cell r="Q14">
            <v>9361.7062578666719</v>
          </cell>
          <cell r="R14">
            <v>8855.3781370354063</v>
          </cell>
          <cell r="S14">
            <v>8458.6138543569596</v>
          </cell>
          <cell r="T14">
            <v>8745.7138872905562</v>
          </cell>
          <cell r="U14">
            <v>12187.086482587272</v>
          </cell>
          <cell r="V14">
            <v>15087.06898381248</v>
          </cell>
          <cell r="W14">
            <v>16367.07226213021</v>
          </cell>
          <cell r="X14">
            <v>16532.774572312152</v>
          </cell>
          <cell r="Y14">
            <v>20586.528175961652</v>
          </cell>
          <cell r="Z14">
            <v>21116.705156510146</v>
          </cell>
          <cell r="AA14">
            <v>23417.110028962798</v>
          </cell>
          <cell r="AB14">
            <v>22334.942305681554</v>
          </cell>
          <cell r="AC14">
            <v>24222.327885836821</v>
          </cell>
          <cell r="AD14">
            <v>28469.597169925699</v>
          </cell>
          <cell r="AE14">
            <v>27526.68790760437</v>
          </cell>
          <cell r="AF14">
            <v>24941.829296359698</v>
          </cell>
          <cell r="AG14">
            <v>25495.006055796552</v>
          </cell>
          <cell r="AH14">
            <v>25353.090541737038</v>
          </cell>
          <cell r="AI14">
            <v>23147.173326520155</v>
          </cell>
          <cell r="AJ14">
            <v>23064.207944573027</v>
          </cell>
          <cell r="AK14">
            <v>24988.2174283651</v>
          </cell>
          <cell r="AL14">
            <v>30617.047725738819</v>
          </cell>
          <cell r="AM14">
            <v>35400.368144744949</v>
          </cell>
          <cell r="AN14">
            <v>36693.295063585596</v>
          </cell>
          <cell r="AO14">
            <v>38607.977142570882</v>
          </cell>
          <cell r="AP14">
            <v>44121.076834705338</v>
          </cell>
          <cell r="AQ14">
            <v>48148.406190345027</v>
          </cell>
          <cell r="AR14">
            <v>44658.107656425382</v>
          </cell>
          <cell r="AS14">
            <v>44246.416337385876</v>
          </cell>
          <cell r="AT14">
            <v>47852.17726952571</v>
          </cell>
          <cell r="AU14">
            <v>44931.452467846495</v>
          </cell>
          <cell r="AV14">
            <v>46720.121899164886</v>
          </cell>
          <cell r="AW14">
            <v>47329.742393392873</v>
          </cell>
          <cell r="AX14">
            <v>40397.096370108273</v>
          </cell>
          <cell r="AY14">
            <v>41354.437001134611</v>
          </cell>
          <cell r="AZ14">
            <v>43300.915381351158</v>
          </cell>
        </row>
        <row r="15">
          <cell r="E15">
            <v>4097.1386365356848</v>
          </cell>
          <cell r="F15">
            <v>4552.9059171351228</v>
          </cell>
          <cell r="G15">
            <v>5100.1507117102346</v>
          </cell>
          <cell r="H15">
            <v>5821.3829081709282</v>
          </cell>
          <cell r="I15">
            <v>7005.8091293574489</v>
          </cell>
          <cell r="J15">
            <v>7514.1836694505419</v>
          </cell>
          <cell r="K15">
            <v>8824.8429817430624</v>
          </cell>
          <cell r="L15">
            <v>8929.4785167698137</v>
          </cell>
          <cell r="M15">
            <v>9119.649045922306</v>
          </cell>
          <cell r="N15">
            <v>10009.041913089553</v>
          </cell>
          <cell r="O15">
            <v>11166.617259139937</v>
          </cell>
          <cell r="P15">
            <v>12343.119356350697</v>
          </cell>
          <cell r="Q15">
            <v>12499.526775104521</v>
          </cell>
          <cell r="R15">
            <v>13479.944530621216</v>
          </cell>
          <cell r="S15">
            <v>13882.549408579931</v>
          </cell>
          <cell r="T15">
            <v>14106.853735657194</v>
          </cell>
          <cell r="U15">
            <v>14384.876725040522</v>
          </cell>
          <cell r="V15">
            <v>16221.445081601396</v>
          </cell>
          <cell r="W15">
            <v>18814.122481495921</v>
          </cell>
          <cell r="X15">
            <v>20676.153398175215</v>
          </cell>
          <cell r="Y15">
            <v>21449.711620543767</v>
          </cell>
          <cell r="Z15">
            <v>21751.063288248726</v>
          </cell>
          <cell r="AA15">
            <v>20856.563564076681</v>
          </cell>
          <cell r="AB15">
            <v>20096.614211601118</v>
          </cell>
          <cell r="AC15">
            <v>19913.052309865834</v>
          </cell>
          <cell r="AD15">
            <v>20593.198680180532</v>
          </cell>
          <cell r="AE15">
            <v>21234.123188702284</v>
          </cell>
          <cell r="AF15">
            <v>21837.164312120964</v>
          </cell>
          <cell r="AG15">
            <v>20942.315386365506</v>
          </cell>
          <cell r="AH15">
            <v>22197.497041756644</v>
          </cell>
          <cell r="AI15">
            <v>24141.251438226442</v>
          </cell>
          <cell r="AJ15">
            <v>23723.00911414803</v>
          </cell>
          <cell r="AK15">
            <v>24201.101833383524</v>
          </cell>
          <cell r="AL15">
            <v>28203.031218795259</v>
          </cell>
          <cell r="AM15">
            <v>31925.466180665087</v>
          </cell>
          <cell r="AN15">
            <v>36236.395091919658</v>
          </cell>
          <cell r="AO15">
            <v>40434.382899637822</v>
          </cell>
          <cell r="AP15">
            <v>44215.717948783175</v>
          </cell>
          <cell r="AQ15">
            <v>46400.867330999361</v>
          </cell>
          <cell r="AR15">
            <v>40544.741388474496</v>
          </cell>
          <cell r="AS15">
            <v>47119.191184157367</v>
          </cell>
          <cell r="AT15">
            <v>51826.036845011542</v>
          </cell>
          <cell r="AU15">
            <v>52147.945210503487</v>
          </cell>
          <cell r="AV15">
            <v>52190.444292713961</v>
          </cell>
          <cell r="AW15">
            <v>50555.083583281412</v>
          </cell>
          <cell r="AX15">
            <v>43115.788311827178</v>
          </cell>
          <cell r="AY15">
            <v>42170.358989375498</v>
          </cell>
          <cell r="AZ15">
            <v>45069.840224411746</v>
          </cell>
        </row>
        <row r="16">
          <cell r="E16">
            <v>993.2357820218017</v>
          </cell>
          <cell r="F16">
            <v>1149.220660729731</v>
          </cell>
          <cell r="G16">
            <v>1382.2165252658431</v>
          </cell>
          <cell r="H16">
            <v>1663.4426407352416</v>
          </cell>
          <cell r="I16">
            <v>1457.2038023535858</v>
          </cell>
          <cell r="J16">
            <v>1201.5672467314603</v>
          </cell>
          <cell r="K16">
            <v>1372.6436397205316</v>
          </cell>
          <cell r="L16">
            <v>1728.4440970177063</v>
          </cell>
          <cell r="M16">
            <v>2235.3788735553308</v>
          </cell>
          <cell r="N16">
            <v>2899.3954759555359</v>
          </cell>
          <cell r="O16">
            <v>3486.7765499572515</v>
          </cell>
          <cell r="P16">
            <v>3346.7080036507523</v>
          </cell>
          <cell r="Q16">
            <v>3458.4728466883139</v>
          </cell>
          <cell r="R16">
            <v>3450.5786404102137</v>
          </cell>
          <cell r="S16">
            <v>3614.8309142532003</v>
          </cell>
          <cell r="T16">
            <v>3811.903452813538</v>
          </cell>
          <cell r="U16">
            <v>4811.8642504081608</v>
          </cell>
          <cell r="V16">
            <v>5677.8586704083609</v>
          </cell>
          <cell r="W16">
            <v>6432.9888034825162</v>
          </cell>
          <cell r="X16">
            <v>6739.1391662805372</v>
          </cell>
          <cell r="Y16">
            <v>8076.2741483980208</v>
          </cell>
          <cell r="Z16">
            <v>8160.9331068061583</v>
          </cell>
          <cell r="AA16">
            <v>9566.4955814885925</v>
          </cell>
          <cell r="AB16">
            <v>8923.1330734252533</v>
          </cell>
          <cell r="AC16">
            <v>9827.1111060673029</v>
          </cell>
          <cell r="AD16">
            <v>11487.912255782199</v>
          </cell>
          <cell r="AE16">
            <v>11338.124510117092</v>
          </cell>
          <cell r="AF16">
            <v>10752.998378576109</v>
          </cell>
          <cell r="AG16">
            <v>11384.075605477692</v>
          </cell>
          <cell r="AH16">
            <v>11453.774151503698</v>
          </cell>
          <cell r="AI16">
            <v>10770.815605235315</v>
          </cell>
          <cell r="AJ16">
            <v>10996.228051759796</v>
          </cell>
          <cell r="AK16">
            <v>11853.731648798423</v>
          </cell>
          <cell r="AL16">
            <v>14652.897057358216</v>
          </cell>
          <cell r="AM16">
            <v>17228.967823952651</v>
          </cell>
          <cell r="AN16">
            <v>18456.709555124369</v>
          </cell>
          <cell r="AO16">
            <v>19839.025317811705</v>
          </cell>
          <cell r="AP16">
            <v>22713.741942367858</v>
          </cell>
          <cell r="AQ16">
            <v>25741.251507309331</v>
          </cell>
          <cell r="AR16">
            <v>23624.10279069937</v>
          </cell>
          <cell r="AS16">
            <v>22973.727285555458</v>
          </cell>
          <cell r="AT16">
            <v>24384.668484711092</v>
          </cell>
          <cell r="AU16">
            <v>22061.859258789387</v>
          </cell>
          <cell r="AV16">
            <v>21056.00314713925</v>
          </cell>
          <cell r="AW16">
            <v>20275.621537278628</v>
          </cell>
          <cell r="AX16">
            <v>16952.414590197117</v>
          </cell>
          <cell r="AY16">
            <v>17467.686301085574</v>
          </cell>
          <cell r="AZ16">
            <v>18683.786952005936</v>
          </cell>
        </row>
        <row r="17">
          <cell r="E17">
            <v>3462.7118512358247</v>
          </cell>
          <cell r="F17">
            <v>3846.5336283763713</v>
          </cell>
          <cell r="G17">
            <v>4655.290174662251</v>
          </cell>
          <cell r="H17">
            <v>6124.9989837058083</v>
          </cell>
          <cell r="I17">
            <v>6775.9421678698</v>
          </cell>
          <cell r="J17">
            <v>7994.6512380970817</v>
          </cell>
          <cell r="K17">
            <v>8772.5489461585075</v>
          </cell>
          <cell r="L17">
            <v>9767.2967048554601</v>
          </cell>
          <cell r="M17">
            <v>11813.354886304258</v>
          </cell>
          <cell r="N17">
            <v>13746.994600003478</v>
          </cell>
          <cell r="O17">
            <v>13881.309599927399</v>
          </cell>
          <cell r="P17">
            <v>12073.06278893442</v>
          </cell>
          <cell r="Q17">
            <v>11791.61211660576</v>
          </cell>
          <cell r="R17">
            <v>11845.614030725405</v>
          </cell>
          <cell r="S17">
            <v>11552.89010288781</v>
          </cell>
          <cell r="T17">
            <v>12251.782656592579</v>
          </cell>
          <cell r="U17">
            <v>17220.865479346903</v>
          </cell>
          <cell r="V17">
            <v>21300.390813317317</v>
          </cell>
          <cell r="W17">
            <v>22645.453603077127</v>
          </cell>
          <cell r="X17">
            <v>21830.822431403951</v>
          </cell>
          <cell r="Y17">
            <v>26842.426205210348</v>
          </cell>
          <cell r="Z17">
            <v>26964.593742507142</v>
          </cell>
          <cell r="AA17">
            <v>29584.368625100306</v>
          </cell>
          <cell r="AB17">
            <v>27549.047901051526</v>
          </cell>
          <cell r="AC17">
            <v>29934.753750191408</v>
          </cell>
          <cell r="AD17">
            <v>35354.570027274618</v>
          </cell>
          <cell r="AE17">
            <v>35776.405080249519</v>
          </cell>
          <cell r="AF17">
            <v>32968.838195194847</v>
          </cell>
          <cell r="AG17">
            <v>33393.838440609623</v>
          </cell>
          <cell r="AH17">
            <v>33447.493260705924</v>
          </cell>
          <cell r="AI17">
            <v>30704.745043898423</v>
          </cell>
          <cell r="AJ17">
            <v>30794.716447849987</v>
          </cell>
          <cell r="AK17">
            <v>33315.955681217303</v>
          </cell>
          <cell r="AL17">
            <v>40468.033223884013</v>
          </cell>
          <cell r="AM17">
            <v>46457.727817314146</v>
          </cell>
          <cell r="AN17">
            <v>48693.196343140953</v>
          </cell>
          <cell r="AO17">
            <v>51980.942280398427</v>
          </cell>
          <cell r="AP17">
            <v>58318.557165988692</v>
          </cell>
          <cell r="AQ17">
            <v>64207.55957615735</v>
          </cell>
          <cell r="AR17">
            <v>58084.335197641449</v>
          </cell>
          <cell r="AS17">
            <v>57967.424467725825</v>
          </cell>
          <cell r="AT17">
            <v>61617.02048389781</v>
          </cell>
          <cell r="AU17">
            <v>58281.913357786783</v>
          </cell>
          <cell r="AV17">
            <v>61016.524658391718</v>
          </cell>
          <cell r="AW17">
            <v>62324.392637317585</v>
          </cell>
          <cell r="AX17">
            <v>53263.534079432982</v>
          </cell>
          <cell r="AY17">
            <v>54679.994097364739</v>
          </cell>
          <cell r="AZ17">
            <v>57657.682842558708</v>
          </cell>
        </row>
        <row r="18">
          <cell r="E18">
            <v>2443.9109444046721</v>
          </cell>
          <cell r="F18">
            <v>2685.1550767057361</v>
          </cell>
          <cell r="G18">
            <v>3146.204339895407</v>
          </cell>
          <cell r="H18">
            <v>4134.1850563880826</v>
          </cell>
          <cell r="I18">
            <v>5256.3027135347293</v>
          </cell>
          <cell r="J18">
            <v>6218.1357762406942</v>
          </cell>
          <cell r="K18">
            <v>6699.4050230259691</v>
          </cell>
          <cell r="L18">
            <v>7033.5887486907332</v>
          </cell>
          <cell r="M18">
            <v>7606.9301014322064</v>
          </cell>
          <cell r="N18">
            <v>9299.6106934208274</v>
          </cell>
          <cell r="O18">
            <v>11212.651870425123</v>
          </cell>
          <cell r="P18">
            <v>10912.584211901793</v>
          </cell>
          <cell r="Q18">
            <v>10926.305971748257</v>
          </cell>
          <cell r="R18">
            <v>10491.791893056979</v>
          </cell>
          <cell r="S18">
            <v>10827.269229557523</v>
          </cell>
          <cell r="T18">
            <v>11384.876468576036</v>
          </cell>
          <cell r="U18">
            <v>14924.709946837349</v>
          </cell>
          <cell r="V18">
            <v>18527.606737906746</v>
          </cell>
          <cell r="W18">
            <v>21970.991437965105</v>
          </cell>
          <cell r="X18">
            <v>23909.43347702434</v>
          </cell>
          <cell r="Y18">
            <v>28421.475266711528</v>
          </cell>
          <cell r="Z18">
            <v>25502.453116828132</v>
          </cell>
          <cell r="AA18">
            <v>22398.747255905688</v>
          </cell>
          <cell r="AB18">
            <v>17597.769760729399</v>
          </cell>
          <cell r="AC18">
            <v>20207.580903404429</v>
          </cell>
          <cell r="AD18">
            <v>26176.962124475362</v>
          </cell>
          <cell r="AE18">
            <v>25696.036522633243</v>
          </cell>
          <cell r="AF18">
            <v>24651.836484174491</v>
          </cell>
          <cell r="AG18">
            <v>25947.660857101586</v>
          </cell>
          <cell r="AH18">
            <v>26082.289429949346</v>
          </cell>
          <cell r="AI18">
            <v>24287.031072364945</v>
          </cell>
          <cell r="AJ18">
            <v>24805.407348053901</v>
          </cell>
          <cell r="AK18">
            <v>26854.015624817177</v>
          </cell>
          <cell r="AL18">
            <v>32714.105691049135</v>
          </cell>
          <cell r="AM18">
            <v>37579.749665454387</v>
          </cell>
          <cell r="AN18">
            <v>38791.183068333143</v>
          </cell>
          <cell r="AO18">
            <v>41117.408201122867</v>
          </cell>
          <cell r="AP18">
            <v>48131.243141297855</v>
          </cell>
          <cell r="AQ18">
            <v>53384.442044233147</v>
          </cell>
          <cell r="AR18">
            <v>46980.466233398205</v>
          </cell>
          <cell r="AS18">
            <v>46218.799049234578</v>
          </cell>
          <cell r="AT18">
            <v>50842.029361457513</v>
          </cell>
          <cell r="AU18">
            <v>47478.468422199971</v>
          </cell>
          <cell r="AV18">
            <v>49663.246401805831</v>
          </cell>
          <cell r="AW18">
            <v>50002.591709423767</v>
          </cell>
          <cell r="AX18">
            <v>42320.583527880328</v>
          </cell>
          <cell r="AY18">
            <v>43459.183734700411</v>
          </cell>
          <cell r="AZ18">
            <v>45683.829827733891</v>
          </cell>
        </row>
        <row r="19">
          <cell r="E19">
            <v>2910.8744526474284</v>
          </cell>
          <cell r="F19">
            <v>3237.5416277641584</v>
          </cell>
          <cell r="G19">
            <v>3923.4759074226677</v>
          </cell>
          <cell r="H19">
            <v>5056.2786800170807</v>
          </cell>
          <cell r="I19">
            <v>5432.4908540407478</v>
          </cell>
          <cell r="J19">
            <v>6809.9423195999116</v>
          </cell>
          <cell r="K19">
            <v>6979.913160873939</v>
          </cell>
          <cell r="L19">
            <v>7661.2298344284909</v>
          </cell>
          <cell r="M19">
            <v>9441.9646199342933</v>
          </cell>
          <cell r="N19">
            <v>11397.292463657301</v>
          </cell>
          <cell r="O19">
            <v>12964.479766682271</v>
          </cell>
          <cell r="P19">
            <v>11344.7917203058</v>
          </cell>
          <cell r="Q19">
            <v>10724.560864981115</v>
          </cell>
          <cell r="R19">
            <v>10215.653913492966</v>
          </cell>
          <cell r="S19">
            <v>9636.5436900928198</v>
          </cell>
          <cell r="T19">
            <v>9982.4035317129947</v>
          </cell>
          <cell r="U19">
            <v>13840.893560907543</v>
          </cell>
          <cell r="V19">
            <v>16671.275363988916</v>
          </cell>
          <cell r="W19">
            <v>18101.726592373394</v>
          </cell>
          <cell r="X19">
            <v>18177.581345382445</v>
          </cell>
          <cell r="Y19">
            <v>22296.021076656951</v>
          </cell>
          <cell r="Z19">
            <v>22188.171628966807</v>
          </cell>
          <cell r="AA19">
            <v>24349.106638234331</v>
          </cell>
          <cell r="AB19">
            <v>22859.193257507774</v>
          </cell>
          <cell r="AC19">
            <v>23969.377137628715</v>
          </cell>
          <cell r="AD19">
            <v>27471.682189998548</v>
          </cell>
          <cell r="AE19">
            <v>27521.514302777137</v>
          </cell>
          <cell r="AF19">
            <v>24675.22469259605</v>
          </cell>
          <cell r="AG19">
            <v>25408.690314139494</v>
          </cell>
          <cell r="AH19">
            <v>25119.652152497936</v>
          </cell>
          <cell r="AI19">
            <v>22815.652879972891</v>
          </cell>
          <cell r="AJ19">
            <v>23034.070461421838</v>
          </cell>
          <cell r="AK19">
            <v>24740.525026485644</v>
          </cell>
          <cell r="AL19">
            <v>30388.060821571613</v>
          </cell>
          <cell r="AM19">
            <v>34818.8225561851</v>
          </cell>
          <cell r="AN19">
            <v>35927.811228747472</v>
          </cell>
          <cell r="AO19">
            <v>37666.688898672124</v>
          </cell>
          <cell r="AP19">
            <v>42930.263563413289</v>
          </cell>
          <cell r="AQ19">
            <v>46847.749690804849</v>
          </cell>
          <cell r="AR19">
            <v>42911.252510866594</v>
          </cell>
          <cell r="AS19">
            <v>41886.983207444966</v>
          </cell>
          <cell r="AT19">
            <v>45150.592697829372</v>
          </cell>
          <cell r="AU19">
            <v>42111.964021549255</v>
          </cell>
          <cell r="AV19">
            <v>43961.259273244352</v>
          </cell>
          <cell r="AW19">
            <v>44398.99648920777</v>
          </cell>
          <cell r="AX19">
            <v>37854.576370056413</v>
          </cell>
          <cell r="AY19">
            <v>38176.837460460694</v>
          </cell>
          <cell r="AZ19">
            <v>39737.792180588243</v>
          </cell>
        </row>
        <row r="20">
          <cell r="E20">
            <v>2736.3094673863984</v>
          </cell>
          <cell r="F20">
            <v>3160.4355907795903</v>
          </cell>
          <cell r="G20">
            <v>3789.5252553734454</v>
          </cell>
          <cell r="H20">
            <v>5029.3801948936771</v>
          </cell>
          <cell r="I20">
            <v>5626.1487987614764</v>
          </cell>
          <cell r="J20">
            <v>6200.3515409128868</v>
          </cell>
          <cell r="K20">
            <v>6574.0632442144179</v>
          </cell>
          <cell r="L20">
            <v>7598.3014365618064</v>
          </cell>
          <cell r="M20">
            <v>9390.589906169429</v>
          </cell>
          <cell r="N20">
            <v>11191.150354405123</v>
          </cell>
          <cell r="O20">
            <v>12094.408209750703</v>
          </cell>
          <cell r="P20">
            <v>10201.455841187217</v>
          </cell>
          <cell r="Q20">
            <v>9930.0982664049843</v>
          </cell>
          <cell r="R20">
            <v>9872.7241314059575</v>
          </cell>
          <cell r="S20">
            <v>9291.6307784934943</v>
          </cell>
          <cell r="T20">
            <v>9393.0020744895428</v>
          </cell>
          <cell r="U20">
            <v>13361.168415677872</v>
          </cell>
          <cell r="V20">
            <v>16527.001122606162</v>
          </cell>
          <cell r="W20">
            <v>17867.622764862492</v>
          </cell>
          <cell r="X20">
            <v>17658.505540603841</v>
          </cell>
          <cell r="Y20">
            <v>22245.161702608275</v>
          </cell>
          <cell r="Z20">
            <v>23377.272886777482</v>
          </cell>
          <cell r="AA20">
            <v>26484.718317530784</v>
          </cell>
          <cell r="AB20">
            <v>25707.87056268493</v>
          </cell>
          <cell r="AC20">
            <v>27307.198820131311</v>
          </cell>
          <cell r="AD20">
            <v>31880.608279051776</v>
          </cell>
          <cell r="AE20">
            <v>30702.597253055817</v>
          </cell>
          <cell r="AF20">
            <v>27239.309258233854</v>
          </cell>
          <cell r="AG20">
            <v>27484.921575702701</v>
          </cell>
          <cell r="AH20">
            <v>26999.955425528133</v>
          </cell>
          <cell r="AI20">
            <v>23929.974268528182</v>
          </cell>
          <cell r="AJ20">
            <v>23915.860910651227</v>
          </cell>
          <cell r="AK20">
            <v>25486.488044288457</v>
          </cell>
          <cell r="AL20">
            <v>30727.233054530825</v>
          </cell>
          <cell r="AM20">
            <v>34509.91080583138</v>
          </cell>
          <cell r="AN20">
            <v>35018.450560412755</v>
          </cell>
          <cell r="AO20">
            <v>36791.599820417745</v>
          </cell>
          <cell r="AP20">
            <v>42289.298732294672</v>
          </cell>
          <cell r="AQ20">
            <v>46221.574840790709</v>
          </cell>
          <cell r="AR20">
            <v>42240.152906389303</v>
          </cell>
          <cell r="AS20">
            <v>42277.138659520991</v>
          </cell>
          <cell r="AT20">
            <v>46457.61661751385</v>
          </cell>
          <cell r="AU20">
            <v>43668.001608166676</v>
          </cell>
          <cell r="AV20">
            <v>46145.249790758979</v>
          </cell>
          <cell r="AW20">
            <v>47858.830292882296</v>
          </cell>
          <cell r="AX20">
            <v>41366.92373231674</v>
          </cell>
          <cell r="AY20">
            <v>42712.392129243497</v>
          </cell>
          <cell r="AZ20">
            <v>44946.74797001484</v>
          </cell>
        </row>
        <row r="21">
          <cell r="E21">
            <v>2538.3368333773592</v>
          </cell>
          <cell r="F21">
            <v>3188.6049355829405</v>
          </cell>
          <cell r="G21">
            <v>3940.4270500978905</v>
          </cell>
          <cell r="H21">
            <v>5325.6714313907923</v>
          </cell>
          <cell r="I21">
            <v>6924.7434903021394</v>
          </cell>
          <cell r="J21">
            <v>6356.1150639702846</v>
          </cell>
          <cell r="K21">
            <v>7466.2182068264246</v>
          </cell>
          <cell r="L21">
            <v>9789.1322604446923</v>
          </cell>
          <cell r="M21">
            <v>11039.959915235333</v>
          </cell>
          <cell r="N21">
            <v>12433.107123744488</v>
          </cell>
          <cell r="O21">
            <v>14594.177331312265</v>
          </cell>
          <cell r="P21">
            <v>14918.920256303541</v>
          </cell>
          <cell r="Q21">
            <v>13542.791519661849</v>
          </cell>
          <cell r="R21">
            <v>11545.586283307699</v>
          </cell>
          <cell r="S21">
            <v>11817.034307895883</v>
          </cell>
          <cell r="T21">
            <v>12169.149187439461</v>
          </cell>
          <cell r="U21">
            <v>16086.875386258806</v>
          </cell>
          <cell r="V21">
            <v>22013.388972540637</v>
          </cell>
          <cell r="W21">
            <v>24088.194986306637</v>
          </cell>
          <cell r="X21">
            <v>22140.435809566068</v>
          </cell>
          <cell r="Y21">
            <v>24987.581729355443</v>
          </cell>
          <cell r="Z21">
            <v>26423.629359065926</v>
          </cell>
          <cell r="AA21">
            <v>26815.489042902005</v>
          </cell>
          <cell r="AB21">
            <v>23325.02526879264</v>
          </cell>
          <cell r="AC21">
            <v>23741.619258650211</v>
          </cell>
          <cell r="AD21">
            <v>26223.255962545165</v>
          </cell>
          <cell r="AE21">
            <v>27136.647192300574</v>
          </cell>
          <cell r="AF21">
            <v>27798.825355965517</v>
          </cell>
          <cell r="AG21">
            <v>30854.392381291411</v>
          </cell>
          <cell r="AH21">
            <v>32287.076402634324</v>
          </cell>
          <cell r="AI21">
            <v>32105.998135040205</v>
          </cell>
          <cell r="AJ21">
            <v>29003.725704913628</v>
          </cell>
          <cell r="AK21">
            <v>32575.221134199466</v>
          </cell>
          <cell r="AL21">
            <v>39638.750614685778</v>
          </cell>
          <cell r="AM21">
            <v>47525.139661426845</v>
          </cell>
          <cell r="AN21">
            <v>56995.714227114469</v>
          </cell>
          <cell r="AO21">
            <v>57440.137594752574</v>
          </cell>
          <cell r="AP21">
            <v>70494.636084534737</v>
          </cell>
          <cell r="AQ21">
            <v>57594.628346907528</v>
          </cell>
          <cell r="AR21">
            <v>41648.964316673308</v>
          </cell>
          <cell r="AS21">
            <v>42717.744593042131</v>
          </cell>
          <cell r="AT21">
            <v>46869.835237989224</v>
          </cell>
          <cell r="AU21">
            <v>45231.6505102511</v>
          </cell>
          <cell r="AV21">
            <v>49027.815664665824</v>
          </cell>
          <cell r="AW21">
            <v>54064.858359795289</v>
          </cell>
          <cell r="AX21">
            <v>52519.405125922429</v>
          </cell>
          <cell r="AY21">
            <v>62232.149905522361</v>
          </cell>
          <cell r="AZ21">
            <v>72954.137381077278</v>
          </cell>
        </row>
        <row r="22">
          <cell r="E22">
            <v>1492.0720146250947</v>
          </cell>
          <cell r="F22">
            <v>1709.1085452140312</v>
          </cell>
          <cell r="G22">
            <v>2087.4306643193381</v>
          </cell>
          <cell r="H22">
            <v>2432.5578257360858</v>
          </cell>
          <cell r="I22">
            <v>2524.852363409902</v>
          </cell>
          <cell r="J22">
            <v>2982.1677706849541</v>
          </cell>
          <cell r="K22">
            <v>2923.4014876479264</v>
          </cell>
          <cell r="L22">
            <v>3421.8011144972761</v>
          </cell>
          <cell r="M22">
            <v>4386.917186411486</v>
          </cell>
          <cell r="N22">
            <v>5407.9935006693049</v>
          </cell>
          <cell r="O22">
            <v>6338.7991221422826</v>
          </cell>
          <cell r="P22">
            <v>5959.1085307098874</v>
          </cell>
          <cell r="Q22">
            <v>6133.53881084967</v>
          </cell>
          <cell r="R22">
            <v>5886.6425209299796</v>
          </cell>
          <cell r="S22">
            <v>5667.980575810594</v>
          </cell>
          <cell r="T22">
            <v>5973.6397950158753</v>
          </cell>
          <cell r="U22">
            <v>8050.0796685619371</v>
          </cell>
          <cell r="V22">
            <v>9507.9266753645261</v>
          </cell>
          <cell r="W22">
            <v>10595.419249101737</v>
          </cell>
          <cell r="X22">
            <v>11013.222449877203</v>
          </cell>
          <cell r="Y22">
            <v>13831.081634076783</v>
          </cell>
          <cell r="Z22">
            <v>13938.155121316977</v>
          </cell>
          <cell r="AA22">
            <v>15601.971837438283</v>
          </cell>
          <cell r="AB22">
            <v>14554.449227535004</v>
          </cell>
          <cell r="AC22">
            <v>15762.44238900474</v>
          </cell>
          <cell r="AD22">
            <v>18957.613752808742</v>
          </cell>
          <cell r="AE22">
            <v>20620.00255064814</v>
          </cell>
          <cell r="AF22">
            <v>22310.98061987941</v>
          </cell>
          <cell r="AG22">
            <v>24018.223870771642</v>
          </cell>
          <cell r="AH22">
            <v>26000.270656867153</v>
          </cell>
          <cell r="AI22">
            <v>25944.06152085754</v>
          </cell>
          <cell r="AJ22">
            <v>27882.279481225891</v>
          </cell>
          <cell r="AK22">
            <v>32190.827223782584</v>
          </cell>
          <cell r="AL22">
            <v>40498.356976718627</v>
          </cell>
          <cell r="AM22">
            <v>46987.598422669915</v>
          </cell>
          <cell r="AN22">
            <v>50320.711458904239</v>
          </cell>
          <cell r="AO22">
            <v>53911.237007275697</v>
          </cell>
          <cell r="AP22">
            <v>61390.522622066528</v>
          </cell>
          <cell r="AQ22">
            <v>61252.822919870836</v>
          </cell>
          <cell r="AR22">
            <v>51663.023985653439</v>
          </cell>
          <cell r="AS22">
            <v>47979.998824273905</v>
          </cell>
          <cell r="AT22">
            <v>51044.711521241785</v>
          </cell>
          <cell r="AU22">
            <v>48096.274633575857</v>
          </cell>
          <cell r="AV22">
            <v>51046.921091071337</v>
          </cell>
          <cell r="AW22">
            <v>55266.927523719438</v>
          </cell>
          <cell r="AX22">
            <v>61913.484097276931</v>
          </cell>
          <cell r="AY22">
            <v>63736.154270195708</v>
          </cell>
          <cell r="AZ22">
            <v>69310.285185648958</v>
          </cell>
        </row>
        <row r="23">
          <cell r="E23">
            <v>2110.3867849841135</v>
          </cell>
          <cell r="F23">
            <v>2166.6054051734823</v>
          </cell>
          <cell r="G23">
            <v>2755.1582499484166</v>
          </cell>
          <cell r="H23">
            <v>3427.0471295647831</v>
          </cell>
          <cell r="I23">
            <v>4511.6037854488395</v>
          </cell>
          <cell r="J23">
            <v>4338.9580293458321</v>
          </cell>
          <cell r="K23">
            <v>4450.5181966493801</v>
          </cell>
          <cell r="L23">
            <v>4711.8147981701586</v>
          </cell>
          <cell r="M23">
            <v>4547.7243643600978</v>
          </cell>
          <cell r="N23">
            <v>5739.7288936126397</v>
          </cell>
          <cell r="O23">
            <v>6392.7893356071445</v>
          </cell>
          <cell r="P23">
            <v>6655.6798931231442</v>
          </cell>
          <cell r="Q23">
            <v>7144.8015242565471</v>
          </cell>
          <cell r="R23">
            <v>7832.8262243985819</v>
          </cell>
          <cell r="S23">
            <v>7227.0569931750215</v>
          </cell>
          <cell r="T23">
            <v>6705.9656820206392</v>
          </cell>
          <cell r="U23">
            <v>8180.1743387356692</v>
          </cell>
          <cell r="V23">
            <v>9670.6018567997235</v>
          </cell>
          <cell r="W23">
            <v>11619.720511765374</v>
          </cell>
          <cell r="X23">
            <v>11329.150615312858</v>
          </cell>
          <cell r="Y23">
            <v>13051.824762275093</v>
          </cell>
          <cell r="Z23">
            <v>14482.624920367385</v>
          </cell>
          <cell r="AA23">
            <v>15649.924395147455</v>
          </cell>
          <cell r="AB23">
            <v>15164.281855673824</v>
          </cell>
          <cell r="AC23">
            <v>16636.448497620629</v>
          </cell>
          <cell r="AD23">
            <v>18748.644238663492</v>
          </cell>
          <cell r="AE23">
            <v>20043.450556542848</v>
          </cell>
          <cell r="AF23">
            <v>20420.687470434397</v>
          </cell>
          <cell r="AG23">
            <v>20120.689445831114</v>
          </cell>
          <cell r="AH23">
            <v>19858.20899322275</v>
          </cell>
          <cell r="AI23">
            <v>21949.731456675636</v>
          </cell>
          <cell r="AJ23">
            <v>21371.948583333469</v>
          </cell>
          <cell r="AK23">
            <v>19393.247784000891</v>
          </cell>
          <cell r="AL23">
            <v>20001.515075393901</v>
          </cell>
          <cell r="AM23">
            <v>20869.316801948793</v>
          </cell>
          <cell r="AN23">
            <v>21505.474051828194</v>
          </cell>
          <cell r="AO23">
            <v>22797.21536455338</v>
          </cell>
          <cell r="AP23">
            <v>25857.019350150989</v>
          </cell>
          <cell r="AQ23">
            <v>30433.637059152563</v>
          </cell>
          <cell r="AR23">
            <v>28481.42412624288</v>
          </cell>
          <cell r="AS23">
            <v>31511.081599023102</v>
          </cell>
          <cell r="AT23">
            <v>34615.910053596526</v>
          </cell>
          <cell r="AU23">
            <v>33380.503318242838</v>
          </cell>
          <cell r="AV23">
            <v>37462.737042911453</v>
          </cell>
          <cell r="AW23">
            <v>39036.287251164133</v>
          </cell>
          <cell r="AX23">
            <v>37199.857598945113</v>
          </cell>
          <cell r="AY23">
            <v>38908.313230704829</v>
          </cell>
          <cell r="AZ23">
            <v>42363.509393118125</v>
          </cell>
        </row>
        <row r="24">
          <cell r="E24">
            <v>2109.0476951617552</v>
          </cell>
          <cell r="F24">
            <v>2298.4275345094065</v>
          </cell>
          <cell r="G24">
            <v>2669.3167889201482</v>
          </cell>
          <cell r="H24">
            <v>3200.2851069996123</v>
          </cell>
          <cell r="I24">
            <v>3616.7209259619785</v>
          </cell>
          <cell r="J24">
            <v>4102.6051795914518</v>
          </cell>
          <cell r="K24">
            <v>4028.4662938225197</v>
          </cell>
          <cell r="L24">
            <v>4602.0178541102323</v>
          </cell>
          <cell r="M24">
            <v>5601.4389918380257</v>
          </cell>
          <cell r="N24">
            <v>6969.2853637895842</v>
          </cell>
          <cell r="O24">
            <v>8436.8322318186274</v>
          </cell>
          <cell r="P24">
            <v>7582.6530391485485</v>
          </cell>
          <cell r="Q24">
            <v>7510.9654806605331</v>
          </cell>
          <cell r="R24">
            <v>7776.3950729605313</v>
          </cell>
          <cell r="S24">
            <v>7657.4928497282363</v>
          </cell>
          <cell r="T24">
            <v>7910.5664681225571</v>
          </cell>
          <cell r="U24">
            <v>11180.863968842192</v>
          </cell>
          <cell r="V24">
            <v>14065.645611732269</v>
          </cell>
          <cell r="W24">
            <v>15568.324032967161</v>
          </cell>
          <cell r="X24">
            <v>16213.426117553292</v>
          </cell>
          <cell r="Y24">
            <v>20655.688576634006</v>
          </cell>
          <cell r="Z24">
            <v>21696.332668888979</v>
          </cell>
          <cell r="AA24">
            <v>23081.407003402481</v>
          </cell>
          <cell r="AB24">
            <v>18522.839219938236</v>
          </cell>
          <cell r="AC24">
            <v>19213.514688417577</v>
          </cell>
          <cell r="AD24">
            <v>20434.827989049449</v>
          </cell>
          <cell r="AE24">
            <v>22890.223798591753</v>
          </cell>
          <cell r="AF24">
            <v>21684.045963182587</v>
          </cell>
          <cell r="AG24">
            <v>22220.841147370858</v>
          </cell>
          <cell r="AH24">
            <v>21860.795073968886</v>
          </cell>
          <cell r="AI24">
            <v>19897.468692903865</v>
          </cell>
          <cell r="AJ24">
            <v>20171.679073872307</v>
          </cell>
          <cell r="AK24">
            <v>21971.647785697336</v>
          </cell>
          <cell r="AL24">
            <v>27000.516414972553</v>
          </cell>
          <cell r="AM24">
            <v>30772.016557259612</v>
          </cell>
          <cell r="AN24">
            <v>31458.046087363859</v>
          </cell>
          <cell r="AO24">
            <v>32836.904781168436</v>
          </cell>
          <cell r="AP24">
            <v>37091.042594139428</v>
          </cell>
          <cell r="AQ24">
            <v>40166.457868309946</v>
          </cell>
          <cell r="AR24">
            <v>36719.181691406899</v>
          </cell>
          <cell r="AS24">
            <v>35660.586754271833</v>
          </cell>
          <cell r="AT24">
            <v>38152.656408822986</v>
          </cell>
          <cell r="AU24">
            <v>34653.728560391035</v>
          </cell>
          <cell r="AV24">
            <v>35697.52631226118</v>
          </cell>
          <cell r="AW24">
            <v>36082.50225540813</v>
          </cell>
          <cell r="AX24">
            <v>30754.125439052954</v>
          </cell>
          <cell r="AY24">
            <v>31483.955675169895</v>
          </cell>
          <cell r="AZ24">
            <v>32733.573280549266</v>
          </cell>
        </row>
        <row r="25">
          <cell r="E25">
            <v>2030.0089068785164</v>
          </cell>
          <cell r="F25">
            <v>2255.1034682814811</v>
          </cell>
          <cell r="G25">
            <v>2945.0705446268948</v>
          </cell>
          <cell r="H25">
            <v>3944.0211925405411</v>
          </cell>
          <cell r="I25">
            <v>4323.1502969139619</v>
          </cell>
          <cell r="J25">
            <v>4643.1756845321834</v>
          </cell>
          <cell r="K25">
            <v>5154.3620609679756</v>
          </cell>
          <cell r="L25">
            <v>6278.3483537665561</v>
          </cell>
          <cell r="M25">
            <v>8715.1392703416186</v>
          </cell>
          <cell r="N25">
            <v>9069.2840597647337</v>
          </cell>
          <cell r="O25">
            <v>9420.5630624712667</v>
          </cell>
          <cell r="P25">
            <v>10274.273932219974</v>
          </cell>
          <cell r="Q25">
            <v>9446.9264316173285</v>
          </cell>
          <cell r="R25">
            <v>10295.74630909119</v>
          </cell>
          <cell r="S25">
            <v>10891.107081034786</v>
          </cell>
          <cell r="T25">
            <v>11485.385175518015</v>
          </cell>
          <cell r="U25">
            <v>16976.868885552136</v>
          </cell>
          <cell r="V25">
            <v>20555.200348694194</v>
          </cell>
          <cell r="W25">
            <v>24839.198955090145</v>
          </cell>
          <cell r="X25">
            <v>24583.113912249923</v>
          </cell>
          <cell r="Y25">
            <v>25137.420576191442</v>
          </cell>
          <cell r="Z25">
            <v>28653.750132383528</v>
          </cell>
          <cell r="AA25">
            <v>31194.782840909989</v>
          </cell>
          <cell r="AB25">
            <v>35396.816609172689</v>
          </cell>
          <cell r="AC25">
            <v>38948.72520108489</v>
          </cell>
          <cell r="AD25">
            <v>43125.459859834817</v>
          </cell>
          <cell r="AE25">
            <v>38135.385260242503</v>
          </cell>
          <cell r="AF25">
            <v>34751.054477801816</v>
          </cell>
          <cell r="AG25">
            <v>31700.517050378745</v>
          </cell>
          <cell r="AH25">
            <v>35810.808858111421</v>
          </cell>
          <cell r="AI25">
            <v>38342.735693502</v>
          </cell>
          <cell r="AJ25">
            <v>33666.471682989737</v>
          </cell>
          <cell r="AK25">
            <v>32212.007297802258</v>
          </cell>
          <cell r="AL25">
            <v>34747.2220025469</v>
          </cell>
          <cell r="AM25">
            <v>37593.506437755386</v>
          </cell>
          <cell r="AN25">
            <v>37090.205436725948</v>
          </cell>
          <cell r="AO25">
            <v>35271.310972806736</v>
          </cell>
          <cell r="AP25">
            <v>35173.660767535344</v>
          </cell>
          <cell r="AQ25">
            <v>39206.378267867185</v>
          </cell>
          <cell r="AR25">
            <v>40679.287792940653</v>
          </cell>
          <cell r="AS25">
            <v>44340.07775476035</v>
          </cell>
          <cell r="AT25">
            <v>47935.728770931026</v>
          </cell>
          <cell r="AU25">
            <v>48276.684329911521</v>
          </cell>
          <cell r="AV25">
            <v>40214.188875134321</v>
          </cell>
          <cell r="AW25">
            <v>37842.472818493021</v>
          </cell>
          <cell r="AX25">
            <v>34303.585638940618</v>
          </cell>
          <cell r="AY25">
            <v>38777.22302064133</v>
          </cell>
          <cell r="AZ25">
            <v>38265.105680836015</v>
          </cell>
        </row>
        <row r="26">
          <cell r="E26">
            <v>4443.1459690050287</v>
          </cell>
          <cell r="F26">
            <v>4594.550910801634</v>
          </cell>
          <cell r="G26">
            <v>5704.8057652353064</v>
          </cell>
          <cell r="H26">
            <v>7760.1322302418621</v>
          </cell>
          <cell r="I26">
            <v>9385.0346252302897</v>
          </cell>
          <cell r="J26">
            <v>9134.1703584635416</v>
          </cell>
          <cell r="K26">
            <v>9940.0916385277251</v>
          </cell>
          <cell r="L26">
            <v>10928.032245214057</v>
          </cell>
          <cell r="M26">
            <v>13529.306062762931</v>
          </cell>
          <cell r="N26">
            <v>15743.394626077417</v>
          </cell>
          <cell r="O26">
            <v>17119.532861953972</v>
          </cell>
          <cell r="P26">
            <v>14342.170902541526</v>
          </cell>
          <cell r="Q26">
            <v>13049.595982448549</v>
          </cell>
          <cell r="R26">
            <v>12821.123702111934</v>
          </cell>
          <cell r="S26">
            <v>12561.157364097377</v>
          </cell>
          <cell r="T26">
            <v>12915.319103585874</v>
          </cell>
          <cell r="U26">
            <v>18774.011690798718</v>
          </cell>
          <cell r="V26">
            <v>23214.336452174477</v>
          </cell>
          <cell r="W26">
            <v>26062.779505396695</v>
          </cell>
          <cell r="X26">
            <v>27512.161596585705</v>
          </cell>
          <cell r="Y26">
            <v>34650.140791689693</v>
          </cell>
          <cell r="Z26">
            <v>37068.939205698429</v>
          </cell>
          <cell r="AA26">
            <v>41049.276389009538</v>
          </cell>
          <cell r="AB26">
            <v>41547.372614097425</v>
          </cell>
          <cell r="AC26">
            <v>45539.423553734414</v>
          </cell>
          <cell r="AD26">
            <v>52893.552163548113</v>
          </cell>
          <cell r="AE26">
            <v>52599.546310498336</v>
          </cell>
          <cell r="AF26">
            <v>46983.03853809998</v>
          </cell>
          <cell r="AG26">
            <v>47456.813565411794</v>
          </cell>
          <cell r="AH26">
            <v>51558.641575190952</v>
          </cell>
          <cell r="AI26">
            <v>48757.973478742409</v>
          </cell>
          <cell r="AJ26">
            <v>48324.227815664766</v>
          </cell>
          <cell r="AK26">
            <v>53225.195447190381</v>
          </cell>
          <cell r="AL26">
            <v>66073.623219962348</v>
          </cell>
          <cell r="AM26">
            <v>76771.426655364208</v>
          </cell>
          <cell r="AN26">
            <v>81570.641623092684</v>
          </cell>
          <cell r="AO26">
            <v>91100.356682576021</v>
          </cell>
          <cell r="AP26">
            <v>107190.15039117631</v>
          </cell>
          <cell r="AQ26">
            <v>115133.3328145453</v>
          </cell>
          <cell r="AR26">
            <v>103505.18337467432</v>
          </cell>
          <cell r="AS26">
            <v>104771.86316695184</v>
          </cell>
          <cell r="AT26">
            <v>115406.61389273014</v>
          </cell>
          <cell r="AU26">
            <v>106460.07845232885</v>
          </cell>
          <cell r="AV26">
            <v>113341.23746284796</v>
          </cell>
          <cell r="AW26">
            <v>118824.28913962567</v>
          </cell>
          <cell r="AX26">
            <v>100935.70097275476</v>
          </cell>
          <cell r="AY26">
            <v>102791.37486161984</v>
          </cell>
          <cell r="AZ26">
            <v>107356.29975381721</v>
          </cell>
        </row>
        <row r="27">
          <cell r="E27">
            <v>2935.3366408389884</v>
          </cell>
          <cell r="F27">
            <v>3390.6197230104322</v>
          </cell>
          <cell r="G27">
            <v>4115.7684603215812</v>
          </cell>
          <cell r="H27">
            <v>5348.961555058967</v>
          </cell>
          <cell r="I27">
            <v>6432.5380391047684</v>
          </cell>
          <cell r="J27">
            <v>7308.1833895076852</v>
          </cell>
          <cell r="K27">
            <v>7902.4962463142829</v>
          </cell>
          <cell r="L27">
            <v>9141.3487894586851</v>
          </cell>
          <cell r="M27">
            <v>11155.558543084055</v>
          </cell>
          <cell r="N27">
            <v>12794.456417923242</v>
          </cell>
          <cell r="O27">
            <v>13782.462558526873</v>
          </cell>
          <cell r="P27">
            <v>11530.00088654458</v>
          </cell>
          <cell r="Q27">
            <v>11052.647889150616</v>
          </cell>
          <cell r="R27">
            <v>10650.602124481871</v>
          </cell>
          <cell r="S27">
            <v>9974.0218289779405</v>
          </cell>
          <cell r="T27">
            <v>9921.4900093696069</v>
          </cell>
          <cell r="U27">
            <v>13771.127290092221</v>
          </cell>
          <cell r="V27">
            <v>16686.362249754795</v>
          </cell>
          <cell r="W27">
            <v>17733.81116252713</v>
          </cell>
          <cell r="X27">
            <v>17351.939365060254</v>
          </cell>
          <cell r="Y27">
            <v>21248.946239364166</v>
          </cell>
          <cell r="Z27">
            <v>21706.633978821363</v>
          </cell>
          <cell r="AA27">
            <v>23935.335821992841</v>
          </cell>
          <cell r="AB27">
            <v>23185.738858106291</v>
          </cell>
          <cell r="AC27">
            <v>24659.837388217413</v>
          </cell>
          <cell r="AD27">
            <v>29221.900314400493</v>
          </cell>
          <cell r="AE27">
            <v>28914.259902571794</v>
          </cell>
          <cell r="AF27">
            <v>26636.049049933012</v>
          </cell>
          <cell r="AG27">
            <v>27817.211957057083</v>
          </cell>
          <cell r="AH27">
            <v>28227.675208453802</v>
          </cell>
          <cell r="AI27">
            <v>26120.500398463209</v>
          </cell>
          <cell r="AJ27">
            <v>26907.037869751708</v>
          </cell>
          <cell r="AK27">
            <v>29297.926706146449</v>
          </cell>
          <cell r="AL27">
            <v>35738.642750045969</v>
          </cell>
          <cell r="AM27">
            <v>40338.469847024491</v>
          </cell>
          <cell r="AN27">
            <v>41852.104073291157</v>
          </cell>
          <cell r="AO27">
            <v>44585.77262521151</v>
          </cell>
          <cell r="AP27">
            <v>51311.390716794078</v>
          </cell>
          <cell r="AQ27">
            <v>57216.200103158153</v>
          </cell>
          <cell r="AR27">
            <v>52204.478446587178</v>
          </cell>
          <cell r="AS27">
            <v>50770.497749284492</v>
          </cell>
          <cell r="AT27">
            <v>54012.062614320057</v>
          </cell>
          <cell r="AU27">
            <v>49972.910989370721</v>
          </cell>
          <cell r="AV27">
            <v>52079.312576827375</v>
          </cell>
          <cell r="AW27">
            <v>52755.119851816729</v>
          </cell>
          <cell r="AX27">
            <v>45163.3851875904</v>
          </cell>
          <cell r="AY27">
            <v>46175.50224693292</v>
          </cell>
          <cell r="AZ27">
            <v>48830.449046219692</v>
          </cell>
        </row>
        <row r="28">
          <cell r="E28">
            <v>2305.171603473902</v>
          </cell>
          <cell r="F28">
            <v>2764.9589041048175</v>
          </cell>
          <cell r="G28">
            <v>3296.3314157216851</v>
          </cell>
          <cell r="H28">
            <v>4249.9140134387771</v>
          </cell>
          <cell r="I28">
            <v>4688.0571870078566</v>
          </cell>
          <cell r="J28">
            <v>4484.5501465792395</v>
          </cell>
          <cell r="K28">
            <v>4472.804582492915</v>
          </cell>
          <cell r="L28">
            <v>4869.9876483071066</v>
          </cell>
          <cell r="M28">
            <v>5901.9564989089013</v>
          </cell>
          <cell r="N28">
            <v>6697.0980561012238</v>
          </cell>
          <cell r="O28">
            <v>7425.3132161853719</v>
          </cell>
          <cell r="P28">
            <v>7956.3690311132232</v>
          </cell>
          <cell r="Q28">
            <v>7866.6558495913023</v>
          </cell>
          <cell r="R28">
            <v>7739.7293363340004</v>
          </cell>
          <cell r="S28">
            <v>7384.4223856904455</v>
          </cell>
          <cell r="T28">
            <v>7376.3860902333854</v>
          </cell>
          <cell r="U28">
            <v>9206.369807166755</v>
          </cell>
          <cell r="V28">
            <v>11615.692184503599</v>
          </cell>
          <cell r="W28">
            <v>13883.536416013962</v>
          </cell>
          <cell r="X28">
            <v>13280.205049335651</v>
          </cell>
          <cell r="Y28">
            <v>13371.951515697263</v>
          </cell>
          <cell r="Z28">
            <v>12719.483922151258</v>
          </cell>
          <cell r="AA28">
            <v>12006.544070089441</v>
          </cell>
          <cell r="AB28">
            <v>12804.55900129725</v>
          </cell>
          <cell r="AC28">
            <v>14783.319469463986</v>
          </cell>
          <cell r="AD28">
            <v>17184.363520888528</v>
          </cell>
          <cell r="AE28">
            <v>18694.103498756776</v>
          </cell>
          <cell r="AF28">
            <v>18468.937640078435</v>
          </cell>
          <cell r="AG28">
            <v>15111.170003017991</v>
          </cell>
          <cell r="AH28">
            <v>15694.004473916688</v>
          </cell>
          <cell r="AI28">
            <v>14108.161148784957</v>
          </cell>
          <cell r="AJ28">
            <v>13845.956917122172</v>
          </cell>
          <cell r="AK28">
            <v>15775.204078213446</v>
          </cell>
          <cell r="AL28">
            <v>20862.492318505723</v>
          </cell>
          <cell r="AM28">
            <v>24997.31646455601</v>
          </cell>
          <cell r="AN28">
            <v>27808.978914748554</v>
          </cell>
          <cell r="AO28">
            <v>26756.383368327657</v>
          </cell>
          <cell r="AP28">
            <v>32363.598652634882</v>
          </cell>
          <cell r="AQ28">
            <v>31086.93238592206</v>
          </cell>
          <cell r="AR28">
            <v>27986.701459610566</v>
          </cell>
          <cell r="AS28">
            <v>33637.9666924634</v>
          </cell>
          <cell r="AT28">
            <v>38023.114885257331</v>
          </cell>
          <cell r="AU28">
            <v>39393.492418879061</v>
          </cell>
          <cell r="AV28">
            <v>42279.769440226919</v>
          </cell>
          <cell r="AW28">
            <v>44014.27726804914</v>
          </cell>
          <cell r="AX28">
            <v>38357.085832322759</v>
          </cell>
          <cell r="AY28">
            <v>40341.356542488247</v>
          </cell>
          <cell r="AZ28">
            <v>42932.082720346792</v>
          </cell>
        </row>
        <row r="29">
          <cell r="E29">
            <v>3305.984650134415</v>
          </cell>
          <cell r="F29">
            <v>3734.2122995880695</v>
          </cell>
          <cell r="G29">
            <v>4412.7338059981312</v>
          </cell>
          <cell r="H29">
            <v>5689.282986627456</v>
          </cell>
          <cell r="I29">
            <v>6810.6916580881698</v>
          </cell>
          <cell r="J29">
            <v>8202.9163746487993</v>
          </cell>
          <cell r="K29">
            <v>8924.241841103918</v>
          </cell>
          <cell r="L29">
            <v>10263.264975657277</v>
          </cell>
          <cell r="M29">
            <v>11461.305083067209</v>
          </cell>
          <cell r="N29">
            <v>13045.498741427416</v>
          </cell>
          <cell r="O29">
            <v>15770.400929400237</v>
          </cell>
          <cell r="P29">
            <v>15515.243070398366</v>
          </cell>
          <cell r="Q29">
            <v>15236.405174848</v>
          </cell>
          <cell r="R29">
            <v>14941.508632504845</v>
          </cell>
          <cell r="S29">
            <v>14996.194510118727</v>
          </cell>
          <cell r="T29">
            <v>15751.257500352147</v>
          </cell>
          <cell r="U29">
            <v>18874.246188708861</v>
          </cell>
          <cell r="V29">
            <v>22505.726090813208</v>
          </cell>
          <cell r="W29">
            <v>24251.265939857811</v>
          </cell>
          <cell r="X29">
            <v>24372.225884628981</v>
          </cell>
          <cell r="Y29">
            <v>28253.343017951469</v>
          </cell>
          <cell r="Z29">
            <v>28574.968655367375</v>
          </cell>
          <cell r="AA29">
            <v>30517.04493436855</v>
          </cell>
          <cell r="AB29">
            <v>28030.100157802513</v>
          </cell>
          <cell r="AC29">
            <v>29251.787641234885</v>
          </cell>
          <cell r="AD29">
            <v>34806.543172135527</v>
          </cell>
          <cell r="AE29">
            <v>37330.343263887517</v>
          </cell>
          <cell r="AF29">
            <v>36423.180345418441</v>
          </cell>
          <cell r="AG29">
            <v>34626.303489207159</v>
          </cell>
          <cell r="AH29">
            <v>36209.176388756023</v>
          </cell>
          <cell r="AI29">
            <v>38005.346085349338</v>
          </cell>
          <cell r="AJ29">
            <v>38468.808760276312</v>
          </cell>
          <cell r="AK29">
            <v>42894.673339464702</v>
          </cell>
          <cell r="AL29">
            <v>50108.246942193466</v>
          </cell>
          <cell r="AM29">
            <v>57413.595800456438</v>
          </cell>
          <cell r="AN29">
            <v>66704.602660758086</v>
          </cell>
          <cell r="AO29">
            <v>73827.269867560302</v>
          </cell>
          <cell r="AP29">
            <v>84963.963414220721</v>
          </cell>
          <cell r="AQ29">
            <v>97036.32616696661</v>
          </cell>
          <cell r="AR29">
            <v>80171.031533939065</v>
          </cell>
          <cell r="AS29">
            <v>87804.075337124668</v>
          </cell>
          <cell r="AT29">
            <v>100857.08308784368</v>
          </cell>
          <cell r="AU29">
            <v>101755.64399650678</v>
          </cell>
          <cell r="AV29">
            <v>103208.50422317775</v>
          </cell>
          <cell r="AW29">
            <v>97075.838407442658</v>
          </cell>
          <cell r="AX29">
            <v>74425.424186455115</v>
          </cell>
          <cell r="AY29">
            <v>70713.040952380776</v>
          </cell>
          <cell r="AZ29">
            <v>75373.26768995481</v>
          </cell>
        </row>
        <row r="30">
          <cell r="E30">
            <v>931.84547685522227</v>
          </cell>
          <cell r="F30">
            <v>1051.952753360777</v>
          </cell>
          <cell r="G30">
            <v>1271.1532266129218</v>
          </cell>
          <cell r="H30">
            <v>1684.8358736201806</v>
          </cell>
          <cell r="I30">
            <v>1925.9101851200035</v>
          </cell>
          <cell r="J30">
            <v>2098.4367835244766</v>
          </cell>
          <cell r="K30">
            <v>2174.0629431158968</v>
          </cell>
          <cell r="L30">
            <v>2260.6188301967527</v>
          </cell>
          <cell r="M30">
            <v>2445.9055638730479</v>
          </cell>
          <cell r="N30">
            <v>2740.561294440281</v>
          </cell>
          <cell r="O30">
            <v>3355.3381782140291</v>
          </cell>
          <cell r="P30">
            <v>3238.5237485971252</v>
          </cell>
          <cell r="Q30">
            <v>3075.8333061480926</v>
          </cell>
          <cell r="R30">
            <v>2735.7696723284434</v>
          </cell>
          <cell r="S30">
            <v>2527.8447170579866</v>
          </cell>
          <cell r="T30">
            <v>2715.6851811738434</v>
          </cell>
          <cell r="U30">
            <v>3881.2993103127737</v>
          </cell>
          <cell r="V30">
            <v>4832.5414796745799</v>
          </cell>
          <cell r="W30">
            <v>5659.4942581215892</v>
          </cell>
          <cell r="X30">
            <v>6091.3430452444745</v>
          </cell>
          <cell r="Y30">
            <v>7909.5186344224403</v>
          </cell>
          <cell r="Z30">
            <v>8947.659879017805</v>
          </cell>
          <cell r="AA30">
            <v>10789.667814101216</v>
          </cell>
          <cell r="AB30">
            <v>9450.3171392609202</v>
          </cell>
          <cell r="AC30">
            <v>9868.1458166290449</v>
          </cell>
          <cell r="AD30">
            <v>11625.919297400376</v>
          </cell>
          <cell r="AE30">
            <v>12067.8223388931</v>
          </cell>
          <cell r="AF30">
            <v>11433.726796863915</v>
          </cell>
          <cell r="AG30">
            <v>12071.31499259269</v>
          </cell>
          <cell r="AH30">
            <v>12315.01896076561</v>
          </cell>
          <cell r="AI30">
            <v>11395.332375288468</v>
          </cell>
          <cell r="AJ30">
            <v>11731.54531761332</v>
          </cell>
          <cell r="AK30">
            <v>12830.741076794091</v>
          </cell>
          <cell r="AL30">
            <v>15733.596081209385</v>
          </cell>
          <cell r="AM30">
            <v>17951.670683155102</v>
          </cell>
          <cell r="AN30">
            <v>18645.198250985759</v>
          </cell>
          <cell r="AO30">
            <v>19717.072277032225</v>
          </cell>
          <cell r="AP30">
            <v>22577.35566484668</v>
          </cell>
          <cell r="AQ30">
            <v>24596.091343124019</v>
          </cell>
          <cell r="AR30">
            <v>22887.983208475009</v>
          </cell>
          <cell r="AS30">
            <v>22342.548633297851</v>
          </cell>
          <cell r="AT30">
            <v>23058.107371723985</v>
          </cell>
          <cell r="AU30">
            <v>20412.36569773766</v>
          </cell>
          <cell r="AV30">
            <v>21467.230083302351</v>
          </cell>
          <cell r="AW30">
            <v>21965.075911302349</v>
          </cell>
          <cell r="AX30">
            <v>19100.687787932071</v>
          </cell>
          <cell r="AY30">
            <v>18127.060084936846</v>
          </cell>
          <cell r="AZ30">
            <v>18886.60280282997</v>
          </cell>
        </row>
        <row r="31">
          <cell r="E31">
            <v>1203.075327228066</v>
          </cell>
          <cell r="F31">
            <v>1352.9050751666371</v>
          </cell>
          <cell r="G31">
            <v>1696.6090692544301</v>
          </cell>
          <cell r="H31">
            <v>2230.5092955732025</v>
          </cell>
          <cell r="I31">
            <v>2727.0804330291767</v>
          </cell>
          <cell r="J31">
            <v>3168.8394342387433</v>
          </cell>
          <cell r="K31">
            <v>3244.1557084768688</v>
          </cell>
          <cell r="L31">
            <v>3590.5150343568766</v>
          </cell>
          <cell r="M31">
            <v>4308.2900332233785</v>
          </cell>
          <cell r="N31">
            <v>5708.9886265208452</v>
          </cell>
          <cell r="O31">
            <v>6138.0864134621361</v>
          </cell>
          <cell r="P31">
            <v>5305.8390706439377</v>
          </cell>
          <cell r="Q31">
            <v>5090.0930813575424</v>
          </cell>
          <cell r="R31">
            <v>4413.9724557732943</v>
          </cell>
          <cell r="S31">
            <v>4445.8092044793075</v>
          </cell>
          <cell r="T31">
            <v>4634.8887024175892</v>
          </cell>
          <cell r="U31">
            <v>6442.8239672640884</v>
          </cell>
          <cell r="V31">
            <v>8141.9021920970699</v>
          </cell>
          <cell r="W31">
            <v>9580.5986898237479</v>
          </cell>
          <cell r="X31">
            <v>10555.370567445503</v>
          </cell>
          <cell r="Y31">
            <v>13611.117499714548</v>
          </cell>
          <cell r="Z31">
            <v>14618.102083079546</v>
          </cell>
          <cell r="AA31">
            <v>15917.799571975684</v>
          </cell>
          <cell r="AB31">
            <v>13219.425612929768</v>
          </cell>
          <cell r="AC31">
            <v>13303.303242887636</v>
          </cell>
          <cell r="AD31">
            <v>15367.068887787207</v>
          </cell>
          <cell r="AE31">
            <v>16021.265443025231</v>
          </cell>
          <cell r="AF31">
            <v>14676.728240815957</v>
          </cell>
          <cell r="AG31">
            <v>15312.970309217762</v>
          </cell>
          <cell r="AH31">
            <v>15614.314493112977</v>
          </cell>
          <cell r="AI31">
            <v>14546.35706412171</v>
          </cell>
          <cell r="AJ31">
            <v>15123.657400938111</v>
          </cell>
          <cell r="AK31">
            <v>16791.503356395253</v>
          </cell>
          <cell r="AL31">
            <v>21264.420418645095</v>
          </cell>
          <cell r="AM31">
            <v>24681.864605532595</v>
          </cell>
          <cell r="AN31">
            <v>26338.117122518928</v>
          </cell>
          <cell r="AO31">
            <v>28171.828118221154</v>
          </cell>
          <cell r="AP31">
            <v>32603.531191533937</v>
          </cell>
          <cell r="AQ31">
            <v>35653.872897595465</v>
          </cell>
          <cell r="AR31">
            <v>32274.672437894493</v>
          </cell>
          <cell r="AS31">
            <v>30562.97948612817</v>
          </cell>
          <cell r="AT31">
            <v>31763.535359082289</v>
          </cell>
          <cell r="AU31">
            <v>28597.40159740817</v>
          </cell>
          <cell r="AV31">
            <v>29123.582323972787</v>
          </cell>
          <cell r="AW31">
            <v>29663.494736277346</v>
          </cell>
          <cell r="AX31">
            <v>25863.371052473678</v>
          </cell>
          <cell r="AY31">
            <v>26723.720948836919</v>
          </cell>
          <cell r="AZ31">
            <v>28243.822407674179</v>
          </cell>
        </row>
        <row r="32">
          <cell r="E32">
            <v>4667.6221252959067</v>
          </cell>
          <cell r="F32">
            <v>5067.5882908567446</v>
          </cell>
          <cell r="G32">
            <v>5945.3098991587831</v>
          </cell>
          <cell r="H32">
            <v>7192.8928538919608</v>
          </cell>
          <cell r="I32">
            <v>7971.0390593650473</v>
          </cell>
          <cell r="J32">
            <v>9979.8626536169049</v>
          </cell>
          <cell r="K32">
            <v>10725.788643150658</v>
          </cell>
          <cell r="L32">
            <v>11300.877625097037</v>
          </cell>
          <cell r="M32">
            <v>12443.499866020959</v>
          </cell>
          <cell r="N32">
            <v>14698.789867907277</v>
          </cell>
          <cell r="O32">
            <v>16834.33261130079</v>
          </cell>
          <cell r="P32">
            <v>15374.464911567398</v>
          </cell>
          <cell r="Q32">
            <v>13566.362624070689</v>
          </cell>
          <cell r="R32">
            <v>12481.333505671746</v>
          </cell>
          <cell r="S32">
            <v>12948.957129360082</v>
          </cell>
          <cell r="T32">
            <v>13520.543808237051</v>
          </cell>
          <cell r="U32">
            <v>17769.850383822806</v>
          </cell>
          <cell r="V32">
            <v>21493.741402503438</v>
          </cell>
          <cell r="W32">
            <v>24099.83854289541</v>
          </cell>
          <cell r="X32">
            <v>25251.91427127791</v>
          </cell>
          <cell r="Y32">
            <v>30114.209891840965</v>
          </cell>
          <cell r="Z32">
            <v>31419.790781294258</v>
          </cell>
          <cell r="AA32">
            <v>32348.161070358055</v>
          </cell>
          <cell r="AB32">
            <v>24008.846230885527</v>
          </cell>
          <cell r="AC32">
            <v>25686.973090281528</v>
          </cell>
          <cell r="AD32">
            <v>29876.352640549001</v>
          </cell>
          <cell r="AE32">
            <v>32508.611677973757</v>
          </cell>
          <cell r="AF32">
            <v>29879.850303077525</v>
          </cell>
          <cell r="AG32">
            <v>30098.588094396386</v>
          </cell>
          <cell r="AH32">
            <v>30541.749783052146</v>
          </cell>
          <cell r="AI32">
            <v>29273.872843303714</v>
          </cell>
          <cell r="AJ32">
            <v>26972.980827942389</v>
          </cell>
          <cell r="AK32">
            <v>29594.110054666151</v>
          </cell>
          <cell r="AL32">
            <v>37089.079254670374</v>
          </cell>
          <cell r="AM32">
            <v>42488.637348246324</v>
          </cell>
          <cell r="AN32">
            <v>43037.52905724688</v>
          </cell>
          <cell r="AO32">
            <v>46282.737616234532</v>
          </cell>
          <cell r="AP32">
            <v>53256.254363220534</v>
          </cell>
          <cell r="AQ32">
            <v>55754.696656558648</v>
          </cell>
          <cell r="AR32">
            <v>46169.647901675402</v>
          </cell>
          <cell r="AS32">
            <v>52075.745609663216</v>
          </cell>
          <cell r="AT32">
            <v>59582.340470396237</v>
          </cell>
          <cell r="AU32">
            <v>57017.639937167398</v>
          </cell>
          <cell r="AV32">
            <v>60216.861823726424</v>
          </cell>
          <cell r="AW32">
            <v>59240.140954381379</v>
          </cell>
          <cell r="AX32">
            <v>51005.959401099906</v>
          </cell>
          <cell r="AY32">
            <v>52063.345635332465</v>
          </cell>
          <cell r="AZ32">
            <v>54128.647435175641</v>
          </cell>
        </row>
        <row r="33">
          <cell r="E33">
            <v>3934.6642765746451</v>
          </cell>
          <cell r="F33">
            <v>4688.5544286992081</v>
          </cell>
          <cell r="G33">
            <v>5706.062981719173</v>
          </cell>
          <cell r="H33">
            <v>7623.323223023197</v>
          </cell>
          <cell r="I33">
            <v>8744.612458607091</v>
          </cell>
          <cell r="J33">
            <v>10001.356095204907</v>
          </cell>
          <cell r="K33">
            <v>10462.596191955286</v>
          </cell>
          <cell r="L33">
            <v>11199.31457452484</v>
          </cell>
          <cell r="M33">
            <v>15710.87492420749</v>
          </cell>
          <cell r="N33">
            <v>17759.344705550859</v>
          </cell>
          <cell r="O33">
            <v>18878.071454293651</v>
          </cell>
          <cell r="P33">
            <v>17258.083234943788</v>
          </cell>
          <cell r="Q33">
            <v>17661.302886929185</v>
          </cell>
          <cell r="R33">
            <v>17406.04460181321</v>
          </cell>
          <cell r="S33">
            <v>16519.381832264378</v>
          </cell>
          <cell r="T33">
            <v>16728.044132297764</v>
          </cell>
          <cell r="U33">
            <v>23713.883678165024</v>
          </cell>
          <cell r="V33">
            <v>29547.348401052132</v>
          </cell>
          <cell r="W33">
            <v>31800.295362360561</v>
          </cell>
          <cell r="X33">
            <v>30517.490525603345</v>
          </cell>
          <cell r="Y33">
            <v>38652.322360368482</v>
          </cell>
          <cell r="Z33">
            <v>38717.894743400488</v>
          </cell>
          <cell r="AA33">
            <v>39909.756996532546</v>
          </cell>
          <cell r="AB33">
            <v>38307.504788438098</v>
          </cell>
          <cell r="AC33">
            <v>42090.063254326116</v>
          </cell>
          <cell r="AD33">
            <v>48870.667269832338</v>
          </cell>
          <cell r="AE33">
            <v>46734.444829492211</v>
          </cell>
          <cell r="AF33">
            <v>40469.47410129918</v>
          </cell>
          <cell r="AG33">
            <v>41460.960570345407</v>
          </cell>
          <cell r="AH33">
            <v>40624.985991384143</v>
          </cell>
          <cell r="AI33">
            <v>37950.399386096484</v>
          </cell>
          <cell r="AJ33">
            <v>38735.554865997889</v>
          </cell>
          <cell r="AK33">
            <v>41552.122236680334</v>
          </cell>
          <cell r="AL33">
            <v>48409.925927327786</v>
          </cell>
          <cell r="AM33">
            <v>53625.528037916789</v>
          </cell>
          <cell r="AN33">
            <v>55193.387373372338</v>
          </cell>
          <cell r="AO33">
            <v>57609.484419174092</v>
          </cell>
          <cell r="AP33">
            <v>63489.056999681758</v>
          </cell>
          <cell r="AQ33">
            <v>72455.115429238358</v>
          </cell>
          <cell r="AR33">
            <v>69922.288033039513</v>
          </cell>
          <cell r="AS33">
            <v>74566.159655085547</v>
          </cell>
          <cell r="AT33">
            <v>88267.697263487018</v>
          </cell>
          <cell r="AU33">
            <v>83170.747802138285</v>
          </cell>
          <cell r="AV33">
            <v>84719.98262809994</v>
          </cell>
          <cell r="AW33">
            <v>86152.121802817594</v>
          </cell>
          <cell r="AX33">
            <v>81733.038501429546</v>
          </cell>
          <cell r="AY33">
            <v>79833.032192014885</v>
          </cell>
          <cell r="AZ33">
            <v>80255.095371183954</v>
          </cell>
        </row>
        <row r="34">
          <cell r="E34">
            <v>2354.6355836555649</v>
          </cell>
          <cell r="F34">
            <v>2651.8662903214477</v>
          </cell>
          <cell r="G34">
            <v>3038.2468815076568</v>
          </cell>
          <cell r="H34">
            <v>3442.3204079017696</v>
          </cell>
          <cell r="I34">
            <v>3668.6020026292836</v>
          </cell>
          <cell r="J34">
            <v>4305.1345596491337</v>
          </cell>
          <cell r="K34">
            <v>4142.4133992032766</v>
          </cell>
          <cell r="L34">
            <v>4674.5566547379567</v>
          </cell>
          <cell r="M34">
            <v>5971.8830947009137</v>
          </cell>
          <cell r="N34">
            <v>7802.7620995778898</v>
          </cell>
          <cell r="O34">
            <v>10041.681687719127</v>
          </cell>
          <cell r="P34">
            <v>9613.2803007218881</v>
          </cell>
          <cell r="Q34">
            <v>9148.0354638249373</v>
          </cell>
          <cell r="R34">
            <v>8698.6042965140459</v>
          </cell>
          <cell r="S34">
            <v>8175.7558370995012</v>
          </cell>
          <cell r="T34">
            <v>8660.0583868574522</v>
          </cell>
          <cell r="U34">
            <v>10623.201921438505</v>
          </cell>
          <cell r="V34">
            <v>13137.196343845959</v>
          </cell>
          <cell r="W34">
            <v>16003.406931888023</v>
          </cell>
          <cell r="X34">
            <v>16256.386111722162</v>
          </cell>
          <cell r="Y34">
            <v>19061.498549962078</v>
          </cell>
          <cell r="Z34">
            <v>19881.600534417423</v>
          </cell>
          <cell r="AA34">
            <v>20523.689416329926</v>
          </cell>
          <cell r="AB34">
            <v>18386.666461291072</v>
          </cell>
          <cell r="AC34">
            <v>19719.508329693297</v>
          </cell>
          <cell r="AD34">
            <v>23112.087414743994</v>
          </cell>
          <cell r="AE34">
            <v>24244.823609794938</v>
          </cell>
          <cell r="AF34">
            <v>26565.354061667818</v>
          </cell>
          <cell r="AG34">
            <v>28012.670472472633</v>
          </cell>
          <cell r="AH34">
            <v>28427.115123756339</v>
          </cell>
          <cell r="AI34">
            <v>27989.419253137799</v>
          </cell>
          <cell r="AJ34">
            <v>27557.363949801369</v>
          </cell>
          <cell r="AK34">
            <v>29823.610027688443</v>
          </cell>
          <cell r="AL34">
            <v>34239.54901545855</v>
          </cell>
          <cell r="AM34">
            <v>40077.397469994052</v>
          </cell>
          <cell r="AN34">
            <v>41966.102270694566</v>
          </cell>
          <cell r="AO34">
            <v>44405.84973060451</v>
          </cell>
          <cell r="AP34">
            <v>50150.892311379728</v>
          </cell>
          <cell r="AQ34">
            <v>46716.762070886405</v>
          </cell>
          <cell r="AR34">
            <v>38104.28290864436</v>
          </cell>
          <cell r="AS34">
            <v>38700.39706923315</v>
          </cell>
          <cell r="AT34">
            <v>41214.896035032973</v>
          </cell>
          <cell r="AU34">
            <v>41711.849315384039</v>
          </cell>
          <cell r="AV34">
            <v>42542.584972857519</v>
          </cell>
          <cell r="AW34">
            <v>46604.136527786955</v>
          </cell>
          <cell r="AX34">
            <v>44344.487552043611</v>
          </cell>
          <cell r="AY34">
            <v>40442.107032560096</v>
          </cell>
          <cell r="AZ34">
            <v>39766.996247870498</v>
          </cell>
        </row>
        <row r="35">
          <cell r="E35">
            <v>5105.2506099772518</v>
          </cell>
          <cell r="F35">
            <v>5485.6295421958412</v>
          </cell>
          <cell r="G35">
            <v>5999.481344837739</v>
          </cell>
          <cell r="H35">
            <v>6642.8611299010654</v>
          </cell>
          <cell r="I35">
            <v>7135.6754308106492</v>
          </cell>
          <cell r="J35">
            <v>7664.0484087574232</v>
          </cell>
          <cell r="K35">
            <v>8452.3893810941736</v>
          </cell>
          <cell r="L35">
            <v>9313.820068316154</v>
          </cell>
          <cell r="M35">
            <v>10423.612784803263</v>
          </cell>
          <cell r="N35">
            <v>11555.366779819629</v>
          </cell>
          <cell r="O35">
            <v>12447.606024181712</v>
          </cell>
          <cell r="P35">
            <v>13839.848208338952</v>
          </cell>
          <cell r="Q35">
            <v>14265.418098049038</v>
          </cell>
          <cell r="R35">
            <v>15358.968283518938</v>
          </cell>
          <cell r="S35">
            <v>16933.95943602471</v>
          </cell>
          <cell r="T35">
            <v>18021.450076630197</v>
          </cell>
          <cell r="U35">
            <v>18840.066625057269</v>
          </cell>
          <cell r="V35">
            <v>19804.169848645288</v>
          </cell>
          <cell r="W35">
            <v>21151.24242720937</v>
          </cell>
          <cell r="X35">
            <v>22549.790897868064</v>
          </cell>
          <cell r="Y35">
            <v>23601.160784285898</v>
          </cell>
          <cell r="Z35">
            <v>24159.248731451189</v>
          </cell>
          <cell r="AA35">
            <v>25324.885655810755</v>
          </cell>
          <cell r="AB35">
            <v>26382.566473914456</v>
          </cell>
          <cell r="AC35">
            <v>27745.895160372947</v>
          </cell>
          <cell r="AD35">
            <v>28758.688285812335</v>
          </cell>
          <cell r="AE35">
            <v>30021.939006253135</v>
          </cell>
          <cell r="AF35">
            <v>31528.290445255305</v>
          </cell>
          <cell r="AG35">
            <v>32880.579130213016</v>
          </cell>
          <cell r="AH35">
            <v>34533.176291413132</v>
          </cell>
          <cell r="AI35">
            <v>36527.052658647415</v>
          </cell>
          <cell r="AJ35">
            <v>37212.256577076776</v>
          </cell>
          <cell r="AK35">
            <v>37912.140444042569</v>
          </cell>
          <cell r="AL35">
            <v>39651.396507014011</v>
          </cell>
          <cell r="AM35">
            <v>41703.794438196019</v>
          </cell>
          <cell r="AN35">
            <v>44048.459485772051</v>
          </cell>
          <cell r="AO35">
            <v>46335.568364169092</v>
          </cell>
          <cell r="AP35">
            <v>48237.635010819598</v>
          </cell>
          <cell r="AQ35">
            <v>48455.029513398113</v>
          </cell>
          <cell r="AR35">
            <v>47047.08451308254</v>
          </cell>
          <cell r="AS35">
            <v>48600.094369719242</v>
          </cell>
          <cell r="AT35">
            <v>49830.998970716602</v>
          </cell>
          <cell r="AU35">
            <v>51701.78268767977</v>
          </cell>
          <cell r="AV35">
            <v>53242.622778248733</v>
          </cell>
          <cell r="AW35">
            <v>55080.155411900356</v>
          </cell>
          <cell r="AX35">
            <v>56887.594913513851</v>
          </cell>
          <cell r="AY35">
            <v>58060.772676488603</v>
          </cell>
          <cell r="AZ35">
            <v>60142.66061162285</v>
          </cell>
        </row>
      </sheetData>
      <sheetData sheetId="31"/>
      <sheetData sheetId="32"/>
      <sheetData sheetId="33"/>
      <sheetData sheetId="34"/>
      <sheetData sheetId="35"/>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Population"/>
      <sheetName val="GDP"/>
    </sheetNames>
    <definedNames>
      <definedName name="TheilT2"/>
    </definedNames>
    <sheetDataSet>
      <sheetData sheetId="0"/>
      <sheetData sheetId="1"/>
      <sheetData sheetId="2"/>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an Freeman" refreshedDate="44171.842370370374" backgroundQuery="1" createdVersion="6" refreshedVersion="6" minRefreshableVersion="3" recordCount="0" supportSubquery="1" supportAdvancedDrill="1" xr:uid="{FF8F0465-E5FE-41DA-9B77-394DB90C805A}">
  <cacheSource type="external" connectionId="1"/>
  <cacheFields count="19">
    <cacheField name="[Geography].[Blocs].[Major_Blocs]" caption="Major_Blocs" numFmtId="0" hierarchy="6" level="1">
      <sharedItems count="3">
        <s v="[Geography].[Blocs].[Major_Blocs].&amp;[North]" c="North"/>
        <s v="[Geography].[Blocs].[Major_Blocs].&amp;[South]" c="South"/>
        <s v="[Geography].[Blocs].[Major_Blocs].&amp;[Transitional]" u="1" c="Transitional"/>
      </sharedItems>
    </cacheField>
    <cacheField name="[Geography].[Blocs].[Country]" caption="Country" numFmtId="0" hierarchy="6" level="2">
      <sharedItems count="77">
        <s v="[Geography].[Blocs].[Country].&amp;[Australia]" c="Australia"/>
        <s v="[Geography].[Blocs].[Country].&amp;[Austria]" c="Austria"/>
        <s v="[Geography].[Blocs].[Country].&amp;[Belgium]" c="Belgium"/>
        <s v="[Geography].[Blocs].[Country].&amp;[Finland]" c="Finland"/>
        <s v="[Geography].[Blocs].[Country].&amp;[France]" c="France"/>
        <s v="[Geography].[Blocs].[Country].&amp;[Greece]" c="Greece"/>
        <s v="[Geography].[Blocs].[Country].&amp;[Israel]" c="Israel"/>
        <s v="[Geography].[Blocs].[Country].&amp;[Italy]" c="Italy"/>
        <s v="[Geography].[Blocs].[Country].&amp;[Japan]" c="Japan"/>
        <s v="[Geography].[Blocs].[Country].&amp;[Luxemburg]" c="Luxemburg"/>
        <s v="[Geography].[Blocs].[Country].&amp;[Netherlands]" c="Netherlands"/>
        <s v="[Geography].[Blocs].[Country].&amp;[Norway]" c="Norway"/>
        <s v="[Geography].[Blocs].[Country].&amp;[Portugal]" c="Portugal"/>
        <s v="[Geography].[Blocs].[Country].&amp;[Singapore]" c="Singapore"/>
        <s v="[Geography].[Blocs].[Country].&amp;[South Korea]" c="South Korea"/>
        <s v="[Geography].[Blocs].[Country].&amp;[Spain]" c="Spain"/>
        <s v="[Geography].[Blocs].[Country].&amp;[Sweden]" c="Sweden"/>
        <s v="[Geography].[Blocs].[Country].&amp;[United Kingdom]" c="United Kingdom"/>
        <s v="[Geography].[Blocs].[Country].&amp;[United States]" c="United States"/>
        <s v="[Geography].[Blocs].[Country].&amp;[Bahamas]" c="Bahamas"/>
        <s v="[Geography].[Blocs].[Country].&amp;[Bangladesh]" c="Bangladesh"/>
        <s v="[Geography].[Blocs].[Country].&amp;[Belize]" c="Belize"/>
        <s v="[Geography].[Blocs].[Country].&amp;[Benin]" c="Benin"/>
        <s v="[Geography].[Blocs].[Country].&amp;[Bolivia]" c="Bolivia"/>
        <s v="[Geography].[Blocs].[Country].&amp;[Botswana]" c="Botswana"/>
        <s v="[Geography].[Blocs].[Country].&amp;[Brazil]" c="Brazil"/>
        <s v="[Geography].[Blocs].[Country].&amp;[Burkina Faso]" c="Burkina Faso"/>
        <s v="[Geography].[Blocs].[Country].&amp;[Burundi]" c="Burundi"/>
        <s v="[Geography].[Blocs].[Country].&amp;[Cameroon]" c="Cameroon"/>
        <s v="[Geography].[Blocs].[Country].&amp;[Central African Republic]" c="Central African Republic"/>
        <s v="[Geography].[Blocs].[Country].&amp;[Chad]" c="Chad"/>
        <s v="[Geography].[Blocs].[Country].&amp;[Chile]" c="Chile"/>
        <s v="[Geography].[Blocs].[Country].&amp;[Colombia]" c="Colombia"/>
        <s v="[Geography].[Blocs].[Country].&amp;[Congo DR]" c="Congo DR"/>
        <s v="[Geography].[Blocs].[Country].&amp;[Congo R]" c="Congo R"/>
        <s v="[Geography].[Blocs].[Country].&amp;[Costa Rica]" c="Costa Rica"/>
        <s v="[Geography].[Blocs].[Country].&amp;[Cote d'Ivoire]" c="Cote d'Ivoire"/>
        <s v="[Geography].[Blocs].[Country].&amp;[Dominican Republic]" c="Dominican Republic"/>
        <s v="[Geography].[Blocs].[Country].&amp;[Ecuador]" c="Ecuador"/>
        <s v="[Geography].[Blocs].[Country].&amp;[Fiji]" c="Fiji"/>
        <s v="[Geography].[Blocs].[Country].&amp;[Gabon]" c="Gabon"/>
        <s v="[Geography].[Blocs].[Country].&amp;[Ghana]" c="Ghana"/>
        <s v="[Geography].[Blocs].[Country].&amp;[Guatemala]" c="Guatemala"/>
        <s v="[Geography].[Blocs].[Country].&amp;[Guyana]" c="Guyana"/>
        <s v="[Geography].[Blocs].[Country].&amp;[Haiti]" c="Haiti"/>
        <s v="[Geography].[Blocs].[Country].&amp;[Honduras]" c="Honduras"/>
        <s v="[Geography].[Blocs].[Country].&amp;[India]" c="India"/>
        <s v="[Geography].[Blocs].[Country].&amp;[Kenya]" c="Kenya"/>
        <s v="[Geography].[Blocs].[Country].&amp;[Lesotho]" c="Lesotho"/>
        <s v="[Geography].[Blocs].[Country].&amp;[Madagascar]" c="Madagascar"/>
        <s v="[Geography].[Blocs].[Country].&amp;[Malawi]" c="Malawi"/>
        <s v="[Geography].[Blocs].[Country].&amp;[Malaysia]" c="Malaysia"/>
        <s v="[Geography].[Blocs].[Country].&amp;[Mexico]" c="Mexico"/>
        <s v="[Geography].[Blocs].[Country].&amp;[Nepal]" c="Nepal"/>
        <s v="[Geography].[Blocs].[Country].&amp;[Nicaragua]" c="Nicaragua"/>
        <s v="[Geography].[Blocs].[Country].&amp;[Niger]" c="Niger"/>
        <s v="[Geography].[Blocs].[Country].&amp;[Nigeria]" c="Nigeria"/>
        <s v="[Geography].[Blocs].[Country].&amp;[Pakistan]" c="Pakistan"/>
        <s v="[Geography].[Blocs].[Country].&amp;[Panama]" c="Panama"/>
        <s v="[Geography].[Blocs].[Country].&amp;[Papua New Guinea]" c="Papua New Guinea"/>
        <s v="[Geography].[Blocs].[Country].&amp;[Peru]" c="Peru"/>
        <s v="[Geography].[Blocs].[Country].&amp;[Philippines]" c="Philippines"/>
        <s v="[Geography].[Blocs].[Country].&amp;[Puerto Rico]" c="Puerto Rico"/>
        <s v="[Geography].[Blocs].[Country].&amp;[Rwanda]" c="Rwanda"/>
        <s v="[Geography].[Blocs].[Country].&amp;[Senegal]" c="Senegal"/>
        <s v="[Geography].[Blocs].[Country].&amp;[Seychelles]" c="Seychelles"/>
        <s v="[Geography].[Blocs].[Country].&amp;[Sierra Leone]" c="Sierra Leone"/>
        <s v="[Geography].[Blocs].[Country].&amp;[South Africa]" c="South Africa"/>
        <s v="[Geography].[Blocs].[Country].&amp;[Sudan (Former)]" c="Sudan (Former)"/>
        <s v="[Geography].[Blocs].[Country].&amp;[Suriname]" c="Suriname"/>
        <s v="[Geography].[Blocs].[Country].&amp;[Thailand]" c="Thailand"/>
        <s v="[Geography].[Blocs].[Country].&amp;[Togo]" c="Togo"/>
        <s v="[Geography].[Blocs].[Country].&amp;[Trinidad and Tobago]" c="Trinidad and Tobago"/>
        <s v="[Geography].[Blocs].[Country].&amp;[Turkey]" c="Turkey"/>
        <s v="[Geography].[Blocs].[Country].&amp;[Uruguay]" c="Uruguay"/>
        <s v="[Geography].[Blocs].[Country].&amp;[Zambia]" c="Zambia"/>
        <s v="[Geography].[Blocs].[Country].&amp;[Zimbabwe]" c="Zimbabwe"/>
      </sharedItems>
    </cacheField>
    <cacheField name="[Geography].[Blocs].[Nation]" caption="Nation" numFmtId="0" hierarchy="6" level="3">
      <sharedItems containsSemiMixedTypes="0" containsString="0"/>
    </cacheField>
    <cacheField name="[Indicator Detail].[Units].[Measure Type (Stock/Flow/etc)]" caption="Measure Type (Stock/Flow/etc)" numFmtId="0" hierarchy="12" level="1">
      <sharedItems containsSemiMixedTypes="0" containsString="0"/>
    </cacheField>
    <cacheField name="[Indicator Detail].[Units].[Dimension (Money/Quantity/PPP)]" caption="Dimension (Money/Quantity/PPP)" numFmtId="0" hierarchy="12" level="2">
      <sharedItems containsSemiMixedTypes="0" containsString="0"/>
    </cacheField>
    <cacheField name="[Indicator Detail].[Units].[Units (USD/EUR/LCU/etc)]" caption="Units (USD/EUR/LCU/etc)" numFmtId="0" hierarchy="12" level="3">
      <sharedItems containsSemiMixedTypes="0" containsString="0"/>
    </cacheField>
    <cacheField name="[Indicator Detail].[Units].[Metric (Current/Constant/etc)]" caption="Metric (Current/Constant/etc)" numFmtId="0" hierarchy="12" level="4">
      <sharedItems containsSemiMixedTypes="0" containsString="0"/>
    </cacheField>
    <cacheField name="[Dates].[Year].[Year]" caption="Year" numFmtId="0" hierarchy="5" level="1">
      <sharedItems count="50">
        <s v="[Dates].[Year].&amp;[1970]" c="1970"/>
        <s v="[Dates].[Year].&amp;[1971]" c="1971"/>
        <s v="[Dates].[Year].&amp;[1972]" c="1972"/>
        <s v="[Dates].[Year].&amp;[1973]" c="1973"/>
        <s v="[Dates].[Year].&amp;[1974]" c="1974"/>
        <s v="[Dates].[Year].&amp;[1975]" c="1975"/>
        <s v="[Dates].[Year].&amp;[1976]" c="1976"/>
        <s v="[Dates].[Year].&amp;[1977]" c="1977"/>
        <s v="[Dates].[Year].&amp;[1978]" c="1978"/>
        <s v="[Dates].[Year].&amp;[1979]" c="1979"/>
        <s v="[Dates].[Year].&amp;[1980]" c="1980"/>
        <s v="[Dates].[Year].&amp;[1981]" c="1981"/>
        <s v="[Dates].[Year].&amp;[1982]" c="1982"/>
        <s v="[Dates].[Year].&amp;[1983]" c="1983"/>
        <s v="[Dates].[Year].&amp;[1984]" c="1984"/>
        <s v="[Dates].[Year].&amp;[1985]" c="1985"/>
        <s v="[Dates].[Year].&amp;[1986]" c="1986"/>
        <s v="[Dates].[Year].&amp;[1987]" c="1987"/>
        <s v="[Dates].[Year].&amp;[1988]" c="1988"/>
        <s v="[Dates].[Year].&amp;[1989]" c="1989"/>
        <s v="[Dates].[Year].&amp;[1990]" c="1990"/>
        <s v="[Dates].[Year].&amp;[1991]" c="1991"/>
        <s v="[Dates].[Year].&amp;[1992]" c="1992"/>
        <s v="[Dates].[Year].&amp;[1993]" c="1993"/>
        <s v="[Dates].[Year].&amp;[1994]" c="1994"/>
        <s v="[Dates].[Year].&amp;[1995]" c="1995"/>
        <s v="[Dates].[Year].&amp;[1996]" c="1996"/>
        <s v="[Dates].[Year].&amp;[1997]" c="1997"/>
        <s v="[Dates].[Year].&amp;[1998]" c="1998"/>
        <s v="[Dates].[Year].&amp;[1999]" c="1999"/>
        <s v="[Dates].[Year].&amp;[2000]" c="2000"/>
        <s v="[Dates].[Year].&amp;[2001]" c="2001"/>
        <s v="[Dates].[Year].&amp;[2002]" c="2002"/>
        <s v="[Dates].[Year].&amp;[2003]" c="2003"/>
        <s v="[Dates].[Year].&amp;[2004]" c="2004"/>
        <s v="[Dates].[Year].&amp;[2005]" c="2005"/>
        <s v="[Dates].[Year].&amp;[2006]" c="2006"/>
        <s v="[Dates].[Year].&amp;[2007]" c="2007"/>
        <s v="[Dates].[Year].&amp;[2008]" c="2008"/>
        <s v="[Dates].[Year].&amp;[2009]" c="2009"/>
        <s v="[Dates].[Year].&amp;[2010]" c="2010"/>
        <s v="[Dates].[Year].&amp;[2011]" c="2011"/>
        <s v="[Dates].[Year].&amp;[2012]" c="2012"/>
        <s v="[Dates].[Year].&amp;[2013]" c="2013"/>
        <s v="[Dates].[Year].&amp;[2014]" c="2014"/>
        <s v="[Dates].[Year].&amp;[2015]" c="2015"/>
        <s v="[Dates].[Year].&amp;[2016]" c="2016"/>
        <s v="[Dates].[Year].&amp;[2017]" c="2017"/>
        <s v="[Dates].[Year].&amp;[2018]" c="2018"/>
        <s v="[Dates].[Year].&amp;[2019]" c="2019"/>
      </sharedItems>
    </cacheField>
    <cacheField name="[Measures].[Item]" caption="Item" numFmtId="0" hierarchy="73" level="32767"/>
    <cacheField name="[Data].[Original Source Data].[Source]" caption="Source" numFmtId="0" hierarchy="4" level="1">
      <sharedItems containsSemiMixedTypes="0" containsString="0"/>
    </cacheField>
    <cacheField name="[Data].[Original Source Data].[IndicatorSourceDescription]" caption="IndicatorSourceDescription" numFmtId="0" hierarchy="4" level="2">
      <sharedItems containsSemiMixedTypes="0" containsString="0"/>
    </cacheField>
    <cacheField name="[Data].[GDP and other output measures].[Output Definition]" caption="Output Definition" numFmtId="0" hierarchy="2" level="1">
      <sharedItems containsSemiMixedTypes="0" containsString="0"/>
    </cacheField>
    <cacheField name="[Indicator Detail].[Industrial Sector (Agriculture/Manufacturing/etc)].[Industrial Sector (Agriculture/Manufacturing/etc)]" caption="Industrial Sector (Agriculture/Manufacturing/etc)" numFmtId="0" hierarchy="11" level="1">
      <sharedItems containsSemiMixedTypes="0" containsString="0"/>
    </cacheField>
    <cacheField name="[Geography].[WDI Availability].[wdi_availability]" caption="wdi_availability" numFmtId="0" hierarchy="9" level="1">
      <sharedItems containsSemiMixedTypes="0" containsString="0"/>
    </cacheField>
    <cacheField name="[Geography].[WDI Availability].[Country]" caption="Country" numFmtId="0" hierarchy="9" level="2">
      <sharedItems containsSemiMixedTypes="0" containsString="0"/>
    </cacheField>
    <cacheField name="[Geography].[WDI Availability].[Nation]" caption="Nation" numFmtId="0" hierarchy="9" level="3">
      <sharedItems containsSemiMixedTypes="0" containsString="0"/>
    </cacheField>
    <cacheField name="[Geography].[GeoEconomic Region].[GeoEconomic_Region]" caption="GeoEconomic_Region" numFmtId="0" hierarchy="7" level="1">
      <sharedItems count="9">
        <s v="[Geography].[GeoEconomic Region].[GeoEconomic_Region].&amp;[China]" c="China"/>
        <s v="[Geography].[GeoEconomic Region].[GeoEconomic_Region].&amp;[East Asia]" c="East Asia"/>
        <s v="[Geography].[GeoEconomic Region].[GeoEconomic_Region].&amp;[Europe]" c="Europe"/>
        <s v="[Geography].[GeoEconomic Region].[GeoEconomic_Region].&amp;[Latin America and Caribbean]" c="Latin America and Caribbean"/>
        <s v="[Geography].[GeoEconomic Region].[GeoEconomic_Region].&amp;[Middle East and North Africa]" c="Middle East and North Africa"/>
        <s v="[Geography].[GeoEconomic Region].[GeoEconomic_Region].&amp;[North America]" c="North America"/>
        <s v="[Geography].[GeoEconomic Region].[GeoEconomic_Region].&amp;[Pacific]" c="Pacific"/>
        <s v="[Geography].[GeoEconomic Region].[GeoEconomic_Region].&amp;[South Asia]" c="South Asia"/>
        <s v="[Geography].[GeoEconomic Region].[GeoEconomic_Region].&amp;[Sub-Saharan Africa]" c="Sub-Saharan Africa"/>
      </sharedItems>
    </cacheField>
    <cacheField name="[Geography].[GeoEconomic Region].[Country]" caption="Country" numFmtId="0" hierarchy="7" level="2">
      <sharedItems count="104">
        <s v="[Geography].[GeoEconomic Region].[GeoEconomic_Region].&amp;[China].&amp;[China Mainland]" c="China Mainland"/>
        <s v="[Geography].[GeoEconomic Region].[GeoEconomic_Region].&amp;[East Asia].&amp;[Hong Kong]" c="Hong Kong"/>
        <s v="[Geography].[GeoEconomic Region].[GeoEconomic_Region].&amp;[East Asia].&amp;[Japan]" c="Japan"/>
        <s v="[Geography].[GeoEconomic Region].[GeoEconomic_Region].&amp;[East Asia].&amp;[Malaysia]" c="Malaysia"/>
        <s v="[Geography].[GeoEconomic Region].[GeoEconomic_Region].&amp;[East Asia].&amp;[Philippines]" c="Philippines"/>
        <s v="[Geography].[GeoEconomic Region].[GeoEconomic_Region].&amp;[East Asia].&amp;[Singapore]" c="Singapore"/>
        <s v="[Geography].[GeoEconomic Region].[GeoEconomic_Region].&amp;[East Asia].&amp;[South Korea]" c="South Korea"/>
        <s v="[Geography].[GeoEconomic Region].[GeoEconomic_Region].&amp;[East Asia].&amp;[Thailand]" c="Thailand"/>
        <s v="[Geography].[GeoEconomic Region].[GeoEconomic_Region].&amp;[Europe].&amp;[Andorra]" c="Andorra"/>
        <s v="[Geography].[GeoEconomic Region].[GeoEconomic_Region].&amp;[Europe].&amp;[Austria]" c="Austria"/>
        <s v="[Geography].[GeoEconomic Region].[GeoEconomic_Region].&amp;[Europe].&amp;[Belgium]" c="Belgium"/>
        <s v="[Geography].[GeoEconomic Region].[GeoEconomic_Region].&amp;[Europe].&amp;[Denmark]" c="Denmark"/>
        <s v="[Geography].[GeoEconomic Region].[GeoEconomic_Region].&amp;[Europe].&amp;[Finland]" c="Finland"/>
        <s v="[Geography].[GeoEconomic Region].[GeoEconomic_Region].&amp;[Europe].&amp;[France]" c="France"/>
        <s v="[Geography].[GeoEconomic Region].[GeoEconomic_Region].&amp;[Europe].&amp;[Germany]" c="Germany"/>
        <s v="[Geography].[GeoEconomic Region].[GeoEconomic_Region].&amp;[Europe].&amp;[Greece]" c="Greece"/>
        <s v="[Geography].[GeoEconomic Region].[GeoEconomic_Region].&amp;[Europe].&amp;[Iceland]" c="Iceland"/>
        <s v="[Geography].[GeoEconomic Region].[GeoEconomic_Region].&amp;[Europe].&amp;[Ireland]" c="Ireland"/>
        <s v="[Geography].[GeoEconomic Region].[GeoEconomic_Region].&amp;[Europe].&amp;[Italy]" c="Italy"/>
        <s v="[Geography].[GeoEconomic Region].[GeoEconomic_Region].&amp;[Europe].&amp;[Luxemburg]" c="Luxemburg"/>
        <s v="[Geography].[GeoEconomic Region].[GeoEconomic_Region].&amp;[Europe].&amp;[Malta]" c="Malta"/>
        <s v="[Geography].[GeoEconomic Region].[GeoEconomic_Region].&amp;[Europe].&amp;[Netherlands]" c="Netherlands"/>
        <s v="[Geography].[GeoEconomic Region].[GeoEconomic_Region].&amp;[Europe].&amp;[Norway]" c="Norway"/>
        <s v="[Geography].[GeoEconomic Region].[GeoEconomic_Region].&amp;[Europe].&amp;[Portugal]" c="Portugal"/>
        <s v="[Geography].[GeoEconomic Region].[GeoEconomic_Region].&amp;[Europe].&amp;[Spain]" c="Spain"/>
        <s v="[Geography].[GeoEconomic Region].[GeoEconomic_Region].&amp;[Europe].&amp;[Sweden]" c="Sweden"/>
        <s v="[Geography].[GeoEconomic Region].[GeoEconomic_Region].&amp;[Europe].&amp;[Switzerland]" c="Switzerland"/>
        <s v="[Geography].[GeoEconomic Region].[GeoEconomic_Region].&amp;[Europe].&amp;[United Kingdom]" c="United Kingdom"/>
        <s v="[Geography].[GeoEconomic Region].[GeoEconomic_Region].&amp;[Latin America and Caribbean].&amp;[Argentina]" c="Argentina"/>
        <s v="[Geography].[GeoEconomic Region].[GeoEconomic_Region].&amp;[Latin America and Caribbean].&amp;[Bahamas]" c="Bahamas"/>
        <s v="[Geography].[GeoEconomic Region].[GeoEconomic_Region].&amp;[Latin America and Caribbean].&amp;[Belize]" c="Belize"/>
        <s v="[Geography].[GeoEconomic Region].[GeoEconomic_Region].&amp;[Latin America and Caribbean].&amp;[Bolivia]" c="Bolivia"/>
        <s v="[Geography].[GeoEconomic Region].[GeoEconomic_Region].&amp;[Latin America and Caribbean].&amp;[Brazil]" c="Brazil"/>
        <s v="[Geography].[GeoEconomic Region].[GeoEconomic_Region].&amp;[Latin America and Caribbean].&amp;[Chile]" c="Chile"/>
        <s v="[Geography].[GeoEconomic Region].[GeoEconomic_Region].&amp;[Latin America and Caribbean].&amp;[Colombia]" c="Colombia"/>
        <s v="[Geography].[GeoEconomic Region].[GeoEconomic_Region].&amp;[Latin America and Caribbean].&amp;[Costa Rica]" c="Costa Rica"/>
        <s v="[Geography].[GeoEconomic Region].[GeoEconomic_Region].&amp;[Latin America and Caribbean].&amp;[Dominican Republic]" c="Dominican Republic"/>
        <s v="[Geography].[GeoEconomic Region].[GeoEconomic_Region].&amp;[Latin America and Caribbean].&amp;[Ecuador]" c="Ecuador"/>
        <s v="[Geography].[GeoEconomic Region].[GeoEconomic_Region].&amp;[Latin America and Caribbean].&amp;[El Salvador]" c="El Salvador"/>
        <s v="[Geography].[GeoEconomic Region].[GeoEconomic_Region].&amp;[Latin America and Caribbean].&amp;[Guatemala]" c="Guatemala"/>
        <s v="[Geography].[GeoEconomic Region].[GeoEconomic_Region].&amp;[Latin America and Caribbean].&amp;[Guyana]" c="Guyana"/>
        <s v="[Geography].[GeoEconomic Region].[GeoEconomic_Region].&amp;[Latin America and Caribbean].&amp;[Haiti]" c="Haiti"/>
        <s v="[Geography].[GeoEconomic Region].[GeoEconomic_Region].&amp;[Latin America and Caribbean].&amp;[Honduras]" c="Honduras"/>
        <s v="[Geography].[GeoEconomic Region].[GeoEconomic_Region].&amp;[Latin America and Caribbean].&amp;[Jamaica]" c="Jamaica"/>
        <s v="[Geography].[GeoEconomic Region].[GeoEconomic_Region].&amp;[Latin America and Caribbean].&amp;[Mexico]" c="Mexico"/>
        <s v="[Geography].[GeoEconomic Region].[GeoEconomic_Region].&amp;[Latin America and Caribbean].&amp;[Nicaragua]" c="Nicaragua"/>
        <s v="[Geography].[GeoEconomic Region].[GeoEconomic_Region].&amp;[Latin America and Caribbean].&amp;[Panama]" c="Panama"/>
        <s v="[Geography].[GeoEconomic Region].[GeoEconomic_Region].&amp;[Latin America and Caribbean].&amp;[Paraguay]" c="Paraguay"/>
        <s v="[Geography].[GeoEconomic Region].[GeoEconomic_Region].&amp;[Latin America and Caribbean].&amp;[Peru]" c="Peru"/>
        <s v="[Geography].[GeoEconomic Region].[GeoEconomic_Region].&amp;[Latin America and Caribbean].&amp;[Puerto Rico]" c="Puerto Rico"/>
        <s v="[Geography].[GeoEconomic Region].[GeoEconomic_Region].&amp;[Latin America and Caribbean].&amp;[Suriname]" c="Suriname"/>
        <s v="[Geography].[GeoEconomic Region].[GeoEconomic_Region].&amp;[Latin America and Caribbean].&amp;[Trinidad and Tobago]" c="Trinidad and Tobago"/>
        <s v="[Geography].[GeoEconomic Region].[GeoEconomic_Region].&amp;[Latin America and Caribbean].&amp;[Uruguay]" c="Uruguay"/>
        <s v="[Geography].[GeoEconomic Region].[GeoEconomic_Region].&amp;[Middle East and North Africa].&amp;[Algeria]" c="Algeria"/>
        <s v="[Geography].[GeoEconomic Region].[GeoEconomic_Region].&amp;[Middle East and North Africa].&amp;[Israel]" c="Israel"/>
        <s v="[Geography].[GeoEconomic Region].[GeoEconomic_Region].&amp;[Middle East and North Africa].&amp;[Morocco]" c="Morocco"/>
        <s v="[Geography].[GeoEconomic Region].[GeoEconomic_Region].&amp;[Middle East and North Africa].&amp;[Oman]" c="Oman"/>
        <s v="[Geography].[GeoEconomic Region].[GeoEconomic_Region].&amp;[Middle East and North Africa].&amp;[Saudi Arabia]" c="Saudi Arabia"/>
        <s v="[Geography].[GeoEconomic Region].[GeoEconomic_Region].&amp;[Middle East and North Africa].&amp;[Tunisia]" c="Tunisia"/>
        <s v="[Geography].[GeoEconomic Region].[GeoEconomic_Region].&amp;[Middle East and North Africa].&amp;[Turkey]" c="Turkey"/>
        <s v="[Geography].[GeoEconomic Region].[GeoEconomic_Region].&amp;[North America].&amp;[Canada]" c="Canada"/>
        <s v="[Geography].[GeoEconomic Region].[GeoEconomic_Region].&amp;[North America].&amp;[United States]" c="United States"/>
        <s v="[Geography].[GeoEconomic Region].[GeoEconomic_Region].&amp;[Pacific].&amp;[Australia]" c="Australia"/>
        <s v="[Geography].[GeoEconomic Region].[GeoEconomic_Region].&amp;[Pacific].&amp;[Fiji]" c="Fiji"/>
        <s v="[Geography].[GeoEconomic Region].[GeoEconomic_Region].&amp;[Pacific].&amp;[Kiribati]" c="Kiribati"/>
        <s v="[Geography].[GeoEconomic Region].[GeoEconomic_Region].&amp;[Pacific].&amp;[New Zealand]" c="New Zealand"/>
        <s v="[Geography].[GeoEconomic Region].[GeoEconomic_Region].&amp;[Pacific].&amp;[Papua New Guinea]" c="Papua New Guinea"/>
        <s v="[Geography].[GeoEconomic Region].[GeoEconomic_Region].&amp;[South Asia].&amp;[Bangladesh]" c="Bangladesh"/>
        <s v="[Geography].[GeoEconomic Region].[GeoEconomic_Region].&amp;[South Asia].&amp;[India]" c="India"/>
        <s v="[Geography].[GeoEconomic Region].[GeoEconomic_Region].&amp;[South Asia].&amp;[Nepal]" c="Nepal"/>
        <s v="[Geography].[GeoEconomic Region].[GeoEconomic_Region].&amp;[South Asia].&amp;[Pakistan]" c="Pakistan"/>
        <s v="[Geography].[GeoEconomic Region].[GeoEconomic_Region].&amp;[South Asia].&amp;[Sri Lanka]" c="Sri Lanka"/>
        <s v="[Geography].[GeoEconomic Region].[GeoEconomic_Region].&amp;[Sub-Saharan Africa].&amp;[Benin]" c="Benin"/>
        <s v="[Geography].[GeoEconomic Region].[GeoEconomic_Region].&amp;[Sub-Saharan Africa].&amp;[Botswana]" c="Botswana"/>
        <s v="[Geography].[GeoEconomic Region].[GeoEconomic_Region].&amp;[Sub-Saharan Africa].&amp;[Burkina Faso]" c="Burkina Faso"/>
        <s v="[Geography].[GeoEconomic Region].[GeoEconomic_Region].&amp;[Sub-Saharan Africa].&amp;[Burundi]" c="Burundi"/>
        <s v="[Geography].[GeoEconomic Region].[GeoEconomic_Region].&amp;[Sub-Saharan Africa].&amp;[Cameroon]" c="Cameroon"/>
        <s v="[Geography].[GeoEconomic Region].[GeoEconomic_Region].&amp;[Sub-Saharan Africa].&amp;[Central African Republic]" c="Central African Republic"/>
        <s v="[Geography].[GeoEconomic Region].[GeoEconomic_Region].&amp;[Sub-Saharan Africa].&amp;[Chad]" c="Chad"/>
        <s v="[Geography].[GeoEconomic Region].[GeoEconomic_Region].&amp;[Sub-Saharan Africa].&amp;[Congo DR]" c="Congo DR"/>
        <s v="[Geography].[GeoEconomic Region].[GeoEconomic_Region].&amp;[Sub-Saharan Africa].&amp;[Congo R]" c="Congo R"/>
        <s v="[Geography].[GeoEconomic Region].[GeoEconomic_Region].&amp;[Sub-Saharan Africa].&amp;[Cote d'Ivoire]" c="Cote d'Ivoire"/>
        <s v="[Geography].[GeoEconomic Region].[GeoEconomic_Region].&amp;[Sub-Saharan Africa].&amp;[Gabon]" c="Gabon"/>
        <s v="[Geography].[GeoEconomic Region].[GeoEconomic_Region].&amp;[Sub-Saharan Africa].&amp;[Gambia]" c="Gambia"/>
        <s v="[Geography].[GeoEconomic Region].[GeoEconomic_Region].&amp;[Sub-Saharan Africa].&amp;[Ghana]" c="Ghana"/>
        <s v="[Geography].[GeoEconomic Region].[GeoEconomic_Region].&amp;[Sub-Saharan Africa].&amp;[Guinea-Bissau]" c="Guinea-Bissau"/>
        <s v="[Geography].[GeoEconomic Region].[GeoEconomic_Region].&amp;[Sub-Saharan Africa].&amp;[Kenya]" c="Kenya"/>
        <s v="[Geography].[GeoEconomic Region].[GeoEconomic_Region].&amp;[Sub-Saharan Africa].&amp;[Lesotho]" c="Lesotho"/>
        <s v="[Geography].[GeoEconomic Region].[GeoEconomic_Region].&amp;[Sub-Saharan Africa].&amp;[Madagascar]" c="Madagascar"/>
        <s v="[Geography].[GeoEconomic Region].[GeoEconomic_Region].&amp;[Sub-Saharan Africa].&amp;[Malawi]" c="Malawi"/>
        <s v="[Geography].[GeoEconomic Region].[GeoEconomic_Region].&amp;[Sub-Saharan Africa].&amp;[Mali]" c="Mali"/>
        <s v="[Geography].[GeoEconomic Region].[GeoEconomic_Region].&amp;[Sub-Saharan Africa].&amp;[Mauritania]" c="Mauritania"/>
        <s v="[Geography].[GeoEconomic Region].[GeoEconomic_Region].&amp;[Sub-Saharan Africa].&amp;[Niger]" c="Niger"/>
        <s v="[Geography].[GeoEconomic Region].[GeoEconomic_Region].&amp;[Sub-Saharan Africa].&amp;[Nigeria]" c="Nigeria"/>
        <s v="[Geography].[GeoEconomic Region].[GeoEconomic_Region].&amp;[Sub-Saharan Africa].&amp;[Rwanda]" c="Rwanda"/>
        <s v="[Geography].[GeoEconomic Region].[GeoEconomic_Region].&amp;[Sub-Saharan Africa].&amp;[Senegal]" c="Senegal"/>
        <s v="[Geography].[GeoEconomic Region].[GeoEconomic_Region].&amp;[Sub-Saharan Africa].&amp;[Seychelles]" c="Seychelles"/>
        <s v="[Geography].[GeoEconomic Region].[GeoEconomic_Region].&amp;[Sub-Saharan Africa].&amp;[Sierra Leone]" c="Sierra Leone"/>
        <s v="[Geography].[GeoEconomic Region].[GeoEconomic_Region].&amp;[Sub-Saharan Africa].&amp;[South Africa]" c="South Africa"/>
        <s v="[Geography].[GeoEconomic Region].[GeoEconomic_Region].&amp;[Sub-Saharan Africa].&amp;[Sudan (Former)]" c="Sudan (Former)"/>
        <s v="[Geography].[GeoEconomic Region].[GeoEconomic_Region].&amp;[Sub-Saharan Africa].&amp;[Swaziland]" c="Swaziland"/>
        <s v="[Geography].[GeoEconomic Region].[GeoEconomic_Region].&amp;[Sub-Saharan Africa].&amp;[Togo]" c="Togo"/>
        <s v="[Geography].[GeoEconomic Region].[GeoEconomic_Region].&amp;[Sub-Saharan Africa].&amp;[Zambia]" c="Zambia"/>
        <s v="[Geography].[GeoEconomic Region].[GeoEconomic_Region].&amp;[Sub-Saharan Africa].&amp;[Zimbabwe]" c="Zimbabwe"/>
      </sharedItems>
    </cacheField>
    <cacheField name="[Geography].[GeoEconomic Region].[Nation]" caption="Nation" numFmtId="0" hierarchy="7" level="3">
      <sharedItems containsSemiMixedTypes="0" containsString="0"/>
    </cacheField>
  </cacheFields>
  <cacheHierarchies count="76">
    <cacheHierarchy uniqueName="[Data].[Balance of Payments Component]" caption="Balance of Payments Component" defaultMemberUniqueName="[Data].[Balance of Payments Component].[All]" allUniqueName="[Data].[Balance of Payments Component].[All]" dimensionUniqueName="[Data]" displayFolder="" count="0" unbalanced="0"/>
    <cacheHierarchy uniqueName="[Data].[Demographics]" caption="Demographics" defaultMemberUniqueName="[Data].[Demographics].[All]" allUniqueName="[Data].[Demographics].[All]" dimensionUniqueName="[Data]" displayFolder="" count="0" unbalanced="0"/>
    <cacheHierarchy uniqueName="[Data].[GDP and other output measures]" caption="GDP and other output measures" defaultMemberUniqueName="[Data].[GDP and other output measures].[All]" allUniqueName="[Data].[GDP and other output measures].[All]" dimensionUniqueName="[Data]" displayFolder="" count="2" unbalanced="0">
      <fieldsUsage count="2">
        <fieldUsage x="-1"/>
        <fieldUsage x="11"/>
      </fieldsUsage>
    </cacheHierarchy>
    <cacheHierarchy uniqueName="[Data].[Indicator Source and Code]" caption="Indicator Source and Code" attribute="1" defaultMemberUniqueName="[Data].[Indicator Source and Code].[All]" allUniqueName="[Data].[Indicator Source and Code].[All]" dimensionUniqueName="[Data]" displayFolder="" count="0" unbalanced="0"/>
    <cacheHierarchy uniqueName="[Data].[Original Source Data]" caption="Original Source Data" defaultMemberUniqueName="[Data].[Original Source Data].[All]" allUniqueName="[Data].[Original Source Data].[All]" dimensionUniqueName="[Data]" displayFolder="" count="3" unbalanced="0">
      <fieldsUsage count="3">
        <fieldUsage x="-1"/>
        <fieldUsage x="9"/>
        <fieldUsage x="10"/>
      </fieldsUsage>
    </cacheHierarchy>
    <cacheHierarchy uniqueName="[Dates].[Year]" caption="Year" attribute="1" defaultMemberUniqueName="[Dates].[Year].[All]" allUniqueName="[Dates].[Year].[All]" dimensionUniqueName="[Dates]" displayFolder="" count="2" unbalanced="0">
      <fieldsUsage count="2">
        <fieldUsage x="-1"/>
        <fieldUsage x="7"/>
      </fieldsUsage>
    </cacheHierarchy>
    <cacheHierarchy uniqueName="[Geography].[Blocs]" caption="Blocs" defaultMemberUniqueName="[Geography].[Blocs].[All]" allUniqueName="[Geography].[Blocs].[All]" dimensionUniqueName="[Geography]" displayFolder="" count="4" unbalanced="0">
      <fieldsUsage count="4">
        <fieldUsage x="-1"/>
        <fieldUsage x="0"/>
        <fieldUsage x="1"/>
        <fieldUsage x="2"/>
      </fieldsUsage>
    </cacheHierarchy>
    <cacheHierarchy uniqueName="[Geography].[GeoEconomic Region]" caption="GeoEconomic Region" defaultMemberUniqueName="[Geography].[GeoEconomic Region].[All]" allUniqueName="[Geography].[GeoEconomic Region].[All]" dimensionUniqueName="[Geography]" displayFolder="" count="4" unbalanced="0">
      <fieldsUsage count="4">
        <fieldUsage x="-1"/>
        <fieldUsage x="16"/>
        <fieldUsage x="17"/>
        <fieldUsage x="18"/>
      </fieldsUsage>
    </cacheHierarchy>
    <cacheHierarchy uniqueName="[Geography].[Penn Availability]" caption="Penn Availability" defaultMemberUniqueName="[Geography].[Penn Availability].[All]" allUniqueName="[Geography].[Penn Availability].[All]" dimensionUniqueName="[Geography]" displayFolder="" count="0" unbalanced="0"/>
    <cacheHierarchy uniqueName="[Geography].[WDI Availability]" caption="WDI Availability" defaultMemberUniqueName="[Geography].[WDI Availability].[All]" allUniqueName="[Geography].[WDI Availability].[All]" dimensionUniqueName="[Geography]" displayFolder="" count="4" unbalanced="0">
      <fieldsUsage count="4">
        <fieldUsage x="-1"/>
        <fieldUsage x="13"/>
        <fieldUsage x="14"/>
        <fieldUsage x="15"/>
      </fieldsUsage>
    </cacheHierarchy>
    <cacheHierarchy uniqueName="[Indicator Detail].[Accounting Basis (net/gross,paid/received, etc)]" caption="Accounting Basis (net/gross,paid/received, etc)" attribute="1" defaultMemberUniqueName="[Indicator Detail].[Accounting Basis (net/gross,paid/received, etc)].[All]" allUniqueName="[Indicator Detail].[Accounting Basis (net/gross,paid/received, etc)].[All]" dimensionUniqueName="[Indicator Detail]" displayFolder="" count="0" unbalanced="0"/>
    <cacheHierarchy uniqueName="[Indicator Detail].[Industrial Sector (Agriculture/Manufacturing/etc)]" caption="Industrial Sector (Agriculture/Manufacturing/etc)" attribute="1" defaultMemberUniqueName="[Indicator Detail].[Industrial Sector (Agriculture/Manufacturing/etc)].[All]" allUniqueName="[Indicator Detail].[Industrial Sector (Agriculture/Manufacturing/etc)].[All]" dimensionUniqueName="[Indicator Detail]" displayFolder="" count="2" unbalanced="0">
      <fieldsUsage count="2">
        <fieldUsage x="-1"/>
        <fieldUsage x="12"/>
      </fieldsUsage>
    </cacheHierarchy>
    <cacheHierarchy uniqueName="[Indicator Detail].[Units]" caption="Units" defaultMemberUniqueName="[Indicator Detail].[Units].[All]" allUniqueName="[Indicator Detail].[Units].[All]" dimensionUniqueName="[Indicator Detail]" displayFolder="" count="5" unbalanced="0">
      <fieldsUsage count="5">
        <fieldUsage x="-1"/>
        <fieldUsage x="3"/>
        <fieldUsage x="4"/>
        <fieldUsage x="5"/>
        <fieldUsage x="6"/>
      </fieldsUsage>
    </cacheHierarchy>
    <cacheHierarchy uniqueName="[Data].[Accounting Basis]" caption="Accounting Basis" attribute="1" defaultMemberUniqueName="[Data].[Accounting Basis].[All]" allUniqueName="[Data].[Accounting Basis].[All]" dimensionUniqueName="[Data]" displayFolder="" count="0" unbalanced="0" hidden="1"/>
    <cacheHierarchy uniqueName="[Data].[Balance of Payments]" caption="Balance of Payments" attribute="1" defaultMemberUniqueName="[Data].[Balance of Payments].[All]" allUniqueName="[Data].[Balance of Payments].[All]" dimensionUniqueName="[Data]" displayFolder="" count="0" unbalanced="0" hidden="1"/>
    <cacheHierarchy uniqueName="[Data].[DateField]" caption="DateField" attribute="1" defaultMemberUniqueName="[Data].[DateField].[All]" allUniqueName="[Data].[DateField].[All]" dimensionUniqueName="[Data]" displayFolder="" count="0" unbalanced="0" hidden="1"/>
    <cacheHierarchy uniqueName="[Data].[DimGeoID]" caption="DimGeoID" attribute="1" defaultMemberUniqueName="[Data].[DimGeoID].[All]" allUniqueName="[Data].[DimGeoID].[All]" dimensionUniqueName="[Data]" displayFolder="" count="0" unbalanced="0" hidden="1"/>
    <cacheHierarchy uniqueName="[Data].[DimIndicatorID]" caption="DimIndicatorID" attribute="1" defaultMemberUniqueName="[Data].[DimIndicatorID].[All]" allUniqueName="[Data].[DimIndicatorID].[All]" dimensionUniqueName="[Data]" displayFolder="" count="0" unbalanced="0" hidden="1"/>
    <cacheHierarchy uniqueName="[Data].[DimSourceID]" caption="DimSourceID" attribute="1" defaultMemberUniqueName="[Data].[DimSourceID].[All]" allUniqueName="[Data].[DimSourceID].[All]" dimensionUniqueName="[Data]" displayFolder="" count="0" unbalanced="0" hidden="1"/>
    <cacheHierarchy uniqueName="[Data].[FactID]" caption="FactID" attribute="1" defaultMemberUniqueName="[Data].[FactID].[All]" allUniqueName="[Data].[FactID].[All]" dimensionUniqueName="[Data]" displayFolder="" count="0" unbalanced="0" hidden="1"/>
    <cacheHierarchy uniqueName="[Data].[Indicator_Type]" caption="Indicator_Type" attribute="1" defaultMemberUniqueName="[Data].[Indicator_Type].[All]" allUniqueName="[Data].[Indicator_Type].[All]" dimensionUniqueName="[Data]" displayFolder="" count="0" unbalanced="0" hidden="1"/>
    <cacheHierarchy uniqueName="[Data].[IndicatorSourceDescription]" caption="IndicatorSourceDescription" attribute="1" defaultMemberUniqueName="[Data].[IndicatorSourceDescription].[All]" allUniqueName="[Data].[IndicatorSourceDescription].[All]" dimensionUniqueName="[Data]" displayFolder="" count="0" unbalanced="0" hidden="1"/>
    <cacheHierarchy uniqueName="[Data].[IndicatorStandardNamesID]" caption="IndicatorStandardNamesID" attribute="1" defaultMemberUniqueName="[Data].[IndicatorStandardNamesID].[All]" allUniqueName="[Data].[IndicatorStandardNamesID].[All]" dimensionUniqueName="[Data]" displayFolder="" count="0" unbalanced="0" hidden="1"/>
    <cacheHierarchy uniqueName="[Data].[Nation]" caption="Nation" attribute="1" defaultMemberUniqueName="[Data].[Nation].[All]" allUniqueName="[Data].[Nation].[All]" dimensionUniqueName="[Data]" displayFolder="" count="0" unbalanced="0" hidden="1"/>
    <cacheHierarchy uniqueName="[Data].[Output Definition]" caption="Output Definition" attribute="1" defaultMemberUniqueName="[Data].[Output Definition].[All]" allUniqueName="[Data].[Output Definition].[All]" dimensionUniqueName="[Data]" displayFolder="" count="0" unbalanced="0" hidden="1"/>
    <cacheHierarchy uniqueName="[Data].[Population]" caption="Population" attribute="1" defaultMemberUniqueName="[Data].[Population].[All]" allUniqueName="[Data].[Population].[All]" dimensionUniqueName="[Data]" displayFolder="" count="0" unbalanced="0" hidden="1"/>
    <cacheHierarchy uniqueName="[Data].[Source]" caption="Source" attribute="1" defaultMemberUniqueName="[Data].[Source].[All]" allUniqueName="[Data].[Source].[All]" dimensionUniqueName="[Data]" displayFolder="" count="0" unbalanced="0" hidden="1"/>
    <cacheHierarchy uniqueName="[Data].[Value]" caption="Value" attribute="1" defaultMemberUniqueName="[Data].[Value].[All]" allUniqueName="[Data].[Value].[All]" dimensionUniqueName="[Data]" displayFolder="" count="0" unbalanced="0" hidden="1"/>
    <cacheHierarchy uniqueName="[Dates].[CalendarKey]" caption="CalendarKey" attribute="1" defaultMemberUniqueName="[Dates].[CalendarKey].[All]" allUniqueName="[Dates].[CalendarKey].[All]" dimensionUniqueName="[Dates]" displayFolder="" count="0" unbalanced="0" hidden="1"/>
    <cacheHierarchy uniqueName="[Dates].[Date]" caption="Date" attribute="1" defaultMemberUniqueName="[Dates].[Date].[All]" allUniqueName="[Dates].[Date].[All]" dimensionUniqueName="[Dates]" displayFolder="" count="0" unbalanced="0" hidden="1"/>
    <cacheHierarchy uniqueName="[Geography].[Country]" caption="Country" attribute="1" defaultMemberUniqueName="[Geography].[Country].[All]" allUniqueName="[Geography].[Country].[All]" dimensionUniqueName="[Geography]" displayFolder="" count="0" unbalanced="0" hidden="1"/>
    <cacheHierarchy uniqueName="[Geography].[DimGeoID]" caption="DimGeoID" attribute="1" defaultMemberUniqueName="[Geography].[DimGeoID].[All]" allUniqueName="[Geography].[DimGeoID].[All]" dimensionUniqueName="[Geography]" displayFolder="" count="0" unbalanced="0" hidden="1"/>
    <cacheHierarchy uniqueName="[Geography].[GeoEconomic_Region]" caption="GeoEconomic_Region" attribute="1" defaultMemberUniqueName="[Geography].[GeoEconomic_Region].[All]" allUniqueName="[Geography].[GeoEconomic_Region].[All]" dimensionUniqueName="[Geography]" displayFolder="" count="0" unbalanced="0" hidden="1"/>
    <cacheHierarchy uniqueName="[Geography].[Geopolitical_Region]" caption="Geopolitical_Region" attribute="1" defaultMemberUniqueName="[Geography].[Geopolitical_Region].[All]" allUniqueName="[Geography].[Geopolitical_Region].[All]" dimensionUniqueName="[Geography]" displayFolder="" count="0" unbalanced="0" hidden="1"/>
    <cacheHierarchy uniqueName="[Geography].[GeoPolitical_Type]" caption="GeoPolitical_Type" attribute="1" defaultMemberUniqueName="[Geography].[GeoPolitical_Type].[All]" allUniqueName="[Geography].[GeoPolitical_Type].[All]" dimensionUniqueName="[Geography]" displayFolder="" count="0" unbalanced="0" hidden="1"/>
    <cacheHierarchy uniqueName="[Geography].[IMF_main_category]" caption="IMF_main_category" attribute="1" defaultMemberUniqueName="[Geography].[IMF_main_category].[All]" allUniqueName="[Geography].[IMF_main_category].[All]" dimensionUniqueName="[Geography]" displayFolder="" count="0" unbalanced="0" hidden="1"/>
    <cacheHierarchy uniqueName="[Geography].[IMF_sub_category]" caption="IMF_sub_category" attribute="1" defaultMemberUniqueName="[Geography].[IMF_sub_category].[All]" allUniqueName="[Geography].[IMF_sub_category].[All]" dimensionUniqueName="[Geography]" displayFolder="" count="0" unbalanced="0" hidden="1"/>
    <cacheHierarchy uniqueName="[Geography].[MACROHISTORY_Geography]" caption="MACROHISTORY_Geography" attribute="1" defaultMemberUniqueName="[Geography].[MACROHISTORY_Geography].[All]" allUniqueName="[Geography].[MACROHISTORY_Geography].[All]" dimensionUniqueName="[Geography]" displayFolder="" count="0" unbalanced="0" hidden="1"/>
    <cacheHierarchy uniqueName="[Geography].[Major_Blocs]" caption="Major_Blocs" attribute="1" defaultMemberUniqueName="[Geography].[Major_Blocs].[All]" allUniqueName="[Geography].[Major_Blocs].[All]" dimensionUniqueName="[Geography]" displayFolder="" count="0" unbalanced="0" hidden="1"/>
    <cacheHierarchy uniqueName="[Geography].[Nation]" caption="Nation" attribute="1" defaultMemberUniqueName="[Geography].[Nation].[All]" allUniqueName="[Geography].[Nation].[All]" dimensionUniqueName="[Geography]" displayFolder="" count="0" unbalanced="0" hidden="1"/>
    <cacheHierarchy uniqueName="[Geography].[penn_availability]" caption="penn_availability" attribute="1" defaultMemberUniqueName="[Geography].[penn_availability].[All]" allUniqueName="[Geography].[penn_availability].[All]" dimensionUniqueName="[Geography]" displayFolder="" count="0" unbalanced="0" hidden="1"/>
    <cacheHierarchy uniqueName="[Geography].[Size]" caption="Size" attribute="1" defaultMemberUniqueName="[Geography].[Size].[All]" allUniqueName="[Geography].[Size].[All]" dimensionUniqueName="[Geography]" displayFolder="" count="0" unbalanced="0" hidden="1"/>
    <cacheHierarchy uniqueName="[Geography].[wdi_availability]" caption="wdi_availability" attribute="1" defaultMemberUniqueName="[Geography].[wdi_availability].[All]" allUniqueName="[Geography].[wdi_availability].[All]" dimensionUniqueName="[Geography]" displayFolder="" count="0" unbalanced="0" hidden="1"/>
    <cacheHierarchy uniqueName="[Geography].[WID_Geography]" caption="WID_Geography" attribute="1" defaultMemberUniqueName="[Geography].[WID_Geography].[All]" allUniqueName="[Geography].[WID_Geography].[All]" dimensionUniqueName="[Geography]" displayFolder="" count="0" unbalanced="0" hidden="1"/>
    <cacheHierarchy uniqueName="[Indicator Detail].[balance_of_payments_component]" caption="balance_of_payments_component" attribute="1" defaultMemberUniqueName="[Indicator Detail].[balance_of_payments_component].[All]" allUniqueName="[Indicator Detail].[balance_of_payments_component].[All]" dimensionUniqueName="[Indicator Detail]" displayFolder="" count="0" unbalanced="0" hidden="1"/>
    <cacheHierarchy uniqueName="[Indicator Detail].[capital_component]" caption="capital_component" attribute="1" defaultMemberUniqueName="[Indicator Detail].[capital_component].[All]" allUniqueName="[Indicator Detail].[capital_component].[All]" dimensionUniqueName="[Indicator Detail]" displayFolder="" count="0" unbalanced="0" hidden="1"/>
    <cacheHierarchy uniqueName="[Indicator Detail].[DimIndicatorID]" caption="DimIndicatorID" attribute="1" defaultMemberUniqueName="[Indicator Detail].[DimIndicatorID].[All]" allUniqueName="[Indicator Detail].[DimIndicatorID].[All]" dimensionUniqueName="[Indicator Detail]" displayFolder="" count="0" unbalanced="0" hidden="1"/>
    <cacheHierarchy uniqueName="[Indicator Detail].[gdp_expenditure_component]" caption="gdp_expenditure_component" attribute="1" defaultMemberUniqueName="[Indicator Detail].[gdp_expenditure_component].[All]" allUniqueName="[Indicator Detail].[gdp_expenditure_component].[All]" dimensionUniqueName="[Indicator Detail]" displayFolder="" count="0" unbalanced="0" hidden="1"/>
    <cacheHierarchy uniqueName="[Indicator Detail].[indicator_dimension]" caption="indicator_dimension" attribute="1" defaultMemberUniqueName="[Indicator Detail].[indicator_dimension].[All]" allUniqueName="[Indicator Detail].[indicator_dimension].[All]" dimensionUniqueName="[Indicator Detail]" displayFolder="" count="0" unbalanced="0" hidden="1"/>
    <cacheHierarchy uniqueName="[Indicator Detail].[indicator_metrics]" caption="indicator_metrics" attribute="1" defaultMemberUniqueName="[Indicator Detail].[indicator_metrics].[All]" allUniqueName="[Indicator Detail].[indicator_metrics].[All]" dimensionUniqueName="[Indicator Detail]" displayFolder="" count="0" unbalanced="0" hidden="1"/>
    <cacheHierarchy uniqueName="[Indicator Detail].[indicator_type]" caption="indicator_type" attribute="1" defaultMemberUniqueName="[Indicator Detail].[indicator_type].[All]" allUniqueName="[Indicator Detail].[indicator_type].[All]" dimensionUniqueName="[Indicator Detail]" displayFolder="" count="0" unbalanced="0" hidden="1"/>
    <cacheHierarchy uniqueName="[Indicator Detail].[indicator_units]" caption="indicator_units" attribute="1" defaultMemberUniqueName="[Indicator Detail].[indicator_units].[All]" allUniqueName="[Indicator Detail].[indicator_units].[All]" dimensionUniqueName="[Indicator Detail]" displayFolder="" count="0" unbalanced="0" hidden="1"/>
    <cacheHierarchy uniqueName="[Indicator Detail].[IndicatorStandardName]" caption="IndicatorStandardName" attribute="1" defaultMemberUniqueName="[Indicator Detail].[IndicatorStandardName].[All]" allUniqueName="[Indicator Detail].[IndicatorStandardName].[All]" dimensionUniqueName="[Indicator Detail]" displayFolder="" count="0" unbalanced="0" hidden="1"/>
    <cacheHierarchy uniqueName="[Indicator Detail].[measure_type]" caption="measure_type" attribute="1" defaultMemberUniqueName="[Indicator Detail].[measure_type].[All]" allUniqueName="[Indicator Detail].[measure_type].[All]" dimensionUniqueName="[Indicator Detail]" displayFolder="" count="0" unbalanced="0" hidden="1"/>
    <cacheHierarchy uniqueName="[Indicator Detail].[other_indicator_description]" caption="other_indicator_description" attribute="1" defaultMemberUniqueName="[Indicator Detail].[other_indicator_description].[All]" allUniqueName="[Indicator Detail].[other_indicator_description].[All]" dimensionUniqueName="[Indicator Detail]" displayFolder="" count="0" unbalanced="0" hidden="1"/>
    <cacheHierarchy uniqueName="[Indicator Detail].[output_definition]" caption="output_definition" attribute="1" defaultMemberUniqueName="[Indicator Detail].[output_definition].[All]" allUniqueName="[Indicator Detail].[output_definition].[All]" dimensionUniqueName="[Indicator Detail]" displayFolder="" count="0" unbalanced="0" hidden="1"/>
    <cacheHierarchy uniqueName="[Indicator Detail].[population_component]" caption="population_component" attribute="1" defaultMemberUniqueName="[Indicator Detail].[population_component].[All]" allUniqueName="[Indicator Detail].[population_component].[All]" dimensionUniqueName="[Indicator Detail]" displayFolder="" count="0" unbalanced="0" hidden="1"/>
    <cacheHierarchy uniqueName="[Indicator Detail].[source_component]" caption="source_component" attribute="1" defaultMemberUniqueName="[Indicator Detail].[source_component].[All]" allUniqueName="[Indicator Detail].[source_component].[All]" dimensionUniqueName="[Indicator Detail]" displayFolder="" count="0" unbalanced="0" hidden="1"/>
    <cacheHierarchy uniqueName="[IndicatorStandardNames].[IndicatorSource]" caption="IndicatorSource" attribute="1" defaultMemberUniqueName="[IndicatorStandardNames].[IndicatorSource].[All]" allUniqueName="[IndicatorStandardNames].[IndicatorSource].[All]" dimensionUniqueName="[IndicatorStandardNames]" displayFolder="" count="0" unbalanced="0" hidden="1"/>
    <cacheHierarchy uniqueName="[IndicatorStandardNames].[IndicatorSourceCode]" caption="IndicatorSourceCode" attribute="1" defaultMemberUniqueName="[IndicatorStandardNames].[IndicatorSourceCode].[All]" allUniqueName="[IndicatorStandardNames].[IndicatorSourceCode].[All]" dimensionUniqueName="[IndicatorStandardNames]" displayFolder="" count="0" unbalanced="0" hidden="1"/>
    <cacheHierarchy uniqueName="[IndicatorStandardNames].[IndicatorSourceDescription]" caption="IndicatorSourceDescription" attribute="1" defaultMemberUniqueName="[IndicatorStandardNames].[IndicatorSourceDescription].[All]" allUniqueName="[IndicatorStandardNames].[IndicatorSourceDescription].[All]" dimensionUniqueName="[IndicatorStandardNames]" displayFolder="" count="0" unbalanced="0" hidden="1"/>
    <cacheHierarchy uniqueName="[IndicatorStandardNames].[IndicatorStandardName]" caption="IndicatorStandardName" attribute="1" defaultMemberUniqueName="[IndicatorStandardNames].[IndicatorStandardName].[All]" allUniqueName="[IndicatorStandardNames].[IndicatorStandardName].[All]" dimensionUniqueName="[IndicatorStandardNames]" displayFolder="" count="0" unbalanced="0" hidden="1"/>
    <cacheHierarchy uniqueName="[IndicatorStandardNames].[IndicatorStandardNamesID]" caption="IndicatorStandardNamesID" attribute="1" defaultMemberUniqueName="[IndicatorStandardNames].[IndicatorStandardNamesID].[All]" allUniqueName="[IndicatorStandardNames].[IndicatorStandardNamesID].[All]" dimensionUniqueName="[IndicatorStandardNames]" displayFolder="" count="0" unbalanced="0" hidden="1"/>
    <cacheHierarchy uniqueName="[Sources].[DataNotes]" caption="DataNotes" attribute="1" defaultMemberUniqueName="[Sources].[DataNotes].[All]" allUniqueName="[Sources].[DataNotes].[All]" dimensionUniqueName="[Sources]" displayFolder="" count="0" unbalanced="0" hidden="1"/>
    <cacheHierarchy uniqueName="[Sources].[DataOriginFile]" caption="DataOriginFile" attribute="1" defaultMemberUniqueName="[Sources].[DataOriginFile].[All]" allUniqueName="[Sources].[DataOriginFile].[All]" dimensionUniqueName="[Sources]" displayFolder="" count="0" unbalanced="0" hidden="1"/>
    <cacheHierarchy uniqueName="[Sources].[DataOriginURL]" caption="DataOriginURL" attribute="1" defaultMemberUniqueName="[Sources].[DataOriginURL].[All]" allUniqueName="[Sources].[DataOriginURL].[All]" dimensionUniqueName="[Sources]" displayFolder="" count="0" unbalanced="0" hidden="1"/>
    <cacheHierarchy uniqueName="[Sources].[Description]" caption="Description" attribute="1" defaultMemberUniqueName="[Sources].[Description].[All]" allUniqueName="[Sources].[Description].[All]" dimensionUniqueName="[Sources]" displayFolder="" count="0" unbalanced="0" hidden="1"/>
    <cacheHierarchy uniqueName="[Sources].[DimSourceID]" caption="DimSourceID" attribute="1" defaultMemberUniqueName="[Sources].[DimSourceID].[All]" allUniqueName="[Sources].[DimSourceID].[All]" dimensionUniqueName="[Sources]" displayFolder="" count="0" unbalanced="0" hidden="1"/>
    <cacheHierarchy uniqueName="[Sources].[PreparationNotes]" caption="PreparationNotes" attribute="1" defaultMemberUniqueName="[Sources].[PreparationNotes].[All]" allUniqueName="[Sources].[PreparationNotes].[All]" dimensionUniqueName="[Sources]" displayFolder="" count="0" unbalanced="0" hidden="1"/>
    <cacheHierarchy uniqueName="[Sources].[SourceName]" caption="SourceName" attribute="1" defaultMemberUniqueName="[Sources].[SourceName].[All]" allUniqueName="[Sources].[SourceName].[All]" dimensionUniqueName="[Sources]" displayFolder="" count="0" unbalanced="0" hidden="1"/>
    <cacheHierarchy uniqueName="[Sources].[SourceNameDetail]" caption="SourceNameDetail" attribute="1" defaultMemberUniqueName="[Sources].[SourceNameDetail].[All]" allUniqueName="[Sources].[SourceNameDetail].[All]" dimensionUniqueName="[Sources]" displayFolder="" count="0" unbalanced="0" hidden="1"/>
    <cacheHierarchy uniqueName="[Sources].[SourceNameParent]" caption="SourceNameParent" attribute="1" defaultMemberUniqueName="[Sources].[SourceNameParent].[All]" allUniqueName="[Sources].[SourceNameParent].[All]" dimensionUniqueName="[Sources]" displayFolder="" count="0" unbalanced="0" hidden="1"/>
    <cacheHierarchy uniqueName="[Sources].[SourceNotes]" caption="SourceNotes" attribute="1" defaultMemberUniqueName="[Sources].[SourceNotes].[All]" allUniqueName="[Sources].[SourceNotes].[All]" dimensionUniqueName="[Sources]" displayFolder="" count="0" unbalanced="0" hidden="1"/>
    <cacheHierarchy uniqueName="[Measures].[Item]" caption="Item" measure="1" displayFolder="" measureGroup="Data" count="0" oneField="1">
      <fieldsUsage count="1">
        <fieldUsage x="8"/>
      </fieldsUsage>
    </cacheHierarchy>
    <cacheHierarchy uniqueName="[Measures].[Count]" caption="Count" measure="1" displayFolder="" measureGroup="Data" count="0"/>
    <cacheHierarchy uniqueName="[Measures].[__Default measure]" caption="__Default measure" measure="1" displayFolder="" count="0" hidden="1"/>
  </cacheHierarchies>
  <kpis count="0"/>
  <dimensions count="5">
    <dimension name="Data" uniqueName="[Data]" caption="Data"/>
    <dimension name="Dates" uniqueName="[Dates]" caption="Dates"/>
    <dimension name="Geography" uniqueName="[Geography]" caption="Geography"/>
    <dimension name="Indicator Detail" uniqueName="[Indicator Detail]" caption="Indicator Detail"/>
    <dimension measure="1" name="Measures" uniqueName="[Measures]" caption="Measures"/>
  </dimensions>
  <measureGroups count="6">
    <measureGroup name="Data" caption="Data"/>
    <measureGroup name="Dates" caption="Dates"/>
    <measureGroup name="Geography" caption="Geography"/>
    <measureGroup name="Indicator Detail" caption="Indicator Detail"/>
    <measureGroup name="IndicatorStandardNames" caption="IndicatorStandardNames"/>
    <measureGroup name="Sources" caption="Sources"/>
  </measureGroups>
  <maps count="7">
    <map measureGroup="0" dimension="0"/>
    <map measureGroup="0" dimension="1"/>
    <map measureGroup="0" dimension="2"/>
    <map measureGroup="0" dimension="3"/>
    <map measureGroup="1" dimension="1"/>
    <map measureGroup="2"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an Freeman" refreshedDate="44171.842507986112" backgroundQuery="1" createdVersion="6" refreshedVersion="6" minRefreshableVersion="3" recordCount="0" supportSubquery="1" supportAdvancedDrill="1" xr:uid="{E9EC0002-2739-4B09-B2A1-A354A6BC751F}">
  <cacheSource type="external" connectionId="1"/>
  <cacheFields count="18">
    <cacheField name="[Data].[Demographics].[Population]" caption="Population" numFmtId="0" hierarchy="1" level="1">
      <sharedItems containsSemiMixedTypes="0" containsString="0"/>
    </cacheField>
    <cacheField name="[Geography].[Blocs].[Major_Blocs]" caption="Major_Blocs" numFmtId="0" hierarchy="6" level="1">
      <sharedItems count="3">
        <s v="[Geography].[Blocs].[Major_Blocs].&amp;[North]" c="North"/>
        <s v="[Geography].[Blocs].[Major_Blocs].&amp;[South]" c="South"/>
        <s v="[Geography].[Blocs].[Major_Blocs].&amp;[Transitional]" u="1" c="Transitional"/>
      </sharedItems>
    </cacheField>
    <cacheField name="[Geography].[Blocs].[Country]" caption="Country" numFmtId="0" hierarchy="6" level="2">
      <sharedItems containsSemiMixedTypes="0" containsString="0"/>
    </cacheField>
    <cacheField name="[Geography].[Blocs].[Nation]" caption="Nation" numFmtId="0" hierarchy="6" level="3">
      <sharedItems containsSemiMixedTypes="0" containsString="0"/>
    </cacheField>
    <cacheField name="[Indicator Detail].[Units].[Measure Type (Stock/Flow/etc)]" caption="Measure Type (Stock/Flow/etc)" numFmtId="0" hierarchy="12" level="1">
      <sharedItems containsSemiMixedTypes="0" containsString="0"/>
    </cacheField>
    <cacheField name="[Indicator Detail].[Units].[Dimension (Money/Quantity/PPP)]" caption="Dimension (Money/Quantity/PPP)" numFmtId="0" hierarchy="12" level="2">
      <sharedItems containsSemiMixedTypes="0" containsString="0"/>
    </cacheField>
    <cacheField name="[Indicator Detail].[Units].[Units (USD/EUR/LCU/etc)]" caption="Units (USD/EUR/LCU/etc)" numFmtId="0" hierarchy="12" level="3">
      <sharedItems containsSemiMixedTypes="0" containsString="0"/>
    </cacheField>
    <cacheField name="[Indicator Detail].[Units].[Metric (Current/Constant/etc)]" caption="Metric (Current/Constant/etc)" numFmtId="0" hierarchy="12" level="4">
      <sharedItems containsSemiMixedTypes="0" containsString="0"/>
    </cacheField>
    <cacheField name="[Dates].[Year].[Year]" caption="Year" numFmtId="0" hierarchy="5" level="1">
      <sharedItems count="50">
        <s v="[Dates].[Year].&amp;[1970]" c="1970"/>
        <s v="[Dates].[Year].&amp;[1971]" c="1971"/>
        <s v="[Dates].[Year].&amp;[1972]" c="1972"/>
        <s v="[Dates].[Year].&amp;[1973]" c="1973"/>
        <s v="[Dates].[Year].&amp;[1974]" c="1974"/>
        <s v="[Dates].[Year].&amp;[1975]" c="1975"/>
        <s v="[Dates].[Year].&amp;[1976]" c="1976"/>
        <s v="[Dates].[Year].&amp;[1977]" c="1977"/>
        <s v="[Dates].[Year].&amp;[1978]" c="1978"/>
        <s v="[Dates].[Year].&amp;[1979]" c="1979"/>
        <s v="[Dates].[Year].&amp;[1980]" c="1980"/>
        <s v="[Dates].[Year].&amp;[1981]" c="1981"/>
        <s v="[Dates].[Year].&amp;[1982]" c="1982"/>
        <s v="[Dates].[Year].&amp;[1983]" c="1983"/>
        <s v="[Dates].[Year].&amp;[1984]" c="1984"/>
        <s v="[Dates].[Year].&amp;[1985]" c="1985"/>
        <s v="[Dates].[Year].&amp;[1986]" c="1986"/>
        <s v="[Dates].[Year].&amp;[1987]" c="1987"/>
        <s v="[Dates].[Year].&amp;[1988]" c="1988"/>
        <s v="[Dates].[Year].&amp;[1989]" c="1989"/>
        <s v="[Dates].[Year].&amp;[1990]" c="1990"/>
        <s v="[Dates].[Year].&amp;[1991]" c="1991"/>
        <s v="[Dates].[Year].&amp;[1992]" c="1992"/>
        <s v="[Dates].[Year].&amp;[1993]" c="1993"/>
        <s v="[Dates].[Year].&amp;[1994]" c="1994"/>
        <s v="[Dates].[Year].&amp;[1995]" c="1995"/>
        <s v="[Dates].[Year].&amp;[1996]" c="1996"/>
        <s v="[Dates].[Year].&amp;[1997]" c="1997"/>
        <s v="[Dates].[Year].&amp;[1998]" c="1998"/>
        <s v="[Dates].[Year].&amp;[1999]" c="1999"/>
        <s v="[Dates].[Year].&amp;[2000]" c="2000"/>
        <s v="[Dates].[Year].&amp;[2001]" c="2001"/>
        <s v="[Dates].[Year].&amp;[2002]" c="2002"/>
        <s v="[Dates].[Year].&amp;[2003]" c="2003"/>
        <s v="[Dates].[Year].&amp;[2004]" c="2004"/>
        <s v="[Dates].[Year].&amp;[2005]" c="2005"/>
        <s v="[Dates].[Year].&amp;[2006]" c="2006"/>
        <s v="[Dates].[Year].&amp;[2007]" c="2007"/>
        <s v="[Dates].[Year].&amp;[2008]" c="2008"/>
        <s v="[Dates].[Year].&amp;[2009]" c="2009"/>
        <s v="[Dates].[Year].&amp;[2010]" c="2010"/>
        <s v="[Dates].[Year].&amp;[2011]" c="2011"/>
        <s v="[Dates].[Year].&amp;[2012]" c="2012"/>
        <s v="[Dates].[Year].&amp;[2013]" c="2013"/>
        <s v="[Dates].[Year].&amp;[2014]" c="2014"/>
        <s v="[Dates].[Year].&amp;[2015]" c="2015"/>
        <s v="[Dates].[Year].&amp;[2016]" c="2016"/>
        <s v="[Dates].[Year].&amp;[2017]" c="2017"/>
        <s v="[Dates].[Year].&amp;[2018]" c="2018"/>
        <s v="[Dates].[Year].&amp;[2019]" c="2019"/>
      </sharedItems>
    </cacheField>
    <cacheField name="[Measures].[Item]" caption="Item" numFmtId="0" hierarchy="73" level="32767"/>
    <cacheField name="[Data].[Original Source Data].[Source]" caption="Source" numFmtId="0" hierarchy="4" level="1">
      <sharedItems containsSemiMixedTypes="0" containsString="0"/>
    </cacheField>
    <cacheField name="[Data].[Original Source Data].[IndicatorSourceDescription]" caption="IndicatorSourceDescription" numFmtId="0" hierarchy="4" level="2">
      <sharedItems containsSemiMixedTypes="0" containsString="0"/>
    </cacheField>
    <cacheField name="[Geography].[WDI Availability].[wdi_availability]" caption="wdi_availability" numFmtId="0" hierarchy="9" level="1">
      <sharedItems containsSemiMixedTypes="0" containsString="0"/>
    </cacheField>
    <cacheField name="[Geography].[WDI Availability].[Country]" caption="Country" numFmtId="0" hierarchy="9" level="2">
      <sharedItems containsSemiMixedTypes="0" containsString="0"/>
    </cacheField>
    <cacheField name="[Geography].[WDI Availability].[Nation]" caption="Nation" numFmtId="0" hierarchy="9" level="3">
      <sharedItems containsSemiMixedTypes="0" containsString="0"/>
    </cacheField>
    <cacheField name="[Geography].[GeoEconomic Region].[GeoEconomic_Region]" caption="GeoEconomic_Region" numFmtId="0" hierarchy="7" level="1">
      <sharedItems count="9">
        <s v="[Geography].[GeoEconomic Region].[GeoEconomic_Region].&amp;[China]" c="China"/>
        <s v="[Geography].[GeoEconomic Region].[GeoEconomic_Region].&amp;[East Asia]" c="East Asia"/>
        <s v="[Geography].[GeoEconomic Region].[GeoEconomic_Region].&amp;[Europe]" c="Europe"/>
        <s v="[Geography].[GeoEconomic Region].[GeoEconomic_Region].&amp;[Latin America and Caribbean]" c="Latin America and Caribbean"/>
        <s v="[Geography].[GeoEconomic Region].[GeoEconomic_Region].&amp;[Middle East and North Africa]" c="Middle East and North Africa"/>
        <s v="[Geography].[GeoEconomic Region].[GeoEconomic_Region].&amp;[North America]" c="North America"/>
        <s v="[Geography].[GeoEconomic Region].[GeoEconomic_Region].&amp;[Pacific]" c="Pacific"/>
        <s v="[Geography].[GeoEconomic Region].[GeoEconomic_Region].&amp;[South Asia]" c="South Asia"/>
        <s v="[Geography].[GeoEconomic Region].[GeoEconomic_Region].&amp;[Sub-Saharan Africa]" c="Sub-Saharan Africa"/>
      </sharedItems>
    </cacheField>
    <cacheField name="[Geography].[GeoEconomic Region].[Country]" caption="Country" numFmtId="0" hierarchy="7" level="2">
      <sharedItems count="104">
        <s v="[Geography].[GeoEconomic Region].[GeoEconomic_Region].&amp;[China].&amp;[China Mainland]" c="China Mainland"/>
        <s v="[Geography].[GeoEconomic Region].[GeoEconomic_Region].&amp;[East Asia].&amp;[Hong Kong]" c="Hong Kong"/>
        <s v="[Geography].[GeoEconomic Region].[GeoEconomic_Region].&amp;[East Asia].&amp;[Japan]" c="Japan"/>
        <s v="[Geography].[GeoEconomic Region].[GeoEconomic_Region].&amp;[East Asia].&amp;[Malaysia]" c="Malaysia"/>
        <s v="[Geography].[GeoEconomic Region].[GeoEconomic_Region].&amp;[East Asia].&amp;[Philippines]" c="Philippines"/>
        <s v="[Geography].[GeoEconomic Region].[GeoEconomic_Region].&amp;[East Asia].&amp;[Singapore]" c="Singapore"/>
        <s v="[Geography].[GeoEconomic Region].[GeoEconomic_Region].&amp;[East Asia].&amp;[South Korea]" c="South Korea"/>
        <s v="[Geography].[GeoEconomic Region].[GeoEconomic_Region].&amp;[East Asia].&amp;[Thailand]" c="Thailand"/>
        <s v="[Geography].[GeoEconomic Region].[GeoEconomic_Region].&amp;[Europe].&amp;[Andorra]" c="Andorra"/>
        <s v="[Geography].[GeoEconomic Region].[GeoEconomic_Region].&amp;[Europe].&amp;[Austria]" c="Austria"/>
        <s v="[Geography].[GeoEconomic Region].[GeoEconomic_Region].&amp;[Europe].&amp;[Belgium]" c="Belgium"/>
        <s v="[Geography].[GeoEconomic Region].[GeoEconomic_Region].&amp;[Europe].&amp;[Denmark]" c="Denmark"/>
        <s v="[Geography].[GeoEconomic Region].[GeoEconomic_Region].&amp;[Europe].&amp;[Finland]" c="Finland"/>
        <s v="[Geography].[GeoEconomic Region].[GeoEconomic_Region].&amp;[Europe].&amp;[France]" c="France"/>
        <s v="[Geography].[GeoEconomic Region].[GeoEconomic_Region].&amp;[Europe].&amp;[Germany]" c="Germany"/>
        <s v="[Geography].[GeoEconomic Region].[GeoEconomic_Region].&amp;[Europe].&amp;[Greece]" c="Greece"/>
        <s v="[Geography].[GeoEconomic Region].[GeoEconomic_Region].&amp;[Europe].&amp;[Iceland]" c="Iceland"/>
        <s v="[Geography].[GeoEconomic Region].[GeoEconomic_Region].&amp;[Europe].&amp;[Ireland]" c="Ireland"/>
        <s v="[Geography].[GeoEconomic Region].[GeoEconomic_Region].&amp;[Europe].&amp;[Italy]" c="Italy"/>
        <s v="[Geography].[GeoEconomic Region].[GeoEconomic_Region].&amp;[Europe].&amp;[Luxemburg]" c="Luxemburg"/>
        <s v="[Geography].[GeoEconomic Region].[GeoEconomic_Region].&amp;[Europe].&amp;[Malta]" c="Malta"/>
        <s v="[Geography].[GeoEconomic Region].[GeoEconomic_Region].&amp;[Europe].&amp;[Netherlands]" c="Netherlands"/>
        <s v="[Geography].[GeoEconomic Region].[GeoEconomic_Region].&amp;[Europe].&amp;[Norway]" c="Norway"/>
        <s v="[Geography].[GeoEconomic Region].[GeoEconomic_Region].&amp;[Europe].&amp;[Portugal]" c="Portugal"/>
        <s v="[Geography].[GeoEconomic Region].[GeoEconomic_Region].&amp;[Europe].&amp;[Spain]" c="Spain"/>
        <s v="[Geography].[GeoEconomic Region].[GeoEconomic_Region].&amp;[Europe].&amp;[Sweden]" c="Sweden"/>
        <s v="[Geography].[GeoEconomic Region].[GeoEconomic_Region].&amp;[Europe].&amp;[Switzerland]" c="Switzerland"/>
        <s v="[Geography].[GeoEconomic Region].[GeoEconomic_Region].&amp;[Europe].&amp;[United Kingdom]" c="United Kingdom"/>
        <s v="[Geography].[GeoEconomic Region].[GeoEconomic_Region].&amp;[Latin America and Caribbean].&amp;[Argentina]" c="Argentina"/>
        <s v="[Geography].[GeoEconomic Region].[GeoEconomic_Region].&amp;[Latin America and Caribbean].&amp;[Bahamas]" c="Bahamas"/>
        <s v="[Geography].[GeoEconomic Region].[GeoEconomic_Region].&amp;[Latin America and Caribbean].&amp;[Belize]" c="Belize"/>
        <s v="[Geography].[GeoEconomic Region].[GeoEconomic_Region].&amp;[Latin America and Caribbean].&amp;[Bolivia]" c="Bolivia"/>
        <s v="[Geography].[GeoEconomic Region].[GeoEconomic_Region].&amp;[Latin America and Caribbean].&amp;[Brazil]" c="Brazil"/>
        <s v="[Geography].[GeoEconomic Region].[GeoEconomic_Region].&amp;[Latin America and Caribbean].&amp;[Chile]" c="Chile"/>
        <s v="[Geography].[GeoEconomic Region].[GeoEconomic_Region].&amp;[Latin America and Caribbean].&amp;[Colombia]" c="Colombia"/>
        <s v="[Geography].[GeoEconomic Region].[GeoEconomic_Region].&amp;[Latin America and Caribbean].&amp;[Costa Rica]" c="Costa Rica"/>
        <s v="[Geography].[GeoEconomic Region].[GeoEconomic_Region].&amp;[Latin America and Caribbean].&amp;[Dominican Republic]" c="Dominican Republic"/>
        <s v="[Geography].[GeoEconomic Region].[GeoEconomic_Region].&amp;[Latin America and Caribbean].&amp;[Ecuador]" c="Ecuador"/>
        <s v="[Geography].[GeoEconomic Region].[GeoEconomic_Region].&amp;[Latin America and Caribbean].&amp;[El Salvador]" c="El Salvador"/>
        <s v="[Geography].[GeoEconomic Region].[GeoEconomic_Region].&amp;[Latin America and Caribbean].&amp;[Guatemala]" c="Guatemala"/>
        <s v="[Geography].[GeoEconomic Region].[GeoEconomic_Region].&amp;[Latin America and Caribbean].&amp;[Guyana]" c="Guyana"/>
        <s v="[Geography].[GeoEconomic Region].[GeoEconomic_Region].&amp;[Latin America and Caribbean].&amp;[Haiti]" c="Haiti"/>
        <s v="[Geography].[GeoEconomic Region].[GeoEconomic_Region].&amp;[Latin America and Caribbean].&amp;[Honduras]" c="Honduras"/>
        <s v="[Geography].[GeoEconomic Region].[GeoEconomic_Region].&amp;[Latin America and Caribbean].&amp;[Jamaica]" c="Jamaica"/>
        <s v="[Geography].[GeoEconomic Region].[GeoEconomic_Region].&amp;[Latin America and Caribbean].&amp;[Mexico]" c="Mexico"/>
        <s v="[Geography].[GeoEconomic Region].[GeoEconomic_Region].&amp;[Latin America and Caribbean].&amp;[Nicaragua]" c="Nicaragua"/>
        <s v="[Geography].[GeoEconomic Region].[GeoEconomic_Region].&amp;[Latin America and Caribbean].&amp;[Panama]" c="Panama"/>
        <s v="[Geography].[GeoEconomic Region].[GeoEconomic_Region].&amp;[Latin America and Caribbean].&amp;[Paraguay]" c="Paraguay"/>
        <s v="[Geography].[GeoEconomic Region].[GeoEconomic_Region].&amp;[Latin America and Caribbean].&amp;[Peru]" c="Peru"/>
        <s v="[Geography].[GeoEconomic Region].[GeoEconomic_Region].&amp;[Latin America and Caribbean].&amp;[Puerto Rico]" c="Puerto Rico"/>
        <s v="[Geography].[GeoEconomic Region].[GeoEconomic_Region].&amp;[Latin America and Caribbean].&amp;[Suriname]" c="Suriname"/>
        <s v="[Geography].[GeoEconomic Region].[GeoEconomic_Region].&amp;[Latin America and Caribbean].&amp;[Trinidad and Tobago]" c="Trinidad and Tobago"/>
        <s v="[Geography].[GeoEconomic Region].[GeoEconomic_Region].&amp;[Latin America and Caribbean].&amp;[Uruguay]" c="Uruguay"/>
        <s v="[Geography].[GeoEconomic Region].[GeoEconomic_Region].&amp;[Middle East and North Africa].&amp;[Algeria]" c="Algeria"/>
        <s v="[Geography].[GeoEconomic Region].[GeoEconomic_Region].&amp;[Middle East and North Africa].&amp;[Israel]" c="Israel"/>
        <s v="[Geography].[GeoEconomic Region].[GeoEconomic_Region].&amp;[Middle East and North Africa].&amp;[Morocco]" c="Morocco"/>
        <s v="[Geography].[GeoEconomic Region].[GeoEconomic_Region].&amp;[Middle East and North Africa].&amp;[Oman]" c="Oman"/>
        <s v="[Geography].[GeoEconomic Region].[GeoEconomic_Region].&amp;[Middle East and North Africa].&amp;[Saudi Arabia]" c="Saudi Arabia"/>
        <s v="[Geography].[GeoEconomic Region].[GeoEconomic_Region].&amp;[Middle East and North Africa].&amp;[Tunisia]" c="Tunisia"/>
        <s v="[Geography].[GeoEconomic Region].[GeoEconomic_Region].&amp;[Middle East and North Africa].&amp;[Turkey]" c="Turkey"/>
        <s v="[Geography].[GeoEconomic Region].[GeoEconomic_Region].&amp;[North America].&amp;[Canada]" c="Canada"/>
        <s v="[Geography].[GeoEconomic Region].[GeoEconomic_Region].&amp;[North America].&amp;[United States]" c="United States"/>
        <s v="[Geography].[GeoEconomic Region].[GeoEconomic_Region].&amp;[Pacific].&amp;[Australia]" c="Australia"/>
        <s v="[Geography].[GeoEconomic Region].[GeoEconomic_Region].&amp;[Pacific].&amp;[Fiji]" c="Fiji"/>
        <s v="[Geography].[GeoEconomic Region].[GeoEconomic_Region].&amp;[Pacific].&amp;[Kiribati]" c="Kiribati"/>
        <s v="[Geography].[GeoEconomic Region].[GeoEconomic_Region].&amp;[Pacific].&amp;[New Zealand]" c="New Zealand"/>
        <s v="[Geography].[GeoEconomic Region].[GeoEconomic_Region].&amp;[Pacific].&amp;[Papua New Guinea]" c="Papua New Guinea"/>
        <s v="[Geography].[GeoEconomic Region].[GeoEconomic_Region].&amp;[South Asia].&amp;[Bangladesh]" c="Bangladesh"/>
        <s v="[Geography].[GeoEconomic Region].[GeoEconomic_Region].&amp;[South Asia].&amp;[India]" c="India"/>
        <s v="[Geography].[GeoEconomic Region].[GeoEconomic_Region].&amp;[South Asia].&amp;[Nepal]" c="Nepal"/>
        <s v="[Geography].[GeoEconomic Region].[GeoEconomic_Region].&amp;[South Asia].&amp;[Pakistan]" c="Pakistan"/>
        <s v="[Geography].[GeoEconomic Region].[GeoEconomic_Region].&amp;[South Asia].&amp;[Sri Lanka]" c="Sri Lanka"/>
        <s v="[Geography].[GeoEconomic Region].[GeoEconomic_Region].&amp;[Sub-Saharan Africa].&amp;[Benin]" c="Benin"/>
        <s v="[Geography].[GeoEconomic Region].[GeoEconomic_Region].&amp;[Sub-Saharan Africa].&amp;[Botswana]" c="Botswana"/>
        <s v="[Geography].[GeoEconomic Region].[GeoEconomic_Region].&amp;[Sub-Saharan Africa].&amp;[Burkina Faso]" c="Burkina Faso"/>
        <s v="[Geography].[GeoEconomic Region].[GeoEconomic_Region].&amp;[Sub-Saharan Africa].&amp;[Burundi]" c="Burundi"/>
        <s v="[Geography].[GeoEconomic Region].[GeoEconomic_Region].&amp;[Sub-Saharan Africa].&amp;[Cameroon]" c="Cameroon"/>
        <s v="[Geography].[GeoEconomic Region].[GeoEconomic_Region].&amp;[Sub-Saharan Africa].&amp;[Central African Republic]" c="Central African Republic"/>
        <s v="[Geography].[GeoEconomic Region].[GeoEconomic_Region].&amp;[Sub-Saharan Africa].&amp;[Chad]" c="Chad"/>
        <s v="[Geography].[GeoEconomic Region].[GeoEconomic_Region].&amp;[Sub-Saharan Africa].&amp;[Congo DR]" c="Congo DR"/>
        <s v="[Geography].[GeoEconomic Region].[GeoEconomic_Region].&amp;[Sub-Saharan Africa].&amp;[Congo R]" c="Congo R"/>
        <s v="[Geography].[GeoEconomic Region].[GeoEconomic_Region].&amp;[Sub-Saharan Africa].&amp;[Cote d'Ivoire]" c="Cote d'Ivoire"/>
        <s v="[Geography].[GeoEconomic Region].[GeoEconomic_Region].&amp;[Sub-Saharan Africa].&amp;[Gabon]" c="Gabon"/>
        <s v="[Geography].[GeoEconomic Region].[GeoEconomic_Region].&amp;[Sub-Saharan Africa].&amp;[Gambia]" c="Gambia"/>
        <s v="[Geography].[GeoEconomic Region].[GeoEconomic_Region].&amp;[Sub-Saharan Africa].&amp;[Ghana]" c="Ghana"/>
        <s v="[Geography].[GeoEconomic Region].[GeoEconomic_Region].&amp;[Sub-Saharan Africa].&amp;[Guinea-Bissau]" c="Guinea-Bissau"/>
        <s v="[Geography].[GeoEconomic Region].[GeoEconomic_Region].&amp;[Sub-Saharan Africa].&amp;[Kenya]" c="Kenya"/>
        <s v="[Geography].[GeoEconomic Region].[GeoEconomic_Region].&amp;[Sub-Saharan Africa].&amp;[Lesotho]" c="Lesotho"/>
        <s v="[Geography].[GeoEconomic Region].[GeoEconomic_Region].&amp;[Sub-Saharan Africa].&amp;[Madagascar]" c="Madagascar"/>
        <s v="[Geography].[GeoEconomic Region].[GeoEconomic_Region].&amp;[Sub-Saharan Africa].&amp;[Malawi]" c="Malawi"/>
        <s v="[Geography].[GeoEconomic Region].[GeoEconomic_Region].&amp;[Sub-Saharan Africa].&amp;[Mali]" c="Mali"/>
        <s v="[Geography].[GeoEconomic Region].[GeoEconomic_Region].&amp;[Sub-Saharan Africa].&amp;[Mauritania]" c="Mauritania"/>
        <s v="[Geography].[GeoEconomic Region].[GeoEconomic_Region].&amp;[Sub-Saharan Africa].&amp;[Niger]" c="Niger"/>
        <s v="[Geography].[GeoEconomic Region].[GeoEconomic_Region].&amp;[Sub-Saharan Africa].&amp;[Nigeria]" c="Nigeria"/>
        <s v="[Geography].[GeoEconomic Region].[GeoEconomic_Region].&amp;[Sub-Saharan Africa].&amp;[Rwanda]" c="Rwanda"/>
        <s v="[Geography].[GeoEconomic Region].[GeoEconomic_Region].&amp;[Sub-Saharan Africa].&amp;[Senegal]" c="Senegal"/>
        <s v="[Geography].[GeoEconomic Region].[GeoEconomic_Region].&amp;[Sub-Saharan Africa].&amp;[Seychelles]" c="Seychelles"/>
        <s v="[Geography].[GeoEconomic Region].[GeoEconomic_Region].&amp;[Sub-Saharan Africa].&amp;[Sierra Leone]" c="Sierra Leone"/>
        <s v="[Geography].[GeoEconomic Region].[GeoEconomic_Region].&amp;[Sub-Saharan Africa].&amp;[South Africa]" c="South Africa"/>
        <s v="[Geography].[GeoEconomic Region].[GeoEconomic_Region].&amp;[Sub-Saharan Africa].&amp;[Sudan (Former)]" c="Sudan (Former)"/>
        <s v="[Geography].[GeoEconomic Region].[GeoEconomic_Region].&amp;[Sub-Saharan Africa].&amp;[Swaziland]" c="Swaziland"/>
        <s v="[Geography].[GeoEconomic Region].[GeoEconomic_Region].&amp;[Sub-Saharan Africa].&amp;[Togo]" c="Togo"/>
        <s v="[Geography].[GeoEconomic Region].[GeoEconomic_Region].&amp;[Sub-Saharan Africa].&amp;[Zambia]" c="Zambia"/>
        <s v="[Geography].[GeoEconomic Region].[GeoEconomic_Region].&amp;[Sub-Saharan Africa].&amp;[Zimbabwe]" c="Zimbabwe"/>
      </sharedItems>
    </cacheField>
    <cacheField name="[Geography].[GeoEconomic Region].[Nation]" caption="Nation" numFmtId="0" hierarchy="7" level="3">
      <sharedItems containsSemiMixedTypes="0" containsString="0"/>
    </cacheField>
  </cacheFields>
  <cacheHierarchies count="76">
    <cacheHierarchy uniqueName="[Data].[Balance of Payments Component]" caption="Balance of Payments Component" defaultMemberUniqueName="[Data].[Balance of Payments Component].[All]" allUniqueName="[Data].[Balance of Payments Component].[All]" dimensionUniqueName="[Data]" displayFolder="" count="0" unbalanced="0"/>
    <cacheHierarchy uniqueName="[Data].[Demographics]" caption="Demographics" defaultMemberUniqueName="[Data].[Demographics].[All]" allUniqueName="[Data].[Demographics].[All]" dimensionUniqueName="[Data]" displayFolder="" count="2" unbalanced="0">
      <fieldsUsage count="2">
        <fieldUsage x="-1"/>
        <fieldUsage x="0"/>
      </fieldsUsage>
    </cacheHierarchy>
    <cacheHierarchy uniqueName="[Data].[GDP and other output measures]" caption="GDP and other output measures" defaultMemberUniqueName="[Data].[GDP and other output measures].[All]" allUniqueName="[Data].[GDP and other output measures].[All]" dimensionUniqueName="[Data]" displayFolder="" count="0" unbalanced="0"/>
    <cacheHierarchy uniqueName="[Data].[Indicator Source and Code]" caption="Indicator Source and Code" attribute="1" defaultMemberUniqueName="[Data].[Indicator Source and Code].[All]" allUniqueName="[Data].[Indicator Source and Code].[All]" dimensionUniqueName="[Data]" displayFolder="" count="0" unbalanced="0"/>
    <cacheHierarchy uniqueName="[Data].[Original Source Data]" caption="Original Source Data" defaultMemberUniqueName="[Data].[Original Source Data].[All]" allUniqueName="[Data].[Original Source Data].[All]" dimensionUniqueName="[Data]" displayFolder="" count="3" unbalanced="0">
      <fieldsUsage count="3">
        <fieldUsage x="-1"/>
        <fieldUsage x="10"/>
        <fieldUsage x="11"/>
      </fieldsUsage>
    </cacheHierarchy>
    <cacheHierarchy uniqueName="[Dates].[Year]" caption="Year" attribute="1" defaultMemberUniqueName="[Dates].[Year].[All]" allUniqueName="[Dates].[Year].[All]" dimensionUniqueName="[Dates]" displayFolder="" count="2" unbalanced="0">
      <fieldsUsage count="2">
        <fieldUsage x="-1"/>
        <fieldUsage x="8"/>
      </fieldsUsage>
    </cacheHierarchy>
    <cacheHierarchy uniqueName="[Geography].[Blocs]" caption="Blocs" defaultMemberUniqueName="[Geography].[Blocs].[All]" allUniqueName="[Geography].[Blocs].[All]" dimensionUniqueName="[Geography]" displayFolder="" count="4" unbalanced="0">
      <fieldsUsage count="4">
        <fieldUsage x="-1"/>
        <fieldUsage x="1"/>
        <fieldUsage x="2"/>
        <fieldUsage x="3"/>
      </fieldsUsage>
    </cacheHierarchy>
    <cacheHierarchy uniqueName="[Geography].[GeoEconomic Region]" caption="GeoEconomic Region" defaultMemberUniqueName="[Geography].[GeoEconomic Region].[All]" allUniqueName="[Geography].[GeoEconomic Region].[All]" dimensionUniqueName="[Geography]" displayFolder="" count="4" unbalanced="0">
      <fieldsUsage count="4">
        <fieldUsage x="-1"/>
        <fieldUsage x="15"/>
        <fieldUsage x="16"/>
        <fieldUsage x="17"/>
      </fieldsUsage>
    </cacheHierarchy>
    <cacheHierarchy uniqueName="[Geography].[Penn Availability]" caption="Penn Availability" defaultMemberUniqueName="[Geography].[Penn Availability].[All]" allUniqueName="[Geography].[Penn Availability].[All]" dimensionUniqueName="[Geography]" displayFolder="" count="0" unbalanced="0"/>
    <cacheHierarchy uniqueName="[Geography].[WDI Availability]" caption="WDI Availability" defaultMemberUniqueName="[Geography].[WDI Availability].[All]" allUniqueName="[Geography].[WDI Availability].[All]" dimensionUniqueName="[Geography]" displayFolder="" count="4" unbalanced="0">
      <fieldsUsage count="4">
        <fieldUsage x="-1"/>
        <fieldUsage x="12"/>
        <fieldUsage x="13"/>
        <fieldUsage x="14"/>
      </fieldsUsage>
    </cacheHierarchy>
    <cacheHierarchy uniqueName="[Indicator Detail].[Accounting Basis (net/gross,paid/received, etc)]" caption="Accounting Basis (net/gross,paid/received, etc)" attribute="1" defaultMemberUniqueName="[Indicator Detail].[Accounting Basis (net/gross,paid/received, etc)].[All]" allUniqueName="[Indicator Detail].[Accounting Basis (net/gross,paid/received, etc)].[All]" dimensionUniqueName="[Indicator Detail]" displayFolder="" count="0" unbalanced="0"/>
    <cacheHierarchy uniqueName="[Indicator Detail].[Industrial Sector (Agriculture/Manufacturing/etc)]" caption="Industrial Sector (Agriculture/Manufacturing/etc)" attribute="1" defaultMemberUniqueName="[Indicator Detail].[Industrial Sector (Agriculture/Manufacturing/etc)].[All]" allUniqueName="[Indicator Detail].[Industrial Sector (Agriculture/Manufacturing/etc)].[All]" dimensionUniqueName="[Indicator Detail]" displayFolder="" count="0" unbalanced="0"/>
    <cacheHierarchy uniqueName="[Indicator Detail].[Units]" caption="Units" defaultMemberUniqueName="[Indicator Detail].[Units].[All]" allUniqueName="[Indicator Detail].[Units].[All]" dimensionUniqueName="[Indicator Detail]" displayFolder="" count="5" unbalanced="0">
      <fieldsUsage count="5">
        <fieldUsage x="-1"/>
        <fieldUsage x="4"/>
        <fieldUsage x="5"/>
        <fieldUsage x="6"/>
        <fieldUsage x="7"/>
      </fieldsUsage>
    </cacheHierarchy>
    <cacheHierarchy uniqueName="[Data].[Accounting Basis]" caption="Accounting Basis" attribute="1" defaultMemberUniqueName="[Data].[Accounting Basis].[All]" allUniqueName="[Data].[Accounting Basis].[All]" dimensionUniqueName="[Data]" displayFolder="" count="0" unbalanced="0" hidden="1"/>
    <cacheHierarchy uniqueName="[Data].[Balance of Payments]" caption="Balance of Payments" attribute="1" defaultMemberUniqueName="[Data].[Balance of Payments].[All]" allUniqueName="[Data].[Balance of Payments].[All]" dimensionUniqueName="[Data]" displayFolder="" count="0" unbalanced="0" hidden="1"/>
    <cacheHierarchy uniqueName="[Data].[DateField]" caption="DateField" attribute="1" defaultMemberUniqueName="[Data].[DateField].[All]" allUniqueName="[Data].[DateField].[All]" dimensionUniqueName="[Data]" displayFolder="" count="0" unbalanced="0" hidden="1"/>
    <cacheHierarchy uniqueName="[Data].[DimGeoID]" caption="DimGeoID" attribute="1" defaultMemberUniqueName="[Data].[DimGeoID].[All]" allUniqueName="[Data].[DimGeoID].[All]" dimensionUniqueName="[Data]" displayFolder="" count="0" unbalanced="0" hidden="1"/>
    <cacheHierarchy uniqueName="[Data].[DimIndicatorID]" caption="DimIndicatorID" attribute="1" defaultMemberUniqueName="[Data].[DimIndicatorID].[All]" allUniqueName="[Data].[DimIndicatorID].[All]" dimensionUniqueName="[Data]" displayFolder="" count="0" unbalanced="0" hidden="1"/>
    <cacheHierarchy uniqueName="[Data].[DimSourceID]" caption="DimSourceID" attribute="1" defaultMemberUniqueName="[Data].[DimSourceID].[All]" allUniqueName="[Data].[DimSourceID].[All]" dimensionUniqueName="[Data]" displayFolder="" count="0" unbalanced="0" hidden="1"/>
    <cacheHierarchy uniqueName="[Data].[FactID]" caption="FactID" attribute="1" defaultMemberUniqueName="[Data].[FactID].[All]" allUniqueName="[Data].[FactID].[All]" dimensionUniqueName="[Data]" displayFolder="" count="0" unbalanced="0" hidden="1"/>
    <cacheHierarchy uniqueName="[Data].[Indicator_Type]" caption="Indicator_Type" attribute="1" defaultMemberUniqueName="[Data].[Indicator_Type].[All]" allUniqueName="[Data].[Indicator_Type].[All]" dimensionUniqueName="[Data]" displayFolder="" count="0" unbalanced="0" hidden="1"/>
    <cacheHierarchy uniqueName="[Data].[IndicatorSourceDescription]" caption="IndicatorSourceDescription" attribute="1" defaultMemberUniqueName="[Data].[IndicatorSourceDescription].[All]" allUniqueName="[Data].[IndicatorSourceDescription].[All]" dimensionUniqueName="[Data]" displayFolder="" count="0" unbalanced="0" hidden="1"/>
    <cacheHierarchy uniqueName="[Data].[IndicatorStandardNamesID]" caption="IndicatorStandardNamesID" attribute="1" defaultMemberUniqueName="[Data].[IndicatorStandardNamesID].[All]" allUniqueName="[Data].[IndicatorStandardNamesID].[All]" dimensionUniqueName="[Data]" displayFolder="" count="0" unbalanced="0" hidden="1"/>
    <cacheHierarchy uniqueName="[Data].[Nation]" caption="Nation" attribute="1" defaultMemberUniqueName="[Data].[Nation].[All]" allUniqueName="[Data].[Nation].[All]" dimensionUniqueName="[Data]" displayFolder="" count="0" unbalanced="0" hidden="1"/>
    <cacheHierarchy uniqueName="[Data].[Output Definition]" caption="Output Definition" attribute="1" defaultMemberUniqueName="[Data].[Output Definition].[All]" allUniqueName="[Data].[Output Definition].[All]" dimensionUniqueName="[Data]" displayFolder="" count="0" unbalanced="0" hidden="1"/>
    <cacheHierarchy uniqueName="[Data].[Population]" caption="Population" attribute="1" defaultMemberUniqueName="[Data].[Population].[All]" allUniqueName="[Data].[Population].[All]" dimensionUniqueName="[Data]" displayFolder="" count="0" unbalanced="0" hidden="1"/>
    <cacheHierarchy uniqueName="[Data].[Source]" caption="Source" attribute="1" defaultMemberUniqueName="[Data].[Source].[All]" allUniqueName="[Data].[Source].[All]" dimensionUniqueName="[Data]" displayFolder="" count="0" unbalanced="0" hidden="1"/>
    <cacheHierarchy uniqueName="[Data].[Value]" caption="Value" attribute="1" defaultMemberUniqueName="[Data].[Value].[All]" allUniqueName="[Data].[Value].[All]" dimensionUniqueName="[Data]" displayFolder="" count="0" unbalanced="0" hidden="1"/>
    <cacheHierarchy uniqueName="[Dates].[CalendarKey]" caption="CalendarKey" attribute="1" defaultMemberUniqueName="[Dates].[CalendarKey].[All]" allUniqueName="[Dates].[CalendarKey].[All]" dimensionUniqueName="[Dates]" displayFolder="" count="0" unbalanced="0" hidden="1"/>
    <cacheHierarchy uniqueName="[Dates].[Date]" caption="Date" attribute="1" defaultMemberUniqueName="[Dates].[Date].[All]" allUniqueName="[Dates].[Date].[All]" dimensionUniqueName="[Dates]" displayFolder="" count="0" unbalanced="0" hidden="1"/>
    <cacheHierarchy uniqueName="[Geography].[Country]" caption="Country" attribute="1" defaultMemberUniqueName="[Geography].[Country].[All]" allUniqueName="[Geography].[Country].[All]" dimensionUniqueName="[Geography]" displayFolder="" count="0" unbalanced="0" hidden="1"/>
    <cacheHierarchy uniqueName="[Geography].[DimGeoID]" caption="DimGeoID" attribute="1" defaultMemberUniqueName="[Geography].[DimGeoID].[All]" allUniqueName="[Geography].[DimGeoID].[All]" dimensionUniqueName="[Geography]" displayFolder="" count="0" unbalanced="0" hidden="1"/>
    <cacheHierarchy uniqueName="[Geography].[GeoEconomic_Region]" caption="GeoEconomic_Region" attribute="1" defaultMemberUniqueName="[Geography].[GeoEconomic_Region].[All]" allUniqueName="[Geography].[GeoEconomic_Region].[All]" dimensionUniqueName="[Geography]" displayFolder="" count="0" unbalanced="0" hidden="1"/>
    <cacheHierarchy uniqueName="[Geography].[Geopolitical_Region]" caption="Geopolitical_Region" attribute="1" defaultMemberUniqueName="[Geography].[Geopolitical_Region].[All]" allUniqueName="[Geography].[Geopolitical_Region].[All]" dimensionUniqueName="[Geography]" displayFolder="" count="0" unbalanced="0" hidden="1"/>
    <cacheHierarchy uniqueName="[Geography].[GeoPolitical_Type]" caption="GeoPolitical_Type" attribute="1" defaultMemberUniqueName="[Geography].[GeoPolitical_Type].[All]" allUniqueName="[Geography].[GeoPolitical_Type].[All]" dimensionUniqueName="[Geography]" displayFolder="" count="0" unbalanced="0" hidden="1"/>
    <cacheHierarchy uniqueName="[Geography].[IMF_main_category]" caption="IMF_main_category" attribute="1" defaultMemberUniqueName="[Geography].[IMF_main_category].[All]" allUniqueName="[Geography].[IMF_main_category].[All]" dimensionUniqueName="[Geography]" displayFolder="" count="0" unbalanced="0" hidden="1"/>
    <cacheHierarchy uniqueName="[Geography].[IMF_sub_category]" caption="IMF_sub_category" attribute="1" defaultMemberUniqueName="[Geography].[IMF_sub_category].[All]" allUniqueName="[Geography].[IMF_sub_category].[All]" dimensionUniqueName="[Geography]" displayFolder="" count="0" unbalanced="0" hidden="1"/>
    <cacheHierarchy uniqueName="[Geography].[MACROHISTORY_Geography]" caption="MACROHISTORY_Geography" attribute="1" defaultMemberUniqueName="[Geography].[MACROHISTORY_Geography].[All]" allUniqueName="[Geography].[MACROHISTORY_Geography].[All]" dimensionUniqueName="[Geography]" displayFolder="" count="0" unbalanced="0" hidden="1"/>
    <cacheHierarchy uniqueName="[Geography].[Major_Blocs]" caption="Major_Blocs" attribute="1" defaultMemberUniqueName="[Geography].[Major_Blocs].[All]" allUniqueName="[Geography].[Major_Blocs].[All]" dimensionUniqueName="[Geography]" displayFolder="" count="0" unbalanced="0" hidden="1"/>
    <cacheHierarchy uniqueName="[Geography].[Nation]" caption="Nation" attribute="1" defaultMemberUniqueName="[Geography].[Nation].[All]" allUniqueName="[Geography].[Nation].[All]" dimensionUniqueName="[Geography]" displayFolder="" count="0" unbalanced="0" hidden="1"/>
    <cacheHierarchy uniqueName="[Geography].[penn_availability]" caption="penn_availability" attribute="1" defaultMemberUniqueName="[Geography].[penn_availability].[All]" allUniqueName="[Geography].[penn_availability].[All]" dimensionUniqueName="[Geography]" displayFolder="" count="0" unbalanced="0" hidden="1"/>
    <cacheHierarchy uniqueName="[Geography].[Size]" caption="Size" attribute="1" defaultMemberUniqueName="[Geography].[Size].[All]" allUniqueName="[Geography].[Size].[All]" dimensionUniqueName="[Geography]" displayFolder="" count="0" unbalanced="0" hidden="1"/>
    <cacheHierarchy uniqueName="[Geography].[wdi_availability]" caption="wdi_availability" attribute="1" defaultMemberUniqueName="[Geography].[wdi_availability].[All]" allUniqueName="[Geography].[wdi_availability].[All]" dimensionUniqueName="[Geography]" displayFolder="" count="0" unbalanced="0" hidden="1"/>
    <cacheHierarchy uniqueName="[Geography].[WID_Geography]" caption="WID_Geography" attribute="1" defaultMemberUniqueName="[Geography].[WID_Geography].[All]" allUniqueName="[Geography].[WID_Geography].[All]" dimensionUniqueName="[Geography]" displayFolder="" count="0" unbalanced="0" hidden="1"/>
    <cacheHierarchy uniqueName="[Indicator Detail].[balance_of_payments_component]" caption="balance_of_payments_component" attribute="1" defaultMemberUniqueName="[Indicator Detail].[balance_of_payments_component].[All]" allUniqueName="[Indicator Detail].[balance_of_payments_component].[All]" dimensionUniqueName="[Indicator Detail]" displayFolder="" count="0" unbalanced="0" hidden="1"/>
    <cacheHierarchy uniqueName="[Indicator Detail].[capital_component]" caption="capital_component" attribute="1" defaultMemberUniqueName="[Indicator Detail].[capital_component].[All]" allUniqueName="[Indicator Detail].[capital_component].[All]" dimensionUniqueName="[Indicator Detail]" displayFolder="" count="0" unbalanced="0" hidden="1"/>
    <cacheHierarchy uniqueName="[Indicator Detail].[DimIndicatorID]" caption="DimIndicatorID" attribute="1" defaultMemberUniqueName="[Indicator Detail].[DimIndicatorID].[All]" allUniqueName="[Indicator Detail].[DimIndicatorID].[All]" dimensionUniqueName="[Indicator Detail]" displayFolder="" count="0" unbalanced="0" hidden="1"/>
    <cacheHierarchy uniqueName="[Indicator Detail].[gdp_expenditure_component]" caption="gdp_expenditure_component" attribute="1" defaultMemberUniqueName="[Indicator Detail].[gdp_expenditure_component].[All]" allUniqueName="[Indicator Detail].[gdp_expenditure_component].[All]" dimensionUniqueName="[Indicator Detail]" displayFolder="" count="0" unbalanced="0" hidden="1"/>
    <cacheHierarchy uniqueName="[Indicator Detail].[indicator_dimension]" caption="indicator_dimension" attribute="1" defaultMemberUniqueName="[Indicator Detail].[indicator_dimension].[All]" allUniqueName="[Indicator Detail].[indicator_dimension].[All]" dimensionUniqueName="[Indicator Detail]" displayFolder="" count="0" unbalanced="0" hidden="1"/>
    <cacheHierarchy uniqueName="[Indicator Detail].[indicator_metrics]" caption="indicator_metrics" attribute="1" defaultMemberUniqueName="[Indicator Detail].[indicator_metrics].[All]" allUniqueName="[Indicator Detail].[indicator_metrics].[All]" dimensionUniqueName="[Indicator Detail]" displayFolder="" count="0" unbalanced="0" hidden="1"/>
    <cacheHierarchy uniqueName="[Indicator Detail].[indicator_type]" caption="indicator_type" attribute="1" defaultMemberUniqueName="[Indicator Detail].[indicator_type].[All]" allUniqueName="[Indicator Detail].[indicator_type].[All]" dimensionUniqueName="[Indicator Detail]" displayFolder="" count="0" unbalanced="0" hidden="1"/>
    <cacheHierarchy uniqueName="[Indicator Detail].[indicator_units]" caption="indicator_units" attribute="1" defaultMemberUniqueName="[Indicator Detail].[indicator_units].[All]" allUniqueName="[Indicator Detail].[indicator_units].[All]" dimensionUniqueName="[Indicator Detail]" displayFolder="" count="0" unbalanced="0" hidden="1"/>
    <cacheHierarchy uniqueName="[Indicator Detail].[IndicatorStandardName]" caption="IndicatorStandardName" attribute="1" defaultMemberUniqueName="[Indicator Detail].[IndicatorStandardName].[All]" allUniqueName="[Indicator Detail].[IndicatorStandardName].[All]" dimensionUniqueName="[Indicator Detail]" displayFolder="" count="0" unbalanced="0" hidden="1"/>
    <cacheHierarchy uniqueName="[Indicator Detail].[measure_type]" caption="measure_type" attribute="1" defaultMemberUniqueName="[Indicator Detail].[measure_type].[All]" allUniqueName="[Indicator Detail].[measure_type].[All]" dimensionUniqueName="[Indicator Detail]" displayFolder="" count="0" unbalanced="0" hidden="1"/>
    <cacheHierarchy uniqueName="[Indicator Detail].[other_indicator_description]" caption="other_indicator_description" attribute="1" defaultMemberUniqueName="[Indicator Detail].[other_indicator_description].[All]" allUniqueName="[Indicator Detail].[other_indicator_description].[All]" dimensionUniqueName="[Indicator Detail]" displayFolder="" count="0" unbalanced="0" hidden="1"/>
    <cacheHierarchy uniqueName="[Indicator Detail].[output_definition]" caption="output_definition" attribute="1" defaultMemberUniqueName="[Indicator Detail].[output_definition].[All]" allUniqueName="[Indicator Detail].[output_definition].[All]" dimensionUniqueName="[Indicator Detail]" displayFolder="" count="0" unbalanced="0" hidden="1"/>
    <cacheHierarchy uniqueName="[Indicator Detail].[population_component]" caption="population_component" attribute="1" defaultMemberUniqueName="[Indicator Detail].[population_component].[All]" allUniqueName="[Indicator Detail].[population_component].[All]" dimensionUniqueName="[Indicator Detail]" displayFolder="" count="0" unbalanced="0" hidden="1"/>
    <cacheHierarchy uniqueName="[Indicator Detail].[source_component]" caption="source_component" attribute="1" defaultMemberUniqueName="[Indicator Detail].[source_component].[All]" allUniqueName="[Indicator Detail].[source_component].[All]" dimensionUniqueName="[Indicator Detail]" displayFolder="" count="0" unbalanced="0" hidden="1"/>
    <cacheHierarchy uniqueName="[IndicatorStandardNames].[IndicatorSource]" caption="IndicatorSource" attribute="1" defaultMemberUniqueName="[IndicatorStandardNames].[IndicatorSource].[All]" allUniqueName="[IndicatorStandardNames].[IndicatorSource].[All]" dimensionUniqueName="[IndicatorStandardNames]" displayFolder="" count="0" unbalanced="0" hidden="1"/>
    <cacheHierarchy uniqueName="[IndicatorStandardNames].[IndicatorSourceCode]" caption="IndicatorSourceCode" attribute="1" defaultMemberUniqueName="[IndicatorStandardNames].[IndicatorSourceCode].[All]" allUniqueName="[IndicatorStandardNames].[IndicatorSourceCode].[All]" dimensionUniqueName="[IndicatorStandardNames]" displayFolder="" count="0" unbalanced="0" hidden="1"/>
    <cacheHierarchy uniqueName="[IndicatorStandardNames].[IndicatorSourceDescription]" caption="IndicatorSourceDescription" attribute="1" defaultMemberUniqueName="[IndicatorStandardNames].[IndicatorSourceDescription].[All]" allUniqueName="[IndicatorStandardNames].[IndicatorSourceDescription].[All]" dimensionUniqueName="[IndicatorStandardNames]" displayFolder="" count="0" unbalanced="0" hidden="1"/>
    <cacheHierarchy uniqueName="[IndicatorStandardNames].[IndicatorStandardName]" caption="IndicatorStandardName" attribute="1" defaultMemberUniqueName="[IndicatorStandardNames].[IndicatorStandardName].[All]" allUniqueName="[IndicatorStandardNames].[IndicatorStandardName].[All]" dimensionUniqueName="[IndicatorStandardNames]" displayFolder="" count="0" unbalanced="0" hidden="1"/>
    <cacheHierarchy uniqueName="[IndicatorStandardNames].[IndicatorStandardNamesID]" caption="IndicatorStandardNamesID" attribute="1" defaultMemberUniqueName="[IndicatorStandardNames].[IndicatorStandardNamesID].[All]" allUniqueName="[IndicatorStandardNames].[IndicatorStandardNamesID].[All]" dimensionUniqueName="[IndicatorStandardNames]" displayFolder="" count="0" unbalanced="0" hidden="1"/>
    <cacheHierarchy uniqueName="[Sources].[DataNotes]" caption="DataNotes" attribute="1" defaultMemberUniqueName="[Sources].[DataNotes].[All]" allUniqueName="[Sources].[DataNotes].[All]" dimensionUniqueName="[Sources]" displayFolder="" count="0" unbalanced="0" hidden="1"/>
    <cacheHierarchy uniqueName="[Sources].[DataOriginFile]" caption="DataOriginFile" attribute="1" defaultMemberUniqueName="[Sources].[DataOriginFile].[All]" allUniqueName="[Sources].[DataOriginFile].[All]" dimensionUniqueName="[Sources]" displayFolder="" count="0" unbalanced="0" hidden="1"/>
    <cacheHierarchy uniqueName="[Sources].[DataOriginURL]" caption="DataOriginURL" attribute="1" defaultMemberUniqueName="[Sources].[DataOriginURL].[All]" allUniqueName="[Sources].[DataOriginURL].[All]" dimensionUniqueName="[Sources]" displayFolder="" count="0" unbalanced="0" hidden="1"/>
    <cacheHierarchy uniqueName="[Sources].[Description]" caption="Description" attribute="1" defaultMemberUniqueName="[Sources].[Description].[All]" allUniqueName="[Sources].[Description].[All]" dimensionUniqueName="[Sources]" displayFolder="" count="0" unbalanced="0" hidden="1"/>
    <cacheHierarchy uniqueName="[Sources].[DimSourceID]" caption="DimSourceID" attribute="1" defaultMemberUniqueName="[Sources].[DimSourceID].[All]" allUniqueName="[Sources].[DimSourceID].[All]" dimensionUniqueName="[Sources]" displayFolder="" count="0" unbalanced="0" hidden="1"/>
    <cacheHierarchy uniqueName="[Sources].[PreparationNotes]" caption="PreparationNotes" attribute="1" defaultMemberUniqueName="[Sources].[PreparationNotes].[All]" allUniqueName="[Sources].[PreparationNotes].[All]" dimensionUniqueName="[Sources]" displayFolder="" count="0" unbalanced="0" hidden="1"/>
    <cacheHierarchy uniqueName="[Sources].[SourceName]" caption="SourceName" attribute="1" defaultMemberUniqueName="[Sources].[SourceName].[All]" allUniqueName="[Sources].[SourceName].[All]" dimensionUniqueName="[Sources]" displayFolder="" count="0" unbalanced="0" hidden="1"/>
    <cacheHierarchy uniqueName="[Sources].[SourceNameDetail]" caption="SourceNameDetail" attribute="1" defaultMemberUniqueName="[Sources].[SourceNameDetail].[All]" allUniqueName="[Sources].[SourceNameDetail].[All]" dimensionUniqueName="[Sources]" displayFolder="" count="0" unbalanced="0" hidden="1"/>
    <cacheHierarchy uniqueName="[Sources].[SourceNameParent]" caption="SourceNameParent" attribute="1" defaultMemberUniqueName="[Sources].[SourceNameParent].[All]" allUniqueName="[Sources].[SourceNameParent].[All]" dimensionUniqueName="[Sources]" displayFolder="" count="0" unbalanced="0" hidden="1"/>
    <cacheHierarchy uniqueName="[Sources].[SourceNotes]" caption="SourceNotes" attribute="1" defaultMemberUniqueName="[Sources].[SourceNotes].[All]" allUniqueName="[Sources].[SourceNotes].[All]" dimensionUniqueName="[Sources]" displayFolder="" count="0" unbalanced="0" hidden="1"/>
    <cacheHierarchy uniqueName="[Measures].[Item]" caption="Item" measure="1" displayFolder="" measureGroup="Data" count="0" oneField="1">
      <fieldsUsage count="1">
        <fieldUsage x="9"/>
      </fieldsUsage>
    </cacheHierarchy>
    <cacheHierarchy uniqueName="[Measures].[Count]" caption="Count" measure="1" displayFolder="" measureGroup="Data" count="0"/>
    <cacheHierarchy uniqueName="[Measures].[__Default measure]" caption="__Default measure" measure="1" displayFolder="" count="0" hidden="1"/>
  </cacheHierarchies>
  <kpis count="0"/>
  <dimensions count="5">
    <dimension name="Data" uniqueName="[Data]" caption="Data"/>
    <dimension name="Dates" uniqueName="[Dates]" caption="Dates"/>
    <dimension name="Geography" uniqueName="[Geography]" caption="Geography"/>
    <dimension name="Indicator Detail" uniqueName="[Indicator Detail]" caption="Indicator Detail"/>
    <dimension measure="1" name="Measures" uniqueName="[Measures]" caption="Measures"/>
  </dimensions>
  <measureGroups count="6">
    <measureGroup name="Data" caption="Data"/>
    <measureGroup name="Dates" caption="Dates"/>
    <measureGroup name="Geography" caption="Geography"/>
    <measureGroup name="Indicator Detail" caption="Indicator Detail"/>
    <measureGroup name="IndicatorStandardNames" caption="IndicatorStandardNames"/>
    <measureGroup name="Sources" caption="Sources"/>
  </measureGroups>
  <maps count="7">
    <map measureGroup="0" dimension="0"/>
    <map measureGroup="0" dimension="1"/>
    <map measureGroup="0" dimension="2"/>
    <map measureGroup="0" dimension="3"/>
    <map measureGroup="1" dimension="1"/>
    <map measureGroup="2"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9E30774-8BF9-4151-BD86-53108B6FADEB}" name="PivotTable1" cacheId="16"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fieldListSortAscending="1">
  <location ref="A17:AZ122" firstHeaderRow="1" firstDataRow="2" firstDataCol="2" rowPageCount="4" colPageCount="1"/>
  <pivotFields count="18">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items count="3">
        <item s="1" c="1" x="0"/>
        <item s="1" c="1" x="1"/>
        <item x="2"/>
      </items>
      <extLst>
        <ext xmlns:x14="http://schemas.microsoft.com/office/spreadsheetml/2009/9/main" uri="{2946ED86-A175-432a-8AC1-64E0C546D7DE}">
          <x14:pivotField fillDownLabels="1"/>
        </ext>
      </extLst>
    </pivotField>
    <pivotField compact="0" outline="0" subtotalTop="0" showAll="0" dataSourceSort="1" defaultSubtotal="0">
      <extLst>
        <ext xmlns:x14="http://schemas.microsoft.com/office/spreadsheetml/2009/9/main" uri="{2946ED86-A175-432a-8AC1-64E0C546D7DE}">
          <x14:pivotField fillDownLabels="1"/>
        </ext>
      </extLst>
    </pivotField>
    <pivotField compact="0" outline="0" subtotalTop="0" showAll="0" dataSourceSort="1"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Col" compact="0" allDrilled="1" outline="0" subtotalTop="0" showAll="0" dataSourceSort="1" defaultSubtotal="0" defaultAttributeDrillState="1">
      <items count="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items count="9">
        <item s="1" c="1" x="0"/>
        <item s="1" c="1" x="1"/>
        <item c="1" x="2"/>
        <item s="1" c="1" x="3"/>
        <item c="1" x="4"/>
        <item s="1" c="1" x="5"/>
        <item s="1" c="1" x="6"/>
        <item s="1" c="1" x="7"/>
        <item s="1" c="1" x="8"/>
      </items>
      <extLst>
        <ext xmlns:x14="http://schemas.microsoft.com/office/spreadsheetml/2009/9/main" uri="{2946ED86-A175-432a-8AC1-64E0C546D7DE}">
          <x14:pivotField fillDownLabels="1"/>
        </ext>
      </extLst>
    </pivotField>
    <pivotField axis="axisRow" compact="0" allDrilled="1" outline="0" subtotalTop="0" showAll="0" dataSourceSort="1" defaultSubtotal="0">
      <items count="104">
        <item c="1" x="0"/>
        <item c="1" x="1"/>
        <item c="1" x="2"/>
        <item c="1" x="3"/>
        <item c="1" x="4"/>
        <item c="1" x="5"/>
        <item c="1" x="6"/>
        <item c="1" x="7"/>
        <item s="1" c="1" x="8"/>
        <item s="1" c="1" x="9"/>
        <item s="1" c="1" x="10"/>
        <item s="1" c="1" x="11"/>
        <item s="1" c="1" x="12"/>
        <item s="1" c="1" x="13"/>
        <item s="1" c="1" x="14"/>
        <item s="1" c="1" x="15"/>
        <item s="1" c="1" x="16"/>
        <item s="1" c="1" x="17"/>
        <item s="1" c="1" x="18"/>
        <item s="1" c="1" x="19"/>
        <item s="1" c="1" x="20"/>
        <item s="1" c="1" x="21"/>
        <item s="1" c="1" x="22"/>
        <item s="1" c="1" x="23"/>
        <item s="1" c="1" x="24"/>
        <item s="1" c="1" x="25"/>
        <item s="1" c="1" x="26"/>
        <item s="1" c="1" x="27"/>
        <item c="1" x="28"/>
        <item c="1" x="29"/>
        <item c="1" x="30"/>
        <item c="1" x="31"/>
        <item c="1" x="32"/>
        <item c="1" x="33"/>
        <item c="1" x="34"/>
        <item c="1" x="35"/>
        <item c="1" x="36"/>
        <item c="1" x="37"/>
        <item c="1" x="38"/>
        <item c="1" x="39"/>
        <item c="1" x="40"/>
        <item c="1" x="41"/>
        <item c="1" x="42"/>
        <item c="1" x="43"/>
        <item c="1" x="44"/>
        <item c="1" x="45"/>
        <item c="1" x="46"/>
        <item c="1" x="47"/>
        <item c="1" x="48"/>
        <item c="1" x="49"/>
        <item c="1" x="50"/>
        <item c="1" x="51"/>
        <item c="1" x="52"/>
        <item s="1" c="1" x="53"/>
        <item s="1" c="1" x="54"/>
        <item s="1" c="1" x="55"/>
        <item s="1" c="1" x="56"/>
        <item s="1" c="1" x="57"/>
        <item s="1" c="1" x="58"/>
        <item s="1" c="1" x="59"/>
        <item c="1" x="60"/>
        <item c="1" x="61"/>
        <item c="1" x="62"/>
        <item c="1" x="63"/>
        <item c="1" x="64"/>
        <item c="1" x="65"/>
        <item c="1" x="66"/>
        <item c="1" x="67"/>
        <item c="1" x="68"/>
        <item c="1" x="69"/>
        <item c="1" x="70"/>
        <item c="1" x="71"/>
        <item c="1" x="72"/>
        <item c="1" x="73"/>
        <item c="1" x="74"/>
        <item c="1" x="75"/>
        <item c="1" x="76"/>
        <item c="1" x="77"/>
        <item c="1" x="78"/>
        <item c="1" x="79"/>
        <item c="1" x="80"/>
        <item c="1" x="81"/>
        <item c="1" x="82"/>
        <item c="1" x="83"/>
        <item c="1" x="84"/>
        <item c="1" x="85"/>
        <item c="1" x="86"/>
        <item c="1" x="87"/>
        <item c="1" x="88"/>
        <item c="1" x="89"/>
        <item c="1" x="90"/>
        <item c="1" x="91"/>
        <item c="1" x="92"/>
        <item c="1" x="93"/>
        <item c="1" x="94"/>
        <item c="1" x="95"/>
        <item c="1" x="96"/>
        <item c="1" x="97"/>
        <item c="1" x="98"/>
        <item c="1" x="99"/>
        <item c="1" x="100"/>
        <item c="1" x="101"/>
        <item c="1" x="102"/>
        <item c="1" x="103"/>
      </items>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s>
  <rowFields count="2">
    <field x="15"/>
    <field x="16"/>
  </rowFields>
  <rowItems count="104">
    <i>
      <x/>
      <x/>
    </i>
    <i>
      <x v="1"/>
      <x v="1"/>
    </i>
    <i r="1">
      <x v="2"/>
    </i>
    <i r="1">
      <x v="3"/>
    </i>
    <i r="1">
      <x v="4"/>
    </i>
    <i r="1">
      <x v="5"/>
    </i>
    <i r="1">
      <x v="6"/>
    </i>
    <i r="1">
      <x v="7"/>
    </i>
    <i>
      <x v="2"/>
      <x v="8"/>
    </i>
    <i r="1">
      <x v="9"/>
    </i>
    <i r="1">
      <x v="10"/>
    </i>
    <i r="1">
      <x v="11"/>
    </i>
    <i r="1">
      <x v="12"/>
    </i>
    <i r="1">
      <x v="13"/>
    </i>
    <i r="1">
      <x v="14"/>
    </i>
    <i r="1">
      <x v="15"/>
    </i>
    <i r="1">
      <x v="16"/>
    </i>
    <i r="1">
      <x v="17"/>
    </i>
    <i r="1">
      <x v="18"/>
    </i>
    <i r="1">
      <x v="19"/>
    </i>
    <i r="1">
      <x v="20"/>
    </i>
    <i r="1">
      <x v="21"/>
    </i>
    <i r="1">
      <x v="22"/>
    </i>
    <i r="1">
      <x v="23"/>
    </i>
    <i r="1">
      <x v="24"/>
    </i>
    <i r="1">
      <x v="25"/>
    </i>
    <i r="1">
      <x v="26"/>
    </i>
    <i r="1">
      <x v="27"/>
    </i>
    <i>
      <x v="3"/>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x v="4"/>
      <x v="53"/>
    </i>
    <i r="1">
      <x v="54"/>
    </i>
    <i r="1">
      <x v="55"/>
    </i>
    <i r="1">
      <x v="56"/>
    </i>
    <i r="1">
      <x v="57"/>
    </i>
    <i r="1">
      <x v="58"/>
    </i>
    <i r="1">
      <x v="59"/>
    </i>
    <i>
      <x v="5"/>
      <x v="60"/>
    </i>
    <i r="1">
      <x v="61"/>
    </i>
    <i>
      <x v="6"/>
      <x v="62"/>
    </i>
    <i r="1">
      <x v="63"/>
    </i>
    <i r="1">
      <x v="64"/>
    </i>
    <i r="1">
      <x v="65"/>
    </i>
    <i r="1">
      <x v="66"/>
    </i>
    <i>
      <x v="7"/>
      <x v="67"/>
    </i>
    <i r="1">
      <x v="68"/>
    </i>
    <i r="1">
      <x v="69"/>
    </i>
    <i r="1">
      <x v="70"/>
    </i>
    <i r="1">
      <x v="71"/>
    </i>
    <i>
      <x v="8"/>
      <x v="72"/>
    </i>
    <i r="1">
      <x v="73"/>
    </i>
    <i r="1">
      <x v="74"/>
    </i>
    <i r="1">
      <x v="75"/>
    </i>
    <i r="1">
      <x v="76"/>
    </i>
    <i r="1">
      <x v="77"/>
    </i>
    <i r="1">
      <x v="78"/>
    </i>
    <i r="1">
      <x v="79"/>
    </i>
    <i r="1">
      <x v="80"/>
    </i>
    <i r="1">
      <x v="81"/>
    </i>
    <i r="1">
      <x v="82"/>
    </i>
    <i r="1">
      <x v="83"/>
    </i>
    <i r="1">
      <x v="84"/>
    </i>
    <i r="1">
      <x v="85"/>
    </i>
    <i r="1">
      <x v="86"/>
    </i>
    <i r="1">
      <x v="87"/>
    </i>
    <i r="1">
      <x v="88"/>
    </i>
    <i r="1">
      <x v="89"/>
    </i>
    <i r="1">
      <x v="90"/>
    </i>
    <i r="1">
      <x v="91"/>
    </i>
    <i r="1">
      <x v="92"/>
    </i>
    <i r="1">
      <x v="93"/>
    </i>
    <i r="1">
      <x v="94"/>
    </i>
    <i r="1">
      <x v="95"/>
    </i>
    <i r="1">
      <x v="96"/>
    </i>
    <i r="1">
      <x v="97"/>
    </i>
    <i r="1">
      <x v="98"/>
    </i>
    <i r="1">
      <x v="99"/>
    </i>
    <i r="1">
      <x v="100"/>
    </i>
    <i r="1">
      <x v="101"/>
    </i>
    <i r="1">
      <x v="102"/>
    </i>
    <i r="1">
      <x v="103"/>
    </i>
  </rowItems>
  <colFields count="1">
    <field x="8"/>
  </colFields>
  <col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colItems>
  <pageFields count="4">
    <pageField fld="0" hier="1" name="[Data].[Demographics].[Population].&amp;[Total]" cap="Total"/>
    <pageField fld="4" hier="12" name="[Indicator Detail].[Units].[All]" cap="All"/>
    <pageField fld="10" hier="4" name="[Data].[Original Source Data].[Source].&amp;[WDI2020]" cap="WDI2020"/>
    <pageField fld="12" hier="9" name="[Geography].[WDI Availability].[wdi_availability].&amp;[From 1960]" cap="From 1960"/>
  </pageFields>
  <dataFields count="1">
    <dataField fld="9" baseField="0" baseItem="0"/>
  </dataFields>
  <pivotHierarchies count="76">
    <pivotHierarchy/>
    <pivotHierarchy/>
    <pivotHierarchy/>
    <pivotHierarchy/>
    <pivotHierarchy/>
    <pivotHierarchy/>
    <pivotHierarchy/>
    <pivotHierarchy>
      <members count="7" level="1">
        <member name=""/>
        <member name=""/>
        <member name=""/>
        <member name=""/>
        <member name=""/>
        <member name=""/>
        <member name=""/>
      </members>
      <members count="51" level="2">
        <member name=""/>
        <member name=""/>
        <member name=""/>
        <member name=""/>
        <member name=""/>
        <member name="[Geography].[GeoEconomic Region].[GeoEconomic_Region].&amp;[Europe].&amp;[Monaco]"/>
        <member name=""/>
        <member name="[Geography].[GeoEconomic Region].[GeoEconomic_Region].&amp;[Europe].&amp;[Poland]"/>
        <member name=""/>
        <member name="[Geography].[GeoEconomic Region].[GeoEconomic_Region].&amp;[Europe].&amp;[Albania]"/>
        <member name=""/>
        <member name=""/>
        <member name=""/>
        <member name=""/>
        <member name="[Geography].[GeoEconomic Region].[GeoEconomic_Region].&amp;[Europe].&amp;[Faeroes]"/>
        <member name=""/>
        <member name=""/>
        <member name="[Geography].[GeoEconomic Region].[GeoEconomic_Region].&amp;[Europe].&amp;[Hungary]"/>
        <member name=""/>
        <member name=""/>
        <member name="[Geography].[GeoEconomic Region].[GeoEconomic_Region].&amp;[Europe].&amp;[Romania]"/>
        <member name="[Geography].[GeoEconomic Region].[GeoEconomic_Region].&amp;[Europe].&amp;[Bulgaria]"/>
        <member name=""/>
        <member name="[Geography].[GeoEconomic Region].[GeoEconomic_Region].&amp;[Europe].&amp;[Greenland]"/>
        <member name=""/>
        <member name="[Geography].[GeoEconomic Region].[GeoEconomic_Region].&amp;[Europe].&amp;[San Marino]"/>
        <member name=""/>
        <member name=""/>
        <member name="[Geography].[GeoEconomic Region].[GeoEconomic_Region].&amp;[Europe].&amp;[Liechtenstein]"/>
        <member name=""/>
        <member name="[Geography].[GeoEconomic Region].[GeoEconomic_Region].&amp;[Europe].&amp;[Czechoslovakia (Former)]"/>
        <member name="[Geography].[GeoEconomic Region].[GeoEconomic_Region].&amp;[Middle East and North Africa].&amp;[Iran]"/>
        <member name=""/>
        <member name="[Geography].[GeoEconomic Region].[GeoEconomic_Region].&amp;[Middle East and North Africa].&amp;[Egypt]"/>
        <member name="[Geography].[GeoEconomic Region].[GeoEconomic_Region].&amp;[Middle East and North Africa].&amp;[Libya]"/>
        <member name="[Geography].[GeoEconomic Region].[GeoEconomic_Region].&amp;[Middle East and North Africa].&amp;[Qatar]"/>
        <member name="[Geography].[GeoEconomic Region].[GeoEconomic_Region].&amp;[Middle East and North Africa].&amp;[Syria]"/>
        <member name="[Geography].[GeoEconomic Region].[GeoEconomic_Region].&amp;[Middle East and North Africa].&amp;[Yemen]"/>
        <member name="[Geography].[GeoEconomic Region].[GeoEconomic_Region].&amp;[Middle East and North Africa].&amp;[Cyprus]"/>
        <member name=""/>
        <member name="[Geography].[GeoEconomic Region].[GeoEconomic_Region].&amp;[Middle East and North Africa].&amp;[Jordan]"/>
        <member name="[Geography].[GeoEconomic Region].[GeoEconomic_Region].&amp;[Middle East and North Africa].&amp;[Kuwait]"/>
        <member name=""/>
        <member name=""/>
        <member name="[Geography].[GeoEconomic Region].[GeoEconomic_Region].&amp;[Middle East and North Africa].&amp;[Bahrain]"/>
        <member name="[Geography].[GeoEconomic Region].[GeoEconomic_Region].&amp;[Middle East and North Africa].&amp;[Lebanon]"/>
        <member name=""/>
        <member name=""/>
        <member name=""/>
        <member name="[Geography].[GeoEconomic Region].[GeoEconomic_Region].&amp;[Middle East and North Africa].&amp;[West Bank and Gaza]"/>
        <member name="[Geography].[GeoEconomic Region].[GeoEconomic_Region].&amp;[Middle East and North Africa].&amp;[United Arab Emirates]"/>
      </members>
    </pivotHierarchy>
    <pivotHierarchy/>
    <pivotHierarchy multipleItemSelectionAllowed="1">
      <members count="8" level="1">
        <member name="[Geography].[WDI Availability].[wdi_availability].&amp;[From 1960]"/>
        <member name="[Geography].[WDI Availability].[wdi_availability].&amp;[From 1961]"/>
        <member name="[Geography].[WDI Availability].[wdi_availability].&amp;[From 1962]"/>
        <member name="[Geography].[WDI Availability].[wdi_availability].&amp;[From 1965]"/>
        <member name="[Geography].[WDI Availability].[wdi_availability].&amp;[From 1966]"/>
        <member name="[Geography].[WDI Availability].[wdi_availability].&amp;[From 1967]"/>
        <member name="[Geography].[WDI Availability].[wdi_availability].&amp;[From 1968]"/>
        <member name="[Geography].[WDI Availability].[wdi_availability].&amp;[From 1970]"/>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8" type="captionGreaterThanOrEqual" evalOrder="-1" id="6" stringValue1="1970">
      <autoFilter ref="A1">
        <filterColumn colId="0">
          <customFilters>
            <customFilter operator="greaterThanOrEqual" val="1970"/>
          </customFilters>
        </filterColumn>
      </autoFilter>
    </filter>
  </filters>
  <rowHierarchiesUsage count="1">
    <rowHierarchyUsage hierarchyUsage="7"/>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6CED83-E738-4D11-B0A7-1A42A441F9B8}" name="PivotTable1" cacheId="15"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fieldListSortAscending="1">
  <location ref="A17:AZ122" firstHeaderRow="1" firstDataRow="2" firstDataCol="2" rowPageCount="5" colPageCount="1"/>
  <pivotFields count="19">
    <pivotField compact="0" allDrilled="1" outline="0" showAll="0" dataSourceSort="1" defaultSubtotal="0">
      <items count="3">
        <item s="1" c="1" x="0"/>
        <item c="1" x="1"/>
        <item x="2"/>
      </items>
      <extLst>
        <ext xmlns:x14="http://schemas.microsoft.com/office/spreadsheetml/2009/9/main" uri="{2946ED86-A175-432a-8AC1-64E0C546D7DE}">
          <x14:pivotField fillDownLabels="1"/>
        </ext>
      </extLst>
    </pivotField>
    <pivotField compact="0" outline="0" showAll="0" dataSourceSort="1" defaultSubtotal="0">
      <items count="77">
        <item c="1" x="0"/>
        <item c="1" x="1"/>
        <item c="1" x="2"/>
        <item c="1" x="3"/>
        <item c="1" x="4"/>
        <item c="1" x="5"/>
        <item c="1" x="6"/>
        <item c="1" x="7"/>
        <item c="1" x="8"/>
        <item c="1" x="9"/>
        <item c="1" x="10"/>
        <item c="1" x="11"/>
        <item c="1" x="12"/>
        <item c="1" x="13"/>
        <item c="1" x="14"/>
        <item c="1" x="15"/>
        <item c="1" x="16"/>
        <item c="1" x="17"/>
        <item c="1" x="18"/>
        <item s="1" c="1" x="19"/>
        <item s="1" c="1" x="20"/>
        <item s="1" c="1" x="21"/>
        <item s="1" c="1" x="22"/>
        <item s="1" c="1" x="23"/>
        <item s="1" c="1" x="24"/>
        <item s="1" c="1" x="25"/>
        <item s="1" c="1" x="26"/>
        <item s="1" c="1" x="27"/>
        <item s="1" c="1" x="28"/>
        <item s="1" c="1" x="29"/>
        <item s="1" c="1" x="30"/>
        <item s="1" c="1" x="31"/>
        <item s="1" c="1" x="32"/>
        <item s="1" c="1" x="33"/>
        <item s="1" c="1" x="34"/>
        <item s="1" c="1" x="35"/>
        <item s="1" c="1" x="36"/>
        <item s="1" c="1" x="37"/>
        <item s="1" c="1" x="38"/>
        <item s="1" c="1" x="39"/>
        <item s="1" c="1" x="40"/>
        <item s="1" c="1" x="41"/>
        <item s="1" c="1" x="42"/>
        <item s="1" c="1" x="43"/>
        <item s="1" c="1" x="44"/>
        <item s="1" c="1" x="45"/>
        <item s="1" c="1" x="46"/>
        <item s="1" c="1" x="47"/>
        <item s="1" c="1" x="48"/>
        <item s="1" c="1" x="49"/>
        <item s="1" c="1" x="50"/>
        <item s="1" c="1" x="51"/>
        <item s="1" c="1" x="52"/>
        <item s="1" c="1" x="53"/>
        <item s="1" c="1" x="54"/>
        <item s="1" c="1" x="55"/>
        <item s="1" c="1" x="56"/>
        <item s="1" c="1" x="57"/>
        <item s="1" c="1" x="58"/>
        <item s="1" c="1" x="59"/>
        <item s="1" c="1" x="60"/>
        <item s="1" c="1" x="61"/>
        <item s="1" c="1" x="62"/>
        <item s="1" c="1" x="63"/>
        <item s="1" c="1" x="64"/>
        <item s="1" c="1" x="65"/>
        <item s="1" c="1" x="66"/>
        <item s="1" c="1" x="67"/>
        <item s="1" c="1" x="68"/>
        <item s="1" c="1" x="69"/>
        <item s="1" c="1" x="70"/>
        <item s="1" c="1" x="71"/>
        <item s="1" c="1" x="72"/>
        <item s="1" c="1" x="73"/>
        <item s="1" c="1" x="74"/>
        <item s="1" c="1" x="75"/>
        <item s="1" c="1" x="76"/>
      </items>
      <extLst>
        <ext xmlns:x14="http://schemas.microsoft.com/office/spreadsheetml/2009/9/main" uri="{2946ED86-A175-432a-8AC1-64E0C546D7DE}">
          <x14:pivotField fillDownLabels="1"/>
        </ext>
      </extLst>
    </pivotField>
    <pivotField compact="0" outline="0" showAll="0" dataSourceSort="1" defaultSubtotal="0">
      <extLst>
        <ext xmlns:x14="http://schemas.microsoft.com/office/spreadsheetml/2009/9/main" uri="{2946ED86-A175-432a-8AC1-64E0C546D7DE}">
          <x14:pivotField fillDownLabels="1"/>
        </ext>
      </extLst>
    </pivotField>
    <pivotField axis="axisPage" compact="0" allDrilled="1"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axis="axisCol" compact="0" allDrilled="1" outline="0" showAll="0" dataSourceSort="1" defaultSubtotal="0" defaultAttributeDrillState="1">
      <items count="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Page" compact="0" allDrilled="1"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axis="axisPage" compact="0" allDrilled="1" outline="0" showAll="0" dataSourceSort="1" defaultSubtotal="0">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items count="9">
        <item s="1" c="1" x="0"/>
        <item s="1" c="1" x="1"/>
        <item c="1" x="2"/>
        <item s="1" c="1" x="3"/>
        <item c="1" x="4"/>
        <item s="1" c="1" x="5"/>
        <item s="1" c="1" x="6"/>
        <item s="1" c="1" x="7"/>
        <item s="1" c="1" x="8"/>
      </items>
      <extLst>
        <ext xmlns:x14="http://schemas.microsoft.com/office/spreadsheetml/2009/9/main" uri="{2946ED86-A175-432a-8AC1-64E0C546D7DE}">
          <x14:pivotField fillDownLabels="1"/>
        </ext>
      </extLst>
    </pivotField>
    <pivotField axis="axisRow" compact="0" allDrilled="1" outline="0" subtotalTop="0" showAll="0" dataSourceSort="1" defaultSubtotal="0">
      <items count="104">
        <item c="1" x="0"/>
        <item c="1" x="1"/>
        <item c="1" x="2"/>
        <item c="1" x="3"/>
        <item c="1" x="4"/>
        <item c="1" x="5"/>
        <item c="1" x="6"/>
        <item c="1" x="7"/>
        <item s="1" c="1" x="8"/>
        <item s="1" c="1" x="9"/>
        <item s="1" c="1" x="10"/>
        <item s="1" c="1" x="11"/>
        <item s="1" c="1" x="12"/>
        <item s="1" c="1" x="13"/>
        <item s="1" c="1" x="14"/>
        <item s="1" c="1" x="15"/>
        <item s="1" c="1" x="16"/>
        <item s="1" c="1" x="17"/>
        <item s="1" c="1" x="18"/>
        <item s="1" c="1" x="19"/>
        <item s="1" c="1" x="20"/>
        <item s="1" c="1" x="21"/>
        <item s="1" c="1" x="22"/>
        <item s="1" c="1" x="23"/>
        <item s="1" c="1" x="24"/>
        <item s="1" c="1" x="25"/>
        <item s="1" c="1" x="26"/>
        <item s="1" c="1" x="27"/>
        <item c="1" x="28"/>
        <item c="1" x="29"/>
        <item c="1" x="30"/>
        <item c="1" x="31"/>
        <item c="1" x="32"/>
        <item c="1" x="33"/>
        <item c="1" x="34"/>
        <item c="1" x="35"/>
        <item c="1" x="36"/>
        <item c="1" x="37"/>
        <item c="1" x="38"/>
        <item c="1" x="39"/>
        <item c="1" x="40"/>
        <item c="1" x="41"/>
        <item c="1" x="42"/>
        <item c="1" x="43"/>
        <item c="1" x="44"/>
        <item c="1" x="45"/>
        <item c="1" x="46"/>
        <item c="1" x="47"/>
        <item c="1" x="48"/>
        <item c="1" x="49"/>
        <item c="1" x="50"/>
        <item c="1" x="51"/>
        <item c="1" x="52"/>
        <item s="1" c="1" x="53"/>
        <item s="1" c="1" x="54"/>
        <item s="1" c="1" x="55"/>
        <item s="1" c="1" x="56"/>
        <item s="1" c="1" x="57"/>
        <item s="1" c="1" x="58"/>
        <item s="1" c="1" x="59"/>
        <item c="1" x="60"/>
        <item c="1" x="61"/>
        <item c="1" x="62"/>
        <item c="1" x="63"/>
        <item c="1" x="64"/>
        <item c="1" x="65"/>
        <item c="1" x="66"/>
        <item c="1" x="67"/>
        <item c="1" x="68"/>
        <item c="1" x="69"/>
        <item c="1" x="70"/>
        <item c="1" x="71"/>
        <item c="1" x="72"/>
        <item c="1" x="73"/>
        <item c="1" x="74"/>
        <item c="1" x="75"/>
        <item c="1" x="76"/>
        <item c="1" x="77"/>
        <item c="1" x="78"/>
        <item c="1" x="79"/>
        <item c="1" x="80"/>
        <item c="1" x="81"/>
        <item c="1" x="82"/>
        <item c="1" x="83"/>
        <item c="1" x="84"/>
        <item c="1" x="85"/>
        <item c="1" x="86"/>
        <item c="1" x="87"/>
        <item c="1" x="88"/>
        <item c="1" x="89"/>
        <item c="1" x="90"/>
        <item c="1" x="91"/>
        <item c="1" x="92"/>
        <item c="1" x="93"/>
        <item c="1" x="94"/>
        <item c="1" x="95"/>
        <item c="1" x="96"/>
        <item c="1" x="97"/>
        <item c="1" x="98"/>
        <item c="1" x="99"/>
        <item c="1" x="100"/>
        <item c="1" x="101"/>
        <item c="1" x="102"/>
        <item c="1" x="103"/>
      </items>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s>
  <rowFields count="2">
    <field x="16"/>
    <field x="17"/>
  </rowFields>
  <rowItems count="104">
    <i>
      <x/>
      <x/>
    </i>
    <i>
      <x v="1"/>
      <x v="1"/>
    </i>
    <i r="1">
      <x v="2"/>
    </i>
    <i r="1">
      <x v="3"/>
    </i>
    <i r="1">
      <x v="4"/>
    </i>
    <i r="1">
      <x v="5"/>
    </i>
    <i r="1">
      <x v="6"/>
    </i>
    <i r="1">
      <x v="7"/>
    </i>
    <i>
      <x v="2"/>
      <x v="8"/>
    </i>
    <i r="1">
      <x v="9"/>
    </i>
    <i r="1">
      <x v="10"/>
    </i>
    <i r="1">
      <x v="11"/>
    </i>
    <i r="1">
      <x v="12"/>
    </i>
    <i r="1">
      <x v="13"/>
    </i>
    <i r="1">
      <x v="14"/>
    </i>
    <i r="1">
      <x v="15"/>
    </i>
    <i r="1">
      <x v="16"/>
    </i>
    <i r="1">
      <x v="17"/>
    </i>
    <i r="1">
      <x v="18"/>
    </i>
    <i r="1">
      <x v="19"/>
    </i>
    <i r="1">
      <x v="20"/>
    </i>
    <i r="1">
      <x v="21"/>
    </i>
    <i r="1">
      <x v="22"/>
    </i>
    <i r="1">
      <x v="23"/>
    </i>
    <i r="1">
      <x v="24"/>
    </i>
    <i r="1">
      <x v="25"/>
    </i>
    <i r="1">
      <x v="26"/>
    </i>
    <i r="1">
      <x v="27"/>
    </i>
    <i>
      <x v="3"/>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x v="4"/>
      <x v="53"/>
    </i>
    <i r="1">
      <x v="54"/>
    </i>
    <i r="1">
      <x v="55"/>
    </i>
    <i r="1">
      <x v="56"/>
    </i>
    <i r="1">
      <x v="57"/>
    </i>
    <i r="1">
      <x v="58"/>
    </i>
    <i r="1">
      <x v="59"/>
    </i>
    <i>
      <x v="5"/>
      <x v="60"/>
    </i>
    <i r="1">
      <x v="61"/>
    </i>
    <i>
      <x v="6"/>
      <x v="62"/>
    </i>
    <i r="1">
      <x v="63"/>
    </i>
    <i r="1">
      <x v="64"/>
    </i>
    <i r="1">
      <x v="65"/>
    </i>
    <i r="1">
      <x v="66"/>
    </i>
    <i>
      <x v="7"/>
      <x v="67"/>
    </i>
    <i r="1">
      <x v="68"/>
    </i>
    <i r="1">
      <x v="69"/>
    </i>
    <i r="1">
      <x v="70"/>
    </i>
    <i r="1">
      <x v="71"/>
    </i>
    <i>
      <x v="8"/>
      <x v="72"/>
    </i>
    <i r="1">
      <x v="73"/>
    </i>
    <i r="1">
      <x v="74"/>
    </i>
    <i r="1">
      <x v="75"/>
    </i>
    <i r="1">
      <x v="76"/>
    </i>
    <i r="1">
      <x v="77"/>
    </i>
    <i r="1">
      <x v="78"/>
    </i>
    <i r="1">
      <x v="79"/>
    </i>
    <i r="1">
      <x v="80"/>
    </i>
    <i r="1">
      <x v="81"/>
    </i>
    <i r="1">
      <x v="82"/>
    </i>
    <i r="1">
      <x v="83"/>
    </i>
    <i r="1">
      <x v="84"/>
    </i>
    <i r="1">
      <x v="85"/>
    </i>
    <i r="1">
      <x v="86"/>
    </i>
    <i r="1">
      <x v="87"/>
    </i>
    <i r="1">
      <x v="88"/>
    </i>
    <i r="1">
      <x v="89"/>
    </i>
    <i r="1">
      <x v="90"/>
    </i>
    <i r="1">
      <x v="91"/>
    </i>
    <i r="1">
      <x v="92"/>
    </i>
    <i r="1">
      <x v="93"/>
    </i>
    <i r="1">
      <x v="94"/>
    </i>
    <i r="1">
      <x v="95"/>
    </i>
    <i r="1">
      <x v="96"/>
    </i>
    <i r="1">
      <x v="97"/>
    </i>
    <i r="1">
      <x v="98"/>
    </i>
    <i r="1">
      <x v="99"/>
    </i>
    <i r="1">
      <x v="100"/>
    </i>
    <i r="1">
      <x v="101"/>
    </i>
    <i r="1">
      <x v="102"/>
    </i>
    <i r="1">
      <x v="103"/>
    </i>
  </rowItems>
  <colFields count="1">
    <field x="7"/>
  </colFields>
  <col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colItems>
  <pageFields count="5">
    <pageField fld="3" hier="12" name="[Indicator Detail].[Units].[Measure Type (Stock/Flow/etc)].&amp;[Flow].&amp;[Money].&amp;[USD]" cap="USD"/>
    <pageField fld="9" hier="4" name="[Data].[Original Source Data].[Source].&amp;[WDI2020]" cap="WDI2020"/>
    <pageField fld="11" hier="2" name="[Data].[GDP and other output measures].[Output Definition].&amp;[Expenditure Approach]" cap="Expenditure Approach"/>
    <pageField fld="12" hier="11" name="[Indicator Detail].[Industrial Sector (Agriculture/Manufacturing/etc)].&amp;[Whole economy]" cap="Whole economy"/>
    <pageField fld="13" hier="9" name="[Geography].[WDI Availability].[wdi_availability].&amp;[From 1960]" cap="From 1960"/>
  </pageFields>
  <dataFields count="1">
    <dataField fld="8" baseField="0" baseItem="0"/>
  </dataFields>
  <pivotHierarchies count="76">
    <pivotHierarchy/>
    <pivotHierarchy/>
    <pivotHierarchy/>
    <pivotHierarchy/>
    <pivotHierarchy/>
    <pivotHierarchy/>
    <pivotHierarchy>
      <members count="1" level="1">
        <member name=""/>
      </members>
      <members count="146" level="2">
        <member name=""/>
        <member name=""/>
        <member name="[Geography].[Blocs].[Country].&amp;[Guam]"/>
        <member name="[Geography].[Blocs].[Country].&amp;[Iran]"/>
        <member name="[Geography].[Blocs].[Country].&amp;[Iraq]"/>
        <member name="[Geography].[Blocs].[Country].&amp;[Laos]"/>
        <member name="[Geography].[Blocs].[Country].&amp;[Mali]"/>
        <member name="[Geography].[Blocs].[Country].&amp;[Oman]"/>
        <member name=""/>
        <member name=""/>
        <member name="[Geography].[Blocs].[Country].&amp;[Aruba]"/>
        <member name=""/>
        <member name=""/>
        <member name="[Geography].[Blocs].[Country].&amp;[Egypt]"/>
        <member name=""/>
        <member name=""/>
        <member name=""/>
        <member name=""/>
        <member name=""/>
        <member name="[Geography].[Blocs].[Country].&amp;[Libya]"/>
        <member name="[Geography].[Blocs].[Country].&amp;[Nauru]"/>
        <member name=""/>
        <member name=""/>
        <member name="[Geography].[Blocs].[Country].&amp;[Palau]"/>
        <member name="[Geography].[Blocs].[Country].&amp;[Qatar]"/>
        <member name="[Geography].[Blocs].[Country].&amp;[Syria]"/>
        <member name="[Geography].[Blocs].[Country].&amp;[Tonga]"/>
        <member name="[Geography].[Blocs].[Country].&amp;[Yemen]"/>
        <member name="[Geography].[Blocs].[Country].&amp;[Angola]"/>
        <member name=""/>
        <member name="[Geography].[Blocs].[Country].&amp;[Bhutan]"/>
        <member name=""/>
        <member name="[Geography].[Blocs].[Country].&amp;[Brunei]"/>
        <member name="[Geography].[Blocs].[Country].&amp;[Gambia]"/>
        <member name="[Geography].[Blocs].[Country].&amp;[Guinea]"/>
        <member name=""/>
        <member name="[Geography].[Blocs].[Country].&amp;[Jordan]"/>
        <member name="[Geography].[Blocs].[Country].&amp;[Kuwait]"/>
        <member name=""/>
        <member name=""/>
        <member name=""/>
        <member name=""/>
        <member name=""/>
        <member name="[Geography].[Blocs].[Country].&amp;[Tuvalu]"/>
        <member name="[Geography].[Blocs].[Country].&amp;[Uganda]"/>
        <member name=""/>
        <member name="[Geography].[Blocs].[Country].&amp;[Algeria]"/>
        <member name="[Geography].[Blocs].[Country].&amp;[Antigua]"/>
        <member name=""/>
        <member name="[Geography].[Blocs].[Country].&amp;[Bahrain]"/>
        <member name="[Geography].[Blocs].[Country].&amp;[Bermuda]"/>
        <member name=""/>
        <member name=""/>
        <member name="[Geography].[Blocs].[Country].&amp;[Comoros]"/>
        <member name=""/>
        <member name="[Geography].[Blocs].[Country].&amp;[Curacao]"/>
        <member name=""/>
        <member name="[Geography].[Blocs].[Country].&amp;[Grenada]"/>
        <member name="[Geography].[Blocs].[Country].&amp;[Jamaica]"/>
        <member name="[Geography].[Blocs].[Country].&amp;[Lebanon]"/>
        <member name=""/>
        <member name="[Geography].[Blocs].[Country].&amp;[Liberia]"/>
        <member name="[Geography].[Blocs].[Country].&amp;[Morocco]"/>
        <member name="[Geography].[Blocs].[Country].&amp;[Myanmar]"/>
        <member name="[Geography].[Blocs].[Country].&amp;[Namibia]"/>
        <member name=""/>
        <member name=""/>
        <member name="[Geography].[Blocs].[Country].&amp;[Somalia]"/>
        <member name="[Geography].[Blocs].[Country].&amp;[Tunisia]"/>
        <member name=""/>
        <member name="[Geography].[Blocs].[Country].&amp;[Vanuatu]"/>
        <member name="[Geography].[Blocs].[Country].&amp;[Anguilla]"/>
        <member name="[Geography].[Blocs].[Country].&amp;[Barbados]"/>
        <member name=""/>
        <member name="[Geography].[Blocs].[Country].&amp;[Cambodia]"/>
        <member name=""/>
        <member name=""/>
        <member name=""/>
        <member name="[Geography].[Blocs].[Country].&amp;[Djibouti]"/>
        <member name="[Geography].[Blocs].[Country].&amp;[Dominica]"/>
        <member name=""/>
        <member name="[Geography].[Blocs].[Country].&amp;[Kiribati]"/>
        <member name=""/>
        <member name="[Geography].[Blocs].[Country].&amp;[Maldives]"/>
        <member name="[Geography].[Blocs].[Country].&amp;[Mongolia]"/>
        <member name=""/>
        <member name="[Geography].[Blocs].[Country].&amp;[Paraguay]"/>
        <member name="[Geography].[Blocs].[Country].&amp;[Sao Tome]"/>
        <member name=""/>
        <member name="[Geography].[Blocs].[Country].&amp;[Tanzania]"/>
        <member name=""/>
        <member name=""/>
        <member name="[Geography].[Blocs].[Country].&amp;[Argentina]"/>
        <member name=""/>
        <member name="[Geography].[Blocs].[Country].&amp;[Mauritius]"/>
        <member name="[Geography].[Blocs].[Country].&amp;[Melanesia]"/>
        <member name=""/>
        <member name="[Geography].[Blocs].[Country].&amp;[Polynesia]"/>
        <member name="[Geography].[Blocs].[Country].&amp;[Sri Lanka]"/>
        <member name="[Geography].[Blocs].[Country].&amp;[St. Lucia]"/>
        <member name="[Geography].[Blocs].[Country].&amp;[Swaziland]"/>
        <member name="[Geography].[Blocs].[Country].&amp;[Venezuela]"/>
        <member name=""/>
        <member name="[Geography].[Blocs].[Country].&amp;[Cabo Verde]"/>
        <member name=""/>
        <member name=""/>
        <member name="[Geography].[Blocs].[Country].&amp;[Mauritania]"/>
        <member name="[Geography].[Blocs].[Country].&amp;[Montserrat]"/>
        <member name="[Geography].[Blocs].[Country].&amp;[Mozambique]"/>
        <member name=""/>
        <member name="[Geography].[Blocs].[Country].&amp;[Afghanistan]"/>
        <member name="[Geography].[Blocs].[Country].&amp;[El Salvador]"/>
        <member name=""/>
        <member name=""/>
        <member name="[Geography].[Blocs].[Country].&amp;[St. Vincent]"/>
        <member name=""/>
        <member name="[Geography].[Blocs].[Country].&amp;[Saudi Arabia]"/>
        <member name=""/>
        <member name="[Geography].[Blocs].[Country].&amp;[Small States]"/>
        <member name=""/>
        <member name=""/>
        <member name="[Geography].[Blocs].[Country].&amp;[Guinea-Bissau]"/>
        <member name="[Geography].[Blocs].[Country].&amp;[New Caledonia]"/>
        <member name="[Geography].[Blocs].[Country].&amp;[Western Samoa]"/>
        <member name="[Geography].[Blocs].[Country].&amp;[American Samoa]"/>
        <member name="[Geography].[Blocs].[Country].&amp;[Cayman Islands]"/>
        <member name=""/>
        <member name="[Geography].[Blocs].[Country].&amp;[Virgin Islands]"/>
        <member name="[Geography].[Blocs].[Country].&amp;[Solomon Islands]"/>
        <member name="[Geography].[Blocs].[Country].&amp;[French Polynesia]"/>
        <member name="[Geography].[Blocs].[Country].&amp;[Marshall Islands]"/>
        <member name=""/>
        <member name="[Geography].[Blocs].[Country].&amp;[Equatorial Guinea]"/>
        <member name="[Geography].[Blocs].[Country].&amp;[Ethiopia (Former)]"/>
        <member name=""/>
        <member name="[Geography].[Blocs].[Country].&amp;[Indonesia (Former)]"/>
        <member name="[Geography].[Blocs].[Country].&amp;[West Bank and Gaza]"/>
        <member name="[Geography].[Blocs].[Country].&amp;[St. Kitts and Nevis]"/>
        <member name=""/>
        <member name="[Geography].[Blocs].[Country].&amp;[United Arab Emirates]"/>
        <member name=""/>
        <member name="[Geography].[Blocs].[Country].&amp;[Northern Mariana Islands]"/>
        <member name="[Geography].[Blocs].[Country].&amp;[St. Martin (French part)]"/>
        <member name="[Geography].[Blocs].[Country].&amp;[Turks and Caicos Islands]"/>
        <member name="[Geography].[Blocs].[Country].&amp;[Sint Maarten (Dutch part)]"/>
        <member name="[Geography].[Blocs].[Country].&amp;[Micronesia Federated States]"/>
      </members>
    </pivotHierarchy>
    <pivotHierarchy>
      <members count="7" level="1">
        <member name=""/>
        <member name=""/>
        <member name=""/>
        <member name=""/>
        <member name=""/>
        <member name=""/>
        <member name=""/>
      </members>
      <members count="51" level="2">
        <member name=""/>
        <member name=""/>
        <member name=""/>
        <member name=""/>
        <member name=""/>
        <member name="[Geography].[GeoEconomic Region].[GeoEconomic_Region].&amp;[Europe].&amp;[Monaco]"/>
        <member name=""/>
        <member name="[Geography].[GeoEconomic Region].[GeoEconomic_Region].&amp;[Europe].&amp;[Poland]"/>
        <member name=""/>
        <member name="[Geography].[GeoEconomic Region].[GeoEconomic_Region].&amp;[Europe].&amp;[Albania]"/>
        <member name=""/>
        <member name=""/>
        <member name=""/>
        <member name=""/>
        <member name="[Geography].[GeoEconomic Region].[GeoEconomic_Region].&amp;[Europe].&amp;[Faeroes]"/>
        <member name=""/>
        <member name=""/>
        <member name="[Geography].[GeoEconomic Region].[GeoEconomic_Region].&amp;[Europe].&amp;[Hungary]"/>
        <member name=""/>
        <member name=""/>
        <member name="[Geography].[GeoEconomic Region].[GeoEconomic_Region].&amp;[Europe].&amp;[Romania]"/>
        <member name="[Geography].[GeoEconomic Region].[GeoEconomic_Region].&amp;[Europe].&amp;[Bulgaria]"/>
        <member name=""/>
        <member name="[Geography].[GeoEconomic Region].[GeoEconomic_Region].&amp;[Europe].&amp;[Greenland]"/>
        <member name=""/>
        <member name="[Geography].[GeoEconomic Region].[GeoEconomic_Region].&amp;[Europe].&amp;[San Marino]"/>
        <member name=""/>
        <member name=""/>
        <member name="[Geography].[GeoEconomic Region].[GeoEconomic_Region].&amp;[Europe].&amp;[Liechtenstein]"/>
        <member name=""/>
        <member name="[Geography].[GeoEconomic Region].[GeoEconomic_Region].&amp;[Europe].&amp;[Czechoslovakia (Former)]"/>
        <member name="[Geography].[GeoEconomic Region].[GeoEconomic_Region].&amp;[Middle East and North Africa].&amp;[Iran]"/>
        <member name=""/>
        <member name="[Geography].[GeoEconomic Region].[GeoEconomic_Region].&amp;[Middle East and North Africa].&amp;[Egypt]"/>
        <member name="[Geography].[GeoEconomic Region].[GeoEconomic_Region].&amp;[Middle East and North Africa].&amp;[Libya]"/>
        <member name="[Geography].[GeoEconomic Region].[GeoEconomic_Region].&amp;[Middle East and North Africa].&amp;[Qatar]"/>
        <member name="[Geography].[GeoEconomic Region].[GeoEconomic_Region].&amp;[Middle East and North Africa].&amp;[Syria]"/>
        <member name="[Geography].[GeoEconomic Region].[GeoEconomic_Region].&amp;[Middle East and North Africa].&amp;[Yemen]"/>
        <member name="[Geography].[GeoEconomic Region].[GeoEconomic_Region].&amp;[Middle East and North Africa].&amp;[Cyprus]"/>
        <member name=""/>
        <member name="[Geography].[GeoEconomic Region].[GeoEconomic_Region].&amp;[Middle East and North Africa].&amp;[Jordan]"/>
        <member name="[Geography].[GeoEconomic Region].[GeoEconomic_Region].&amp;[Middle East and North Africa].&amp;[Kuwait]"/>
        <member name=""/>
        <member name=""/>
        <member name="[Geography].[GeoEconomic Region].[GeoEconomic_Region].&amp;[Middle East and North Africa].&amp;[Bahrain]"/>
        <member name="[Geography].[GeoEconomic Region].[GeoEconomic_Region].&amp;[Middle East and North Africa].&amp;[Lebanon]"/>
        <member name=""/>
        <member name=""/>
        <member name=""/>
        <member name="[Geography].[GeoEconomic Region].[GeoEconomic_Region].&amp;[Middle East and North Africa].&amp;[West Bank and Gaza]"/>
        <member name="[Geography].[GeoEconomic Region].[GeoEconomic_Region].&amp;[Middle East and North Africa].&amp;[United Arab Emirates]"/>
      </members>
    </pivotHierarchy>
    <pivotHierarchy/>
    <pivotHierarchy multipleItemSelectionAllowed="1">
      <members count="8" level="1">
        <member name="[Geography].[WDI Availability].[wdi_availability].&amp;[From 1960]"/>
        <member name="[Geography].[WDI Availability].[wdi_availability].&amp;[From 1961]"/>
        <member name="[Geography].[WDI Availability].[wdi_availability].&amp;[From 1962]"/>
        <member name="[Geography].[WDI Availability].[wdi_availability].&amp;[From 1965]"/>
        <member name="[Geography].[WDI Availability].[wdi_availability].&amp;[From 1966]"/>
        <member name="[Geography].[WDI Availability].[wdi_availability].&amp;[From 1967]"/>
        <member name="[Geography].[WDI Availability].[wdi_availability].&amp;[From 1968]"/>
        <member name="[Geography].[WDI Availability].[wdi_availability].&amp;[From 1970]"/>
      </members>
    </pivotHierarchy>
    <pivotHierarchy/>
    <pivotHierarchy multipleItemSelectionAllowed="1">
      <members count="1" level="1">
        <member name="[Indicator Detail].[Industrial Sector (Agriculture/Manufacturing/etc)].&amp;[Whole economy]"/>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7" type="captionGreaterThanOrEqual" evalOrder="-1" id="6" stringValue1="1970">
      <autoFilter ref="A1">
        <filterColumn colId="0">
          <customFilters>
            <customFilter operator="greaterThanOrEqual" val="1970"/>
          </customFilters>
        </filterColumn>
      </autoFilter>
    </filter>
  </filters>
  <rowHierarchiesUsage count="1">
    <rowHierarchyUsage hierarchyUsage="7"/>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E4B6C-DD63-4587-81A5-138CE74F3FD5}">
  <sheetPr codeName="Sheet1"/>
  <dimension ref="B1:B30"/>
  <sheetViews>
    <sheetView workbookViewId="0">
      <selection activeCell="B5" sqref="B5"/>
    </sheetView>
  </sheetViews>
  <sheetFormatPr defaultRowHeight="14.25" x14ac:dyDescent="0.45"/>
  <cols>
    <col min="1" max="1" width="17.73046875" customWidth="1"/>
    <col min="2" max="2" width="153.6640625" customWidth="1"/>
    <col min="257" max="257" width="17.73046875" customWidth="1"/>
    <col min="258" max="258" width="153.6640625" customWidth="1"/>
    <col min="513" max="513" width="17.73046875" customWidth="1"/>
    <col min="514" max="514" width="153.6640625" customWidth="1"/>
    <col min="769" max="769" width="17.73046875" customWidth="1"/>
    <col min="770" max="770" width="153.6640625" customWidth="1"/>
    <col min="1025" max="1025" width="17.73046875" customWidth="1"/>
    <col min="1026" max="1026" width="153.6640625" customWidth="1"/>
    <col min="1281" max="1281" width="17.73046875" customWidth="1"/>
    <col min="1282" max="1282" width="153.6640625" customWidth="1"/>
    <col min="1537" max="1537" width="17.73046875" customWidth="1"/>
    <col min="1538" max="1538" width="153.6640625" customWidth="1"/>
    <col min="1793" max="1793" width="17.73046875" customWidth="1"/>
    <col min="1794" max="1794" width="153.6640625" customWidth="1"/>
    <col min="2049" max="2049" width="17.73046875" customWidth="1"/>
    <col min="2050" max="2050" width="153.6640625" customWidth="1"/>
    <col min="2305" max="2305" width="17.73046875" customWidth="1"/>
    <col min="2306" max="2306" width="153.6640625" customWidth="1"/>
    <col min="2561" max="2561" width="17.73046875" customWidth="1"/>
    <col min="2562" max="2562" width="153.6640625" customWidth="1"/>
    <col min="2817" max="2817" width="17.73046875" customWidth="1"/>
    <col min="2818" max="2818" width="153.6640625" customWidth="1"/>
    <col min="3073" max="3073" width="17.73046875" customWidth="1"/>
    <col min="3074" max="3074" width="153.6640625" customWidth="1"/>
    <col min="3329" max="3329" width="17.73046875" customWidth="1"/>
    <col min="3330" max="3330" width="153.6640625" customWidth="1"/>
    <col min="3585" max="3585" width="17.73046875" customWidth="1"/>
    <col min="3586" max="3586" width="153.6640625" customWidth="1"/>
    <col min="3841" max="3841" width="17.73046875" customWidth="1"/>
    <col min="3842" max="3842" width="153.6640625" customWidth="1"/>
    <col min="4097" max="4097" width="17.73046875" customWidth="1"/>
    <col min="4098" max="4098" width="153.6640625" customWidth="1"/>
    <col min="4353" max="4353" width="17.73046875" customWidth="1"/>
    <col min="4354" max="4354" width="153.6640625" customWidth="1"/>
    <col min="4609" max="4609" width="17.73046875" customWidth="1"/>
    <col min="4610" max="4610" width="153.6640625" customWidth="1"/>
    <col min="4865" max="4865" width="17.73046875" customWidth="1"/>
    <col min="4866" max="4866" width="153.6640625" customWidth="1"/>
    <col min="5121" max="5121" width="17.73046875" customWidth="1"/>
    <col min="5122" max="5122" width="153.6640625" customWidth="1"/>
    <col min="5377" max="5377" width="17.73046875" customWidth="1"/>
    <col min="5378" max="5378" width="153.6640625" customWidth="1"/>
    <col min="5633" max="5633" width="17.73046875" customWidth="1"/>
    <col min="5634" max="5634" width="153.6640625" customWidth="1"/>
    <col min="5889" max="5889" width="17.73046875" customWidth="1"/>
    <col min="5890" max="5890" width="153.6640625" customWidth="1"/>
    <col min="6145" max="6145" width="17.73046875" customWidth="1"/>
    <col min="6146" max="6146" width="153.6640625" customWidth="1"/>
    <col min="6401" max="6401" width="17.73046875" customWidth="1"/>
    <col min="6402" max="6402" width="153.6640625" customWidth="1"/>
    <col min="6657" max="6657" width="17.73046875" customWidth="1"/>
    <col min="6658" max="6658" width="153.6640625" customWidth="1"/>
    <col min="6913" max="6913" width="17.73046875" customWidth="1"/>
    <col min="6914" max="6914" width="153.6640625" customWidth="1"/>
    <col min="7169" max="7169" width="17.73046875" customWidth="1"/>
    <col min="7170" max="7170" width="153.6640625" customWidth="1"/>
    <col min="7425" max="7425" width="17.73046875" customWidth="1"/>
    <col min="7426" max="7426" width="153.6640625" customWidth="1"/>
    <col min="7681" max="7681" width="17.73046875" customWidth="1"/>
    <col min="7682" max="7682" width="153.6640625" customWidth="1"/>
    <col min="7937" max="7937" width="17.73046875" customWidth="1"/>
    <col min="7938" max="7938" width="153.6640625" customWidth="1"/>
    <col min="8193" max="8193" width="17.73046875" customWidth="1"/>
    <col min="8194" max="8194" width="153.6640625" customWidth="1"/>
    <col min="8449" max="8449" width="17.73046875" customWidth="1"/>
    <col min="8450" max="8450" width="153.6640625" customWidth="1"/>
    <col min="8705" max="8705" width="17.73046875" customWidth="1"/>
    <col min="8706" max="8706" width="153.6640625" customWidth="1"/>
    <col min="8961" max="8961" width="17.73046875" customWidth="1"/>
    <col min="8962" max="8962" width="153.6640625" customWidth="1"/>
    <col min="9217" max="9217" width="17.73046875" customWidth="1"/>
    <col min="9218" max="9218" width="153.6640625" customWidth="1"/>
    <col min="9473" max="9473" width="17.73046875" customWidth="1"/>
    <col min="9474" max="9474" width="153.6640625" customWidth="1"/>
    <col min="9729" max="9729" width="17.73046875" customWidth="1"/>
    <col min="9730" max="9730" width="153.6640625" customWidth="1"/>
    <col min="9985" max="9985" width="17.73046875" customWidth="1"/>
    <col min="9986" max="9986" width="153.6640625" customWidth="1"/>
    <col min="10241" max="10241" width="17.73046875" customWidth="1"/>
    <col min="10242" max="10242" width="153.6640625" customWidth="1"/>
    <col min="10497" max="10497" width="17.73046875" customWidth="1"/>
    <col min="10498" max="10498" width="153.6640625" customWidth="1"/>
    <col min="10753" max="10753" width="17.73046875" customWidth="1"/>
    <col min="10754" max="10754" width="153.6640625" customWidth="1"/>
    <col min="11009" max="11009" width="17.73046875" customWidth="1"/>
    <col min="11010" max="11010" width="153.6640625" customWidth="1"/>
    <col min="11265" max="11265" width="17.73046875" customWidth="1"/>
    <col min="11266" max="11266" width="153.6640625" customWidth="1"/>
    <col min="11521" max="11521" width="17.73046875" customWidth="1"/>
    <col min="11522" max="11522" width="153.6640625" customWidth="1"/>
    <col min="11777" max="11777" width="17.73046875" customWidth="1"/>
    <col min="11778" max="11778" width="153.6640625" customWidth="1"/>
    <col min="12033" max="12033" width="17.73046875" customWidth="1"/>
    <col min="12034" max="12034" width="153.6640625" customWidth="1"/>
    <col min="12289" max="12289" width="17.73046875" customWidth="1"/>
    <col min="12290" max="12290" width="153.6640625" customWidth="1"/>
    <col min="12545" max="12545" width="17.73046875" customWidth="1"/>
    <col min="12546" max="12546" width="153.6640625" customWidth="1"/>
    <col min="12801" max="12801" width="17.73046875" customWidth="1"/>
    <col min="12802" max="12802" width="153.6640625" customWidth="1"/>
    <col min="13057" max="13057" width="17.73046875" customWidth="1"/>
    <col min="13058" max="13058" width="153.6640625" customWidth="1"/>
    <col min="13313" max="13313" width="17.73046875" customWidth="1"/>
    <col min="13314" max="13314" width="153.6640625" customWidth="1"/>
    <col min="13569" max="13569" width="17.73046875" customWidth="1"/>
    <col min="13570" max="13570" width="153.6640625" customWidth="1"/>
    <col min="13825" max="13825" width="17.73046875" customWidth="1"/>
    <col min="13826" max="13826" width="153.6640625" customWidth="1"/>
    <col min="14081" max="14081" width="17.73046875" customWidth="1"/>
    <col min="14082" max="14082" width="153.6640625" customWidth="1"/>
    <col min="14337" max="14337" width="17.73046875" customWidth="1"/>
    <col min="14338" max="14338" width="153.6640625" customWidth="1"/>
    <col min="14593" max="14593" width="17.73046875" customWidth="1"/>
    <col min="14594" max="14594" width="153.6640625" customWidth="1"/>
    <col min="14849" max="14849" width="17.73046875" customWidth="1"/>
    <col min="14850" max="14850" width="153.6640625" customWidth="1"/>
    <col min="15105" max="15105" width="17.73046875" customWidth="1"/>
    <col min="15106" max="15106" width="153.6640625" customWidth="1"/>
    <col min="15361" max="15361" width="17.73046875" customWidth="1"/>
    <col min="15362" max="15362" width="153.6640625" customWidth="1"/>
    <col min="15617" max="15617" width="17.73046875" customWidth="1"/>
    <col min="15618" max="15618" width="153.6640625" customWidth="1"/>
    <col min="15873" max="15873" width="17.73046875" customWidth="1"/>
    <col min="15874" max="15874" width="153.6640625" customWidth="1"/>
    <col min="16129" max="16129" width="17.73046875" customWidth="1"/>
    <col min="16130" max="16130" width="153.6640625" customWidth="1"/>
  </cols>
  <sheetData>
    <row r="1" spans="2:2" ht="18" x14ac:dyDescent="0.55000000000000004">
      <c r="B1" s="1" t="s">
        <v>0</v>
      </c>
    </row>
    <row r="2" spans="2:2" ht="18" x14ac:dyDescent="0.55000000000000004">
      <c r="B2" s="1" t="s">
        <v>1</v>
      </c>
    </row>
    <row r="3" spans="2:2" ht="18" x14ac:dyDescent="0.55000000000000004">
      <c r="B3" s="1" t="s">
        <v>2</v>
      </c>
    </row>
    <row r="4" spans="2:2" ht="18" x14ac:dyDescent="0.55000000000000004">
      <c r="B4" s="2" t="s">
        <v>181</v>
      </c>
    </row>
    <row r="5" spans="2:2" ht="18" x14ac:dyDescent="0.55000000000000004">
      <c r="B5" s="3"/>
    </row>
    <row r="6" spans="2:2" x14ac:dyDescent="0.45">
      <c r="B6" s="4" t="s">
        <v>3</v>
      </c>
    </row>
    <row r="7" spans="2:2" x14ac:dyDescent="0.45">
      <c r="B7" s="4" t="s">
        <v>4</v>
      </c>
    </row>
    <row r="8" spans="2:2" x14ac:dyDescent="0.45">
      <c r="B8" s="4" t="s">
        <v>5</v>
      </c>
    </row>
    <row r="9" spans="2:2" ht="7.35" customHeight="1" x14ac:dyDescent="0.45">
      <c r="B9" s="4"/>
    </row>
    <row r="10" spans="2:2" x14ac:dyDescent="0.45">
      <c r="B10" s="5" t="s">
        <v>6</v>
      </c>
    </row>
    <row r="11" spans="2:2" x14ac:dyDescent="0.45">
      <c r="B11" s="4" t="s">
        <v>7</v>
      </c>
    </row>
    <row r="12" spans="2:2" x14ac:dyDescent="0.45">
      <c r="B12" s="5" t="s">
        <v>8</v>
      </c>
    </row>
    <row r="13" spans="2:2" ht="5.0999999999999996" customHeight="1" x14ac:dyDescent="0.45">
      <c r="B13" s="4" t="s">
        <v>9</v>
      </c>
    </row>
    <row r="14" spans="2:2" x14ac:dyDescent="0.45">
      <c r="B14" s="5" t="s">
        <v>10</v>
      </c>
    </row>
    <row r="15" spans="2:2" x14ac:dyDescent="0.45">
      <c r="B15" s="4" t="s">
        <v>11</v>
      </c>
    </row>
    <row r="16" spans="2:2" x14ac:dyDescent="0.45">
      <c r="B16" s="4" t="s">
        <v>12</v>
      </c>
    </row>
    <row r="17" spans="2:2" ht="4.3499999999999996" customHeight="1" x14ac:dyDescent="0.45">
      <c r="B17" s="6"/>
    </row>
    <row r="18" spans="2:2" x14ac:dyDescent="0.45">
      <c r="B18" s="4" t="s">
        <v>13</v>
      </c>
    </row>
    <row r="19" spans="2:2" ht="7.35" customHeight="1" x14ac:dyDescent="0.45">
      <c r="B19" s="4" t="s">
        <v>9</v>
      </c>
    </row>
    <row r="20" spans="2:2" x14ac:dyDescent="0.45">
      <c r="B20" s="5" t="s">
        <v>14</v>
      </c>
    </row>
    <row r="21" spans="2:2" ht="28.5" x14ac:dyDescent="0.45">
      <c r="B21" s="7" t="s">
        <v>15</v>
      </c>
    </row>
    <row r="22" spans="2:2" x14ac:dyDescent="0.45">
      <c r="B22" s="4" t="s">
        <v>16</v>
      </c>
    </row>
    <row r="23" spans="2:2" x14ac:dyDescent="0.45">
      <c r="B23" s="4" t="s">
        <v>17</v>
      </c>
    </row>
    <row r="24" spans="2:2" x14ac:dyDescent="0.45">
      <c r="B24" s="4" t="s">
        <v>18</v>
      </c>
    </row>
    <row r="25" spans="2:2" ht="4.3499999999999996" customHeight="1" x14ac:dyDescent="0.45">
      <c r="B25" s="4"/>
    </row>
    <row r="26" spans="2:2" x14ac:dyDescent="0.45">
      <c r="B26" s="5" t="s">
        <v>19</v>
      </c>
    </row>
    <row r="27" spans="2:2" ht="31.8" customHeight="1" x14ac:dyDescent="0.45">
      <c r="B27" s="7" t="s">
        <v>20</v>
      </c>
    </row>
    <row r="28" spans="2:2" ht="6" customHeight="1" x14ac:dyDescent="0.45">
      <c r="B28" s="4" t="s">
        <v>9</v>
      </c>
    </row>
    <row r="29" spans="2:2" ht="28.5" x14ac:dyDescent="0.45">
      <c r="B29" s="8" t="s">
        <v>21</v>
      </c>
    </row>
    <row r="30" spans="2:2" ht="28.5" x14ac:dyDescent="0.45">
      <c r="B30" s="7" t="s">
        <v>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J122"/>
  <sheetViews>
    <sheetView workbookViewId="0">
      <pane xSplit="2" ySplit="18" topLeftCell="C19" activePane="bottomRight" state="frozen"/>
      <selection pane="topRight" activeCell="C1" sqref="C1"/>
      <selection pane="bottomLeft" activeCell="A9" sqref="A9"/>
      <selection pane="bottomRight" activeCell="B122" sqref="B122"/>
    </sheetView>
  </sheetViews>
  <sheetFormatPr defaultRowHeight="14.25" x14ac:dyDescent="0.45"/>
  <cols>
    <col min="1" max="1" width="26.1328125" bestFit="1" customWidth="1"/>
    <col min="2" max="2" width="21.59765625" bestFit="1" customWidth="1"/>
    <col min="3" max="52" width="13.3984375" bestFit="1" customWidth="1"/>
    <col min="53" max="62" width="4.53125" bestFit="1" customWidth="1"/>
    <col min="63" max="63" width="10.73046875" bestFit="1" customWidth="1"/>
    <col min="64" max="64" width="11.73046875" bestFit="1" customWidth="1"/>
    <col min="65" max="75" width="11.59765625" bestFit="1" customWidth="1"/>
    <col min="76" max="77" width="11.73046875" bestFit="1" customWidth="1"/>
    <col min="78" max="81" width="11.59765625" bestFit="1" customWidth="1"/>
    <col min="82" max="91" width="11.73046875" bestFit="1" customWidth="1"/>
    <col min="92" max="110" width="11.59765625" bestFit="1" customWidth="1"/>
    <col min="111" max="146" width="11.73046875" bestFit="1" customWidth="1"/>
    <col min="147" max="149" width="11.59765625" bestFit="1" customWidth="1"/>
    <col min="150" max="153" width="11.73046875" bestFit="1" customWidth="1"/>
    <col min="154" max="155" width="11.59765625" bestFit="1" customWidth="1"/>
  </cols>
  <sheetData>
    <row r="1" spans="1:62" x14ac:dyDescent="0.45">
      <c r="B1" t="s">
        <v>192</v>
      </c>
      <c r="C1" s="11">
        <f>SUMIF($A$19:$A$123,$B1,C$19:C$123)</f>
        <v>818315008</v>
      </c>
      <c r="D1" s="11">
        <f t="shared" ref="D1:AZ6" si="0">SUMIF($A$19:$A$123,$B1,D$19:D$123)</f>
        <v>841105024</v>
      </c>
      <c r="E1" s="11">
        <f t="shared" si="0"/>
        <v>862030016</v>
      </c>
      <c r="F1" s="11">
        <f t="shared" si="0"/>
        <v>881939968</v>
      </c>
      <c r="G1" s="11">
        <f t="shared" si="0"/>
        <v>900350016</v>
      </c>
      <c r="H1" s="11">
        <f t="shared" si="0"/>
        <v>916395008</v>
      </c>
      <c r="I1" s="11">
        <f t="shared" si="0"/>
        <v>930684992</v>
      </c>
      <c r="J1" s="11">
        <f t="shared" si="0"/>
        <v>943454976</v>
      </c>
      <c r="K1" s="11">
        <f t="shared" si="0"/>
        <v>956164992</v>
      </c>
      <c r="L1" s="11">
        <f t="shared" si="0"/>
        <v>969004992</v>
      </c>
      <c r="M1" s="11">
        <f t="shared" si="0"/>
        <v>981235008</v>
      </c>
      <c r="N1" s="11">
        <f t="shared" si="0"/>
        <v>993884992</v>
      </c>
      <c r="O1" s="11">
        <f t="shared" si="0"/>
        <v>1008630016</v>
      </c>
      <c r="P1" s="11">
        <f t="shared" si="0"/>
        <v>1023310016</v>
      </c>
      <c r="Q1" s="11">
        <f t="shared" si="0"/>
        <v>1036825024</v>
      </c>
      <c r="R1" s="11">
        <f t="shared" si="0"/>
        <v>1051040000</v>
      </c>
      <c r="S1" s="11">
        <f t="shared" si="0"/>
        <v>1066790016</v>
      </c>
      <c r="T1" s="11">
        <f t="shared" si="0"/>
        <v>1084034944</v>
      </c>
      <c r="U1" s="11">
        <f t="shared" si="0"/>
        <v>1101629952</v>
      </c>
      <c r="V1" s="11">
        <f t="shared" si="0"/>
        <v>1118649984</v>
      </c>
      <c r="W1" s="11">
        <f t="shared" si="0"/>
        <v>1135185024</v>
      </c>
      <c r="X1" s="11">
        <f t="shared" si="0"/>
        <v>1150780032</v>
      </c>
      <c r="Y1" s="11">
        <f t="shared" si="0"/>
        <v>1164969984</v>
      </c>
      <c r="Z1" s="11">
        <f t="shared" si="0"/>
        <v>1178439936</v>
      </c>
      <c r="AA1" s="11">
        <f t="shared" si="0"/>
        <v>1191835008</v>
      </c>
      <c r="AB1" s="11">
        <f t="shared" si="0"/>
        <v>1204855040</v>
      </c>
      <c r="AC1" s="11">
        <f t="shared" si="0"/>
        <v>1217549952</v>
      </c>
      <c r="AD1" s="11">
        <f t="shared" si="0"/>
        <v>1230075008</v>
      </c>
      <c r="AE1" s="11">
        <f t="shared" si="0"/>
        <v>1241934976</v>
      </c>
      <c r="AF1" s="11">
        <f t="shared" si="0"/>
        <v>1252734976</v>
      </c>
      <c r="AG1" s="11">
        <f t="shared" si="0"/>
        <v>1262644992</v>
      </c>
      <c r="AH1" s="11">
        <f t="shared" si="0"/>
        <v>1271849984</v>
      </c>
      <c r="AI1" s="11">
        <f t="shared" si="0"/>
        <v>1280400000</v>
      </c>
      <c r="AJ1" s="11">
        <f t="shared" si="0"/>
        <v>1288400000</v>
      </c>
      <c r="AK1" s="11">
        <f t="shared" si="0"/>
        <v>1296075008</v>
      </c>
      <c r="AL1" s="11">
        <f t="shared" si="0"/>
        <v>1303719936</v>
      </c>
      <c r="AM1" s="11">
        <f t="shared" si="0"/>
        <v>1311020032</v>
      </c>
      <c r="AN1" s="11">
        <f t="shared" si="0"/>
        <v>1317885056</v>
      </c>
      <c r="AO1" s="11">
        <f t="shared" si="0"/>
        <v>1324654976</v>
      </c>
      <c r="AP1" s="11">
        <f t="shared" si="0"/>
        <v>1331260032</v>
      </c>
      <c r="AQ1" s="11">
        <f t="shared" si="0"/>
        <v>1337704960</v>
      </c>
      <c r="AR1" s="11">
        <f t="shared" si="0"/>
        <v>1344130048</v>
      </c>
      <c r="AS1" s="11">
        <f t="shared" si="0"/>
        <v>1350695040</v>
      </c>
      <c r="AT1" s="11">
        <f t="shared" si="0"/>
        <v>1357379968</v>
      </c>
      <c r="AU1" s="11">
        <f t="shared" si="0"/>
        <v>1364269952</v>
      </c>
      <c r="AV1" s="11">
        <f t="shared" si="0"/>
        <v>1371219968</v>
      </c>
      <c r="AW1" s="11">
        <f t="shared" si="0"/>
        <v>1378664960</v>
      </c>
      <c r="AX1" s="11">
        <f t="shared" si="0"/>
        <v>1386395008</v>
      </c>
      <c r="AY1" s="11">
        <f t="shared" si="0"/>
        <v>1392729984</v>
      </c>
      <c r="AZ1" s="11">
        <f t="shared" si="0"/>
        <v>1397714944</v>
      </c>
      <c r="BA1" s="11"/>
      <c r="BB1" s="11"/>
      <c r="BC1" s="11"/>
      <c r="BD1" s="11"/>
      <c r="BE1" s="11"/>
      <c r="BF1" s="11"/>
      <c r="BG1" s="11"/>
      <c r="BH1" s="11"/>
      <c r="BI1" s="11"/>
      <c r="BJ1" s="11"/>
    </row>
    <row r="2" spans="1:62" x14ac:dyDescent="0.45">
      <c r="B2" t="str">
        <f>A20</f>
        <v>East Asia</v>
      </c>
      <c r="C2" s="11">
        <f t="shared" ref="C2:R9" si="1">SUMIF($A$19:$A$123,$B2,C$19:C$123)</f>
        <v>226111594</v>
      </c>
      <c r="D2" s="11">
        <f t="shared" si="1"/>
        <v>230613293</v>
      </c>
      <c r="E2" s="11">
        <f t="shared" si="1"/>
        <v>235275683</v>
      </c>
      <c r="F2" s="11">
        <f t="shared" si="1"/>
        <v>239391738</v>
      </c>
      <c r="G2" s="11">
        <f t="shared" si="1"/>
        <v>244729540</v>
      </c>
      <c r="H2" s="11">
        <f t="shared" si="1"/>
        <v>249719167</v>
      </c>
      <c r="I2" s="11">
        <f t="shared" si="1"/>
        <v>253723437</v>
      </c>
      <c r="J2" s="11">
        <f t="shared" si="1"/>
        <v>258009424</v>
      </c>
      <c r="K2" s="11">
        <f t="shared" si="1"/>
        <v>262262687</v>
      </c>
      <c r="L2" s="11">
        <f t="shared" si="1"/>
        <v>266659067</v>
      </c>
      <c r="M2" s="11">
        <f t="shared" si="1"/>
        <v>270913122</v>
      </c>
      <c r="N2" s="11">
        <f t="shared" si="1"/>
        <v>275220653</v>
      </c>
      <c r="O2" s="11">
        <f t="shared" si="1"/>
        <v>279436993</v>
      </c>
      <c r="P2" s="11">
        <f t="shared" si="1"/>
        <v>283597825</v>
      </c>
      <c r="Q2" s="11">
        <f t="shared" si="1"/>
        <v>287668283</v>
      </c>
      <c r="R2" s="11">
        <f t="shared" si="1"/>
        <v>291653552</v>
      </c>
      <c r="S2" s="11">
        <f t="shared" si="0"/>
        <v>295742828</v>
      </c>
      <c r="T2" s="11">
        <f t="shared" si="0"/>
        <v>299799693</v>
      </c>
      <c r="U2" s="11">
        <f t="shared" si="0"/>
        <v>303826940</v>
      </c>
      <c r="V2" s="11">
        <f t="shared" si="0"/>
        <v>307824037</v>
      </c>
      <c r="W2" s="11">
        <f t="shared" si="0"/>
        <v>311641084</v>
      </c>
      <c r="X2" s="11">
        <f t="shared" si="0"/>
        <v>315310971</v>
      </c>
      <c r="Y2" s="11">
        <f t="shared" si="0"/>
        <v>318841950</v>
      </c>
      <c r="Z2" s="11">
        <f t="shared" si="0"/>
        <v>322361673</v>
      </c>
      <c r="AA2" s="11">
        <f t="shared" si="0"/>
        <v>326090612</v>
      </c>
      <c r="AB2" s="11">
        <f t="shared" si="0"/>
        <v>329951566</v>
      </c>
      <c r="AC2" s="11">
        <f t="shared" si="0"/>
        <v>333937432</v>
      </c>
      <c r="AD2" s="11">
        <f t="shared" si="0"/>
        <v>337736174</v>
      </c>
      <c r="AE2" s="11">
        <f t="shared" si="0"/>
        <v>341529191</v>
      </c>
      <c r="AF2" s="11">
        <f t="shared" si="0"/>
        <v>345098697</v>
      </c>
      <c r="AG2" s="11">
        <f t="shared" si="0"/>
        <v>348682647</v>
      </c>
      <c r="AH2" s="11">
        <f t="shared" si="0"/>
        <v>352292664</v>
      </c>
      <c r="AI2" s="11">
        <f t="shared" si="0"/>
        <v>355652522</v>
      </c>
      <c r="AJ2" s="11">
        <f t="shared" si="0"/>
        <v>358756606</v>
      </c>
      <c r="AK2" s="11">
        <f t="shared" si="0"/>
        <v>361690180</v>
      </c>
      <c r="AL2" s="11">
        <f t="shared" si="0"/>
        <v>364469570</v>
      </c>
      <c r="AM2" s="11">
        <f t="shared" si="0"/>
        <v>367453925</v>
      </c>
      <c r="AN2" s="11">
        <f t="shared" si="0"/>
        <v>370497457</v>
      </c>
      <c r="AO2" s="11">
        <f t="shared" si="0"/>
        <v>373583862</v>
      </c>
      <c r="AP2" s="11">
        <f t="shared" si="0"/>
        <v>376331249</v>
      </c>
      <c r="AQ2" s="11">
        <f t="shared" si="0"/>
        <v>379094888</v>
      </c>
      <c r="AR2" s="11">
        <f t="shared" si="0"/>
        <v>381764316</v>
      </c>
      <c r="AS2" s="11">
        <f t="shared" si="0"/>
        <v>384408149</v>
      </c>
      <c r="AT2" s="11">
        <f t="shared" si="0"/>
        <v>386936882</v>
      </c>
      <c r="AU2" s="11">
        <f t="shared" si="0"/>
        <v>389540308</v>
      </c>
      <c r="AV2" s="11">
        <f t="shared" si="0"/>
        <v>392080940</v>
      </c>
      <c r="AW2" s="11">
        <f t="shared" si="0"/>
        <v>394476259</v>
      </c>
      <c r="AX2" s="11">
        <f t="shared" si="0"/>
        <v>396639813</v>
      </c>
      <c r="AY2" s="11">
        <f t="shared" si="0"/>
        <v>398834444</v>
      </c>
      <c r="AZ2" s="11">
        <f t="shared" si="0"/>
        <v>400876969</v>
      </c>
      <c r="BA2" s="11"/>
      <c r="BB2" s="11"/>
      <c r="BC2" s="11"/>
      <c r="BD2" s="11"/>
      <c r="BE2" s="11"/>
      <c r="BF2" s="11"/>
      <c r="BG2" s="11"/>
      <c r="BH2" s="11"/>
      <c r="BI2" s="11"/>
      <c r="BJ2" s="11"/>
    </row>
    <row r="3" spans="1:62" x14ac:dyDescent="0.45">
      <c r="B3" t="str">
        <f>A27</f>
        <v>Europe</v>
      </c>
      <c r="C3" s="11">
        <f t="shared" si="1"/>
        <v>352523340</v>
      </c>
      <c r="D3" s="11">
        <f t="shared" si="0"/>
        <v>354380167</v>
      </c>
      <c r="E3" s="11">
        <f t="shared" si="0"/>
        <v>356525869</v>
      </c>
      <c r="F3" s="11">
        <f t="shared" si="0"/>
        <v>358479989</v>
      </c>
      <c r="G3" s="11">
        <f t="shared" si="0"/>
        <v>360168508</v>
      </c>
      <c r="H3" s="11">
        <f t="shared" si="0"/>
        <v>361626683</v>
      </c>
      <c r="I3" s="11">
        <f t="shared" si="0"/>
        <v>362832453</v>
      </c>
      <c r="J3" s="11">
        <f t="shared" si="0"/>
        <v>363915529</v>
      </c>
      <c r="K3" s="11">
        <f t="shared" si="0"/>
        <v>365063315</v>
      </c>
      <c r="L3" s="11">
        <f t="shared" si="0"/>
        <v>366297652</v>
      </c>
      <c r="M3" s="11">
        <f t="shared" si="0"/>
        <v>367632581</v>
      </c>
      <c r="N3" s="11">
        <f t="shared" si="0"/>
        <v>368789225</v>
      </c>
      <c r="O3" s="11">
        <f t="shared" si="0"/>
        <v>369566216</v>
      </c>
      <c r="P3" s="11">
        <f t="shared" si="0"/>
        <v>370140396</v>
      </c>
      <c r="Q3" s="11">
        <f t="shared" si="0"/>
        <v>370681780</v>
      </c>
      <c r="R3" s="11">
        <f t="shared" si="0"/>
        <v>371341667</v>
      </c>
      <c r="S3" s="11">
        <f t="shared" si="0"/>
        <v>372182432</v>
      </c>
      <c r="T3" s="11">
        <f t="shared" si="0"/>
        <v>373110431</v>
      </c>
      <c r="U3" s="11">
        <f t="shared" si="0"/>
        <v>374261202</v>
      </c>
      <c r="V3" s="11">
        <f t="shared" si="0"/>
        <v>375776290</v>
      </c>
      <c r="W3" s="11">
        <f t="shared" si="0"/>
        <v>377482147</v>
      </c>
      <c r="X3" s="11">
        <f t="shared" si="0"/>
        <v>379279008</v>
      </c>
      <c r="Y3" s="11">
        <f t="shared" si="0"/>
        <v>381113938</v>
      </c>
      <c r="Z3" s="11">
        <f t="shared" si="0"/>
        <v>382774026</v>
      </c>
      <c r="AA3" s="11">
        <f t="shared" si="0"/>
        <v>384065274</v>
      </c>
      <c r="AB3" s="11">
        <f t="shared" si="0"/>
        <v>385233932</v>
      </c>
      <c r="AC3" s="11">
        <f t="shared" si="0"/>
        <v>386350660</v>
      </c>
      <c r="AD3" s="11">
        <f t="shared" si="0"/>
        <v>387371322</v>
      </c>
      <c r="AE3" s="11">
        <f t="shared" si="0"/>
        <v>388329611</v>
      </c>
      <c r="AF3" s="11">
        <f t="shared" si="0"/>
        <v>389458614</v>
      </c>
      <c r="AG3" s="11">
        <f t="shared" si="0"/>
        <v>390851830</v>
      </c>
      <c r="AH3" s="11">
        <f t="shared" si="0"/>
        <v>392490902</v>
      </c>
      <c r="AI3" s="11">
        <f t="shared" si="0"/>
        <v>394496198</v>
      </c>
      <c r="AJ3" s="11">
        <f t="shared" si="0"/>
        <v>396712346</v>
      </c>
      <c r="AK3" s="11">
        <f t="shared" si="0"/>
        <v>399035868</v>
      </c>
      <c r="AL3" s="11">
        <f t="shared" si="0"/>
        <v>401349595</v>
      </c>
      <c r="AM3" s="11">
        <f t="shared" si="0"/>
        <v>403556265</v>
      </c>
      <c r="AN3" s="11">
        <f t="shared" si="0"/>
        <v>406002921</v>
      </c>
      <c r="AO3" s="11">
        <f t="shared" si="0"/>
        <v>408417385</v>
      </c>
      <c r="AP3" s="11">
        <f t="shared" si="0"/>
        <v>410271027</v>
      </c>
      <c r="AQ3" s="11">
        <f t="shared" si="0"/>
        <v>411881365</v>
      </c>
      <c r="AR3" s="11">
        <f t="shared" si="0"/>
        <v>411975159</v>
      </c>
      <c r="AS3" s="11">
        <f t="shared" si="0"/>
        <v>413444361</v>
      </c>
      <c r="AT3" s="11">
        <f t="shared" si="0"/>
        <v>415313661</v>
      </c>
      <c r="AU3" s="11">
        <f t="shared" si="0"/>
        <v>417262970</v>
      </c>
      <c r="AV3" s="11">
        <f t="shared" si="0"/>
        <v>419120937</v>
      </c>
      <c r="AW3" s="11">
        <f t="shared" si="0"/>
        <v>420955451</v>
      </c>
      <c r="AX3" s="11">
        <f t="shared" si="0"/>
        <v>422421007</v>
      </c>
      <c r="AY3" s="11">
        <f t="shared" si="0"/>
        <v>423767698</v>
      </c>
      <c r="AZ3" s="11">
        <f t="shared" si="0"/>
        <v>425130475</v>
      </c>
      <c r="BA3" s="11"/>
      <c r="BB3" s="11"/>
      <c r="BC3" s="11"/>
      <c r="BD3" s="11"/>
      <c r="BE3" s="11"/>
      <c r="BF3" s="11"/>
      <c r="BG3" s="11"/>
      <c r="BH3" s="11"/>
      <c r="BI3" s="11"/>
      <c r="BJ3" s="11"/>
    </row>
    <row r="4" spans="1:62" x14ac:dyDescent="0.45">
      <c r="B4" t="str">
        <f>A47</f>
        <v>Latin America and Caribbean</v>
      </c>
      <c r="C4" s="11">
        <f t="shared" si="1"/>
        <v>264745803</v>
      </c>
      <c r="D4" s="11">
        <f t="shared" si="0"/>
        <v>271271695</v>
      </c>
      <c r="E4" s="11">
        <f t="shared" si="0"/>
        <v>277866946</v>
      </c>
      <c r="F4" s="11">
        <f t="shared" si="0"/>
        <v>284541420</v>
      </c>
      <c r="G4" s="11">
        <f t="shared" si="0"/>
        <v>291307475</v>
      </c>
      <c r="H4" s="11">
        <f t="shared" si="0"/>
        <v>298174333</v>
      </c>
      <c r="I4" s="11">
        <f t="shared" si="0"/>
        <v>305141349</v>
      </c>
      <c r="J4" s="11">
        <f t="shared" si="0"/>
        <v>312204863</v>
      </c>
      <c r="K4" s="11">
        <f t="shared" si="0"/>
        <v>319374750</v>
      </c>
      <c r="L4" s="11">
        <f t="shared" si="0"/>
        <v>326663322</v>
      </c>
      <c r="M4" s="11">
        <f t="shared" si="0"/>
        <v>334074361</v>
      </c>
      <c r="N4" s="11">
        <f t="shared" si="0"/>
        <v>341610429</v>
      </c>
      <c r="O4" s="11">
        <f t="shared" si="0"/>
        <v>349256196</v>
      </c>
      <c r="P4" s="11">
        <f t="shared" si="0"/>
        <v>356970071</v>
      </c>
      <c r="Q4" s="11">
        <f t="shared" si="0"/>
        <v>364699099</v>
      </c>
      <c r="R4" s="11">
        <f t="shared" si="0"/>
        <v>372403579</v>
      </c>
      <c r="S4" s="11">
        <f t="shared" si="0"/>
        <v>380064152</v>
      </c>
      <c r="T4" s="11">
        <f t="shared" si="0"/>
        <v>387683742</v>
      </c>
      <c r="U4" s="11">
        <f t="shared" si="0"/>
        <v>395271908</v>
      </c>
      <c r="V4" s="11">
        <f t="shared" si="0"/>
        <v>402847964</v>
      </c>
      <c r="W4" s="11">
        <f t="shared" si="0"/>
        <v>410423423</v>
      </c>
      <c r="X4" s="11">
        <f t="shared" si="0"/>
        <v>417985097</v>
      </c>
      <c r="Y4" s="11">
        <f t="shared" si="0"/>
        <v>425521967</v>
      </c>
      <c r="Z4" s="11">
        <f t="shared" si="0"/>
        <v>433038145</v>
      </c>
      <c r="AA4" s="11">
        <f t="shared" si="0"/>
        <v>440526270</v>
      </c>
      <c r="AB4" s="11">
        <f t="shared" si="0"/>
        <v>447978332</v>
      </c>
      <c r="AC4" s="11">
        <f t="shared" si="0"/>
        <v>455402618</v>
      </c>
      <c r="AD4" s="11">
        <f t="shared" si="0"/>
        <v>462775880</v>
      </c>
      <c r="AE4" s="11">
        <f t="shared" si="0"/>
        <v>470065694</v>
      </c>
      <c r="AF4" s="11">
        <f t="shared" si="0"/>
        <v>477242705</v>
      </c>
      <c r="AG4" s="11">
        <f t="shared" si="0"/>
        <v>484280385</v>
      </c>
      <c r="AH4" s="11">
        <f t="shared" si="0"/>
        <v>491161601</v>
      </c>
      <c r="AI4" s="11">
        <f t="shared" si="0"/>
        <v>497887352</v>
      </c>
      <c r="AJ4" s="11">
        <f t="shared" si="0"/>
        <v>504482138</v>
      </c>
      <c r="AK4" s="11">
        <f t="shared" si="0"/>
        <v>510992626</v>
      </c>
      <c r="AL4" s="11">
        <f t="shared" si="0"/>
        <v>517444384</v>
      </c>
      <c r="AM4" s="11">
        <f t="shared" si="0"/>
        <v>523845809</v>
      </c>
      <c r="AN4" s="11">
        <f t="shared" si="0"/>
        <v>530198817</v>
      </c>
      <c r="AO4" s="11">
        <f t="shared" si="0"/>
        <v>536505123</v>
      </c>
      <c r="AP4" s="11">
        <f t="shared" si="0"/>
        <v>542756119</v>
      </c>
      <c r="AQ4" s="11">
        <f t="shared" si="0"/>
        <v>548840666</v>
      </c>
      <c r="AR4" s="11">
        <f t="shared" si="0"/>
        <v>554978981</v>
      </c>
      <c r="AS4" s="11">
        <f t="shared" si="0"/>
        <v>561034180</v>
      </c>
      <c r="AT4" s="11">
        <f t="shared" si="0"/>
        <v>567080741</v>
      </c>
      <c r="AU4" s="11">
        <f t="shared" si="0"/>
        <v>573188866</v>
      </c>
      <c r="AV4" s="11">
        <f t="shared" si="0"/>
        <v>579423766</v>
      </c>
      <c r="AW4" s="11">
        <f t="shared" si="0"/>
        <v>585824021</v>
      </c>
      <c r="AX4" s="11">
        <f t="shared" si="0"/>
        <v>592328774</v>
      </c>
      <c r="AY4" s="11">
        <f t="shared" si="0"/>
        <v>598753741</v>
      </c>
      <c r="AZ4" s="11">
        <f t="shared" si="0"/>
        <v>605084978</v>
      </c>
      <c r="BA4" s="11"/>
      <c r="BB4" s="11"/>
      <c r="BC4" s="11"/>
      <c r="BD4" s="11"/>
      <c r="BE4" s="11"/>
      <c r="BF4" s="11"/>
      <c r="BG4" s="11"/>
      <c r="BH4" s="11"/>
      <c r="BI4" s="11"/>
      <c r="BJ4" s="11"/>
    </row>
    <row r="5" spans="1:62" x14ac:dyDescent="0.45">
      <c r="B5" t="str">
        <f>A72</f>
        <v>Middle East and North Africa</v>
      </c>
      <c r="C5" s="11">
        <f t="shared" si="1"/>
        <v>79944069</v>
      </c>
      <c r="D5" s="11">
        <f t="shared" si="0"/>
        <v>82038620</v>
      </c>
      <c r="E5" s="11">
        <f t="shared" si="0"/>
        <v>84178829</v>
      </c>
      <c r="F5" s="11">
        <f t="shared" si="0"/>
        <v>86436931</v>
      </c>
      <c r="G5" s="11">
        <f t="shared" si="0"/>
        <v>88736910</v>
      </c>
      <c r="H5" s="11">
        <f t="shared" si="0"/>
        <v>91094581</v>
      </c>
      <c r="I5" s="11">
        <f t="shared" si="0"/>
        <v>93524052</v>
      </c>
      <c r="J5" s="11">
        <f t="shared" si="0"/>
        <v>96029758</v>
      </c>
      <c r="K5" s="11">
        <f t="shared" si="0"/>
        <v>98631823</v>
      </c>
      <c r="L5" s="11">
        <f t="shared" si="0"/>
        <v>101385333</v>
      </c>
      <c r="M5" s="11">
        <f t="shared" si="0"/>
        <v>104285540</v>
      </c>
      <c r="N5" s="11">
        <f t="shared" si="0"/>
        <v>107332023</v>
      </c>
      <c r="O5" s="11">
        <f t="shared" si="0"/>
        <v>110512815</v>
      </c>
      <c r="P5" s="11">
        <f t="shared" si="0"/>
        <v>113774980</v>
      </c>
      <c r="Q5" s="11">
        <f t="shared" si="0"/>
        <v>117024550</v>
      </c>
      <c r="R5" s="11">
        <f t="shared" si="0"/>
        <v>120244553</v>
      </c>
      <c r="S5" s="11">
        <f t="shared" si="0"/>
        <v>123383472</v>
      </c>
      <c r="T5" s="11">
        <f t="shared" si="0"/>
        <v>126457730</v>
      </c>
      <c r="U5" s="11">
        <f t="shared" si="0"/>
        <v>129471348</v>
      </c>
      <c r="V5" s="11">
        <f t="shared" si="0"/>
        <v>132439961</v>
      </c>
      <c r="W5" s="11">
        <f t="shared" si="0"/>
        <v>135436532</v>
      </c>
      <c r="X5" s="11">
        <f t="shared" si="0"/>
        <v>138544795</v>
      </c>
      <c r="Y5" s="11">
        <f t="shared" si="0"/>
        <v>141491508</v>
      </c>
      <c r="Z5" s="11">
        <f t="shared" si="0"/>
        <v>144336858</v>
      </c>
      <c r="AA5" s="11">
        <f t="shared" si="0"/>
        <v>147092261</v>
      </c>
      <c r="AB5" s="11">
        <f t="shared" si="0"/>
        <v>149751953</v>
      </c>
      <c r="AC5" s="11">
        <f t="shared" si="0"/>
        <v>152302994</v>
      </c>
      <c r="AD5" s="11">
        <f t="shared" si="0"/>
        <v>154758147</v>
      </c>
      <c r="AE5" s="11">
        <f t="shared" si="0"/>
        <v>157148899</v>
      </c>
      <c r="AF5" s="11">
        <f t="shared" si="0"/>
        <v>159554330</v>
      </c>
      <c r="AG5" s="11">
        <f t="shared" si="0"/>
        <v>162005275</v>
      </c>
      <c r="AH5" s="11">
        <f t="shared" si="0"/>
        <v>164500595</v>
      </c>
      <c r="AI5" s="11">
        <f t="shared" si="0"/>
        <v>167036665</v>
      </c>
      <c r="AJ5" s="11">
        <f t="shared" si="0"/>
        <v>169614231</v>
      </c>
      <c r="AK5" s="11">
        <f t="shared" si="0"/>
        <v>172227782</v>
      </c>
      <c r="AL5" s="11">
        <f t="shared" si="0"/>
        <v>174873062</v>
      </c>
      <c r="AM5" s="11">
        <f t="shared" si="0"/>
        <v>177536474</v>
      </c>
      <c r="AN5" s="11">
        <f t="shared" si="0"/>
        <v>180239072</v>
      </c>
      <c r="AO5" s="11">
        <f t="shared" si="0"/>
        <v>183048764</v>
      </c>
      <c r="AP5" s="11">
        <f t="shared" si="0"/>
        <v>186102152</v>
      </c>
      <c r="AQ5" s="11">
        <f t="shared" si="0"/>
        <v>189369574</v>
      </c>
      <c r="AR5" s="11">
        <f t="shared" si="0"/>
        <v>192913630</v>
      </c>
      <c r="AS5" s="11">
        <f t="shared" si="0"/>
        <v>196689521</v>
      </c>
      <c r="AT5" s="11">
        <f t="shared" si="0"/>
        <v>200614158</v>
      </c>
      <c r="AU5" s="11">
        <f t="shared" si="0"/>
        <v>204571095</v>
      </c>
      <c r="AV5" s="11">
        <f t="shared" si="0"/>
        <v>208466101</v>
      </c>
      <c r="AW5" s="11">
        <f t="shared" si="0"/>
        <v>212271165</v>
      </c>
      <c r="AX5" s="11">
        <f t="shared" si="0"/>
        <v>215984210</v>
      </c>
      <c r="AY5" s="11">
        <f t="shared" si="0"/>
        <v>219554727</v>
      </c>
      <c r="AZ5" s="11">
        <f t="shared" si="0"/>
        <v>222945973</v>
      </c>
      <c r="BA5" s="11"/>
      <c r="BB5" s="11"/>
      <c r="BC5" s="11"/>
      <c r="BD5" s="11"/>
      <c r="BE5" s="11"/>
      <c r="BF5" s="11"/>
      <c r="BG5" s="11"/>
      <c r="BH5" s="11"/>
      <c r="BI5" s="11"/>
      <c r="BJ5" s="11"/>
    </row>
    <row r="6" spans="1:62" x14ac:dyDescent="0.45">
      <c r="B6" t="str">
        <f>A79</f>
        <v>North America</v>
      </c>
      <c r="C6" s="11">
        <f t="shared" si="1"/>
        <v>226376000</v>
      </c>
      <c r="D6" s="11">
        <f t="shared" si="0"/>
        <v>229623024</v>
      </c>
      <c r="E6" s="11">
        <f t="shared" si="0"/>
        <v>232114464</v>
      </c>
      <c r="F6" s="11">
        <f t="shared" si="0"/>
        <v>234400768</v>
      </c>
      <c r="G6" s="11">
        <f t="shared" si="0"/>
        <v>236661968</v>
      </c>
      <c r="H6" s="11">
        <f t="shared" si="0"/>
        <v>239116268</v>
      </c>
      <c r="I6" s="11">
        <f t="shared" si="0"/>
        <v>241484816</v>
      </c>
      <c r="J6" s="11">
        <f t="shared" si="0"/>
        <v>243964852</v>
      </c>
      <c r="K6" s="11">
        <f t="shared" si="0"/>
        <v>246548196</v>
      </c>
      <c r="L6" s="11">
        <f t="shared" si="0"/>
        <v>249256552</v>
      </c>
      <c r="M6" s="11">
        <f t="shared" si="0"/>
        <v>251740660</v>
      </c>
      <c r="N6" s="11">
        <f t="shared" si="0"/>
        <v>254285916</v>
      </c>
      <c r="O6" s="11">
        <f t="shared" si="0"/>
        <v>256780942</v>
      </c>
      <c r="P6" s="11">
        <f t="shared" si="0"/>
        <v>259158452</v>
      </c>
      <c r="Q6" s="11">
        <f t="shared" si="0"/>
        <v>261432044</v>
      </c>
      <c r="R6" s="11">
        <f t="shared" si="0"/>
        <v>263766116</v>
      </c>
      <c r="S6" s="11">
        <f t="shared" si="0"/>
        <v>266233270</v>
      </c>
      <c r="T6" s="11">
        <f t="shared" si="0"/>
        <v>268735592</v>
      </c>
      <c r="U6" s="11">
        <f t="shared" si="0"/>
        <v>271290756</v>
      </c>
      <c r="V6" s="11">
        <f t="shared" si="0"/>
        <v>274095788</v>
      </c>
      <c r="W6" s="11">
        <f t="shared" si="0"/>
        <v>277314146</v>
      </c>
      <c r="X6" s="11">
        <f t="shared" si="0"/>
        <v>281018412</v>
      </c>
      <c r="Y6" s="11">
        <f t="shared" si="0"/>
        <v>284885264</v>
      </c>
      <c r="Z6" s="11">
        <f t="shared" si="0"/>
        <v>288603772</v>
      </c>
      <c r="AA6" s="11">
        <f t="shared" si="0"/>
        <v>292126664</v>
      </c>
      <c r="AB6" s="11">
        <f t="shared" si="0"/>
        <v>295580312</v>
      </c>
      <c r="AC6" s="11">
        <f t="shared" ref="D6:AZ9" si="2">SUMIF($A$19:$A$123,$B6,AC$19:AC$123)</f>
        <v>299004202</v>
      </c>
      <c r="AD6" s="11">
        <f t="shared" si="2"/>
        <v>302562940</v>
      </c>
      <c r="AE6" s="11">
        <f t="shared" si="2"/>
        <v>306009188</v>
      </c>
      <c r="AF6" s="11">
        <f t="shared" si="2"/>
        <v>309441286</v>
      </c>
      <c r="AG6" s="11">
        <f t="shared" si="2"/>
        <v>312848130</v>
      </c>
      <c r="AH6" s="11">
        <f t="shared" si="2"/>
        <v>315989862</v>
      </c>
      <c r="AI6" s="11">
        <f t="shared" si="2"/>
        <v>318985264</v>
      </c>
      <c r="AJ6" s="11">
        <f t="shared" si="2"/>
        <v>321751964</v>
      </c>
      <c r="AK6" s="11">
        <f t="shared" si="2"/>
        <v>324745968</v>
      </c>
      <c r="AL6" s="11">
        <f t="shared" si="2"/>
        <v>327760360</v>
      </c>
      <c r="AM6" s="11">
        <f t="shared" si="2"/>
        <v>330951078</v>
      </c>
      <c r="AN6" s="11">
        <f t="shared" si="2"/>
        <v>334120224</v>
      </c>
      <c r="AO6" s="11">
        <f t="shared" si="2"/>
        <v>337341070</v>
      </c>
      <c r="AP6" s="11">
        <f t="shared" si="2"/>
        <v>340400416</v>
      </c>
      <c r="AQ6" s="11">
        <f t="shared" si="2"/>
        <v>343326552</v>
      </c>
      <c r="AR6" s="11">
        <f t="shared" si="2"/>
        <v>345896192</v>
      </c>
      <c r="AS6" s="11">
        <f t="shared" si="2"/>
        <v>348545200</v>
      </c>
      <c r="AT6" s="11">
        <f t="shared" si="2"/>
        <v>351076680</v>
      </c>
      <c r="AU6" s="11">
        <f t="shared" si="2"/>
        <v>353738428</v>
      </c>
      <c r="AV6" s="11">
        <f t="shared" si="2"/>
        <v>356338076</v>
      </c>
      <c r="AW6" s="11">
        <f t="shared" si="2"/>
        <v>359050800</v>
      </c>
      <c r="AX6" s="11">
        <f t="shared" si="2"/>
        <v>361528856</v>
      </c>
      <c r="AY6" s="11">
        <f t="shared" si="2"/>
        <v>363745252</v>
      </c>
      <c r="AZ6" s="11">
        <f t="shared" si="2"/>
        <v>365828784</v>
      </c>
      <c r="BA6" s="11"/>
      <c r="BB6" s="11"/>
      <c r="BC6" s="11"/>
      <c r="BD6" s="11"/>
      <c r="BE6" s="11"/>
      <c r="BF6" s="11"/>
      <c r="BG6" s="11"/>
      <c r="BH6" s="11"/>
      <c r="BI6" s="11"/>
      <c r="BJ6" s="11"/>
    </row>
    <row r="7" spans="1:62" x14ac:dyDescent="0.45">
      <c r="B7" t="str">
        <f>A81</f>
        <v>Pacific</v>
      </c>
      <c r="C7" s="11">
        <f t="shared" si="1"/>
        <v>18672534</v>
      </c>
      <c r="D7" s="11">
        <f t="shared" si="2"/>
        <v>19223147</v>
      </c>
      <c r="E7" s="11">
        <f t="shared" si="2"/>
        <v>19594663</v>
      </c>
      <c r="F7" s="11">
        <f t="shared" si="2"/>
        <v>19938193</v>
      </c>
      <c r="G7" s="11">
        <f t="shared" si="2"/>
        <v>20429497</v>
      </c>
      <c r="H7" s="11">
        <f t="shared" si="2"/>
        <v>20747785</v>
      </c>
      <c r="I7" s="11">
        <f t="shared" si="2"/>
        <v>21006810</v>
      </c>
      <c r="J7" s="11">
        <f t="shared" si="2"/>
        <v>21269893</v>
      </c>
      <c r="K7" s="11">
        <f t="shared" si="2"/>
        <v>21534819</v>
      </c>
      <c r="L7" s="11">
        <f t="shared" si="2"/>
        <v>21781146</v>
      </c>
      <c r="M7" s="11">
        <f t="shared" si="2"/>
        <v>22070713</v>
      </c>
      <c r="N7" s="11">
        <f t="shared" si="2"/>
        <v>22431129</v>
      </c>
      <c r="O7" s="11">
        <f t="shared" si="2"/>
        <v>22831750</v>
      </c>
      <c r="P7" s="11">
        <f t="shared" si="2"/>
        <v>23187022</v>
      </c>
      <c r="Q7" s="11">
        <f t="shared" si="2"/>
        <v>23510283</v>
      </c>
      <c r="R7" s="11">
        <f t="shared" si="2"/>
        <v>23861891</v>
      </c>
      <c r="S7" s="11">
        <f t="shared" si="2"/>
        <v>24235343</v>
      </c>
      <c r="T7" s="11">
        <f t="shared" si="2"/>
        <v>24619894</v>
      </c>
      <c r="U7" s="11">
        <f t="shared" si="2"/>
        <v>25006943</v>
      </c>
      <c r="V7" s="11">
        <f t="shared" si="2"/>
        <v>25416038</v>
      </c>
      <c r="W7" s="11">
        <f t="shared" si="2"/>
        <v>25811712</v>
      </c>
      <c r="X7" s="11">
        <f t="shared" si="2"/>
        <v>26313740</v>
      </c>
      <c r="Y7" s="11">
        <f t="shared" si="2"/>
        <v>26682152</v>
      </c>
      <c r="Z7" s="11">
        <f t="shared" si="2"/>
        <v>27018930</v>
      </c>
      <c r="AA7" s="11">
        <f t="shared" si="2"/>
        <v>27382940</v>
      </c>
      <c r="AB7" s="11">
        <f t="shared" si="2"/>
        <v>27785608</v>
      </c>
      <c r="AC7" s="11">
        <f t="shared" si="2"/>
        <v>28220537</v>
      </c>
      <c r="AD7" s="11">
        <f t="shared" si="2"/>
        <v>28617864</v>
      </c>
      <c r="AE7" s="11">
        <f t="shared" si="2"/>
        <v>28989475</v>
      </c>
      <c r="AF7" s="11">
        <f t="shared" si="2"/>
        <v>29366536</v>
      </c>
      <c r="AG7" s="11">
        <f t="shared" si="2"/>
        <v>29753688</v>
      </c>
      <c r="AH7" s="11">
        <f t="shared" si="2"/>
        <v>30167903</v>
      </c>
      <c r="AI7" s="11">
        <f t="shared" si="2"/>
        <v>30601083</v>
      </c>
      <c r="AJ7" s="11">
        <f t="shared" si="2"/>
        <v>31050888</v>
      </c>
      <c r="AK7" s="11">
        <f t="shared" si="2"/>
        <v>31477504</v>
      </c>
      <c r="AL7" s="11">
        <f t="shared" si="2"/>
        <v>31937532</v>
      </c>
      <c r="AM7" s="11">
        <f t="shared" si="2"/>
        <v>32451608</v>
      </c>
      <c r="AN7" s="11">
        <f t="shared" si="2"/>
        <v>32792631</v>
      </c>
      <c r="AO7" s="11">
        <f t="shared" si="2"/>
        <v>33429323</v>
      </c>
      <c r="AP7" s="11">
        <f t="shared" si="2"/>
        <v>34093643</v>
      </c>
      <c r="AQ7" s="11">
        <f t="shared" si="2"/>
        <v>34655702</v>
      </c>
      <c r="AR7" s="11">
        <f t="shared" si="2"/>
        <v>35164401</v>
      </c>
      <c r="AS7" s="11">
        <f t="shared" si="2"/>
        <v>35744005</v>
      </c>
      <c r="AT7" s="11">
        <f t="shared" si="2"/>
        <v>36332105</v>
      </c>
      <c r="AU7" s="11">
        <f t="shared" si="2"/>
        <v>36907961</v>
      </c>
      <c r="AV7" s="11">
        <f t="shared" si="2"/>
        <v>37499028</v>
      </c>
      <c r="AW7" s="11">
        <f t="shared" si="2"/>
        <v>38140791</v>
      </c>
      <c r="AX7" s="11">
        <f t="shared" si="2"/>
        <v>38825406</v>
      </c>
      <c r="AY7" s="11">
        <f t="shared" si="2"/>
        <v>39429334</v>
      </c>
      <c r="AZ7" s="11">
        <f t="shared" si="2"/>
        <v>40064976</v>
      </c>
      <c r="BA7" s="11"/>
      <c r="BB7" s="11"/>
      <c r="BC7" s="11"/>
      <c r="BD7" s="11"/>
      <c r="BE7" s="11"/>
      <c r="BF7" s="11"/>
      <c r="BG7" s="11"/>
      <c r="BH7" s="11"/>
      <c r="BI7" s="11"/>
      <c r="BJ7" s="11"/>
    </row>
    <row r="8" spans="1:62" x14ac:dyDescent="0.45">
      <c r="B8" t="str">
        <f>A86</f>
        <v>South Asia</v>
      </c>
      <c r="C8" s="11">
        <f t="shared" si="1"/>
        <v>702124666</v>
      </c>
      <c r="D8" s="11">
        <f t="shared" si="2"/>
        <v>718205947</v>
      </c>
      <c r="E8" s="11">
        <f t="shared" si="2"/>
        <v>734680295</v>
      </c>
      <c r="F8" s="11">
        <f t="shared" si="2"/>
        <v>751611290</v>
      </c>
      <c r="G8" s="11">
        <f t="shared" si="2"/>
        <v>769084051</v>
      </c>
      <c r="H8" s="11">
        <f t="shared" si="2"/>
        <v>787161607</v>
      </c>
      <c r="I8" s="11">
        <f t="shared" si="2"/>
        <v>805849162</v>
      </c>
      <c r="J8" s="11">
        <f t="shared" si="2"/>
        <v>825132551</v>
      </c>
      <c r="K8" s="11">
        <f t="shared" si="2"/>
        <v>845028395</v>
      </c>
      <c r="L8" s="11">
        <f t="shared" si="2"/>
        <v>865551295</v>
      </c>
      <c r="M8" s="11">
        <f t="shared" si="2"/>
        <v>886698900</v>
      </c>
      <c r="N8" s="11">
        <f t="shared" si="2"/>
        <v>908473053</v>
      </c>
      <c r="O8" s="11">
        <f t="shared" si="2"/>
        <v>930833862</v>
      </c>
      <c r="P8" s="11">
        <f t="shared" si="2"/>
        <v>953682628</v>
      </c>
      <c r="Q8" s="11">
        <f t="shared" si="2"/>
        <v>976889592</v>
      </c>
      <c r="R8" s="11">
        <f t="shared" si="2"/>
        <v>1000350286</v>
      </c>
      <c r="S8" s="11">
        <f t="shared" si="2"/>
        <v>1024026739</v>
      </c>
      <c r="T8" s="11">
        <f t="shared" si="2"/>
        <v>1047906668</v>
      </c>
      <c r="U8" s="11">
        <f t="shared" si="2"/>
        <v>1071943820</v>
      </c>
      <c r="V8" s="11">
        <f t="shared" si="2"/>
        <v>1096094812</v>
      </c>
      <c r="W8" s="11">
        <f t="shared" si="2"/>
        <v>1120328946</v>
      </c>
      <c r="X8" s="11">
        <f t="shared" si="2"/>
        <v>1144592224</v>
      </c>
      <c r="Y8" s="11">
        <f t="shared" si="2"/>
        <v>1168876980</v>
      </c>
      <c r="Z8" s="11">
        <f t="shared" si="2"/>
        <v>1193255968</v>
      </c>
      <c r="AA8" s="11">
        <f t="shared" si="2"/>
        <v>1217837676</v>
      </c>
      <c r="AB8" s="11">
        <f t="shared" si="2"/>
        <v>1242688312</v>
      </c>
      <c r="AC8" s="11">
        <f t="shared" si="2"/>
        <v>1267822112</v>
      </c>
      <c r="AD8" s="11">
        <f t="shared" si="2"/>
        <v>1293173700</v>
      </c>
      <c r="AE8" s="11">
        <f t="shared" si="2"/>
        <v>1318632116</v>
      </c>
      <c r="AF8" s="11">
        <f t="shared" si="2"/>
        <v>1344045696</v>
      </c>
      <c r="AG8" s="11">
        <f t="shared" si="2"/>
        <v>1369295702</v>
      </c>
      <c r="AH8" s="11">
        <f t="shared" si="2"/>
        <v>1394326004</v>
      </c>
      <c r="AI8" s="11">
        <f t="shared" si="2"/>
        <v>1419133142</v>
      </c>
      <c r="AJ8" s="11">
        <f t="shared" si="2"/>
        <v>1443713084</v>
      </c>
      <c r="AK8" s="11">
        <f t="shared" si="2"/>
        <v>1468081056</v>
      </c>
      <c r="AL8" s="11">
        <f t="shared" si="2"/>
        <v>1492238976</v>
      </c>
      <c r="AM8" s="11">
        <f t="shared" si="2"/>
        <v>1516192792</v>
      </c>
      <c r="AN8" s="11">
        <f t="shared" si="2"/>
        <v>1539902592</v>
      </c>
      <c r="AO8" s="11">
        <f t="shared" si="2"/>
        <v>1563273536</v>
      </c>
      <c r="AP8" s="11">
        <f t="shared" si="2"/>
        <v>1586183668</v>
      </c>
      <c r="AQ8" s="11">
        <f t="shared" si="2"/>
        <v>1608556228</v>
      </c>
      <c r="AR8" s="11">
        <f t="shared" si="2"/>
        <v>1630343242</v>
      </c>
      <c r="AS8" s="11">
        <f t="shared" si="2"/>
        <v>1651486926</v>
      </c>
      <c r="AT8" s="11">
        <f t="shared" si="2"/>
        <v>1672376570</v>
      </c>
      <c r="AU8" s="11">
        <f t="shared" si="2"/>
        <v>1693116142</v>
      </c>
      <c r="AV8" s="11">
        <f t="shared" si="2"/>
        <v>1713820712</v>
      </c>
      <c r="AW8" s="11">
        <f t="shared" si="2"/>
        <v>1734571828</v>
      </c>
      <c r="AX8" s="11">
        <f t="shared" si="2"/>
        <v>1755297220</v>
      </c>
      <c r="AY8" s="11">
        <f t="shared" si="2"/>
        <v>1775946272</v>
      </c>
      <c r="AZ8" s="11">
        <f t="shared" si="2"/>
        <v>1796440974</v>
      </c>
      <c r="BA8" s="11"/>
      <c r="BB8" s="11"/>
      <c r="BC8" s="11"/>
      <c r="BD8" s="11"/>
      <c r="BE8" s="11"/>
      <c r="BF8" s="11"/>
      <c r="BG8" s="11"/>
      <c r="BH8" s="11"/>
      <c r="BI8" s="11"/>
      <c r="BJ8" s="11"/>
    </row>
    <row r="9" spans="1:62" x14ac:dyDescent="0.45">
      <c r="B9" t="str">
        <f>A91</f>
        <v>Sub-Saharan Africa</v>
      </c>
      <c r="C9" s="11">
        <f t="shared" si="1"/>
        <v>207931377</v>
      </c>
      <c r="D9" s="11">
        <f t="shared" si="2"/>
        <v>213500479</v>
      </c>
      <c r="E9" s="11">
        <f t="shared" si="2"/>
        <v>219275051</v>
      </c>
      <c r="F9" s="11">
        <f t="shared" si="2"/>
        <v>225277809</v>
      </c>
      <c r="G9" s="11">
        <f t="shared" si="2"/>
        <v>231538918</v>
      </c>
      <c r="H9" s="11">
        <f t="shared" si="2"/>
        <v>238079338</v>
      </c>
      <c r="I9" s="11">
        <f t="shared" si="2"/>
        <v>244911902</v>
      </c>
      <c r="J9" s="11">
        <f t="shared" si="2"/>
        <v>252032162</v>
      </c>
      <c r="K9" s="11">
        <f t="shared" si="2"/>
        <v>259419819</v>
      </c>
      <c r="L9" s="11">
        <f t="shared" si="2"/>
        <v>267046509</v>
      </c>
      <c r="M9" s="11">
        <f t="shared" si="2"/>
        <v>274891687</v>
      </c>
      <c r="N9" s="11">
        <f t="shared" si="2"/>
        <v>282937724</v>
      </c>
      <c r="O9" s="11">
        <f t="shared" si="2"/>
        <v>291191773</v>
      </c>
      <c r="P9" s="11">
        <f t="shared" si="2"/>
        <v>299687983</v>
      </c>
      <c r="Q9" s="11">
        <f t="shared" si="2"/>
        <v>308476046</v>
      </c>
      <c r="R9" s="11">
        <f t="shared" si="2"/>
        <v>317583834</v>
      </c>
      <c r="S9" s="11">
        <f t="shared" si="2"/>
        <v>327030010</v>
      </c>
      <c r="T9" s="11">
        <f t="shared" si="2"/>
        <v>336786337</v>
      </c>
      <c r="U9" s="11">
        <f t="shared" si="2"/>
        <v>346765664</v>
      </c>
      <c r="V9" s="11">
        <f t="shared" si="2"/>
        <v>356858679</v>
      </c>
      <c r="W9" s="11">
        <f t="shared" si="2"/>
        <v>366985886</v>
      </c>
      <c r="X9" s="11">
        <f t="shared" si="2"/>
        <v>377122686</v>
      </c>
      <c r="Y9" s="11">
        <f t="shared" si="2"/>
        <v>387295102</v>
      </c>
      <c r="Z9" s="11">
        <f t="shared" si="2"/>
        <v>397544053</v>
      </c>
      <c r="AA9" s="11">
        <f t="shared" si="2"/>
        <v>407931153</v>
      </c>
      <c r="AB9" s="11">
        <f t="shared" si="2"/>
        <v>418505901</v>
      </c>
      <c r="AC9" s="11">
        <f t="shared" si="2"/>
        <v>429289214</v>
      </c>
      <c r="AD9" s="11">
        <f t="shared" si="2"/>
        <v>440283861</v>
      </c>
      <c r="AE9" s="11">
        <f t="shared" si="2"/>
        <v>451506408</v>
      </c>
      <c r="AF9" s="11">
        <f t="shared" si="2"/>
        <v>462970100</v>
      </c>
      <c r="AG9" s="11">
        <f t="shared" si="2"/>
        <v>474692339</v>
      </c>
      <c r="AH9" s="11">
        <f t="shared" si="2"/>
        <v>486685956</v>
      </c>
      <c r="AI9" s="11">
        <f t="shared" si="2"/>
        <v>498982627</v>
      </c>
      <c r="AJ9" s="11">
        <f t="shared" si="2"/>
        <v>511629795</v>
      </c>
      <c r="AK9" s="11">
        <f t="shared" si="2"/>
        <v>524695911</v>
      </c>
      <c r="AL9" s="11">
        <f t="shared" si="2"/>
        <v>538230556</v>
      </c>
      <c r="AM9" s="11">
        <f t="shared" si="2"/>
        <v>552254224</v>
      </c>
      <c r="AN9" s="11">
        <f t="shared" si="2"/>
        <v>566765082</v>
      </c>
      <c r="AO9" s="11">
        <f t="shared" si="2"/>
        <v>581770198</v>
      </c>
      <c r="AP9" s="11">
        <f t="shared" si="2"/>
        <v>597263035</v>
      </c>
      <c r="AQ9" s="11">
        <f t="shared" si="2"/>
        <v>613240790</v>
      </c>
      <c r="AR9" s="11">
        <f t="shared" si="2"/>
        <v>629703046</v>
      </c>
      <c r="AS9" s="11">
        <f t="shared" si="2"/>
        <v>646651458</v>
      </c>
      <c r="AT9" s="11">
        <f t="shared" si="2"/>
        <v>664046025</v>
      </c>
      <c r="AU9" s="11">
        <f t="shared" si="2"/>
        <v>681835202</v>
      </c>
      <c r="AV9" s="11">
        <f t="shared" si="2"/>
        <v>699980876</v>
      </c>
      <c r="AW9" s="11">
        <f t="shared" si="2"/>
        <v>718465751</v>
      </c>
      <c r="AX9" s="11">
        <f t="shared" si="2"/>
        <v>737291295</v>
      </c>
      <c r="AY9" s="11">
        <f t="shared" si="2"/>
        <v>756454938</v>
      </c>
      <c r="AZ9" s="11">
        <f t="shared" si="2"/>
        <v>775969930</v>
      </c>
      <c r="BA9" s="11"/>
      <c r="BB9" s="11"/>
      <c r="BC9" s="11"/>
      <c r="BD9" s="11"/>
      <c r="BE9" s="11"/>
      <c r="BF9" s="11"/>
      <c r="BG9" s="11"/>
      <c r="BH9" s="11"/>
      <c r="BI9" s="11"/>
      <c r="BJ9" s="11"/>
    </row>
    <row r="10" spans="1:62" x14ac:dyDescent="0.45">
      <c r="B10" t="s">
        <v>178</v>
      </c>
      <c r="C10" s="15">
        <f>SUM(C1:C9)</f>
        <v>2896744391</v>
      </c>
      <c r="D10" s="15">
        <f t="shared" ref="D10:AZ10" si="3">SUM(D1:D9)</f>
        <v>2959961396</v>
      </c>
      <c r="E10" s="15">
        <f t="shared" si="3"/>
        <v>3021541816</v>
      </c>
      <c r="F10" s="15">
        <f t="shared" si="3"/>
        <v>3082018106</v>
      </c>
      <c r="G10" s="15">
        <f t="shared" si="3"/>
        <v>3143006883</v>
      </c>
      <c r="H10" s="15">
        <f t="shared" si="3"/>
        <v>3202114770</v>
      </c>
      <c r="I10" s="15">
        <f t="shared" si="3"/>
        <v>3259158973</v>
      </c>
      <c r="J10" s="15">
        <f t="shared" si="3"/>
        <v>3316014008</v>
      </c>
      <c r="K10" s="15">
        <f t="shared" si="3"/>
        <v>3374028796</v>
      </c>
      <c r="L10" s="15">
        <f t="shared" si="3"/>
        <v>3433645868</v>
      </c>
      <c r="M10" s="15">
        <f t="shared" si="3"/>
        <v>3493542572</v>
      </c>
      <c r="N10" s="15">
        <f t="shared" si="3"/>
        <v>3554965144</v>
      </c>
      <c r="O10" s="15">
        <f t="shared" si="3"/>
        <v>3619040563</v>
      </c>
      <c r="P10" s="15">
        <f t="shared" si="3"/>
        <v>3683509373</v>
      </c>
      <c r="Q10" s="15">
        <f t="shared" si="3"/>
        <v>3747206701</v>
      </c>
      <c r="R10" s="15">
        <f t="shared" si="3"/>
        <v>3812245478</v>
      </c>
      <c r="S10" s="15">
        <f t="shared" si="3"/>
        <v>3879688262</v>
      </c>
      <c r="T10" s="15">
        <f t="shared" si="3"/>
        <v>3949135031</v>
      </c>
      <c r="U10" s="15">
        <f t="shared" si="3"/>
        <v>4019468533</v>
      </c>
      <c r="V10" s="15">
        <f t="shared" si="3"/>
        <v>4090003553</v>
      </c>
      <c r="W10" s="15">
        <f t="shared" si="3"/>
        <v>4160608900</v>
      </c>
      <c r="X10" s="15">
        <f t="shared" si="3"/>
        <v>4230946965</v>
      </c>
      <c r="Y10" s="15">
        <f t="shared" si="3"/>
        <v>4299678845</v>
      </c>
      <c r="Z10" s="15">
        <f t="shared" si="3"/>
        <v>4367373361</v>
      </c>
      <c r="AA10" s="15">
        <f t="shared" si="3"/>
        <v>4434887858</v>
      </c>
      <c r="AB10" s="15">
        <f t="shared" si="3"/>
        <v>4502330956</v>
      </c>
      <c r="AC10" s="15">
        <f t="shared" si="3"/>
        <v>4569879721</v>
      </c>
      <c r="AD10" s="15">
        <f t="shared" si="3"/>
        <v>4637354896</v>
      </c>
      <c r="AE10" s="15">
        <f t="shared" si="3"/>
        <v>4704145558</v>
      </c>
      <c r="AF10" s="15">
        <f t="shared" si="3"/>
        <v>4769912940</v>
      </c>
      <c r="AG10" s="15">
        <f t="shared" si="3"/>
        <v>4835054988</v>
      </c>
      <c r="AH10" s="15">
        <f t="shared" si="3"/>
        <v>4899465471</v>
      </c>
      <c r="AI10" s="15">
        <f t="shared" si="3"/>
        <v>4963174853</v>
      </c>
      <c r="AJ10" s="15">
        <f t="shared" si="3"/>
        <v>5026111052</v>
      </c>
      <c r="AK10" s="15">
        <f t="shared" si="3"/>
        <v>5089021903</v>
      </c>
      <c r="AL10" s="15">
        <f t="shared" si="3"/>
        <v>5152023971</v>
      </c>
      <c r="AM10" s="15">
        <f t="shared" si="3"/>
        <v>5215262207</v>
      </c>
      <c r="AN10" s="15">
        <f t="shared" si="3"/>
        <v>5278403852</v>
      </c>
      <c r="AO10" s="15">
        <f t="shared" si="3"/>
        <v>5342024237</v>
      </c>
      <c r="AP10" s="15">
        <f t="shared" si="3"/>
        <v>5404661341</v>
      </c>
      <c r="AQ10" s="15">
        <f t="shared" si="3"/>
        <v>5466670725</v>
      </c>
      <c r="AR10" s="15">
        <f t="shared" si="3"/>
        <v>5526869015</v>
      </c>
      <c r="AS10" s="15">
        <f t="shared" si="3"/>
        <v>5588698840</v>
      </c>
      <c r="AT10" s="15">
        <f t="shared" si="3"/>
        <v>5651156790</v>
      </c>
      <c r="AU10" s="15">
        <f t="shared" si="3"/>
        <v>5714430924</v>
      </c>
      <c r="AV10" s="15">
        <f t="shared" si="3"/>
        <v>5777950404</v>
      </c>
      <c r="AW10" s="15">
        <f t="shared" si="3"/>
        <v>5842421026</v>
      </c>
      <c r="AX10" s="15">
        <f t="shared" si="3"/>
        <v>5906711589</v>
      </c>
      <c r="AY10" s="15">
        <f t="shared" si="3"/>
        <v>5969216390</v>
      </c>
      <c r="AZ10" s="15">
        <f t="shared" si="3"/>
        <v>6030058003</v>
      </c>
      <c r="BA10" s="15"/>
      <c r="BB10" s="15"/>
      <c r="BC10" s="15"/>
      <c r="BD10" s="15"/>
      <c r="BE10" s="15"/>
      <c r="BF10" s="15"/>
      <c r="BG10" s="15"/>
      <c r="BH10" s="15"/>
      <c r="BI10" s="15"/>
      <c r="BJ10" s="15"/>
    </row>
    <row r="11" spans="1:62" x14ac:dyDescent="0.45">
      <c r="C11" s="15">
        <f>SUM(C19:C122)</f>
        <v>2896744391</v>
      </c>
      <c r="D11" s="15">
        <f t="shared" ref="D11:AZ11" si="4">SUM(D19:D122)</f>
        <v>2959961396</v>
      </c>
      <c r="E11" s="15">
        <f t="shared" si="4"/>
        <v>3021541816</v>
      </c>
      <c r="F11" s="15">
        <f t="shared" si="4"/>
        <v>3082018106</v>
      </c>
      <c r="G11" s="15">
        <f t="shared" si="4"/>
        <v>3143006883</v>
      </c>
      <c r="H11" s="15">
        <f t="shared" si="4"/>
        <v>3202114770</v>
      </c>
      <c r="I11" s="15">
        <f t="shared" si="4"/>
        <v>3259158973</v>
      </c>
      <c r="J11" s="15">
        <f t="shared" si="4"/>
        <v>3316014008</v>
      </c>
      <c r="K11" s="15">
        <f t="shared" si="4"/>
        <v>3374028796</v>
      </c>
      <c r="L11" s="15">
        <f t="shared" si="4"/>
        <v>3433645868</v>
      </c>
      <c r="M11" s="15">
        <f t="shared" si="4"/>
        <v>3493542572</v>
      </c>
      <c r="N11" s="15">
        <f t="shared" si="4"/>
        <v>3554965144</v>
      </c>
      <c r="O11" s="15">
        <f t="shared" si="4"/>
        <v>3619040563</v>
      </c>
      <c r="P11" s="15">
        <f t="shared" si="4"/>
        <v>3683509373</v>
      </c>
      <c r="Q11" s="15">
        <f t="shared" si="4"/>
        <v>3747206701</v>
      </c>
      <c r="R11" s="15">
        <f t="shared" si="4"/>
        <v>3812245478</v>
      </c>
      <c r="S11" s="15">
        <f t="shared" si="4"/>
        <v>3879688262</v>
      </c>
      <c r="T11" s="15">
        <f t="shared" si="4"/>
        <v>3949135031</v>
      </c>
      <c r="U11" s="15">
        <f t="shared" si="4"/>
        <v>4019468533</v>
      </c>
      <c r="V11" s="15">
        <f t="shared" si="4"/>
        <v>4090003553</v>
      </c>
      <c r="W11" s="15">
        <f t="shared" si="4"/>
        <v>4160608900</v>
      </c>
      <c r="X11" s="15">
        <f t="shared" si="4"/>
        <v>4230946965</v>
      </c>
      <c r="Y11" s="15">
        <f t="shared" si="4"/>
        <v>4299678845</v>
      </c>
      <c r="Z11" s="15">
        <f t="shared" si="4"/>
        <v>4367373361</v>
      </c>
      <c r="AA11" s="15">
        <f t="shared" si="4"/>
        <v>4434887858</v>
      </c>
      <c r="AB11" s="15">
        <f t="shared" si="4"/>
        <v>4502330956</v>
      </c>
      <c r="AC11" s="15">
        <f t="shared" si="4"/>
        <v>4569879721</v>
      </c>
      <c r="AD11" s="15">
        <f t="shared" si="4"/>
        <v>4637354896</v>
      </c>
      <c r="AE11" s="15">
        <f t="shared" si="4"/>
        <v>4704145558</v>
      </c>
      <c r="AF11" s="15">
        <f t="shared" si="4"/>
        <v>4769912940</v>
      </c>
      <c r="AG11" s="15">
        <f t="shared" si="4"/>
        <v>4835054988</v>
      </c>
      <c r="AH11" s="15">
        <f t="shared" si="4"/>
        <v>4899465471</v>
      </c>
      <c r="AI11" s="15">
        <f t="shared" si="4"/>
        <v>4963174853</v>
      </c>
      <c r="AJ11" s="15">
        <f t="shared" si="4"/>
        <v>5026111052</v>
      </c>
      <c r="AK11" s="15">
        <f t="shared" si="4"/>
        <v>5089021903</v>
      </c>
      <c r="AL11" s="15">
        <f t="shared" si="4"/>
        <v>5152023971</v>
      </c>
      <c r="AM11" s="15">
        <f t="shared" si="4"/>
        <v>5215262207</v>
      </c>
      <c r="AN11" s="15">
        <f t="shared" si="4"/>
        <v>5278403852</v>
      </c>
      <c r="AO11" s="15">
        <f t="shared" si="4"/>
        <v>5342024237</v>
      </c>
      <c r="AP11" s="15">
        <f t="shared" si="4"/>
        <v>5404661341</v>
      </c>
      <c r="AQ11" s="15">
        <f t="shared" si="4"/>
        <v>5466670725</v>
      </c>
      <c r="AR11" s="15">
        <f t="shared" si="4"/>
        <v>5526869015</v>
      </c>
      <c r="AS11" s="15">
        <f t="shared" si="4"/>
        <v>5588698840</v>
      </c>
      <c r="AT11" s="15">
        <f t="shared" si="4"/>
        <v>5651156790</v>
      </c>
      <c r="AU11" s="15">
        <f t="shared" si="4"/>
        <v>5714430924</v>
      </c>
      <c r="AV11" s="15">
        <f t="shared" si="4"/>
        <v>5777950404</v>
      </c>
      <c r="AW11" s="15">
        <f t="shared" si="4"/>
        <v>5842421026</v>
      </c>
      <c r="AX11" s="15">
        <f t="shared" si="4"/>
        <v>5906711589</v>
      </c>
      <c r="AY11" s="15">
        <f t="shared" si="4"/>
        <v>5969216390</v>
      </c>
      <c r="AZ11" s="15">
        <f t="shared" si="4"/>
        <v>6030058003</v>
      </c>
      <c r="BA11" s="15"/>
      <c r="BB11" s="15"/>
      <c r="BC11" s="15"/>
      <c r="BD11" s="15"/>
      <c r="BE11" s="15"/>
      <c r="BF11" s="15"/>
      <c r="BG11" s="15"/>
      <c r="BH11" s="15"/>
      <c r="BI11" s="15"/>
      <c r="BJ11" s="15"/>
    </row>
    <row r="12" spans="1:62" x14ac:dyDescent="0.45">
      <c r="A12" s="9" t="s">
        <v>23</v>
      </c>
      <c r="B12" t="s" vm="2">
        <v>79</v>
      </c>
    </row>
    <row r="13" spans="1:62" x14ac:dyDescent="0.45">
      <c r="A13" s="9" t="s">
        <v>25</v>
      </c>
      <c r="B13" t="s" vm="1">
        <v>24</v>
      </c>
    </row>
    <row r="14" spans="1:62" x14ac:dyDescent="0.45">
      <c r="A14" s="9" t="s">
        <v>81</v>
      </c>
      <c r="B14" t="s" vm="3">
        <v>80</v>
      </c>
      <c r="E14" s="11"/>
      <c r="F14" s="11"/>
      <c r="G14" s="11"/>
      <c r="H14" s="11"/>
      <c r="I14" s="11"/>
      <c r="J14" s="11"/>
      <c r="K14" s="11"/>
      <c r="L14" s="11"/>
      <c r="M14" s="11"/>
    </row>
    <row r="15" spans="1:62" x14ac:dyDescent="0.45">
      <c r="A15" s="9" t="s">
        <v>162</v>
      </c>
      <c r="B15" t="s" vm="7">
        <v>220</v>
      </c>
    </row>
    <row r="17" spans="1:52" x14ac:dyDescent="0.45">
      <c r="A17" s="9" t="s">
        <v>77</v>
      </c>
      <c r="C17" s="9" t="s">
        <v>163</v>
      </c>
    </row>
    <row r="18" spans="1:52" x14ac:dyDescent="0.45">
      <c r="A18" s="9" t="s">
        <v>183</v>
      </c>
      <c r="B18" s="9" t="s">
        <v>164</v>
      </c>
      <c r="C18" t="s">
        <v>27</v>
      </c>
      <c r="D18" t="s">
        <v>28</v>
      </c>
      <c r="E18" t="s">
        <v>29</v>
      </c>
      <c r="F18" t="s">
        <v>30</v>
      </c>
      <c r="G18" t="s">
        <v>31</v>
      </c>
      <c r="H18" t="s">
        <v>32</v>
      </c>
      <c r="I18" t="s">
        <v>33</v>
      </c>
      <c r="J18" t="s">
        <v>34</v>
      </c>
      <c r="K18" t="s">
        <v>35</v>
      </c>
      <c r="L18" t="s">
        <v>36</v>
      </c>
      <c r="M18" t="s">
        <v>37</v>
      </c>
      <c r="N18" t="s">
        <v>38</v>
      </c>
      <c r="O18" t="s">
        <v>39</v>
      </c>
      <c r="P18" t="s">
        <v>40</v>
      </c>
      <c r="Q18" t="s">
        <v>41</v>
      </c>
      <c r="R18" t="s">
        <v>42</v>
      </c>
      <c r="S18" t="s">
        <v>43</v>
      </c>
      <c r="T18" t="s">
        <v>44</v>
      </c>
      <c r="U18" t="s">
        <v>45</v>
      </c>
      <c r="V18" t="s">
        <v>46</v>
      </c>
      <c r="W18" t="s">
        <v>47</v>
      </c>
      <c r="X18" t="s">
        <v>48</v>
      </c>
      <c r="Y18" t="s">
        <v>49</v>
      </c>
      <c r="Z18" t="s">
        <v>50</v>
      </c>
      <c r="AA18" t="s">
        <v>51</v>
      </c>
      <c r="AB18" t="s">
        <v>52</v>
      </c>
      <c r="AC18" t="s">
        <v>53</v>
      </c>
      <c r="AD18" t="s">
        <v>54</v>
      </c>
      <c r="AE18" t="s">
        <v>55</v>
      </c>
      <c r="AF18" t="s">
        <v>56</v>
      </c>
      <c r="AG18" t="s">
        <v>57</v>
      </c>
      <c r="AH18" t="s">
        <v>58</v>
      </c>
      <c r="AI18" t="s">
        <v>59</v>
      </c>
      <c r="AJ18" t="s">
        <v>60</v>
      </c>
      <c r="AK18" t="s">
        <v>61</v>
      </c>
      <c r="AL18" t="s">
        <v>62</v>
      </c>
      <c r="AM18" t="s">
        <v>63</v>
      </c>
      <c r="AN18" t="s">
        <v>64</v>
      </c>
      <c r="AO18" t="s">
        <v>65</v>
      </c>
      <c r="AP18" t="s">
        <v>66</v>
      </c>
      <c r="AQ18" t="s">
        <v>67</v>
      </c>
      <c r="AR18" t="s">
        <v>68</v>
      </c>
      <c r="AS18" t="s">
        <v>69</v>
      </c>
      <c r="AT18" t="s">
        <v>70</v>
      </c>
      <c r="AU18" t="s">
        <v>71</v>
      </c>
      <c r="AV18" t="s">
        <v>72</v>
      </c>
      <c r="AW18" t="s">
        <v>73</v>
      </c>
      <c r="AX18" t="s">
        <v>74</v>
      </c>
      <c r="AY18" t="s">
        <v>75</v>
      </c>
      <c r="AZ18" t="s">
        <v>76</v>
      </c>
    </row>
    <row r="19" spans="1:52" x14ac:dyDescent="0.45">
      <c r="A19" t="s">
        <v>192</v>
      </c>
      <c r="B19" t="s">
        <v>193</v>
      </c>
      <c r="C19" s="10">
        <v>818315008</v>
      </c>
      <c r="D19" s="10">
        <v>841105024</v>
      </c>
      <c r="E19" s="10">
        <v>862030016</v>
      </c>
      <c r="F19" s="10">
        <v>881939968</v>
      </c>
      <c r="G19" s="10">
        <v>900350016</v>
      </c>
      <c r="H19" s="10">
        <v>916395008</v>
      </c>
      <c r="I19" s="10">
        <v>930684992</v>
      </c>
      <c r="J19" s="10">
        <v>943454976</v>
      </c>
      <c r="K19" s="10">
        <v>956164992</v>
      </c>
      <c r="L19" s="10">
        <v>969004992</v>
      </c>
      <c r="M19" s="10">
        <v>981235008</v>
      </c>
      <c r="N19" s="10">
        <v>993884992</v>
      </c>
      <c r="O19" s="10">
        <v>1008630016</v>
      </c>
      <c r="P19" s="10">
        <v>1023310016</v>
      </c>
      <c r="Q19" s="10">
        <v>1036825024</v>
      </c>
      <c r="R19" s="10">
        <v>1051040000</v>
      </c>
      <c r="S19" s="10">
        <v>1066790016</v>
      </c>
      <c r="T19" s="10">
        <v>1084034944</v>
      </c>
      <c r="U19" s="10">
        <v>1101629952</v>
      </c>
      <c r="V19" s="10">
        <v>1118649984</v>
      </c>
      <c r="W19" s="10">
        <v>1135185024</v>
      </c>
      <c r="X19" s="10">
        <v>1150780032</v>
      </c>
      <c r="Y19" s="10">
        <v>1164969984</v>
      </c>
      <c r="Z19" s="10">
        <v>1178439936</v>
      </c>
      <c r="AA19" s="10">
        <v>1191835008</v>
      </c>
      <c r="AB19" s="10">
        <v>1204855040</v>
      </c>
      <c r="AC19" s="10">
        <v>1217549952</v>
      </c>
      <c r="AD19" s="10">
        <v>1230075008</v>
      </c>
      <c r="AE19" s="10">
        <v>1241934976</v>
      </c>
      <c r="AF19" s="10">
        <v>1252734976</v>
      </c>
      <c r="AG19" s="10">
        <v>1262644992</v>
      </c>
      <c r="AH19" s="10">
        <v>1271849984</v>
      </c>
      <c r="AI19" s="10">
        <v>1280400000</v>
      </c>
      <c r="AJ19" s="10">
        <v>1288400000</v>
      </c>
      <c r="AK19" s="10">
        <v>1296075008</v>
      </c>
      <c r="AL19" s="10">
        <v>1303719936</v>
      </c>
      <c r="AM19" s="10">
        <v>1311020032</v>
      </c>
      <c r="AN19" s="10">
        <v>1317885056</v>
      </c>
      <c r="AO19" s="10">
        <v>1324654976</v>
      </c>
      <c r="AP19" s="10">
        <v>1331260032</v>
      </c>
      <c r="AQ19" s="10">
        <v>1337704960</v>
      </c>
      <c r="AR19" s="10">
        <v>1344130048</v>
      </c>
      <c r="AS19" s="10">
        <v>1350695040</v>
      </c>
      <c r="AT19" s="10">
        <v>1357379968</v>
      </c>
      <c r="AU19" s="10">
        <v>1364269952</v>
      </c>
      <c r="AV19" s="10">
        <v>1371219968</v>
      </c>
      <c r="AW19" s="10">
        <v>1378664960</v>
      </c>
      <c r="AX19" s="10">
        <v>1386395008</v>
      </c>
      <c r="AY19" s="10">
        <v>1392729984</v>
      </c>
      <c r="AZ19" s="10">
        <v>1397714944</v>
      </c>
    </row>
    <row r="20" spans="1:52" x14ac:dyDescent="0.45">
      <c r="A20" t="s">
        <v>187</v>
      </c>
      <c r="B20" t="s">
        <v>194</v>
      </c>
      <c r="C20" s="10">
        <v>3959000</v>
      </c>
      <c r="D20" s="10">
        <v>4045300</v>
      </c>
      <c r="E20" s="10">
        <v>4123600</v>
      </c>
      <c r="F20" s="10">
        <v>4241600</v>
      </c>
      <c r="G20" s="10">
        <v>4377800</v>
      </c>
      <c r="H20" s="10">
        <v>4461600</v>
      </c>
      <c r="I20" s="10">
        <v>4518000</v>
      </c>
      <c r="J20" s="10">
        <v>4583700</v>
      </c>
      <c r="K20" s="10">
        <v>4667500</v>
      </c>
      <c r="L20" s="10">
        <v>4929700</v>
      </c>
      <c r="M20" s="10">
        <v>5063100</v>
      </c>
      <c r="N20" s="10">
        <v>5183400</v>
      </c>
      <c r="O20" s="10">
        <v>5264500</v>
      </c>
      <c r="P20" s="10">
        <v>5345100</v>
      </c>
      <c r="Q20" s="10">
        <v>5397900</v>
      </c>
      <c r="R20" s="10">
        <v>5456200</v>
      </c>
      <c r="S20" s="10">
        <v>5524600</v>
      </c>
      <c r="T20" s="10">
        <v>5580500</v>
      </c>
      <c r="U20" s="10">
        <v>5627600</v>
      </c>
      <c r="V20" s="10">
        <v>5686200</v>
      </c>
      <c r="W20" s="10">
        <v>5704500</v>
      </c>
      <c r="X20" s="10">
        <v>5752000</v>
      </c>
      <c r="Y20" s="10">
        <v>5800500</v>
      </c>
      <c r="Z20" s="10">
        <v>5901000</v>
      </c>
      <c r="AA20" s="10">
        <v>6035400</v>
      </c>
      <c r="AB20" s="10">
        <v>6156100</v>
      </c>
      <c r="AC20" s="10">
        <v>6435500</v>
      </c>
      <c r="AD20" s="10">
        <v>6489300</v>
      </c>
      <c r="AE20" s="10">
        <v>6543700</v>
      </c>
      <c r="AF20" s="10">
        <v>6606500</v>
      </c>
      <c r="AG20" s="10">
        <v>6665000</v>
      </c>
      <c r="AH20" s="10">
        <v>6714300</v>
      </c>
      <c r="AI20" s="10">
        <v>6744100</v>
      </c>
      <c r="AJ20" s="10">
        <v>6730800</v>
      </c>
      <c r="AK20" s="10">
        <v>6783500</v>
      </c>
      <c r="AL20" s="10">
        <v>6813200</v>
      </c>
      <c r="AM20" s="10">
        <v>6857100</v>
      </c>
      <c r="AN20" s="10">
        <v>6916300</v>
      </c>
      <c r="AO20" s="10">
        <v>6957800</v>
      </c>
      <c r="AP20" s="10">
        <v>6972800</v>
      </c>
      <c r="AQ20" s="10">
        <v>7024200</v>
      </c>
      <c r="AR20" s="10">
        <v>7071600</v>
      </c>
      <c r="AS20" s="10">
        <v>7150100</v>
      </c>
      <c r="AT20" s="10">
        <v>7178900</v>
      </c>
      <c r="AU20" s="10">
        <v>7229500</v>
      </c>
      <c r="AV20" s="10">
        <v>7291300</v>
      </c>
      <c r="AW20" s="10">
        <v>7336600</v>
      </c>
      <c r="AX20" s="10">
        <v>7391700</v>
      </c>
      <c r="AY20" s="10">
        <v>7451000</v>
      </c>
      <c r="AZ20" s="10">
        <v>7507400</v>
      </c>
    </row>
    <row r="21" spans="1:52" x14ac:dyDescent="0.45">
      <c r="A21" t="s">
        <v>187</v>
      </c>
      <c r="B21" t="s">
        <v>90</v>
      </c>
      <c r="C21" s="10">
        <v>104345000</v>
      </c>
      <c r="D21" s="10">
        <v>105697000</v>
      </c>
      <c r="E21" s="10">
        <v>107188000</v>
      </c>
      <c r="F21" s="10">
        <v>108079000</v>
      </c>
      <c r="G21" s="10">
        <v>110162000</v>
      </c>
      <c r="H21" s="10">
        <v>111940000</v>
      </c>
      <c r="I21" s="10">
        <v>112771000</v>
      </c>
      <c r="J21" s="10">
        <v>113863000</v>
      </c>
      <c r="K21" s="10">
        <v>114898000</v>
      </c>
      <c r="L21" s="10">
        <v>115870000</v>
      </c>
      <c r="M21" s="10">
        <v>116782000</v>
      </c>
      <c r="N21" s="10">
        <v>117648000</v>
      </c>
      <c r="O21" s="10">
        <v>118449000</v>
      </c>
      <c r="P21" s="10">
        <v>119259000</v>
      </c>
      <c r="Q21" s="10">
        <v>120018000</v>
      </c>
      <c r="R21" s="10">
        <v>120754000</v>
      </c>
      <c r="S21" s="10">
        <v>121492000</v>
      </c>
      <c r="T21" s="10">
        <v>122091000</v>
      </c>
      <c r="U21" s="10">
        <v>122613000</v>
      </c>
      <c r="V21" s="10">
        <v>123116000</v>
      </c>
      <c r="W21" s="10">
        <v>123537000</v>
      </c>
      <c r="X21" s="10">
        <v>123921000</v>
      </c>
      <c r="Y21" s="10">
        <v>124229000</v>
      </c>
      <c r="Z21" s="10">
        <v>124536000</v>
      </c>
      <c r="AA21" s="10">
        <v>124961000</v>
      </c>
      <c r="AB21" s="10">
        <v>125439000</v>
      </c>
      <c r="AC21" s="10">
        <v>125757000</v>
      </c>
      <c r="AD21" s="10">
        <v>126057000</v>
      </c>
      <c r="AE21" s="10">
        <v>126400000</v>
      </c>
      <c r="AF21" s="10">
        <v>126631000</v>
      </c>
      <c r="AG21" s="10">
        <v>126843000</v>
      </c>
      <c r="AH21" s="10">
        <v>127149000</v>
      </c>
      <c r="AI21" s="10">
        <v>127445000</v>
      </c>
      <c r="AJ21" s="10">
        <v>127718000</v>
      </c>
      <c r="AK21" s="10">
        <v>127761000</v>
      </c>
      <c r="AL21" s="10">
        <v>127773000</v>
      </c>
      <c r="AM21" s="10">
        <v>127854000</v>
      </c>
      <c r="AN21" s="10">
        <v>128001000</v>
      </c>
      <c r="AO21" s="10">
        <v>128063000</v>
      </c>
      <c r="AP21" s="10">
        <v>128047000</v>
      </c>
      <c r="AQ21" s="10">
        <v>128070000</v>
      </c>
      <c r="AR21" s="10">
        <v>127833000</v>
      </c>
      <c r="AS21" s="10">
        <v>127629000</v>
      </c>
      <c r="AT21" s="10">
        <v>127445000</v>
      </c>
      <c r="AU21" s="10">
        <v>127276000</v>
      </c>
      <c r="AV21" s="10">
        <v>127141000</v>
      </c>
      <c r="AW21" s="10">
        <v>126994512</v>
      </c>
      <c r="AX21" s="10">
        <v>126785800</v>
      </c>
      <c r="AY21" s="10">
        <v>126529104</v>
      </c>
      <c r="AZ21" s="10">
        <v>126264928</v>
      </c>
    </row>
    <row r="22" spans="1:52" x14ac:dyDescent="0.45">
      <c r="A22" t="s">
        <v>187</v>
      </c>
      <c r="B22" t="s">
        <v>133</v>
      </c>
      <c r="C22" s="10">
        <v>10804131</v>
      </c>
      <c r="D22" s="10">
        <v>11062433</v>
      </c>
      <c r="E22" s="10">
        <v>11324277</v>
      </c>
      <c r="F22" s="10">
        <v>11592638</v>
      </c>
      <c r="G22" s="10">
        <v>11871104</v>
      </c>
      <c r="H22" s="10">
        <v>12162187</v>
      </c>
      <c r="I22" s="10">
        <v>12468689</v>
      </c>
      <c r="J22" s="10">
        <v>12790312</v>
      </c>
      <c r="K22" s="10">
        <v>13122839</v>
      </c>
      <c r="L22" s="10">
        <v>13460031</v>
      </c>
      <c r="M22" s="10">
        <v>13798085</v>
      </c>
      <c r="N22" s="10">
        <v>14134058</v>
      </c>
      <c r="O22" s="10">
        <v>14471211</v>
      </c>
      <c r="P22" s="10">
        <v>14819424</v>
      </c>
      <c r="Q22" s="10">
        <v>15192298</v>
      </c>
      <c r="R22" s="10">
        <v>15598927</v>
      </c>
      <c r="S22" s="10">
        <v>16043731</v>
      </c>
      <c r="T22" s="10">
        <v>16522000</v>
      </c>
      <c r="U22" s="10">
        <v>17022464</v>
      </c>
      <c r="V22" s="10">
        <v>17528960</v>
      </c>
      <c r="W22" s="10">
        <v>18029824</v>
      </c>
      <c r="X22" s="10">
        <v>18519936</v>
      </c>
      <c r="Y22" s="10">
        <v>19002656</v>
      </c>
      <c r="Z22" s="10">
        <v>19484898</v>
      </c>
      <c r="AA22" s="10">
        <v>19977500</v>
      </c>
      <c r="AB22" s="10">
        <v>20487608</v>
      </c>
      <c r="AC22" s="10">
        <v>21017612</v>
      </c>
      <c r="AD22" s="10">
        <v>21562792</v>
      </c>
      <c r="AE22" s="10">
        <v>22114654</v>
      </c>
      <c r="AF22" s="10">
        <v>22661298</v>
      </c>
      <c r="AG22" s="10">
        <v>23194256</v>
      </c>
      <c r="AH22" s="10">
        <v>23709120</v>
      </c>
      <c r="AI22" s="10">
        <v>24208392</v>
      </c>
      <c r="AJ22" s="10">
        <v>24698820</v>
      </c>
      <c r="AK22" s="10">
        <v>25190652</v>
      </c>
      <c r="AL22" s="10">
        <v>25690612</v>
      </c>
      <c r="AM22" s="10">
        <v>26201960</v>
      </c>
      <c r="AN22" s="10">
        <v>26720370</v>
      </c>
      <c r="AO22" s="10">
        <v>27236006</v>
      </c>
      <c r="AP22" s="10">
        <v>27735040</v>
      </c>
      <c r="AQ22" s="10">
        <v>28208036</v>
      </c>
      <c r="AR22" s="10">
        <v>28650956</v>
      </c>
      <c r="AS22" s="10">
        <v>29068160</v>
      </c>
      <c r="AT22" s="10">
        <v>29468872</v>
      </c>
      <c r="AU22" s="10">
        <v>29866560</v>
      </c>
      <c r="AV22" s="10">
        <v>30270962</v>
      </c>
      <c r="AW22" s="10">
        <v>30684804</v>
      </c>
      <c r="AX22" s="10">
        <v>31105028</v>
      </c>
      <c r="AY22" s="10">
        <v>31528584</v>
      </c>
      <c r="AZ22" s="10">
        <v>31949776</v>
      </c>
    </row>
    <row r="23" spans="1:52" x14ac:dyDescent="0.45">
      <c r="A23" t="s">
        <v>187</v>
      </c>
      <c r="B23" t="s">
        <v>143</v>
      </c>
      <c r="C23" s="10">
        <v>35803592</v>
      </c>
      <c r="D23" s="10">
        <v>36849676</v>
      </c>
      <c r="E23" s="10">
        <v>37923396</v>
      </c>
      <c r="F23" s="10">
        <v>39022768</v>
      </c>
      <c r="G23" s="10">
        <v>40144248</v>
      </c>
      <c r="H23" s="10">
        <v>41285744</v>
      </c>
      <c r="I23" s="10">
        <v>42446652</v>
      </c>
      <c r="J23" s="10">
        <v>43629412</v>
      </c>
      <c r="K23" s="10">
        <v>44838484</v>
      </c>
      <c r="L23" s="10">
        <v>46079848</v>
      </c>
      <c r="M23" s="10">
        <v>47357744</v>
      </c>
      <c r="N23" s="10">
        <v>48672840</v>
      </c>
      <c r="O23" s="10">
        <v>50023564</v>
      </c>
      <c r="P23" s="10">
        <v>51408912</v>
      </c>
      <c r="Q23" s="10">
        <v>52827040</v>
      </c>
      <c r="R23" s="10">
        <v>54275824</v>
      </c>
      <c r="S23" s="10">
        <v>55755356</v>
      </c>
      <c r="T23" s="10">
        <v>57263836</v>
      </c>
      <c r="U23" s="10">
        <v>58795000</v>
      </c>
      <c r="V23" s="10">
        <v>60340768</v>
      </c>
      <c r="W23" s="10">
        <v>61895160</v>
      </c>
      <c r="X23" s="10">
        <v>63454784</v>
      </c>
      <c r="Y23" s="10">
        <v>65020116</v>
      </c>
      <c r="Z23" s="10">
        <v>66593904</v>
      </c>
      <c r="AA23" s="10">
        <v>68180856</v>
      </c>
      <c r="AB23" s="10">
        <v>69784088</v>
      </c>
      <c r="AC23" s="10">
        <v>71401752</v>
      </c>
      <c r="AD23" s="10">
        <v>73030880</v>
      </c>
      <c r="AE23" s="10">
        <v>74672016</v>
      </c>
      <c r="AF23" s="10">
        <v>76325928</v>
      </c>
      <c r="AG23" s="10">
        <v>77991752</v>
      </c>
      <c r="AH23" s="10">
        <v>79672872</v>
      </c>
      <c r="AI23" s="10">
        <v>81365256</v>
      </c>
      <c r="AJ23" s="10">
        <v>83051968</v>
      </c>
      <c r="AK23" s="10">
        <v>84710544</v>
      </c>
      <c r="AL23" s="10">
        <v>86326248</v>
      </c>
      <c r="AM23" s="10">
        <v>87888672</v>
      </c>
      <c r="AN23" s="10">
        <v>89405480</v>
      </c>
      <c r="AO23" s="10">
        <v>90901968</v>
      </c>
      <c r="AP23" s="10">
        <v>92414160</v>
      </c>
      <c r="AQ23" s="10">
        <v>93966784</v>
      </c>
      <c r="AR23" s="10">
        <v>95570048</v>
      </c>
      <c r="AS23" s="10">
        <v>97212640</v>
      </c>
      <c r="AT23" s="10">
        <v>98871552</v>
      </c>
      <c r="AU23" s="10">
        <v>100513136</v>
      </c>
      <c r="AV23" s="10">
        <v>102113216</v>
      </c>
      <c r="AW23" s="10">
        <v>103663928</v>
      </c>
      <c r="AX23" s="10">
        <v>105173264</v>
      </c>
      <c r="AY23" s="10">
        <v>106651920</v>
      </c>
      <c r="AZ23" s="10">
        <v>108116616</v>
      </c>
    </row>
    <row r="24" spans="1:52" x14ac:dyDescent="0.45">
      <c r="A24" t="s">
        <v>187</v>
      </c>
      <c r="B24" t="s">
        <v>95</v>
      </c>
      <c r="C24" s="10">
        <v>2074507</v>
      </c>
      <c r="D24" s="10">
        <v>2112900</v>
      </c>
      <c r="E24" s="10">
        <v>2152400</v>
      </c>
      <c r="F24" s="10">
        <v>2193000</v>
      </c>
      <c r="G24" s="10">
        <v>2229800</v>
      </c>
      <c r="H24" s="10">
        <v>2262600</v>
      </c>
      <c r="I24" s="10">
        <v>2293300</v>
      </c>
      <c r="J24" s="10">
        <v>2325300</v>
      </c>
      <c r="K24" s="10">
        <v>2353600</v>
      </c>
      <c r="L24" s="10">
        <v>2383500</v>
      </c>
      <c r="M24" s="10">
        <v>2413945</v>
      </c>
      <c r="N24" s="10">
        <v>2532835</v>
      </c>
      <c r="O24" s="10">
        <v>2646466</v>
      </c>
      <c r="P24" s="10">
        <v>2681061</v>
      </c>
      <c r="Q24" s="10">
        <v>2732221</v>
      </c>
      <c r="R24" s="10">
        <v>2735957</v>
      </c>
      <c r="S24" s="10">
        <v>2733373</v>
      </c>
      <c r="T24" s="10">
        <v>2774789</v>
      </c>
      <c r="U24" s="10">
        <v>2846108</v>
      </c>
      <c r="V24" s="10">
        <v>2930901</v>
      </c>
      <c r="W24" s="10">
        <v>3047132</v>
      </c>
      <c r="X24" s="10">
        <v>3135083</v>
      </c>
      <c r="Y24" s="10">
        <v>3230698</v>
      </c>
      <c r="Z24" s="10">
        <v>3313471</v>
      </c>
      <c r="AA24" s="10">
        <v>3419048</v>
      </c>
      <c r="AB24" s="10">
        <v>3524506</v>
      </c>
      <c r="AC24" s="10">
        <v>3670704</v>
      </c>
      <c r="AD24" s="10">
        <v>3796038</v>
      </c>
      <c r="AE24" s="10">
        <v>3927213</v>
      </c>
      <c r="AF24" s="10">
        <v>3958723</v>
      </c>
      <c r="AG24" s="10">
        <v>4027887</v>
      </c>
      <c r="AH24" s="10">
        <v>4138012</v>
      </c>
      <c r="AI24" s="10">
        <v>4175950</v>
      </c>
      <c r="AJ24" s="10">
        <v>4114826</v>
      </c>
      <c r="AK24" s="10">
        <v>4166664</v>
      </c>
      <c r="AL24" s="10">
        <v>4265762</v>
      </c>
      <c r="AM24" s="10">
        <v>4401365</v>
      </c>
      <c r="AN24" s="10">
        <v>4588599</v>
      </c>
      <c r="AO24" s="10">
        <v>4839396</v>
      </c>
      <c r="AP24" s="10">
        <v>4987573</v>
      </c>
      <c r="AQ24" s="10">
        <v>5076732</v>
      </c>
      <c r="AR24" s="10">
        <v>5183688</v>
      </c>
      <c r="AS24" s="10">
        <v>5312437</v>
      </c>
      <c r="AT24" s="10">
        <v>5399162</v>
      </c>
      <c r="AU24" s="10">
        <v>5469724</v>
      </c>
      <c r="AV24" s="10">
        <v>5535002</v>
      </c>
      <c r="AW24" s="10">
        <v>5607283</v>
      </c>
      <c r="AX24" s="10">
        <v>5612253</v>
      </c>
      <c r="AY24" s="10">
        <v>5638676</v>
      </c>
      <c r="AZ24" s="10">
        <v>5703569</v>
      </c>
    </row>
    <row r="25" spans="1:52" x14ac:dyDescent="0.45">
      <c r="A25" t="s">
        <v>187</v>
      </c>
      <c r="B25" t="s">
        <v>96</v>
      </c>
      <c r="C25" s="10">
        <v>32240828</v>
      </c>
      <c r="D25" s="10">
        <v>32882704</v>
      </c>
      <c r="E25" s="10">
        <v>33505406</v>
      </c>
      <c r="F25" s="10">
        <v>34103148</v>
      </c>
      <c r="G25" s="10">
        <v>34692264</v>
      </c>
      <c r="H25" s="10">
        <v>35280724</v>
      </c>
      <c r="I25" s="10">
        <v>35848524</v>
      </c>
      <c r="J25" s="10">
        <v>36411796</v>
      </c>
      <c r="K25" s="10">
        <v>36969184</v>
      </c>
      <c r="L25" s="10">
        <v>37534236</v>
      </c>
      <c r="M25" s="10">
        <v>38123776</v>
      </c>
      <c r="N25" s="10">
        <v>38723248</v>
      </c>
      <c r="O25" s="10">
        <v>39326352</v>
      </c>
      <c r="P25" s="10">
        <v>39910404</v>
      </c>
      <c r="Q25" s="10">
        <v>40405956</v>
      </c>
      <c r="R25" s="10">
        <v>40805744</v>
      </c>
      <c r="S25" s="10">
        <v>41213672</v>
      </c>
      <c r="T25" s="10">
        <v>41621688</v>
      </c>
      <c r="U25" s="10">
        <v>42031248</v>
      </c>
      <c r="V25" s="10">
        <v>42449040</v>
      </c>
      <c r="W25" s="10">
        <v>42869284</v>
      </c>
      <c r="X25" s="10">
        <v>43295704</v>
      </c>
      <c r="Y25" s="10">
        <v>43747960</v>
      </c>
      <c r="Z25" s="10">
        <v>44194628</v>
      </c>
      <c r="AA25" s="10">
        <v>44641540</v>
      </c>
      <c r="AB25" s="10">
        <v>45092992</v>
      </c>
      <c r="AC25" s="10">
        <v>45524680</v>
      </c>
      <c r="AD25" s="10">
        <v>45953580</v>
      </c>
      <c r="AE25" s="10">
        <v>46286504</v>
      </c>
      <c r="AF25" s="10">
        <v>46616676</v>
      </c>
      <c r="AG25" s="10">
        <v>47008112</v>
      </c>
      <c r="AH25" s="10">
        <v>47370164</v>
      </c>
      <c r="AI25" s="10">
        <v>47644736</v>
      </c>
      <c r="AJ25" s="10">
        <v>47892328</v>
      </c>
      <c r="AK25" s="10">
        <v>48082520</v>
      </c>
      <c r="AL25" s="10">
        <v>48184560</v>
      </c>
      <c r="AM25" s="10">
        <v>48438292</v>
      </c>
      <c r="AN25" s="10">
        <v>48683640</v>
      </c>
      <c r="AO25" s="10">
        <v>49054708</v>
      </c>
      <c r="AP25" s="10">
        <v>49307836</v>
      </c>
      <c r="AQ25" s="10">
        <v>49554112</v>
      </c>
      <c r="AR25" s="10">
        <v>49936640</v>
      </c>
      <c r="AS25" s="10">
        <v>50199852</v>
      </c>
      <c r="AT25" s="10">
        <v>50428892</v>
      </c>
      <c r="AU25" s="10">
        <v>50746660</v>
      </c>
      <c r="AV25" s="10">
        <v>51014948</v>
      </c>
      <c r="AW25" s="10">
        <v>51217804</v>
      </c>
      <c r="AX25" s="10">
        <v>51361912</v>
      </c>
      <c r="AY25" s="10">
        <v>51606632</v>
      </c>
      <c r="AZ25" s="10">
        <v>51709096</v>
      </c>
    </row>
    <row r="26" spans="1:52" x14ac:dyDescent="0.45">
      <c r="A26" t="s">
        <v>187</v>
      </c>
      <c r="B26" t="s">
        <v>152</v>
      </c>
      <c r="C26" s="10">
        <v>36884536</v>
      </c>
      <c r="D26" s="10">
        <v>37963280</v>
      </c>
      <c r="E26" s="10">
        <v>39058604</v>
      </c>
      <c r="F26" s="10">
        <v>40159584</v>
      </c>
      <c r="G26" s="10">
        <v>41252324</v>
      </c>
      <c r="H26" s="10">
        <v>42326312</v>
      </c>
      <c r="I26" s="10">
        <v>43377272</v>
      </c>
      <c r="J26" s="10">
        <v>44405904</v>
      </c>
      <c r="K26" s="10">
        <v>45413080</v>
      </c>
      <c r="L26" s="10">
        <v>46401752</v>
      </c>
      <c r="M26" s="10">
        <v>47374472</v>
      </c>
      <c r="N26" s="10">
        <v>48326272</v>
      </c>
      <c r="O26" s="10">
        <v>49255900</v>
      </c>
      <c r="P26" s="10">
        <v>50173924</v>
      </c>
      <c r="Q26" s="10">
        <v>51094868</v>
      </c>
      <c r="R26" s="10">
        <v>52026900</v>
      </c>
      <c r="S26" s="10">
        <v>52980096</v>
      </c>
      <c r="T26" s="10">
        <v>53945880</v>
      </c>
      <c r="U26" s="10">
        <v>54891520</v>
      </c>
      <c r="V26" s="10">
        <v>55772168</v>
      </c>
      <c r="W26" s="10">
        <v>56558184</v>
      </c>
      <c r="X26" s="10">
        <v>57232464</v>
      </c>
      <c r="Y26" s="10">
        <v>57811020</v>
      </c>
      <c r="Z26" s="10">
        <v>58337772</v>
      </c>
      <c r="AA26" s="10">
        <v>58875268</v>
      </c>
      <c r="AB26" s="10">
        <v>59467272</v>
      </c>
      <c r="AC26" s="10">
        <v>60130184</v>
      </c>
      <c r="AD26" s="10">
        <v>60846584</v>
      </c>
      <c r="AE26" s="10">
        <v>61585104</v>
      </c>
      <c r="AF26" s="10">
        <v>62298572</v>
      </c>
      <c r="AG26" s="10">
        <v>62952640</v>
      </c>
      <c r="AH26" s="10">
        <v>63539196</v>
      </c>
      <c r="AI26" s="10">
        <v>64069088</v>
      </c>
      <c r="AJ26" s="10">
        <v>64549864</v>
      </c>
      <c r="AK26" s="10">
        <v>64995300</v>
      </c>
      <c r="AL26" s="10">
        <v>65416188</v>
      </c>
      <c r="AM26" s="10">
        <v>65812536</v>
      </c>
      <c r="AN26" s="10">
        <v>66182068</v>
      </c>
      <c r="AO26" s="10">
        <v>66530984</v>
      </c>
      <c r="AP26" s="10">
        <v>66866840</v>
      </c>
      <c r="AQ26" s="10">
        <v>67195024</v>
      </c>
      <c r="AR26" s="10">
        <v>67518384</v>
      </c>
      <c r="AS26" s="10">
        <v>67835960</v>
      </c>
      <c r="AT26" s="10">
        <v>68144504</v>
      </c>
      <c r="AU26" s="10">
        <v>68438728</v>
      </c>
      <c r="AV26" s="10">
        <v>68714512</v>
      </c>
      <c r="AW26" s="10">
        <v>68971328</v>
      </c>
      <c r="AX26" s="10">
        <v>69209856</v>
      </c>
      <c r="AY26" s="10">
        <v>69428528</v>
      </c>
      <c r="AZ26" s="10">
        <v>69625584</v>
      </c>
    </row>
    <row r="27" spans="1:52" x14ac:dyDescent="0.45">
      <c r="A27" t="s">
        <v>185</v>
      </c>
      <c r="B27" t="s">
        <v>195</v>
      </c>
      <c r="C27" s="10">
        <v>24276</v>
      </c>
      <c r="D27" s="10">
        <v>25559</v>
      </c>
      <c r="E27" s="10">
        <v>26892</v>
      </c>
      <c r="F27" s="10">
        <v>28232</v>
      </c>
      <c r="G27" s="10">
        <v>29520</v>
      </c>
      <c r="H27" s="10">
        <v>30705</v>
      </c>
      <c r="I27" s="10">
        <v>31777</v>
      </c>
      <c r="J27" s="10">
        <v>32771</v>
      </c>
      <c r="K27" s="10">
        <v>33737</v>
      </c>
      <c r="L27" s="10">
        <v>34818</v>
      </c>
      <c r="M27" s="10">
        <v>36067</v>
      </c>
      <c r="N27" s="10">
        <v>37500</v>
      </c>
      <c r="O27" s="10">
        <v>39114</v>
      </c>
      <c r="P27" s="10">
        <v>40867</v>
      </c>
      <c r="Q27" s="10">
        <v>42706</v>
      </c>
      <c r="R27" s="10">
        <v>44600</v>
      </c>
      <c r="S27" s="10">
        <v>46517</v>
      </c>
      <c r="T27" s="10">
        <v>48455</v>
      </c>
      <c r="U27" s="10">
        <v>50434</v>
      </c>
      <c r="V27" s="10">
        <v>52448</v>
      </c>
      <c r="W27" s="10">
        <v>54509</v>
      </c>
      <c r="X27" s="10">
        <v>56671</v>
      </c>
      <c r="Y27" s="10">
        <v>58888</v>
      </c>
      <c r="Z27" s="10">
        <v>60971</v>
      </c>
      <c r="AA27" s="10">
        <v>62677</v>
      </c>
      <c r="AB27" s="10">
        <v>63850</v>
      </c>
      <c r="AC27" s="10">
        <v>64360</v>
      </c>
      <c r="AD27" s="10">
        <v>64327</v>
      </c>
      <c r="AE27" s="10">
        <v>64142</v>
      </c>
      <c r="AF27" s="10">
        <v>64370</v>
      </c>
      <c r="AG27" s="10">
        <v>65390</v>
      </c>
      <c r="AH27" s="10">
        <v>67341</v>
      </c>
      <c r="AI27" s="10">
        <v>70049</v>
      </c>
      <c r="AJ27" s="10">
        <v>73182</v>
      </c>
      <c r="AK27" s="10">
        <v>76244</v>
      </c>
      <c r="AL27" s="10">
        <v>78867</v>
      </c>
      <c r="AM27" s="10">
        <v>80993</v>
      </c>
      <c r="AN27" s="10">
        <v>82684</v>
      </c>
      <c r="AO27" s="10">
        <v>83862</v>
      </c>
      <c r="AP27" s="10">
        <v>84463</v>
      </c>
      <c r="AQ27" s="10">
        <v>84449</v>
      </c>
      <c r="AR27" s="10">
        <v>83747</v>
      </c>
      <c r="AS27" s="10">
        <v>82427</v>
      </c>
      <c r="AT27" s="10">
        <v>80774</v>
      </c>
      <c r="AU27" s="10">
        <v>79213</v>
      </c>
      <c r="AV27" s="10">
        <v>78011</v>
      </c>
      <c r="AW27" s="10">
        <v>77297</v>
      </c>
      <c r="AX27" s="10">
        <v>77001</v>
      </c>
      <c r="AY27" s="10">
        <v>77006</v>
      </c>
      <c r="AZ27" s="10">
        <v>77142</v>
      </c>
    </row>
    <row r="28" spans="1:52" x14ac:dyDescent="0.45">
      <c r="A28" t="s">
        <v>185</v>
      </c>
      <c r="B28" t="s">
        <v>83</v>
      </c>
      <c r="C28" s="10">
        <v>7467086</v>
      </c>
      <c r="D28" s="10">
        <v>7500482</v>
      </c>
      <c r="E28" s="10">
        <v>7544201</v>
      </c>
      <c r="F28" s="10">
        <v>7586115</v>
      </c>
      <c r="G28" s="10">
        <v>7599038</v>
      </c>
      <c r="H28" s="10">
        <v>7578903</v>
      </c>
      <c r="I28" s="10">
        <v>7565525</v>
      </c>
      <c r="J28" s="10">
        <v>7568430</v>
      </c>
      <c r="K28" s="10">
        <v>7562305</v>
      </c>
      <c r="L28" s="10">
        <v>7549425</v>
      </c>
      <c r="M28" s="10">
        <v>7549433</v>
      </c>
      <c r="N28" s="10">
        <v>7568710</v>
      </c>
      <c r="O28" s="10">
        <v>7574140</v>
      </c>
      <c r="P28" s="10">
        <v>7561910</v>
      </c>
      <c r="Q28" s="10">
        <v>7561434</v>
      </c>
      <c r="R28" s="10">
        <v>7564985</v>
      </c>
      <c r="S28" s="10">
        <v>7569794</v>
      </c>
      <c r="T28" s="10">
        <v>7574586</v>
      </c>
      <c r="U28" s="10">
        <v>7585317</v>
      </c>
      <c r="V28" s="10">
        <v>7619567</v>
      </c>
      <c r="W28" s="10">
        <v>7677850</v>
      </c>
      <c r="X28" s="10">
        <v>7754891</v>
      </c>
      <c r="Y28" s="10">
        <v>7840709</v>
      </c>
      <c r="Z28" s="10">
        <v>7905633</v>
      </c>
      <c r="AA28" s="10">
        <v>7936118</v>
      </c>
      <c r="AB28" s="10">
        <v>7948278</v>
      </c>
      <c r="AC28" s="10">
        <v>7959017</v>
      </c>
      <c r="AD28" s="10">
        <v>7968041</v>
      </c>
      <c r="AE28" s="10">
        <v>7976789</v>
      </c>
      <c r="AF28" s="10">
        <v>7992324</v>
      </c>
      <c r="AG28" s="10">
        <v>8011566</v>
      </c>
      <c r="AH28" s="10">
        <v>8042293</v>
      </c>
      <c r="AI28" s="10">
        <v>8081957</v>
      </c>
      <c r="AJ28" s="10">
        <v>8121423</v>
      </c>
      <c r="AK28" s="10">
        <v>8171966</v>
      </c>
      <c r="AL28" s="10">
        <v>8227829</v>
      </c>
      <c r="AM28" s="10">
        <v>8268641</v>
      </c>
      <c r="AN28" s="10">
        <v>8295487</v>
      </c>
      <c r="AO28" s="10">
        <v>8321496</v>
      </c>
      <c r="AP28" s="10">
        <v>8343323</v>
      </c>
      <c r="AQ28" s="10">
        <v>8363404</v>
      </c>
      <c r="AR28" s="10">
        <v>8391643</v>
      </c>
      <c r="AS28" s="10">
        <v>8429991</v>
      </c>
      <c r="AT28" s="10">
        <v>8479823</v>
      </c>
      <c r="AU28" s="10">
        <v>8546356</v>
      </c>
      <c r="AV28" s="10">
        <v>8642699</v>
      </c>
      <c r="AW28" s="10">
        <v>8736668</v>
      </c>
      <c r="AX28" s="10">
        <v>8797566</v>
      </c>
      <c r="AY28" s="10">
        <v>8840521</v>
      </c>
      <c r="AZ28" s="10">
        <v>8877067</v>
      </c>
    </row>
    <row r="29" spans="1:52" x14ac:dyDescent="0.45">
      <c r="A29" t="s">
        <v>185</v>
      </c>
      <c r="B29" t="s">
        <v>84</v>
      </c>
      <c r="C29" s="10">
        <v>9655549</v>
      </c>
      <c r="D29" s="10">
        <v>9673162</v>
      </c>
      <c r="E29" s="10">
        <v>9711115</v>
      </c>
      <c r="F29" s="10">
        <v>9741720</v>
      </c>
      <c r="G29" s="10">
        <v>9772419</v>
      </c>
      <c r="H29" s="10">
        <v>9800700</v>
      </c>
      <c r="I29" s="10">
        <v>9818227</v>
      </c>
      <c r="J29" s="10">
        <v>9830358</v>
      </c>
      <c r="K29" s="10">
        <v>9839534</v>
      </c>
      <c r="L29" s="10">
        <v>9848382</v>
      </c>
      <c r="M29" s="10">
        <v>9859242</v>
      </c>
      <c r="N29" s="10">
        <v>9858982</v>
      </c>
      <c r="O29" s="10">
        <v>9856303</v>
      </c>
      <c r="P29" s="10">
        <v>9855520</v>
      </c>
      <c r="Q29" s="10">
        <v>9855372</v>
      </c>
      <c r="R29" s="10">
        <v>9858308</v>
      </c>
      <c r="S29" s="10">
        <v>9861823</v>
      </c>
      <c r="T29" s="10">
        <v>9870234</v>
      </c>
      <c r="U29" s="10">
        <v>9901664</v>
      </c>
      <c r="V29" s="10">
        <v>9937697</v>
      </c>
      <c r="W29" s="10">
        <v>9967379</v>
      </c>
      <c r="X29" s="10">
        <v>10004486</v>
      </c>
      <c r="Y29" s="10">
        <v>10045158</v>
      </c>
      <c r="Z29" s="10">
        <v>10084475</v>
      </c>
      <c r="AA29" s="10">
        <v>10115603</v>
      </c>
      <c r="AB29" s="10">
        <v>10136811</v>
      </c>
      <c r="AC29" s="10">
        <v>10156637</v>
      </c>
      <c r="AD29" s="10">
        <v>10181245</v>
      </c>
      <c r="AE29" s="10">
        <v>10203008</v>
      </c>
      <c r="AF29" s="10">
        <v>10226419</v>
      </c>
      <c r="AG29" s="10">
        <v>10251250</v>
      </c>
      <c r="AH29" s="10">
        <v>10286570</v>
      </c>
      <c r="AI29" s="10">
        <v>10332785</v>
      </c>
      <c r="AJ29" s="10">
        <v>10376133</v>
      </c>
      <c r="AK29" s="10">
        <v>10421137</v>
      </c>
      <c r="AL29" s="10">
        <v>10478617</v>
      </c>
      <c r="AM29" s="10">
        <v>10547958</v>
      </c>
      <c r="AN29" s="10">
        <v>10625700</v>
      </c>
      <c r="AO29" s="10">
        <v>10709973</v>
      </c>
      <c r="AP29" s="10">
        <v>10796493</v>
      </c>
      <c r="AQ29" s="10">
        <v>10895586</v>
      </c>
      <c r="AR29" s="10">
        <v>11038264</v>
      </c>
      <c r="AS29" s="10">
        <v>11106932</v>
      </c>
      <c r="AT29" s="10">
        <v>11159407</v>
      </c>
      <c r="AU29" s="10">
        <v>11209057</v>
      </c>
      <c r="AV29" s="10">
        <v>11274196</v>
      </c>
      <c r="AW29" s="10">
        <v>11331422</v>
      </c>
      <c r="AX29" s="10">
        <v>11375158</v>
      </c>
      <c r="AY29" s="10">
        <v>11427054</v>
      </c>
      <c r="AZ29" s="10">
        <v>11484055</v>
      </c>
    </row>
    <row r="30" spans="1:52" x14ac:dyDescent="0.45">
      <c r="A30" t="s">
        <v>185</v>
      </c>
      <c r="B30" t="s">
        <v>196</v>
      </c>
      <c r="C30" s="10">
        <v>4928757</v>
      </c>
      <c r="D30" s="10">
        <v>4963126</v>
      </c>
      <c r="E30" s="10">
        <v>4991596</v>
      </c>
      <c r="F30" s="10">
        <v>5021861</v>
      </c>
      <c r="G30" s="10">
        <v>5045297</v>
      </c>
      <c r="H30" s="10">
        <v>5059862</v>
      </c>
      <c r="I30" s="10">
        <v>5072596</v>
      </c>
      <c r="J30" s="10">
        <v>5088419</v>
      </c>
      <c r="K30" s="10">
        <v>5104248</v>
      </c>
      <c r="L30" s="10">
        <v>5116801</v>
      </c>
      <c r="M30" s="10">
        <v>5123027</v>
      </c>
      <c r="N30" s="10">
        <v>5121572</v>
      </c>
      <c r="O30" s="10">
        <v>5117810</v>
      </c>
      <c r="P30" s="10">
        <v>5114297</v>
      </c>
      <c r="Q30" s="10">
        <v>5111619</v>
      </c>
      <c r="R30" s="10">
        <v>5113691</v>
      </c>
      <c r="S30" s="10">
        <v>5120534</v>
      </c>
      <c r="T30" s="10">
        <v>5127024</v>
      </c>
      <c r="U30" s="10">
        <v>5129516</v>
      </c>
      <c r="V30" s="10">
        <v>5132594</v>
      </c>
      <c r="W30" s="10">
        <v>5140939</v>
      </c>
      <c r="X30" s="10">
        <v>5154298</v>
      </c>
      <c r="Y30" s="10">
        <v>5171370</v>
      </c>
      <c r="Z30" s="10">
        <v>5188628</v>
      </c>
      <c r="AA30" s="10">
        <v>5206180</v>
      </c>
      <c r="AB30" s="10">
        <v>5233373</v>
      </c>
      <c r="AC30" s="10">
        <v>5263074</v>
      </c>
      <c r="AD30" s="10">
        <v>5284991</v>
      </c>
      <c r="AE30" s="10">
        <v>5304219</v>
      </c>
      <c r="AF30" s="10">
        <v>5321799</v>
      </c>
      <c r="AG30" s="10">
        <v>5339616</v>
      </c>
      <c r="AH30" s="10">
        <v>5358783</v>
      </c>
      <c r="AI30" s="10">
        <v>5375931</v>
      </c>
      <c r="AJ30" s="10">
        <v>5390574</v>
      </c>
      <c r="AK30" s="10">
        <v>5404523</v>
      </c>
      <c r="AL30" s="10">
        <v>5419432</v>
      </c>
      <c r="AM30" s="10">
        <v>5437272</v>
      </c>
      <c r="AN30" s="10">
        <v>5461438</v>
      </c>
      <c r="AO30" s="10">
        <v>5493621</v>
      </c>
      <c r="AP30" s="10">
        <v>5523095</v>
      </c>
      <c r="AQ30" s="10">
        <v>5547683</v>
      </c>
      <c r="AR30" s="10">
        <v>5570572</v>
      </c>
      <c r="AS30" s="10">
        <v>5591572</v>
      </c>
      <c r="AT30" s="10">
        <v>5614932</v>
      </c>
      <c r="AU30" s="10">
        <v>5643475</v>
      </c>
      <c r="AV30" s="10">
        <v>5683483</v>
      </c>
      <c r="AW30" s="10">
        <v>5728010</v>
      </c>
      <c r="AX30" s="10">
        <v>5764980</v>
      </c>
      <c r="AY30" s="10">
        <v>5793636</v>
      </c>
      <c r="AZ30" s="10">
        <v>5818553</v>
      </c>
    </row>
    <row r="31" spans="1:52" x14ac:dyDescent="0.45">
      <c r="A31" t="s">
        <v>185</v>
      </c>
      <c r="B31" t="s">
        <v>85</v>
      </c>
      <c r="C31" s="10">
        <v>4606307</v>
      </c>
      <c r="D31" s="10">
        <v>4612124</v>
      </c>
      <c r="E31" s="10">
        <v>4639657</v>
      </c>
      <c r="F31" s="10">
        <v>4666081</v>
      </c>
      <c r="G31" s="10">
        <v>4690574</v>
      </c>
      <c r="H31" s="10">
        <v>4711440</v>
      </c>
      <c r="I31" s="10">
        <v>4725664</v>
      </c>
      <c r="J31" s="10">
        <v>4738902</v>
      </c>
      <c r="K31" s="10">
        <v>4752528</v>
      </c>
      <c r="L31" s="10">
        <v>4764690</v>
      </c>
      <c r="M31" s="10">
        <v>4779535</v>
      </c>
      <c r="N31" s="10">
        <v>4799964</v>
      </c>
      <c r="O31" s="10">
        <v>4826933</v>
      </c>
      <c r="P31" s="10">
        <v>4855787</v>
      </c>
      <c r="Q31" s="10">
        <v>4881803</v>
      </c>
      <c r="R31" s="10">
        <v>4902206</v>
      </c>
      <c r="S31" s="10">
        <v>4918154</v>
      </c>
      <c r="T31" s="10">
        <v>4932123</v>
      </c>
      <c r="U31" s="10">
        <v>4946481</v>
      </c>
      <c r="V31" s="10">
        <v>4964371</v>
      </c>
      <c r="W31" s="10">
        <v>4986431</v>
      </c>
      <c r="X31" s="10">
        <v>5013740</v>
      </c>
      <c r="Y31" s="10">
        <v>5041992</v>
      </c>
      <c r="Z31" s="10">
        <v>5066447</v>
      </c>
      <c r="AA31" s="10">
        <v>5088333</v>
      </c>
      <c r="AB31" s="10">
        <v>5107790</v>
      </c>
      <c r="AC31" s="10">
        <v>5124573</v>
      </c>
      <c r="AD31" s="10">
        <v>5139835</v>
      </c>
      <c r="AE31" s="10">
        <v>5153498</v>
      </c>
      <c r="AF31" s="10">
        <v>5165474</v>
      </c>
      <c r="AG31" s="10">
        <v>5176209</v>
      </c>
      <c r="AH31" s="10">
        <v>5188008</v>
      </c>
      <c r="AI31" s="10">
        <v>5200598</v>
      </c>
      <c r="AJ31" s="10">
        <v>5213014</v>
      </c>
      <c r="AK31" s="10">
        <v>5228172</v>
      </c>
      <c r="AL31" s="10">
        <v>5246096</v>
      </c>
      <c r="AM31" s="10">
        <v>5266268</v>
      </c>
      <c r="AN31" s="10">
        <v>5288720</v>
      </c>
      <c r="AO31" s="10">
        <v>5313399</v>
      </c>
      <c r="AP31" s="10">
        <v>5338871</v>
      </c>
      <c r="AQ31" s="10">
        <v>5363352</v>
      </c>
      <c r="AR31" s="10">
        <v>5388272</v>
      </c>
      <c r="AS31" s="10">
        <v>5413971</v>
      </c>
      <c r="AT31" s="10">
        <v>5438972</v>
      </c>
      <c r="AU31" s="10">
        <v>5461512</v>
      </c>
      <c r="AV31" s="10">
        <v>5479531</v>
      </c>
      <c r="AW31" s="10">
        <v>5495303</v>
      </c>
      <c r="AX31" s="10">
        <v>5508214</v>
      </c>
      <c r="AY31" s="10">
        <v>5515525</v>
      </c>
      <c r="AZ31" s="10">
        <v>5520314</v>
      </c>
    </row>
    <row r="32" spans="1:52" x14ac:dyDescent="0.45">
      <c r="A32" t="s">
        <v>185</v>
      </c>
      <c r="B32" t="s">
        <v>86</v>
      </c>
      <c r="C32" s="10">
        <v>51957736</v>
      </c>
      <c r="D32" s="10">
        <v>52371344</v>
      </c>
      <c r="E32" s="10">
        <v>52793136</v>
      </c>
      <c r="F32" s="10">
        <v>53207736</v>
      </c>
      <c r="G32" s="10">
        <v>53592232</v>
      </c>
      <c r="H32" s="10">
        <v>53931392</v>
      </c>
      <c r="I32" s="10">
        <v>54220024</v>
      </c>
      <c r="J32" s="10">
        <v>54467704</v>
      </c>
      <c r="K32" s="10">
        <v>54691852</v>
      </c>
      <c r="L32" s="10">
        <v>54917120</v>
      </c>
      <c r="M32" s="10">
        <v>55161528</v>
      </c>
      <c r="N32" s="10">
        <v>55430296</v>
      </c>
      <c r="O32" s="10">
        <v>55718932</v>
      </c>
      <c r="P32" s="10">
        <v>56023768</v>
      </c>
      <c r="Q32" s="10">
        <v>56337664</v>
      </c>
      <c r="R32" s="10">
        <v>56654696</v>
      </c>
      <c r="S32" s="10">
        <v>56976124</v>
      </c>
      <c r="T32" s="10">
        <v>57302664</v>
      </c>
      <c r="U32" s="10">
        <v>57627104</v>
      </c>
      <c r="V32" s="10">
        <v>57940212</v>
      </c>
      <c r="W32" s="10">
        <v>58235696</v>
      </c>
      <c r="X32" s="10">
        <v>58559312</v>
      </c>
      <c r="Y32" s="10">
        <v>58851216</v>
      </c>
      <c r="Z32" s="10">
        <v>59106768</v>
      </c>
      <c r="AA32" s="10">
        <v>59327192</v>
      </c>
      <c r="AB32" s="10">
        <v>59541900</v>
      </c>
      <c r="AC32" s="10">
        <v>59753100</v>
      </c>
      <c r="AD32" s="10">
        <v>59964852</v>
      </c>
      <c r="AE32" s="10">
        <v>60186288</v>
      </c>
      <c r="AF32" s="10">
        <v>60496720</v>
      </c>
      <c r="AG32" s="10">
        <v>60912500</v>
      </c>
      <c r="AH32" s="10">
        <v>61357432</v>
      </c>
      <c r="AI32" s="10">
        <v>61805268</v>
      </c>
      <c r="AJ32" s="10">
        <v>62244888</v>
      </c>
      <c r="AK32" s="10">
        <v>62704896</v>
      </c>
      <c r="AL32" s="10">
        <v>63179352</v>
      </c>
      <c r="AM32" s="10">
        <v>63621380</v>
      </c>
      <c r="AN32" s="10">
        <v>64016224</v>
      </c>
      <c r="AO32" s="10">
        <v>64374984</v>
      </c>
      <c r="AP32" s="10">
        <v>64707040</v>
      </c>
      <c r="AQ32" s="10">
        <v>65027508</v>
      </c>
      <c r="AR32" s="10">
        <v>65342780</v>
      </c>
      <c r="AS32" s="10">
        <v>65659808</v>
      </c>
      <c r="AT32" s="10">
        <v>65998688</v>
      </c>
      <c r="AU32" s="10">
        <v>66312068</v>
      </c>
      <c r="AV32" s="10">
        <v>66548272</v>
      </c>
      <c r="AW32" s="10">
        <v>66724104</v>
      </c>
      <c r="AX32" s="10">
        <v>66864380</v>
      </c>
      <c r="AY32" s="10">
        <v>66965912</v>
      </c>
      <c r="AZ32" s="10">
        <v>67059888</v>
      </c>
    </row>
    <row r="33" spans="1:52" x14ac:dyDescent="0.45">
      <c r="A33" t="s">
        <v>185</v>
      </c>
      <c r="B33" t="s">
        <v>197</v>
      </c>
      <c r="C33" s="10">
        <v>78169288</v>
      </c>
      <c r="D33" s="10">
        <v>78312840</v>
      </c>
      <c r="E33" s="10">
        <v>78688448</v>
      </c>
      <c r="F33" s="10">
        <v>78936664</v>
      </c>
      <c r="G33" s="10">
        <v>78967432</v>
      </c>
      <c r="H33" s="10">
        <v>78673552</v>
      </c>
      <c r="I33" s="10">
        <v>78336952</v>
      </c>
      <c r="J33" s="10">
        <v>78159816</v>
      </c>
      <c r="K33" s="10">
        <v>78091824</v>
      </c>
      <c r="L33" s="10">
        <v>78126352</v>
      </c>
      <c r="M33" s="10">
        <v>78288576</v>
      </c>
      <c r="N33" s="10">
        <v>78407904</v>
      </c>
      <c r="O33" s="10">
        <v>78333368</v>
      </c>
      <c r="P33" s="10">
        <v>78128280</v>
      </c>
      <c r="Q33" s="10">
        <v>77858688</v>
      </c>
      <c r="R33" s="10">
        <v>77684872</v>
      </c>
      <c r="S33" s="10">
        <v>77720432</v>
      </c>
      <c r="T33" s="10">
        <v>77839920</v>
      </c>
      <c r="U33" s="10">
        <v>78144616</v>
      </c>
      <c r="V33" s="10">
        <v>78751280</v>
      </c>
      <c r="W33" s="10">
        <v>79433032</v>
      </c>
      <c r="X33" s="10">
        <v>80013896</v>
      </c>
      <c r="Y33" s="10">
        <v>80624600</v>
      </c>
      <c r="Z33" s="10">
        <v>81156360</v>
      </c>
      <c r="AA33" s="10">
        <v>81438352</v>
      </c>
      <c r="AB33" s="10">
        <v>81678048</v>
      </c>
      <c r="AC33" s="10">
        <v>81914832</v>
      </c>
      <c r="AD33" s="10">
        <v>82034768</v>
      </c>
      <c r="AE33" s="10">
        <v>82047192</v>
      </c>
      <c r="AF33" s="10">
        <v>82100240</v>
      </c>
      <c r="AG33" s="10">
        <v>82211504</v>
      </c>
      <c r="AH33" s="10">
        <v>82349928</v>
      </c>
      <c r="AI33" s="10">
        <v>82488496</v>
      </c>
      <c r="AJ33" s="10">
        <v>82534176</v>
      </c>
      <c r="AK33" s="10">
        <v>82516256</v>
      </c>
      <c r="AL33" s="10">
        <v>82469424</v>
      </c>
      <c r="AM33" s="10">
        <v>82376448</v>
      </c>
      <c r="AN33" s="10">
        <v>82266368</v>
      </c>
      <c r="AO33" s="10">
        <v>82110096</v>
      </c>
      <c r="AP33" s="10">
        <v>81902304</v>
      </c>
      <c r="AQ33" s="10">
        <v>81776928</v>
      </c>
      <c r="AR33" s="10">
        <v>80274984</v>
      </c>
      <c r="AS33" s="10">
        <v>80425824</v>
      </c>
      <c r="AT33" s="10">
        <v>80645608</v>
      </c>
      <c r="AU33" s="10">
        <v>80982496</v>
      </c>
      <c r="AV33" s="10">
        <v>81686608</v>
      </c>
      <c r="AW33" s="10">
        <v>82348672</v>
      </c>
      <c r="AX33" s="10">
        <v>82657000</v>
      </c>
      <c r="AY33" s="10">
        <v>82905784</v>
      </c>
      <c r="AZ33" s="10">
        <v>83132800</v>
      </c>
    </row>
    <row r="34" spans="1:52" x14ac:dyDescent="0.45">
      <c r="A34" t="s">
        <v>185</v>
      </c>
      <c r="B34" t="s">
        <v>87</v>
      </c>
      <c r="C34" s="10">
        <v>8792806</v>
      </c>
      <c r="D34" s="10">
        <v>8831036</v>
      </c>
      <c r="E34" s="10">
        <v>8888628</v>
      </c>
      <c r="F34" s="10">
        <v>8929086</v>
      </c>
      <c r="G34" s="10">
        <v>8962022</v>
      </c>
      <c r="H34" s="10">
        <v>9046541</v>
      </c>
      <c r="I34" s="10">
        <v>9188150</v>
      </c>
      <c r="J34" s="10">
        <v>9308479</v>
      </c>
      <c r="K34" s="10">
        <v>9429959</v>
      </c>
      <c r="L34" s="10">
        <v>9548258</v>
      </c>
      <c r="M34" s="10">
        <v>9642505</v>
      </c>
      <c r="N34" s="10">
        <v>9729350</v>
      </c>
      <c r="O34" s="10">
        <v>9789513</v>
      </c>
      <c r="P34" s="10">
        <v>9846627</v>
      </c>
      <c r="Q34" s="10">
        <v>9895801</v>
      </c>
      <c r="R34" s="10">
        <v>9934300</v>
      </c>
      <c r="S34" s="10">
        <v>9967213</v>
      </c>
      <c r="T34" s="10">
        <v>10000595</v>
      </c>
      <c r="U34" s="10">
        <v>10036983</v>
      </c>
      <c r="V34" s="10">
        <v>10089498</v>
      </c>
      <c r="W34" s="10">
        <v>10196792</v>
      </c>
      <c r="X34" s="10">
        <v>10319927</v>
      </c>
      <c r="Y34" s="10">
        <v>10399061</v>
      </c>
      <c r="Z34" s="10">
        <v>10460415</v>
      </c>
      <c r="AA34" s="10">
        <v>10512922</v>
      </c>
      <c r="AB34" s="10">
        <v>10562153</v>
      </c>
      <c r="AC34" s="10">
        <v>10608800</v>
      </c>
      <c r="AD34" s="10">
        <v>10661259</v>
      </c>
      <c r="AE34" s="10">
        <v>10720509</v>
      </c>
      <c r="AF34" s="10">
        <v>10761698</v>
      </c>
      <c r="AG34" s="10">
        <v>10805808</v>
      </c>
      <c r="AH34" s="10">
        <v>10862132</v>
      </c>
      <c r="AI34" s="10">
        <v>10902022</v>
      </c>
      <c r="AJ34" s="10">
        <v>10928070</v>
      </c>
      <c r="AK34" s="10">
        <v>10955141</v>
      </c>
      <c r="AL34" s="10">
        <v>10987314</v>
      </c>
      <c r="AM34" s="10">
        <v>11020362</v>
      </c>
      <c r="AN34" s="10">
        <v>11048473</v>
      </c>
      <c r="AO34" s="10">
        <v>11077841</v>
      </c>
      <c r="AP34" s="10">
        <v>11107017</v>
      </c>
      <c r="AQ34" s="10">
        <v>11121341</v>
      </c>
      <c r="AR34" s="10">
        <v>11104899</v>
      </c>
      <c r="AS34" s="10">
        <v>11045011</v>
      </c>
      <c r="AT34" s="10">
        <v>10965211</v>
      </c>
      <c r="AU34" s="10">
        <v>10892413</v>
      </c>
      <c r="AV34" s="10">
        <v>10820883</v>
      </c>
      <c r="AW34" s="10">
        <v>10775971</v>
      </c>
      <c r="AX34" s="10">
        <v>10754679</v>
      </c>
      <c r="AY34" s="10">
        <v>10732882</v>
      </c>
      <c r="AZ34" s="10">
        <v>10716322</v>
      </c>
    </row>
    <row r="35" spans="1:52" x14ac:dyDescent="0.45">
      <c r="A35" t="s">
        <v>185</v>
      </c>
      <c r="B35" t="s">
        <v>198</v>
      </c>
      <c r="C35" s="10">
        <v>204438</v>
      </c>
      <c r="D35" s="10">
        <v>206098</v>
      </c>
      <c r="E35" s="10">
        <v>209137</v>
      </c>
      <c r="F35" s="10">
        <v>212317</v>
      </c>
      <c r="G35" s="10">
        <v>215209</v>
      </c>
      <c r="H35" s="10">
        <v>217979</v>
      </c>
      <c r="I35" s="10">
        <v>220154</v>
      </c>
      <c r="J35" s="10">
        <v>221799</v>
      </c>
      <c r="K35" s="10">
        <v>223537</v>
      </c>
      <c r="L35" s="10">
        <v>225735</v>
      </c>
      <c r="M35" s="10">
        <v>228138</v>
      </c>
      <c r="N35" s="10">
        <v>230755</v>
      </c>
      <c r="O35" s="10">
        <v>233860</v>
      </c>
      <c r="P35" s="10">
        <v>236977</v>
      </c>
      <c r="Q35" s="10">
        <v>239511</v>
      </c>
      <c r="R35" s="10">
        <v>241405</v>
      </c>
      <c r="S35" s="10">
        <v>243180</v>
      </c>
      <c r="T35" s="10">
        <v>245859</v>
      </c>
      <c r="U35" s="10">
        <v>249740</v>
      </c>
      <c r="V35" s="10">
        <v>252852</v>
      </c>
      <c r="W35" s="10">
        <v>254826</v>
      </c>
      <c r="X35" s="10">
        <v>257797</v>
      </c>
      <c r="Y35" s="10">
        <v>261057</v>
      </c>
      <c r="Z35" s="10">
        <v>263725</v>
      </c>
      <c r="AA35" s="10">
        <v>266021</v>
      </c>
      <c r="AB35" s="10">
        <v>267468</v>
      </c>
      <c r="AC35" s="10">
        <v>268916</v>
      </c>
      <c r="AD35" s="10">
        <v>271128</v>
      </c>
      <c r="AE35" s="10">
        <v>274047</v>
      </c>
      <c r="AF35" s="10">
        <v>277381</v>
      </c>
      <c r="AG35" s="10">
        <v>281205</v>
      </c>
      <c r="AH35" s="10">
        <v>284968</v>
      </c>
      <c r="AI35" s="10">
        <v>287523</v>
      </c>
      <c r="AJ35" s="10">
        <v>289521</v>
      </c>
      <c r="AK35" s="10">
        <v>292074</v>
      </c>
      <c r="AL35" s="10">
        <v>296734</v>
      </c>
      <c r="AM35" s="10">
        <v>303782</v>
      </c>
      <c r="AN35" s="10">
        <v>311566</v>
      </c>
      <c r="AO35" s="10">
        <v>317414</v>
      </c>
      <c r="AP35" s="10">
        <v>318499</v>
      </c>
      <c r="AQ35" s="10">
        <v>318041</v>
      </c>
      <c r="AR35" s="10">
        <v>319014</v>
      </c>
      <c r="AS35" s="10">
        <v>320716</v>
      </c>
      <c r="AT35" s="10">
        <v>323764</v>
      </c>
      <c r="AU35" s="10">
        <v>327386</v>
      </c>
      <c r="AV35" s="10">
        <v>330815</v>
      </c>
      <c r="AW35" s="10">
        <v>335439</v>
      </c>
      <c r="AX35" s="10">
        <v>343400</v>
      </c>
      <c r="AY35" s="10">
        <v>352721</v>
      </c>
      <c r="AZ35" s="10">
        <v>361313</v>
      </c>
    </row>
    <row r="36" spans="1:52" x14ac:dyDescent="0.45">
      <c r="A36" t="s">
        <v>185</v>
      </c>
      <c r="B36" t="s">
        <v>199</v>
      </c>
      <c r="C36" s="10">
        <v>2957250</v>
      </c>
      <c r="D36" s="10">
        <v>2992050</v>
      </c>
      <c r="E36" s="10">
        <v>3036850</v>
      </c>
      <c r="F36" s="10">
        <v>3085950</v>
      </c>
      <c r="G36" s="10">
        <v>3137500</v>
      </c>
      <c r="H36" s="10">
        <v>3189550</v>
      </c>
      <c r="I36" s="10">
        <v>3238050</v>
      </c>
      <c r="J36" s="10">
        <v>3282200</v>
      </c>
      <c r="K36" s="10">
        <v>3329100</v>
      </c>
      <c r="L36" s="10">
        <v>3373750</v>
      </c>
      <c r="M36" s="10">
        <v>3412800</v>
      </c>
      <c r="N36" s="10">
        <v>3453000</v>
      </c>
      <c r="O36" s="10">
        <v>3485800</v>
      </c>
      <c r="P36" s="10">
        <v>3510600</v>
      </c>
      <c r="Q36" s="10">
        <v>3532423</v>
      </c>
      <c r="R36" s="10">
        <v>3538082</v>
      </c>
      <c r="S36" s="10">
        <v>3539690</v>
      </c>
      <c r="T36" s="10">
        <v>3540057</v>
      </c>
      <c r="U36" s="10">
        <v>3524949</v>
      </c>
      <c r="V36" s="10">
        <v>3511009</v>
      </c>
      <c r="W36" s="10">
        <v>3513974</v>
      </c>
      <c r="X36" s="10">
        <v>3534235</v>
      </c>
      <c r="Y36" s="10">
        <v>3558430</v>
      </c>
      <c r="Z36" s="10">
        <v>3576261</v>
      </c>
      <c r="AA36" s="10">
        <v>3590386</v>
      </c>
      <c r="AB36" s="10">
        <v>3608841</v>
      </c>
      <c r="AC36" s="10">
        <v>3637510</v>
      </c>
      <c r="AD36" s="10">
        <v>3674171</v>
      </c>
      <c r="AE36" s="10">
        <v>3712696</v>
      </c>
      <c r="AF36" s="10">
        <v>3754786</v>
      </c>
      <c r="AG36" s="10">
        <v>3805174</v>
      </c>
      <c r="AH36" s="10">
        <v>3866243</v>
      </c>
      <c r="AI36" s="10">
        <v>3931947</v>
      </c>
      <c r="AJ36" s="10">
        <v>3996521</v>
      </c>
      <c r="AK36" s="10">
        <v>4070262</v>
      </c>
      <c r="AL36" s="10">
        <v>4159914</v>
      </c>
      <c r="AM36" s="10">
        <v>4273591</v>
      </c>
      <c r="AN36" s="10">
        <v>4398942</v>
      </c>
      <c r="AO36" s="10">
        <v>4489544</v>
      </c>
      <c r="AP36" s="10">
        <v>4535375</v>
      </c>
      <c r="AQ36" s="10">
        <v>4560155</v>
      </c>
      <c r="AR36" s="10">
        <v>4580084</v>
      </c>
      <c r="AS36" s="10">
        <v>4599533</v>
      </c>
      <c r="AT36" s="10">
        <v>4623816</v>
      </c>
      <c r="AU36" s="10">
        <v>4657740</v>
      </c>
      <c r="AV36" s="10">
        <v>4701957</v>
      </c>
      <c r="AW36" s="10">
        <v>4755335</v>
      </c>
      <c r="AX36" s="10">
        <v>4807388</v>
      </c>
      <c r="AY36" s="10">
        <v>4867316</v>
      </c>
      <c r="AZ36" s="10">
        <v>4941444</v>
      </c>
    </row>
    <row r="37" spans="1:52" x14ac:dyDescent="0.45">
      <c r="A37" t="s">
        <v>185</v>
      </c>
      <c r="B37" t="s">
        <v>89</v>
      </c>
      <c r="C37" s="10">
        <v>53821848</v>
      </c>
      <c r="D37" s="10">
        <v>54073488</v>
      </c>
      <c r="E37" s="10">
        <v>54381344</v>
      </c>
      <c r="F37" s="10">
        <v>54751408</v>
      </c>
      <c r="G37" s="10">
        <v>55110868</v>
      </c>
      <c r="H37" s="10">
        <v>55441000</v>
      </c>
      <c r="I37" s="10">
        <v>55718260</v>
      </c>
      <c r="J37" s="10">
        <v>55955412</v>
      </c>
      <c r="K37" s="10">
        <v>56155144</v>
      </c>
      <c r="L37" s="10">
        <v>56317748</v>
      </c>
      <c r="M37" s="10">
        <v>56433884</v>
      </c>
      <c r="N37" s="10">
        <v>56501676</v>
      </c>
      <c r="O37" s="10">
        <v>56543548</v>
      </c>
      <c r="P37" s="10">
        <v>56564072</v>
      </c>
      <c r="Q37" s="10">
        <v>56576720</v>
      </c>
      <c r="R37" s="10">
        <v>56593072</v>
      </c>
      <c r="S37" s="10">
        <v>56596156</v>
      </c>
      <c r="T37" s="10">
        <v>56601932</v>
      </c>
      <c r="U37" s="10">
        <v>56629288</v>
      </c>
      <c r="V37" s="10">
        <v>56671780</v>
      </c>
      <c r="W37" s="10">
        <v>56719240</v>
      </c>
      <c r="X37" s="10">
        <v>56758520</v>
      </c>
      <c r="Y37" s="10">
        <v>56797088</v>
      </c>
      <c r="Z37" s="10">
        <v>56831820</v>
      </c>
      <c r="AA37" s="10">
        <v>56843400</v>
      </c>
      <c r="AB37" s="10">
        <v>56844304</v>
      </c>
      <c r="AC37" s="10">
        <v>56860280</v>
      </c>
      <c r="AD37" s="10">
        <v>56890372</v>
      </c>
      <c r="AE37" s="10">
        <v>56906744</v>
      </c>
      <c r="AF37" s="10">
        <v>56916316</v>
      </c>
      <c r="AG37" s="10">
        <v>56942108</v>
      </c>
      <c r="AH37" s="10">
        <v>56974100</v>
      </c>
      <c r="AI37" s="10">
        <v>57059008</v>
      </c>
      <c r="AJ37" s="10">
        <v>57313204</v>
      </c>
      <c r="AK37" s="10">
        <v>57685328</v>
      </c>
      <c r="AL37" s="10">
        <v>57969484</v>
      </c>
      <c r="AM37" s="10">
        <v>58143980</v>
      </c>
      <c r="AN37" s="10">
        <v>58438312</v>
      </c>
      <c r="AO37" s="10">
        <v>58826732</v>
      </c>
      <c r="AP37" s="10">
        <v>59095364</v>
      </c>
      <c r="AQ37" s="10">
        <v>59277416</v>
      </c>
      <c r="AR37" s="10">
        <v>59379448</v>
      </c>
      <c r="AS37" s="10">
        <v>59539716</v>
      </c>
      <c r="AT37" s="10">
        <v>60233948</v>
      </c>
      <c r="AU37" s="10">
        <v>60789140</v>
      </c>
      <c r="AV37" s="10">
        <v>60730584</v>
      </c>
      <c r="AW37" s="10">
        <v>60627496</v>
      </c>
      <c r="AX37" s="10">
        <v>60536708</v>
      </c>
      <c r="AY37" s="10">
        <v>60421760</v>
      </c>
      <c r="AZ37" s="10">
        <v>60297396</v>
      </c>
    </row>
    <row r="38" spans="1:52" x14ac:dyDescent="0.45">
      <c r="A38" t="s">
        <v>185</v>
      </c>
      <c r="B38" t="s">
        <v>91</v>
      </c>
      <c r="C38" s="10">
        <v>339171</v>
      </c>
      <c r="D38" s="10">
        <v>342421</v>
      </c>
      <c r="E38" s="10">
        <v>346600</v>
      </c>
      <c r="F38" s="10">
        <v>350450</v>
      </c>
      <c r="G38" s="10">
        <v>355050</v>
      </c>
      <c r="H38" s="10">
        <v>358950</v>
      </c>
      <c r="I38" s="10">
        <v>360731</v>
      </c>
      <c r="J38" s="10">
        <v>361358</v>
      </c>
      <c r="K38" s="10">
        <v>362007</v>
      </c>
      <c r="L38" s="10">
        <v>362856</v>
      </c>
      <c r="M38" s="10">
        <v>364150</v>
      </c>
      <c r="N38" s="10">
        <v>365225</v>
      </c>
      <c r="O38" s="10">
        <v>365525</v>
      </c>
      <c r="P38" s="10">
        <v>365622</v>
      </c>
      <c r="Q38" s="10">
        <v>365998</v>
      </c>
      <c r="R38" s="10">
        <v>366706</v>
      </c>
      <c r="S38" s="10">
        <v>368355</v>
      </c>
      <c r="T38" s="10">
        <v>370750</v>
      </c>
      <c r="U38" s="10">
        <v>373450</v>
      </c>
      <c r="V38" s="10">
        <v>377100</v>
      </c>
      <c r="W38" s="10">
        <v>381850</v>
      </c>
      <c r="X38" s="10">
        <v>387000</v>
      </c>
      <c r="Y38" s="10">
        <v>392175</v>
      </c>
      <c r="Z38" s="10">
        <v>397475</v>
      </c>
      <c r="AA38" s="10">
        <v>402925</v>
      </c>
      <c r="AB38" s="10">
        <v>408625</v>
      </c>
      <c r="AC38" s="10">
        <v>414225</v>
      </c>
      <c r="AD38" s="10">
        <v>419450</v>
      </c>
      <c r="AE38" s="10">
        <v>424700</v>
      </c>
      <c r="AF38" s="10">
        <v>430475</v>
      </c>
      <c r="AG38" s="10">
        <v>436300</v>
      </c>
      <c r="AH38" s="10">
        <v>441525</v>
      </c>
      <c r="AI38" s="10">
        <v>446175</v>
      </c>
      <c r="AJ38" s="10">
        <v>451630</v>
      </c>
      <c r="AK38" s="10">
        <v>458095</v>
      </c>
      <c r="AL38" s="10">
        <v>465158</v>
      </c>
      <c r="AM38" s="10">
        <v>472637</v>
      </c>
      <c r="AN38" s="10">
        <v>479993</v>
      </c>
      <c r="AO38" s="10">
        <v>488650</v>
      </c>
      <c r="AP38" s="10">
        <v>497783</v>
      </c>
      <c r="AQ38" s="10">
        <v>506953</v>
      </c>
      <c r="AR38" s="10">
        <v>518347</v>
      </c>
      <c r="AS38" s="10">
        <v>530946</v>
      </c>
      <c r="AT38" s="10">
        <v>543360</v>
      </c>
      <c r="AU38" s="10">
        <v>556319</v>
      </c>
      <c r="AV38" s="10">
        <v>569604</v>
      </c>
      <c r="AW38" s="10">
        <v>582014</v>
      </c>
      <c r="AX38" s="10">
        <v>596336</v>
      </c>
      <c r="AY38" s="10">
        <v>607950</v>
      </c>
      <c r="AZ38" s="10">
        <v>619896</v>
      </c>
    </row>
    <row r="39" spans="1:52" x14ac:dyDescent="0.45">
      <c r="A39" t="s">
        <v>185</v>
      </c>
      <c r="B39" t="s">
        <v>200</v>
      </c>
      <c r="C39" s="10">
        <v>302650</v>
      </c>
      <c r="D39" s="10">
        <v>302700</v>
      </c>
      <c r="E39" s="10">
        <v>302450</v>
      </c>
      <c r="F39" s="10">
        <v>302200</v>
      </c>
      <c r="G39" s="10">
        <v>301996</v>
      </c>
      <c r="H39" s="10">
        <v>304222</v>
      </c>
      <c r="I39" s="10">
        <v>305774</v>
      </c>
      <c r="J39" s="10">
        <v>306970</v>
      </c>
      <c r="K39" s="10">
        <v>310182</v>
      </c>
      <c r="L39" s="10">
        <v>313342</v>
      </c>
      <c r="M39" s="10">
        <v>316645</v>
      </c>
      <c r="N39" s="10">
        <v>318982</v>
      </c>
      <c r="O39" s="10">
        <v>325898</v>
      </c>
      <c r="P39" s="10">
        <v>330524</v>
      </c>
      <c r="Q39" s="10">
        <v>330593</v>
      </c>
      <c r="R39" s="10">
        <v>336452</v>
      </c>
      <c r="S39" s="10">
        <v>342121</v>
      </c>
      <c r="T39" s="10">
        <v>344485</v>
      </c>
      <c r="U39" s="10">
        <v>347325</v>
      </c>
      <c r="V39" s="10">
        <v>350722</v>
      </c>
      <c r="W39" s="10">
        <v>354170</v>
      </c>
      <c r="X39" s="10">
        <v>363845</v>
      </c>
      <c r="Y39" s="10">
        <v>367618</v>
      </c>
      <c r="Z39" s="10">
        <v>371308</v>
      </c>
      <c r="AA39" s="10">
        <v>374797</v>
      </c>
      <c r="AB39" s="10">
        <v>377419</v>
      </c>
      <c r="AC39" s="10">
        <v>379905</v>
      </c>
      <c r="AD39" s="10">
        <v>382791</v>
      </c>
      <c r="AE39" s="10">
        <v>385287</v>
      </c>
      <c r="AF39" s="10">
        <v>387578</v>
      </c>
      <c r="AG39" s="10">
        <v>390087</v>
      </c>
      <c r="AH39" s="10">
        <v>393028</v>
      </c>
      <c r="AI39" s="10">
        <v>395969</v>
      </c>
      <c r="AJ39" s="10">
        <v>398582</v>
      </c>
      <c r="AK39" s="10">
        <v>401268</v>
      </c>
      <c r="AL39" s="10">
        <v>403834</v>
      </c>
      <c r="AM39" s="10">
        <v>405308</v>
      </c>
      <c r="AN39" s="10">
        <v>406724</v>
      </c>
      <c r="AO39" s="10">
        <v>409379</v>
      </c>
      <c r="AP39" s="10">
        <v>412477</v>
      </c>
      <c r="AQ39" s="10">
        <v>414508</v>
      </c>
      <c r="AR39" s="10">
        <v>416268</v>
      </c>
      <c r="AS39" s="10">
        <v>420028</v>
      </c>
      <c r="AT39" s="10">
        <v>425967</v>
      </c>
      <c r="AU39" s="10">
        <v>434558</v>
      </c>
      <c r="AV39" s="10">
        <v>445053</v>
      </c>
      <c r="AW39" s="10">
        <v>455356</v>
      </c>
      <c r="AX39" s="10">
        <v>467999</v>
      </c>
      <c r="AY39" s="10">
        <v>484630</v>
      </c>
      <c r="AZ39" s="10">
        <v>502653</v>
      </c>
    </row>
    <row r="40" spans="1:52" x14ac:dyDescent="0.45">
      <c r="A40" t="s">
        <v>185</v>
      </c>
      <c r="B40" t="s">
        <v>92</v>
      </c>
      <c r="C40" s="10">
        <v>13038526</v>
      </c>
      <c r="D40" s="10">
        <v>13194497</v>
      </c>
      <c r="E40" s="10">
        <v>13328593</v>
      </c>
      <c r="F40" s="10">
        <v>13439322</v>
      </c>
      <c r="G40" s="10">
        <v>13545056</v>
      </c>
      <c r="H40" s="10">
        <v>13666335</v>
      </c>
      <c r="I40" s="10">
        <v>13774037</v>
      </c>
      <c r="J40" s="10">
        <v>13856185</v>
      </c>
      <c r="K40" s="10">
        <v>13941700</v>
      </c>
      <c r="L40" s="10">
        <v>14038270</v>
      </c>
      <c r="M40" s="10">
        <v>14149800</v>
      </c>
      <c r="N40" s="10">
        <v>14247208</v>
      </c>
      <c r="O40" s="10">
        <v>14312690</v>
      </c>
      <c r="P40" s="10">
        <v>14367070</v>
      </c>
      <c r="Q40" s="10">
        <v>14424211</v>
      </c>
      <c r="R40" s="10">
        <v>14491632</v>
      </c>
      <c r="S40" s="10">
        <v>14572278</v>
      </c>
      <c r="T40" s="10">
        <v>14665037</v>
      </c>
      <c r="U40" s="10">
        <v>14760094</v>
      </c>
      <c r="V40" s="10">
        <v>14848907</v>
      </c>
      <c r="W40" s="10">
        <v>14951510</v>
      </c>
      <c r="X40" s="10">
        <v>15069798</v>
      </c>
      <c r="Y40" s="10">
        <v>15184166</v>
      </c>
      <c r="Z40" s="10">
        <v>15290368</v>
      </c>
      <c r="AA40" s="10">
        <v>15382838</v>
      </c>
      <c r="AB40" s="10">
        <v>15459006</v>
      </c>
      <c r="AC40" s="10">
        <v>15530498</v>
      </c>
      <c r="AD40" s="10">
        <v>15610650</v>
      </c>
      <c r="AE40" s="10">
        <v>15707209</v>
      </c>
      <c r="AF40" s="10">
        <v>15812088</v>
      </c>
      <c r="AG40" s="10">
        <v>15925513</v>
      </c>
      <c r="AH40" s="10">
        <v>16046180</v>
      </c>
      <c r="AI40" s="10">
        <v>16148929</v>
      </c>
      <c r="AJ40" s="10">
        <v>16225302</v>
      </c>
      <c r="AK40" s="10">
        <v>16281779</v>
      </c>
      <c r="AL40" s="10">
        <v>16319868</v>
      </c>
      <c r="AM40" s="10">
        <v>16346101</v>
      </c>
      <c r="AN40" s="10">
        <v>16381696</v>
      </c>
      <c r="AO40" s="10">
        <v>16445593</v>
      </c>
      <c r="AP40" s="10">
        <v>16530388</v>
      </c>
      <c r="AQ40" s="10">
        <v>16615394</v>
      </c>
      <c r="AR40" s="10">
        <v>16693074</v>
      </c>
      <c r="AS40" s="10">
        <v>16754962</v>
      </c>
      <c r="AT40" s="10">
        <v>16804432</v>
      </c>
      <c r="AU40" s="10">
        <v>16865008</v>
      </c>
      <c r="AV40" s="10">
        <v>16939924</v>
      </c>
      <c r="AW40" s="10">
        <v>17030314</v>
      </c>
      <c r="AX40" s="10">
        <v>17131296</v>
      </c>
      <c r="AY40" s="10">
        <v>17231624</v>
      </c>
      <c r="AZ40" s="10">
        <v>17332850</v>
      </c>
    </row>
    <row r="41" spans="1:52" x14ac:dyDescent="0.45">
      <c r="A41" t="s">
        <v>185</v>
      </c>
      <c r="B41" t="s">
        <v>93</v>
      </c>
      <c r="C41" s="10">
        <v>3875763</v>
      </c>
      <c r="D41" s="10">
        <v>3903039</v>
      </c>
      <c r="E41" s="10">
        <v>3933004</v>
      </c>
      <c r="F41" s="10">
        <v>3960612</v>
      </c>
      <c r="G41" s="10">
        <v>3985258</v>
      </c>
      <c r="H41" s="10">
        <v>4007313</v>
      </c>
      <c r="I41" s="10">
        <v>4026152</v>
      </c>
      <c r="J41" s="10">
        <v>4043205</v>
      </c>
      <c r="K41" s="10">
        <v>4058671</v>
      </c>
      <c r="L41" s="10">
        <v>4072517</v>
      </c>
      <c r="M41" s="10">
        <v>4085620</v>
      </c>
      <c r="N41" s="10">
        <v>4099702</v>
      </c>
      <c r="O41" s="10">
        <v>4114787</v>
      </c>
      <c r="P41" s="10">
        <v>4128432</v>
      </c>
      <c r="Q41" s="10">
        <v>4140099</v>
      </c>
      <c r="R41" s="10">
        <v>4152516</v>
      </c>
      <c r="S41" s="10">
        <v>4167354</v>
      </c>
      <c r="T41" s="10">
        <v>4186905</v>
      </c>
      <c r="U41" s="10">
        <v>4209488</v>
      </c>
      <c r="V41" s="10">
        <v>4226901</v>
      </c>
      <c r="W41" s="10">
        <v>4241473</v>
      </c>
      <c r="X41" s="10">
        <v>4261732</v>
      </c>
      <c r="Y41" s="10">
        <v>4286401</v>
      </c>
      <c r="Z41" s="10">
        <v>4311991</v>
      </c>
      <c r="AA41" s="10">
        <v>4336613</v>
      </c>
      <c r="AB41" s="10">
        <v>4359184</v>
      </c>
      <c r="AC41" s="10">
        <v>4381336</v>
      </c>
      <c r="AD41" s="10">
        <v>4405157</v>
      </c>
      <c r="AE41" s="10">
        <v>4431464</v>
      </c>
      <c r="AF41" s="10">
        <v>4461913</v>
      </c>
      <c r="AG41" s="10">
        <v>4490967</v>
      </c>
      <c r="AH41" s="10">
        <v>4513751</v>
      </c>
      <c r="AI41" s="10">
        <v>4538159</v>
      </c>
      <c r="AJ41" s="10">
        <v>4564855</v>
      </c>
      <c r="AK41" s="10">
        <v>4591910</v>
      </c>
      <c r="AL41" s="10">
        <v>4623291</v>
      </c>
      <c r="AM41" s="10">
        <v>4660677</v>
      </c>
      <c r="AN41" s="10">
        <v>4709153</v>
      </c>
      <c r="AO41" s="10">
        <v>4768212</v>
      </c>
      <c r="AP41" s="10">
        <v>4828726</v>
      </c>
      <c r="AQ41" s="10">
        <v>4889252</v>
      </c>
      <c r="AR41" s="10">
        <v>4953088</v>
      </c>
      <c r="AS41" s="10">
        <v>5018573</v>
      </c>
      <c r="AT41" s="10">
        <v>5079623</v>
      </c>
      <c r="AU41" s="10">
        <v>5137232</v>
      </c>
      <c r="AV41" s="10">
        <v>5188607</v>
      </c>
      <c r="AW41" s="10">
        <v>5234519</v>
      </c>
      <c r="AX41" s="10">
        <v>5276968</v>
      </c>
      <c r="AY41" s="10">
        <v>5311916</v>
      </c>
      <c r="AZ41" s="10">
        <v>5347896</v>
      </c>
    </row>
    <row r="42" spans="1:52" x14ac:dyDescent="0.45">
      <c r="A42" t="s">
        <v>185</v>
      </c>
      <c r="B42" t="s">
        <v>94</v>
      </c>
      <c r="C42" s="10">
        <v>8680431</v>
      </c>
      <c r="D42" s="10">
        <v>8643756</v>
      </c>
      <c r="E42" s="10">
        <v>8630430</v>
      </c>
      <c r="F42" s="10">
        <v>8633100</v>
      </c>
      <c r="G42" s="10">
        <v>8754365</v>
      </c>
      <c r="H42" s="10">
        <v>9093470</v>
      </c>
      <c r="I42" s="10">
        <v>9355810</v>
      </c>
      <c r="J42" s="10">
        <v>9455675</v>
      </c>
      <c r="K42" s="10">
        <v>9558250</v>
      </c>
      <c r="L42" s="10">
        <v>9661265</v>
      </c>
      <c r="M42" s="10">
        <v>9766312</v>
      </c>
      <c r="N42" s="10">
        <v>9851362</v>
      </c>
      <c r="O42" s="10">
        <v>9911771</v>
      </c>
      <c r="P42" s="10">
        <v>9957865</v>
      </c>
      <c r="Q42" s="10">
        <v>9996232</v>
      </c>
      <c r="R42" s="10">
        <v>10023613</v>
      </c>
      <c r="S42" s="10">
        <v>10032734</v>
      </c>
      <c r="T42" s="10">
        <v>10030031</v>
      </c>
      <c r="U42" s="10">
        <v>10019610</v>
      </c>
      <c r="V42" s="10">
        <v>10005000</v>
      </c>
      <c r="W42" s="10">
        <v>9983218</v>
      </c>
      <c r="X42" s="10">
        <v>9960235</v>
      </c>
      <c r="Y42" s="10">
        <v>9952494</v>
      </c>
      <c r="Z42" s="10">
        <v>9964675</v>
      </c>
      <c r="AA42" s="10">
        <v>9991525</v>
      </c>
      <c r="AB42" s="10">
        <v>10026176</v>
      </c>
      <c r="AC42" s="10">
        <v>10063945</v>
      </c>
      <c r="AD42" s="10">
        <v>10108977</v>
      </c>
      <c r="AE42" s="10">
        <v>10160196</v>
      </c>
      <c r="AF42" s="10">
        <v>10217828</v>
      </c>
      <c r="AG42" s="10">
        <v>10289898</v>
      </c>
      <c r="AH42" s="10">
        <v>10362722</v>
      </c>
      <c r="AI42" s="10">
        <v>10419631</v>
      </c>
      <c r="AJ42" s="10">
        <v>10458821</v>
      </c>
      <c r="AK42" s="10">
        <v>10483861</v>
      </c>
      <c r="AL42" s="10">
        <v>10503330</v>
      </c>
      <c r="AM42" s="10">
        <v>10522288</v>
      </c>
      <c r="AN42" s="10">
        <v>10542964</v>
      </c>
      <c r="AO42" s="10">
        <v>10558177</v>
      </c>
      <c r="AP42" s="10">
        <v>10568247</v>
      </c>
      <c r="AQ42" s="10">
        <v>10573100</v>
      </c>
      <c r="AR42" s="10">
        <v>10557560</v>
      </c>
      <c r="AS42" s="10">
        <v>10514844</v>
      </c>
      <c r="AT42" s="10">
        <v>10457295</v>
      </c>
      <c r="AU42" s="10">
        <v>10401062</v>
      </c>
      <c r="AV42" s="10">
        <v>10358076</v>
      </c>
      <c r="AW42" s="10">
        <v>10325452</v>
      </c>
      <c r="AX42" s="10">
        <v>10300300</v>
      </c>
      <c r="AY42" s="10">
        <v>10283822</v>
      </c>
      <c r="AZ42" s="10">
        <v>10269417</v>
      </c>
    </row>
    <row r="43" spans="1:52" x14ac:dyDescent="0.45">
      <c r="A43" t="s">
        <v>185</v>
      </c>
      <c r="B43" t="s">
        <v>97</v>
      </c>
      <c r="C43" s="10">
        <v>33814532</v>
      </c>
      <c r="D43" s="10">
        <v>34224488</v>
      </c>
      <c r="E43" s="10">
        <v>34604468</v>
      </c>
      <c r="F43" s="10">
        <v>34988948</v>
      </c>
      <c r="G43" s="10">
        <v>35373336</v>
      </c>
      <c r="H43" s="10">
        <v>35757900</v>
      </c>
      <c r="I43" s="10">
        <v>36137812</v>
      </c>
      <c r="J43" s="10">
        <v>36511640</v>
      </c>
      <c r="K43" s="10">
        <v>36864896</v>
      </c>
      <c r="L43" s="10">
        <v>37191328</v>
      </c>
      <c r="M43" s="10">
        <v>37491164</v>
      </c>
      <c r="N43" s="10">
        <v>37758632</v>
      </c>
      <c r="O43" s="10">
        <v>37986012</v>
      </c>
      <c r="P43" s="10">
        <v>38171524</v>
      </c>
      <c r="Q43" s="10">
        <v>38330364</v>
      </c>
      <c r="R43" s="10">
        <v>38469512</v>
      </c>
      <c r="S43" s="10">
        <v>38584624</v>
      </c>
      <c r="T43" s="10">
        <v>38684816</v>
      </c>
      <c r="U43" s="10">
        <v>38766940</v>
      </c>
      <c r="V43" s="10">
        <v>38827764</v>
      </c>
      <c r="W43" s="10">
        <v>38867320</v>
      </c>
      <c r="X43" s="10">
        <v>38966376</v>
      </c>
      <c r="Y43" s="10">
        <v>39157684</v>
      </c>
      <c r="Z43" s="10">
        <v>39361264</v>
      </c>
      <c r="AA43" s="10">
        <v>39549108</v>
      </c>
      <c r="AB43" s="10">
        <v>39724048</v>
      </c>
      <c r="AC43" s="10">
        <v>39889852</v>
      </c>
      <c r="AD43" s="10">
        <v>40057388</v>
      </c>
      <c r="AE43" s="10">
        <v>40223508</v>
      </c>
      <c r="AF43" s="10">
        <v>40386876</v>
      </c>
      <c r="AG43" s="10">
        <v>40567864</v>
      </c>
      <c r="AH43" s="10">
        <v>40850412</v>
      </c>
      <c r="AI43" s="10">
        <v>41431560</v>
      </c>
      <c r="AJ43" s="10">
        <v>42187644</v>
      </c>
      <c r="AK43" s="10">
        <v>42921896</v>
      </c>
      <c r="AL43" s="10">
        <v>43653156</v>
      </c>
      <c r="AM43" s="10">
        <v>44397320</v>
      </c>
      <c r="AN43" s="10">
        <v>45226804</v>
      </c>
      <c r="AO43" s="10">
        <v>45954104</v>
      </c>
      <c r="AP43" s="10">
        <v>46362944</v>
      </c>
      <c r="AQ43" s="10">
        <v>46576896</v>
      </c>
      <c r="AR43" s="10">
        <v>46742696</v>
      </c>
      <c r="AS43" s="10">
        <v>46773056</v>
      </c>
      <c r="AT43" s="10">
        <v>46620044</v>
      </c>
      <c r="AU43" s="10">
        <v>46480880</v>
      </c>
      <c r="AV43" s="10">
        <v>46444832</v>
      </c>
      <c r="AW43" s="10">
        <v>46484064</v>
      </c>
      <c r="AX43" s="10">
        <v>46593236</v>
      </c>
      <c r="AY43" s="10">
        <v>46797752</v>
      </c>
      <c r="AZ43" s="10">
        <v>47076780</v>
      </c>
    </row>
    <row r="44" spans="1:52" x14ac:dyDescent="0.45">
      <c r="A44" t="s">
        <v>185</v>
      </c>
      <c r="B44" t="s">
        <v>98</v>
      </c>
      <c r="C44" s="10">
        <v>8042801</v>
      </c>
      <c r="D44" s="10">
        <v>8098334</v>
      </c>
      <c r="E44" s="10">
        <v>8122300</v>
      </c>
      <c r="F44" s="10">
        <v>8136312</v>
      </c>
      <c r="G44" s="10">
        <v>8159955</v>
      </c>
      <c r="H44" s="10">
        <v>8192437</v>
      </c>
      <c r="I44" s="10">
        <v>8222286</v>
      </c>
      <c r="J44" s="10">
        <v>8251540</v>
      </c>
      <c r="K44" s="10">
        <v>8275599</v>
      </c>
      <c r="L44" s="10">
        <v>8293678</v>
      </c>
      <c r="M44" s="10">
        <v>8310531</v>
      </c>
      <c r="N44" s="10">
        <v>8320503</v>
      </c>
      <c r="O44" s="10">
        <v>8325263</v>
      </c>
      <c r="P44" s="10">
        <v>8329033</v>
      </c>
      <c r="Q44" s="10">
        <v>8336605</v>
      </c>
      <c r="R44" s="10">
        <v>8350386</v>
      </c>
      <c r="S44" s="10">
        <v>8369829</v>
      </c>
      <c r="T44" s="10">
        <v>8397804</v>
      </c>
      <c r="U44" s="10">
        <v>8436489</v>
      </c>
      <c r="V44" s="10">
        <v>8492964</v>
      </c>
      <c r="W44" s="10">
        <v>8558835</v>
      </c>
      <c r="X44" s="10">
        <v>8617375</v>
      </c>
      <c r="Y44" s="10">
        <v>8668067</v>
      </c>
      <c r="Z44" s="10">
        <v>8718561</v>
      </c>
      <c r="AA44" s="10">
        <v>8780745</v>
      </c>
      <c r="AB44" s="10">
        <v>8826939</v>
      </c>
      <c r="AC44" s="10">
        <v>8840998</v>
      </c>
      <c r="AD44" s="10">
        <v>8846062</v>
      </c>
      <c r="AE44" s="10">
        <v>8850974</v>
      </c>
      <c r="AF44" s="10">
        <v>8857874</v>
      </c>
      <c r="AG44" s="10">
        <v>8872109</v>
      </c>
      <c r="AH44" s="10">
        <v>8895960</v>
      </c>
      <c r="AI44" s="10">
        <v>8924958</v>
      </c>
      <c r="AJ44" s="10">
        <v>8958229</v>
      </c>
      <c r="AK44" s="10">
        <v>8993531</v>
      </c>
      <c r="AL44" s="10">
        <v>9029572</v>
      </c>
      <c r="AM44" s="10">
        <v>9080505</v>
      </c>
      <c r="AN44" s="10">
        <v>9148092</v>
      </c>
      <c r="AO44" s="10">
        <v>9219637</v>
      </c>
      <c r="AP44" s="10">
        <v>9298515</v>
      </c>
      <c r="AQ44" s="10">
        <v>9378126</v>
      </c>
      <c r="AR44" s="10">
        <v>9449213</v>
      </c>
      <c r="AS44" s="10">
        <v>9519374</v>
      </c>
      <c r="AT44" s="10">
        <v>9600379</v>
      </c>
      <c r="AU44" s="10">
        <v>9696110</v>
      </c>
      <c r="AV44" s="10">
        <v>9799186</v>
      </c>
      <c r="AW44" s="10">
        <v>9923085</v>
      </c>
      <c r="AX44" s="10">
        <v>10057698</v>
      </c>
      <c r="AY44" s="10">
        <v>10175214</v>
      </c>
      <c r="AZ44" s="10">
        <v>10285453</v>
      </c>
    </row>
    <row r="45" spans="1:52" x14ac:dyDescent="0.45">
      <c r="A45" t="s">
        <v>185</v>
      </c>
      <c r="B45" t="s">
        <v>201</v>
      </c>
      <c r="C45" s="10">
        <v>6180877</v>
      </c>
      <c r="D45" s="10">
        <v>6213399</v>
      </c>
      <c r="E45" s="10">
        <v>6260956</v>
      </c>
      <c r="F45" s="10">
        <v>6307347</v>
      </c>
      <c r="G45" s="10">
        <v>6341405</v>
      </c>
      <c r="H45" s="10">
        <v>6338632</v>
      </c>
      <c r="I45" s="10">
        <v>6302504</v>
      </c>
      <c r="J45" s="10">
        <v>6281174</v>
      </c>
      <c r="K45" s="10">
        <v>6281738</v>
      </c>
      <c r="L45" s="10">
        <v>6294365</v>
      </c>
      <c r="M45" s="10">
        <v>6319408</v>
      </c>
      <c r="N45" s="10">
        <v>6354074</v>
      </c>
      <c r="O45" s="10">
        <v>6391309</v>
      </c>
      <c r="P45" s="10">
        <v>6418773</v>
      </c>
      <c r="Q45" s="10">
        <v>6441865</v>
      </c>
      <c r="R45" s="10">
        <v>6470365</v>
      </c>
      <c r="S45" s="10">
        <v>6504124</v>
      </c>
      <c r="T45" s="10">
        <v>6545106</v>
      </c>
      <c r="U45" s="10">
        <v>6593386</v>
      </c>
      <c r="V45" s="10">
        <v>6646912</v>
      </c>
      <c r="W45" s="10">
        <v>6715519</v>
      </c>
      <c r="X45" s="10">
        <v>6799978</v>
      </c>
      <c r="Y45" s="10">
        <v>6875364</v>
      </c>
      <c r="Z45" s="10">
        <v>6938265</v>
      </c>
      <c r="AA45" s="10">
        <v>6993795</v>
      </c>
      <c r="AB45" s="10">
        <v>7040687</v>
      </c>
      <c r="AC45" s="10">
        <v>7071850</v>
      </c>
      <c r="AD45" s="10">
        <v>7088906</v>
      </c>
      <c r="AE45" s="10">
        <v>7110001</v>
      </c>
      <c r="AF45" s="10">
        <v>7143991</v>
      </c>
      <c r="AG45" s="10">
        <v>7184250</v>
      </c>
      <c r="AH45" s="10">
        <v>7229854</v>
      </c>
      <c r="AI45" s="10">
        <v>7284753</v>
      </c>
      <c r="AJ45" s="10">
        <v>7339001</v>
      </c>
      <c r="AK45" s="10">
        <v>7389625</v>
      </c>
      <c r="AL45" s="10">
        <v>7437115</v>
      </c>
      <c r="AM45" s="10">
        <v>7483934</v>
      </c>
      <c r="AN45" s="10">
        <v>7551117</v>
      </c>
      <c r="AO45" s="10">
        <v>7647675</v>
      </c>
      <c r="AP45" s="10">
        <v>7743831</v>
      </c>
      <c r="AQ45" s="10">
        <v>7824909</v>
      </c>
      <c r="AR45" s="10">
        <v>7912398</v>
      </c>
      <c r="AS45" s="10">
        <v>7996861</v>
      </c>
      <c r="AT45" s="10">
        <v>8089346</v>
      </c>
      <c r="AU45" s="10">
        <v>8188649</v>
      </c>
      <c r="AV45" s="10">
        <v>8282396</v>
      </c>
      <c r="AW45" s="10">
        <v>8373338</v>
      </c>
      <c r="AX45" s="10">
        <v>8451840</v>
      </c>
      <c r="AY45" s="10">
        <v>8514329</v>
      </c>
      <c r="AZ45" s="10">
        <v>8574832</v>
      </c>
    </row>
    <row r="46" spans="1:52" x14ac:dyDescent="0.45">
      <c r="A46" t="s">
        <v>185</v>
      </c>
      <c r="B46" t="s">
        <v>99</v>
      </c>
      <c r="C46" s="10">
        <v>55663248</v>
      </c>
      <c r="D46" s="10">
        <v>55896224</v>
      </c>
      <c r="E46" s="10">
        <v>56086064</v>
      </c>
      <c r="F46" s="10">
        <v>56194528</v>
      </c>
      <c r="G46" s="10">
        <v>56229976</v>
      </c>
      <c r="H46" s="10">
        <v>56225800</v>
      </c>
      <c r="I46" s="10">
        <v>56211968</v>
      </c>
      <c r="J46" s="10">
        <v>56193492</v>
      </c>
      <c r="K46" s="10">
        <v>56196504</v>
      </c>
      <c r="L46" s="10">
        <v>56246952</v>
      </c>
      <c r="M46" s="10">
        <v>56314216</v>
      </c>
      <c r="N46" s="10">
        <v>56333828</v>
      </c>
      <c r="O46" s="10">
        <v>56313640</v>
      </c>
      <c r="P46" s="10">
        <v>56332848</v>
      </c>
      <c r="Q46" s="10">
        <v>56422072</v>
      </c>
      <c r="R46" s="10">
        <v>56550268</v>
      </c>
      <c r="S46" s="10">
        <v>56681396</v>
      </c>
      <c r="T46" s="10">
        <v>56802048</v>
      </c>
      <c r="U46" s="10">
        <v>56928328</v>
      </c>
      <c r="V46" s="10">
        <v>57076712</v>
      </c>
      <c r="W46" s="10">
        <v>57247584</v>
      </c>
      <c r="X46" s="10">
        <v>57424896</v>
      </c>
      <c r="Y46" s="10">
        <v>57580400</v>
      </c>
      <c r="Z46" s="10">
        <v>57718616</v>
      </c>
      <c r="AA46" s="10">
        <v>57865744</v>
      </c>
      <c r="AB46" s="10">
        <v>58019032</v>
      </c>
      <c r="AC46" s="10">
        <v>58166952</v>
      </c>
      <c r="AD46" s="10">
        <v>58316952</v>
      </c>
      <c r="AE46" s="10">
        <v>58487140</v>
      </c>
      <c r="AF46" s="10">
        <v>58682464</v>
      </c>
      <c r="AG46" s="10">
        <v>58892512</v>
      </c>
      <c r="AH46" s="10">
        <v>59119672</v>
      </c>
      <c r="AI46" s="10">
        <v>59370480</v>
      </c>
      <c r="AJ46" s="10">
        <v>59647576</v>
      </c>
      <c r="AK46" s="10">
        <v>59987904</v>
      </c>
      <c r="AL46" s="10">
        <v>60401208</v>
      </c>
      <c r="AM46" s="10">
        <v>60846820</v>
      </c>
      <c r="AN46" s="10">
        <v>61322464</v>
      </c>
      <c r="AO46" s="10">
        <v>61806996</v>
      </c>
      <c r="AP46" s="10">
        <v>62276272</v>
      </c>
      <c r="AQ46" s="10">
        <v>62766364</v>
      </c>
      <c r="AR46" s="10">
        <v>63258808</v>
      </c>
      <c r="AS46" s="10">
        <v>63700216</v>
      </c>
      <c r="AT46" s="10">
        <v>64128272</v>
      </c>
      <c r="AU46" s="10">
        <v>64602296</v>
      </c>
      <c r="AV46" s="10">
        <v>65116220</v>
      </c>
      <c r="AW46" s="10">
        <v>65611592</v>
      </c>
      <c r="AX46" s="10">
        <v>66058860</v>
      </c>
      <c r="AY46" s="10">
        <v>66460344</v>
      </c>
      <c r="AZ46" s="10">
        <v>66834404</v>
      </c>
    </row>
    <row r="47" spans="1:52" x14ac:dyDescent="0.45">
      <c r="A47" t="s">
        <v>189</v>
      </c>
      <c r="B47" t="s">
        <v>202</v>
      </c>
      <c r="C47" s="10">
        <v>23880560</v>
      </c>
      <c r="D47" s="10">
        <v>24259560</v>
      </c>
      <c r="E47" s="10">
        <v>24653176</v>
      </c>
      <c r="F47" s="10">
        <v>25056478</v>
      </c>
      <c r="G47" s="10">
        <v>25462302</v>
      </c>
      <c r="H47" s="10">
        <v>25865776</v>
      </c>
      <c r="I47" s="10">
        <v>26264680</v>
      </c>
      <c r="J47" s="10">
        <v>26661398</v>
      </c>
      <c r="K47" s="10">
        <v>27061048</v>
      </c>
      <c r="L47" s="10">
        <v>27471036</v>
      </c>
      <c r="M47" s="10">
        <v>27896528</v>
      </c>
      <c r="N47" s="10">
        <v>28338516</v>
      </c>
      <c r="O47" s="10">
        <v>28794548</v>
      </c>
      <c r="P47" s="10">
        <v>29262048</v>
      </c>
      <c r="Q47" s="10">
        <v>29737092</v>
      </c>
      <c r="R47" s="10">
        <v>30216280</v>
      </c>
      <c r="S47" s="10">
        <v>30698964</v>
      </c>
      <c r="T47" s="10">
        <v>31184416</v>
      </c>
      <c r="U47" s="10">
        <v>31668948</v>
      </c>
      <c r="V47" s="10">
        <v>32148134</v>
      </c>
      <c r="W47" s="10">
        <v>32618652</v>
      </c>
      <c r="X47" s="10">
        <v>33079000</v>
      </c>
      <c r="Y47" s="10">
        <v>33529326</v>
      </c>
      <c r="Z47" s="10">
        <v>33970112</v>
      </c>
      <c r="AA47" s="10">
        <v>34402672</v>
      </c>
      <c r="AB47" s="10">
        <v>34828168</v>
      </c>
      <c r="AC47" s="10">
        <v>35246376</v>
      </c>
      <c r="AD47" s="10">
        <v>35657428</v>
      </c>
      <c r="AE47" s="10">
        <v>36063460</v>
      </c>
      <c r="AF47" s="10">
        <v>36467216</v>
      </c>
      <c r="AG47" s="10">
        <v>36870788</v>
      </c>
      <c r="AH47" s="10">
        <v>37275652</v>
      </c>
      <c r="AI47" s="10">
        <v>37681748</v>
      </c>
      <c r="AJ47" s="10">
        <v>38087868</v>
      </c>
      <c r="AK47" s="10">
        <v>38491972</v>
      </c>
      <c r="AL47" s="10">
        <v>38892932</v>
      </c>
      <c r="AM47" s="10">
        <v>39289880</v>
      </c>
      <c r="AN47" s="10">
        <v>39684296</v>
      </c>
      <c r="AO47" s="10">
        <v>40080160</v>
      </c>
      <c r="AP47" s="10">
        <v>40482788</v>
      </c>
      <c r="AQ47" s="10">
        <v>40788452</v>
      </c>
      <c r="AR47" s="10">
        <v>41261488</v>
      </c>
      <c r="AS47" s="10">
        <v>41733272</v>
      </c>
      <c r="AT47" s="10">
        <v>42202936</v>
      </c>
      <c r="AU47" s="10">
        <v>42669500</v>
      </c>
      <c r="AV47" s="10">
        <v>43131968</v>
      </c>
      <c r="AW47" s="10">
        <v>43590368</v>
      </c>
      <c r="AX47" s="10">
        <v>44044812</v>
      </c>
      <c r="AY47" s="10">
        <v>44494504</v>
      </c>
      <c r="AZ47" s="10">
        <v>44938712</v>
      </c>
    </row>
    <row r="48" spans="1:52" x14ac:dyDescent="0.45">
      <c r="A48" t="s">
        <v>189</v>
      </c>
      <c r="B48" t="s">
        <v>101</v>
      </c>
      <c r="C48" s="10">
        <v>169377</v>
      </c>
      <c r="D48" s="10">
        <v>173889</v>
      </c>
      <c r="E48" s="10">
        <v>177866</v>
      </c>
      <c r="F48" s="10">
        <v>181517</v>
      </c>
      <c r="G48" s="10">
        <v>185120</v>
      </c>
      <c r="H48" s="10">
        <v>188896</v>
      </c>
      <c r="I48" s="10">
        <v>192909</v>
      </c>
      <c r="J48" s="10">
        <v>197101</v>
      </c>
      <c r="K48" s="10">
        <v>201478</v>
      </c>
      <c r="L48" s="10">
        <v>205984</v>
      </c>
      <c r="M48" s="10">
        <v>210591</v>
      </c>
      <c r="N48" s="10">
        <v>215326</v>
      </c>
      <c r="O48" s="10">
        <v>220184</v>
      </c>
      <c r="P48" s="10">
        <v>225084</v>
      </c>
      <c r="Q48" s="10">
        <v>229923</v>
      </c>
      <c r="R48" s="10">
        <v>234578</v>
      </c>
      <c r="S48" s="10">
        <v>239017</v>
      </c>
      <c r="T48" s="10">
        <v>243271</v>
      </c>
      <c r="U48" s="10">
        <v>247451</v>
      </c>
      <c r="V48" s="10">
        <v>251733</v>
      </c>
      <c r="W48" s="10">
        <v>256223</v>
      </c>
      <c r="X48" s="10">
        <v>261008</v>
      </c>
      <c r="Y48" s="10">
        <v>266029</v>
      </c>
      <c r="Z48" s="10">
        <v>271069</v>
      </c>
      <c r="AA48" s="10">
        <v>275846</v>
      </c>
      <c r="AB48" s="10">
        <v>280184</v>
      </c>
      <c r="AC48" s="10">
        <v>283978</v>
      </c>
      <c r="AD48" s="10">
        <v>287358</v>
      </c>
      <c r="AE48" s="10">
        <v>290597</v>
      </c>
      <c r="AF48" s="10">
        <v>294062</v>
      </c>
      <c r="AG48" s="10">
        <v>298051</v>
      </c>
      <c r="AH48" s="10">
        <v>302618</v>
      </c>
      <c r="AI48" s="10">
        <v>307660</v>
      </c>
      <c r="AJ48" s="10">
        <v>313129</v>
      </c>
      <c r="AK48" s="10">
        <v>318894</v>
      </c>
      <c r="AL48" s="10">
        <v>324859</v>
      </c>
      <c r="AM48" s="10">
        <v>331033</v>
      </c>
      <c r="AN48" s="10">
        <v>337389</v>
      </c>
      <c r="AO48" s="10">
        <v>343681</v>
      </c>
      <c r="AP48" s="10">
        <v>349604</v>
      </c>
      <c r="AQ48" s="10">
        <v>354942</v>
      </c>
      <c r="AR48" s="10">
        <v>359577</v>
      </c>
      <c r="AS48" s="10">
        <v>363584</v>
      </c>
      <c r="AT48" s="10">
        <v>367168</v>
      </c>
      <c r="AU48" s="10">
        <v>370633</v>
      </c>
      <c r="AV48" s="10">
        <v>374206</v>
      </c>
      <c r="AW48" s="10">
        <v>377931</v>
      </c>
      <c r="AX48" s="10">
        <v>381761</v>
      </c>
      <c r="AY48" s="10">
        <v>385640</v>
      </c>
      <c r="AZ48" s="10">
        <v>389482</v>
      </c>
    </row>
    <row r="49" spans="1:52" x14ac:dyDescent="0.45">
      <c r="A49" t="s">
        <v>189</v>
      </c>
      <c r="B49" t="s">
        <v>103</v>
      </c>
      <c r="C49" s="10">
        <v>122182</v>
      </c>
      <c r="D49" s="10">
        <v>124793</v>
      </c>
      <c r="E49" s="10">
        <v>127150</v>
      </c>
      <c r="F49" s="10">
        <v>129294</v>
      </c>
      <c r="G49" s="10">
        <v>131307</v>
      </c>
      <c r="H49" s="10">
        <v>133260</v>
      </c>
      <c r="I49" s="10">
        <v>135147</v>
      </c>
      <c r="J49" s="10">
        <v>136989</v>
      </c>
      <c r="K49" s="10">
        <v>138965</v>
      </c>
      <c r="L49" s="10">
        <v>141305</v>
      </c>
      <c r="M49" s="10">
        <v>144155</v>
      </c>
      <c r="N49" s="10">
        <v>147566</v>
      </c>
      <c r="O49" s="10">
        <v>151500</v>
      </c>
      <c r="P49" s="10">
        <v>155822</v>
      </c>
      <c r="Q49" s="10">
        <v>160347</v>
      </c>
      <c r="R49" s="10">
        <v>164921</v>
      </c>
      <c r="S49" s="10">
        <v>169568</v>
      </c>
      <c r="T49" s="10">
        <v>174320</v>
      </c>
      <c r="U49" s="10">
        <v>179028</v>
      </c>
      <c r="V49" s="10">
        <v>183469</v>
      </c>
      <c r="W49" s="10">
        <v>187552</v>
      </c>
      <c r="X49" s="10">
        <v>191128</v>
      </c>
      <c r="Y49" s="10">
        <v>194324</v>
      </c>
      <c r="Z49" s="10">
        <v>197622</v>
      </c>
      <c r="AA49" s="10">
        <v>201680</v>
      </c>
      <c r="AB49" s="10">
        <v>206963</v>
      </c>
      <c r="AC49" s="10">
        <v>213664</v>
      </c>
      <c r="AD49" s="10">
        <v>221580</v>
      </c>
      <c r="AE49" s="10">
        <v>230244</v>
      </c>
      <c r="AF49" s="10">
        <v>238988</v>
      </c>
      <c r="AG49" s="10">
        <v>247315</v>
      </c>
      <c r="AH49" s="10">
        <v>255063</v>
      </c>
      <c r="AI49" s="10">
        <v>262378</v>
      </c>
      <c r="AJ49" s="10">
        <v>269425</v>
      </c>
      <c r="AK49" s="10">
        <v>276504</v>
      </c>
      <c r="AL49" s="10">
        <v>283800</v>
      </c>
      <c r="AM49" s="10">
        <v>291329</v>
      </c>
      <c r="AN49" s="10">
        <v>299025</v>
      </c>
      <c r="AO49" s="10">
        <v>306823</v>
      </c>
      <c r="AP49" s="10">
        <v>314655</v>
      </c>
      <c r="AQ49" s="10">
        <v>322464</v>
      </c>
      <c r="AR49" s="10">
        <v>330237</v>
      </c>
      <c r="AS49" s="10">
        <v>338000</v>
      </c>
      <c r="AT49" s="10">
        <v>345715</v>
      </c>
      <c r="AU49" s="10">
        <v>353366</v>
      </c>
      <c r="AV49" s="10">
        <v>360933</v>
      </c>
      <c r="AW49" s="10">
        <v>368400</v>
      </c>
      <c r="AX49" s="10">
        <v>375769</v>
      </c>
      <c r="AY49" s="10">
        <v>383071</v>
      </c>
      <c r="AZ49" s="10">
        <v>390353</v>
      </c>
    </row>
    <row r="50" spans="1:52" x14ac:dyDescent="0.45">
      <c r="A50" t="s">
        <v>189</v>
      </c>
      <c r="B50" t="s">
        <v>105</v>
      </c>
      <c r="C50" s="10">
        <v>4484004</v>
      </c>
      <c r="D50" s="10">
        <v>4581740</v>
      </c>
      <c r="E50" s="10">
        <v>4682390</v>
      </c>
      <c r="F50" s="10">
        <v>4785923</v>
      </c>
      <c r="G50" s="10">
        <v>4892293</v>
      </c>
      <c r="H50" s="10">
        <v>5001419</v>
      </c>
      <c r="I50" s="10">
        <v>5113456</v>
      </c>
      <c r="J50" s="10">
        <v>5228252</v>
      </c>
      <c r="K50" s="10">
        <v>5344939</v>
      </c>
      <c r="L50" s="10">
        <v>5462419</v>
      </c>
      <c r="M50" s="10">
        <v>5579935</v>
      </c>
      <c r="N50" s="10">
        <v>5697096</v>
      </c>
      <c r="O50" s="10">
        <v>5814345</v>
      </c>
      <c r="P50" s="10">
        <v>5932810</v>
      </c>
      <c r="Q50" s="10">
        <v>6054123</v>
      </c>
      <c r="R50" s="10">
        <v>6179460</v>
      </c>
      <c r="S50" s="10">
        <v>6309130</v>
      </c>
      <c r="T50" s="10">
        <v>6442831</v>
      </c>
      <c r="U50" s="10">
        <v>6580312</v>
      </c>
      <c r="V50" s="10">
        <v>6721115</v>
      </c>
      <c r="W50" s="10">
        <v>6864842</v>
      </c>
      <c r="X50" s="10">
        <v>7011453</v>
      </c>
      <c r="Y50" s="10">
        <v>7160920</v>
      </c>
      <c r="Z50" s="10">
        <v>7312850</v>
      </c>
      <c r="AA50" s="10">
        <v>7466793</v>
      </c>
      <c r="AB50" s="10">
        <v>7622338</v>
      </c>
      <c r="AC50" s="10">
        <v>7779267</v>
      </c>
      <c r="AD50" s="10">
        <v>7937458</v>
      </c>
      <c r="AE50" s="10">
        <v>8096761</v>
      </c>
      <c r="AF50" s="10">
        <v>8257066</v>
      </c>
      <c r="AG50" s="10">
        <v>8418264</v>
      </c>
      <c r="AH50" s="10">
        <v>8580235</v>
      </c>
      <c r="AI50" s="10">
        <v>8742814</v>
      </c>
      <c r="AJ50" s="10">
        <v>8905823</v>
      </c>
      <c r="AK50" s="10">
        <v>9069039</v>
      </c>
      <c r="AL50" s="10">
        <v>9232306</v>
      </c>
      <c r="AM50" s="10">
        <v>9395446</v>
      </c>
      <c r="AN50" s="10">
        <v>9558439</v>
      </c>
      <c r="AO50" s="10">
        <v>9721454</v>
      </c>
      <c r="AP50" s="10">
        <v>9884781</v>
      </c>
      <c r="AQ50" s="10">
        <v>10048590</v>
      </c>
      <c r="AR50" s="10">
        <v>10212954</v>
      </c>
      <c r="AS50" s="10">
        <v>10377676</v>
      </c>
      <c r="AT50" s="10">
        <v>10542376</v>
      </c>
      <c r="AU50" s="10">
        <v>10706517</v>
      </c>
      <c r="AV50" s="10">
        <v>10869730</v>
      </c>
      <c r="AW50" s="10">
        <v>11031813</v>
      </c>
      <c r="AX50" s="10">
        <v>11192854</v>
      </c>
      <c r="AY50" s="10">
        <v>11353142</v>
      </c>
      <c r="AZ50" s="10">
        <v>11513100</v>
      </c>
    </row>
    <row r="51" spans="1:52" x14ac:dyDescent="0.45">
      <c r="A51" t="s">
        <v>189</v>
      </c>
      <c r="B51" t="s">
        <v>107</v>
      </c>
      <c r="C51" s="10">
        <v>95113264</v>
      </c>
      <c r="D51" s="10">
        <v>97482920</v>
      </c>
      <c r="E51" s="10">
        <v>99859384</v>
      </c>
      <c r="F51" s="10">
        <v>102259496</v>
      </c>
      <c r="G51" s="10">
        <v>104706200</v>
      </c>
      <c r="H51" s="10">
        <v>107216208</v>
      </c>
      <c r="I51" s="10">
        <v>109790936</v>
      </c>
      <c r="J51" s="10">
        <v>112425392</v>
      </c>
      <c r="K51" s="10">
        <v>115121152</v>
      </c>
      <c r="L51" s="10">
        <v>117878408</v>
      </c>
      <c r="M51" s="10">
        <v>120694008</v>
      </c>
      <c r="N51" s="10">
        <v>123570328</v>
      </c>
      <c r="O51" s="10">
        <v>126498312</v>
      </c>
      <c r="P51" s="10">
        <v>129448816</v>
      </c>
      <c r="Q51" s="10">
        <v>132383568</v>
      </c>
      <c r="R51" s="10">
        <v>135274080</v>
      </c>
      <c r="S51" s="10">
        <v>138108912</v>
      </c>
      <c r="T51" s="10">
        <v>140891600</v>
      </c>
      <c r="U51" s="10">
        <v>143627504</v>
      </c>
      <c r="V51" s="10">
        <v>146328304</v>
      </c>
      <c r="W51" s="10">
        <v>149003216</v>
      </c>
      <c r="X51" s="10">
        <v>151648016</v>
      </c>
      <c r="Y51" s="10">
        <v>154259376</v>
      </c>
      <c r="Z51" s="10">
        <v>156849072</v>
      </c>
      <c r="AA51" s="10">
        <v>159432720</v>
      </c>
      <c r="AB51" s="10">
        <v>162019904</v>
      </c>
      <c r="AC51" s="10">
        <v>164614688</v>
      </c>
      <c r="AD51" s="10">
        <v>167209040</v>
      </c>
      <c r="AE51" s="10">
        <v>169785248</v>
      </c>
      <c r="AF51" s="10">
        <v>172318672</v>
      </c>
      <c r="AG51" s="10">
        <v>174790336</v>
      </c>
      <c r="AH51" s="10">
        <v>177196048</v>
      </c>
      <c r="AI51" s="10">
        <v>179537520</v>
      </c>
      <c r="AJ51" s="10">
        <v>181809248</v>
      </c>
      <c r="AK51" s="10">
        <v>184006480</v>
      </c>
      <c r="AL51" s="10">
        <v>186127104</v>
      </c>
      <c r="AM51" s="10">
        <v>188167360</v>
      </c>
      <c r="AN51" s="10">
        <v>190130448</v>
      </c>
      <c r="AO51" s="10">
        <v>192030368</v>
      </c>
      <c r="AP51" s="10">
        <v>193886512</v>
      </c>
      <c r="AQ51" s="10">
        <v>195713632</v>
      </c>
      <c r="AR51" s="10">
        <v>197514528</v>
      </c>
      <c r="AS51" s="10">
        <v>199287296</v>
      </c>
      <c r="AT51" s="10">
        <v>201035904</v>
      </c>
      <c r="AU51" s="10">
        <v>202763728</v>
      </c>
      <c r="AV51" s="10">
        <v>204471776</v>
      </c>
      <c r="AW51" s="10">
        <v>206163056</v>
      </c>
      <c r="AX51" s="10">
        <v>207833824</v>
      </c>
      <c r="AY51" s="10">
        <v>209469328</v>
      </c>
      <c r="AZ51" s="10">
        <v>211049520</v>
      </c>
    </row>
    <row r="52" spans="1:52" x14ac:dyDescent="0.45">
      <c r="A52" t="s">
        <v>189</v>
      </c>
      <c r="B52" t="s">
        <v>113</v>
      </c>
      <c r="C52" s="10">
        <v>9783134</v>
      </c>
      <c r="D52" s="10">
        <v>9942727</v>
      </c>
      <c r="E52" s="10">
        <v>10103674</v>
      </c>
      <c r="F52" s="10">
        <v>10265829</v>
      </c>
      <c r="G52" s="10">
        <v>10428798</v>
      </c>
      <c r="H52" s="10">
        <v>10592307</v>
      </c>
      <c r="I52" s="10">
        <v>10756878</v>
      </c>
      <c r="J52" s="10">
        <v>10922779</v>
      </c>
      <c r="K52" s="10">
        <v>11089165</v>
      </c>
      <c r="L52" s="10">
        <v>11254877</v>
      </c>
      <c r="M52" s="10">
        <v>11419348</v>
      </c>
      <c r="N52" s="10">
        <v>11582014</v>
      </c>
      <c r="O52" s="10">
        <v>11743911</v>
      </c>
      <c r="P52" s="10">
        <v>11907960</v>
      </c>
      <c r="Q52" s="10">
        <v>12078135</v>
      </c>
      <c r="R52" s="10">
        <v>12257236</v>
      </c>
      <c r="S52" s="10">
        <v>12445823</v>
      </c>
      <c r="T52" s="10">
        <v>12642924</v>
      </c>
      <c r="U52" s="10">
        <v>12847708</v>
      </c>
      <c r="V52" s="10">
        <v>13058758</v>
      </c>
      <c r="W52" s="10">
        <v>13274623</v>
      </c>
      <c r="X52" s="10">
        <v>13495258</v>
      </c>
      <c r="Y52" s="10">
        <v>13719819</v>
      </c>
      <c r="Z52" s="10">
        <v>13944937</v>
      </c>
      <c r="AA52" s="10">
        <v>14166340</v>
      </c>
      <c r="AB52" s="10">
        <v>14380866</v>
      </c>
      <c r="AC52" s="10">
        <v>14587370</v>
      </c>
      <c r="AD52" s="10">
        <v>14786220</v>
      </c>
      <c r="AE52" s="10">
        <v>14977733</v>
      </c>
      <c r="AF52" s="10">
        <v>15162800</v>
      </c>
      <c r="AG52" s="10">
        <v>15342353</v>
      </c>
      <c r="AH52" s="10">
        <v>15516113</v>
      </c>
      <c r="AI52" s="10">
        <v>15684409</v>
      </c>
      <c r="AJ52" s="10">
        <v>15849652</v>
      </c>
      <c r="AK52" s="10">
        <v>16014971</v>
      </c>
      <c r="AL52" s="10">
        <v>16182721</v>
      </c>
      <c r="AM52" s="10">
        <v>16354504</v>
      </c>
      <c r="AN52" s="10">
        <v>16530195</v>
      </c>
      <c r="AO52" s="10">
        <v>16708258</v>
      </c>
      <c r="AP52" s="10">
        <v>16886186</v>
      </c>
      <c r="AQ52" s="10">
        <v>17062536</v>
      </c>
      <c r="AR52" s="10">
        <v>17233576</v>
      </c>
      <c r="AS52" s="10">
        <v>17400348</v>
      </c>
      <c r="AT52" s="10">
        <v>17571508</v>
      </c>
      <c r="AU52" s="10">
        <v>17758960</v>
      </c>
      <c r="AV52" s="10">
        <v>17969352</v>
      </c>
      <c r="AW52" s="10">
        <v>18209068</v>
      </c>
      <c r="AX52" s="10">
        <v>18470440</v>
      </c>
      <c r="AY52" s="10">
        <v>18729160</v>
      </c>
      <c r="AZ52" s="10">
        <v>18952038</v>
      </c>
    </row>
    <row r="53" spans="1:52" x14ac:dyDescent="0.45">
      <c r="A53" t="s">
        <v>189</v>
      </c>
      <c r="B53" t="s">
        <v>114</v>
      </c>
      <c r="C53" s="10">
        <v>21480064</v>
      </c>
      <c r="D53" s="10">
        <v>22003980</v>
      </c>
      <c r="E53" s="10">
        <v>22516424</v>
      </c>
      <c r="F53" s="10">
        <v>23024516</v>
      </c>
      <c r="G53" s="10">
        <v>23538386</v>
      </c>
      <c r="H53" s="10">
        <v>24065508</v>
      </c>
      <c r="I53" s="10">
        <v>24608112</v>
      </c>
      <c r="J53" s="10">
        <v>25164544</v>
      </c>
      <c r="K53" s="10">
        <v>25733672</v>
      </c>
      <c r="L53" s="10">
        <v>26312994</v>
      </c>
      <c r="M53" s="10">
        <v>26900506</v>
      </c>
      <c r="N53" s="10">
        <v>27496616</v>
      </c>
      <c r="O53" s="10">
        <v>28101820</v>
      </c>
      <c r="P53" s="10">
        <v>28714190</v>
      </c>
      <c r="Q53" s="10">
        <v>29331238</v>
      </c>
      <c r="R53" s="10">
        <v>29951200</v>
      </c>
      <c r="S53" s="10">
        <v>30572478</v>
      </c>
      <c r="T53" s="10">
        <v>31195412</v>
      </c>
      <c r="U53" s="10">
        <v>31822524</v>
      </c>
      <c r="V53" s="10">
        <v>32457500</v>
      </c>
      <c r="W53" s="10">
        <v>33102576</v>
      </c>
      <c r="X53" s="10">
        <v>33758336</v>
      </c>
      <c r="Y53" s="10">
        <v>34422568</v>
      </c>
      <c r="Z53" s="10">
        <v>35091276</v>
      </c>
      <c r="AA53" s="10">
        <v>35758980</v>
      </c>
      <c r="AB53" s="10">
        <v>36421440</v>
      </c>
      <c r="AC53" s="10">
        <v>37076388</v>
      </c>
      <c r="AD53" s="10">
        <v>37723800</v>
      </c>
      <c r="AE53" s="10">
        <v>38364308</v>
      </c>
      <c r="AF53" s="10">
        <v>38999472</v>
      </c>
      <c r="AG53" s="10">
        <v>39629968</v>
      </c>
      <c r="AH53" s="10">
        <v>40255968</v>
      </c>
      <c r="AI53" s="10">
        <v>40875360</v>
      </c>
      <c r="AJ53" s="10">
        <v>41483868</v>
      </c>
      <c r="AK53" s="10">
        <v>42075956</v>
      </c>
      <c r="AL53" s="10">
        <v>42647724</v>
      </c>
      <c r="AM53" s="10">
        <v>43200896</v>
      </c>
      <c r="AN53" s="10">
        <v>43737516</v>
      </c>
      <c r="AO53" s="10">
        <v>44254976</v>
      </c>
      <c r="AP53" s="10">
        <v>44750056</v>
      </c>
      <c r="AQ53" s="10">
        <v>45222700</v>
      </c>
      <c r="AR53" s="10">
        <v>45663100</v>
      </c>
      <c r="AS53" s="10">
        <v>46076848</v>
      </c>
      <c r="AT53" s="10">
        <v>46497268</v>
      </c>
      <c r="AU53" s="10">
        <v>46969208</v>
      </c>
      <c r="AV53" s="10">
        <v>47520668</v>
      </c>
      <c r="AW53" s="10">
        <v>48171392</v>
      </c>
      <c r="AX53" s="10">
        <v>48901064</v>
      </c>
      <c r="AY53" s="10">
        <v>49648684</v>
      </c>
      <c r="AZ53" s="10">
        <v>50339444</v>
      </c>
    </row>
    <row r="54" spans="1:52" x14ac:dyDescent="0.45">
      <c r="A54" t="s">
        <v>189</v>
      </c>
      <c r="B54" t="s">
        <v>117</v>
      </c>
      <c r="C54" s="10">
        <v>1847394</v>
      </c>
      <c r="D54" s="10">
        <v>1896077</v>
      </c>
      <c r="E54" s="10">
        <v>1944169</v>
      </c>
      <c r="F54" s="10">
        <v>1992514</v>
      </c>
      <c r="G54" s="10">
        <v>2042241</v>
      </c>
      <c r="H54" s="10">
        <v>2094188</v>
      </c>
      <c r="I54" s="10">
        <v>2148677</v>
      </c>
      <c r="J54" s="10">
        <v>2205615</v>
      </c>
      <c r="K54" s="10">
        <v>2264946</v>
      </c>
      <c r="L54" s="10">
        <v>2326464</v>
      </c>
      <c r="M54" s="10">
        <v>2389977</v>
      </c>
      <c r="N54" s="10">
        <v>2455588</v>
      </c>
      <c r="O54" s="10">
        <v>2523354</v>
      </c>
      <c r="P54" s="10">
        <v>2593020</v>
      </c>
      <c r="Q54" s="10">
        <v>2664223</v>
      </c>
      <c r="R54" s="10">
        <v>2736712</v>
      </c>
      <c r="S54" s="10">
        <v>2810242</v>
      </c>
      <c r="T54" s="10">
        <v>2884851</v>
      </c>
      <c r="U54" s="10">
        <v>2960929</v>
      </c>
      <c r="V54" s="10">
        <v>3039013</v>
      </c>
      <c r="W54" s="10">
        <v>3119433</v>
      </c>
      <c r="X54" s="10">
        <v>3202085</v>
      </c>
      <c r="Y54" s="10">
        <v>3286520</v>
      </c>
      <c r="Z54" s="10">
        <v>3372298</v>
      </c>
      <c r="AA54" s="10">
        <v>3458834</v>
      </c>
      <c r="AB54" s="10">
        <v>3545534</v>
      </c>
      <c r="AC54" s="10">
        <v>3632362</v>
      </c>
      <c r="AD54" s="10">
        <v>3718949</v>
      </c>
      <c r="AE54" s="10">
        <v>3803887</v>
      </c>
      <c r="AF54" s="10">
        <v>3885430</v>
      </c>
      <c r="AG54" s="10">
        <v>3962372</v>
      </c>
      <c r="AH54" s="10">
        <v>4034074</v>
      </c>
      <c r="AI54" s="10">
        <v>4100925</v>
      </c>
      <c r="AJ54" s="10">
        <v>4164053</v>
      </c>
      <c r="AK54" s="10">
        <v>4225155</v>
      </c>
      <c r="AL54" s="10">
        <v>4285502</v>
      </c>
      <c r="AM54" s="10">
        <v>4345412</v>
      </c>
      <c r="AN54" s="10">
        <v>4404628</v>
      </c>
      <c r="AO54" s="10">
        <v>4463125</v>
      </c>
      <c r="AP54" s="10">
        <v>4520740</v>
      </c>
      <c r="AQ54" s="10">
        <v>4577378</v>
      </c>
      <c r="AR54" s="10">
        <v>4633086</v>
      </c>
      <c r="AS54" s="10">
        <v>4688000</v>
      </c>
      <c r="AT54" s="10">
        <v>4742107</v>
      </c>
      <c r="AU54" s="10">
        <v>4795396</v>
      </c>
      <c r="AV54" s="10">
        <v>4847804</v>
      </c>
      <c r="AW54" s="10">
        <v>4899345</v>
      </c>
      <c r="AX54" s="10">
        <v>4949954</v>
      </c>
      <c r="AY54" s="10">
        <v>4999441</v>
      </c>
      <c r="AZ54" s="10">
        <v>5047561</v>
      </c>
    </row>
    <row r="55" spans="1:52" x14ac:dyDescent="0.45">
      <c r="A55" t="s">
        <v>189</v>
      </c>
      <c r="B55" t="s">
        <v>119</v>
      </c>
      <c r="C55" s="10">
        <v>4499720</v>
      </c>
      <c r="D55" s="10">
        <v>4627210</v>
      </c>
      <c r="E55" s="10">
        <v>4755459</v>
      </c>
      <c r="F55" s="10">
        <v>4884461</v>
      </c>
      <c r="G55" s="10">
        <v>5014189</v>
      </c>
      <c r="H55" s="10">
        <v>5144637</v>
      </c>
      <c r="I55" s="10">
        <v>5275770</v>
      </c>
      <c r="J55" s="10">
        <v>5407500</v>
      </c>
      <c r="K55" s="10">
        <v>5539590</v>
      </c>
      <c r="L55" s="10">
        <v>5671797</v>
      </c>
      <c r="M55" s="10">
        <v>5803927</v>
      </c>
      <c r="N55" s="10">
        <v>5935909</v>
      </c>
      <c r="O55" s="10">
        <v>6067770</v>
      </c>
      <c r="P55" s="10">
        <v>6199661</v>
      </c>
      <c r="Q55" s="10">
        <v>6331764</v>
      </c>
      <c r="R55" s="10">
        <v>6464229</v>
      </c>
      <c r="S55" s="10">
        <v>6596962</v>
      </c>
      <c r="T55" s="10">
        <v>6729933</v>
      </c>
      <c r="U55" s="10">
        <v>6863441</v>
      </c>
      <c r="V55" s="10">
        <v>6997888</v>
      </c>
      <c r="W55" s="10">
        <v>7133494</v>
      </c>
      <c r="X55" s="10">
        <v>7270409</v>
      </c>
      <c r="Y55" s="10">
        <v>7408342</v>
      </c>
      <c r="Z55" s="10">
        <v>7546463</v>
      </c>
      <c r="AA55" s="10">
        <v>7683707</v>
      </c>
      <c r="AB55" s="10">
        <v>7819247</v>
      </c>
      <c r="AC55" s="10">
        <v>7952763</v>
      </c>
      <c r="AD55" s="10">
        <v>8084407</v>
      </c>
      <c r="AE55" s="10">
        <v>8214426</v>
      </c>
      <c r="AF55" s="10">
        <v>8343283</v>
      </c>
      <c r="AG55" s="10">
        <v>8471321</v>
      </c>
      <c r="AH55" s="10">
        <v>8598601</v>
      </c>
      <c r="AI55" s="10">
        <v>8724975</v>
      </c>
      <c r="AJ55" s="10">
        <v>8850317</v>
      </c>
      <c r="AK55" s="10">
        <v>8974444</v>
      </c>
      <c r="AL55" s="10">
        <v>9097257</v>
      </c>
      <c r="AM55" s="10">
        <v>9218686</v>
      </c>
      <c r="AN55" s="10">
        <v>9338861</v>
      </c>
      <c r="AO55" s="10">
        <v>9458075</v>
      </c>
      <c r="AP55" s="10">
        <v>9576737</v>
      </c>
      <c r="AQ55" s="10">
        <v>9695121</v>
      </c>
      <c r="AR55" s="10">
        <v>9813210</v>
      </c>
      <c r="AS55" s="10">
        <v>9930911</v>
      </c>
      <c r="AT55" s="10">
        <v>10048224</v>
      </c>
      <c r="AU55" s="10">
        <v>10165178</v>
      </c>
      <c r="AV55" s="10">
        <v>10281680</v>
      </c>
      <c r="AW55" s="10">
        <v>10397743</v>
      </c>
      <c r="AX55" s="10">
        <v>10513131</v>
      </c>
      <c r="AY55" s="10">
        <v>10627165</v>
      </c>
      <c r="AZ55" s="10">
        <v>10738958</v>
      </c>
    </row>
    <row r="56" spans="1:52" x14ac:dyDescent="0.45">
      <c r="A56" t="s">
        <v>189</v>
      </c>
      <c r="B56" t="s">
        <v>120</v>
      </c>
      <c r="C56" s="10">
        <v>6069376</v>
      </c>
      <c r="D56" s="10">
        <v>6247418</v>
      </c>
      <c r="E56" s="10">
        <v>6429379</v>
      </c>
      <c r="F56" s="10">
        <v>6614843</v>
      </c>
      <c r="G56" s="10">
        <v>6803280</v>
      </c>
      <c r="H56" s="10">
        <v>6994334</v>
      </c>
      <c r="I56" s="10">
        <v>7187787</v>
      </c>
      <c r="J56" s="10">
        <v>7383724</v>
      </c>
      <c r="K56" s="10">
        <v>7582353</v>
      </c>
      <c r="L56" s="10">
        <v>7784072</v>
      </c>
      <c r="M56" s="10">
        <v>7989186</v>
      </c>
      <c r="N56" s="10">
        <v>8197652</v>
      </c>
      <c r="O56" s="10">
        <v>8409397</v>
      </c>
      <c r="P56" s="10">
        <v>8624594</v>
      </c>
      <c r="Q56" s="10">
        <v>8843462</v>
      </c>
      <c r="R56" s="10">
        <v>9066109</v>
      </c>
      <c r="S56" s="10">
        <v>9292474</v>
      </c>
      <c r="T56" s="10">
        <v>9522360</v>
      </c>
      <c r="U56" s="10">
        <v>9755579</v>
      </c>
      <c r="V56" s="10">
        <v>9991870</v>
      </c>
      <c r="W56" s="10">
        <v>10230934</v>
      </c>
      <c r="X56" s="10">
        <v>10472475</v>
      </c>
      <c r="Y56" s="10">
        <v>10716129</v>
      </c>
      <c r="Z56" s="10">
        <v>10961466</v>
      </c>
      <c r="AA56" s="10">
        <v>11208001</v>
      </c>
      <c r="AB56" s="10">
        <v>11455204</v>
      </c>
      <c r="AC56" s="10">
        <v>11703174</v>
      </c>
      <c r="AD56" s="10">
        <v>11951452</v>
      </c>
      <c r="AE56" s="10">
        <v>12198449</v>
      </c>
      <c r="AF56" s="10">
        <v>12442115</v>
      </c>
      <c r="AG56" s="10">
        <v>12681123</v>
      </c>
      <c r="AH56" s="10">
        <v>12914667</v>
      </c>
      <c r="AI56" s="10">
        <v>13143465</v>
      </c>
      <c r="AJ56" s="10">
        <v>13369678</v>
      </c>
      <c r="AK56" s="10">
        <v>13596388</v>
      </c>
      <c r="AL56" s="10">
        <v>13825847</v>
      </c>
      <c r="AM56" s="10">
        <v>14059384</v>
      </c>
      <c r="AN56" s="10">
        <v>14296557</v>
      </c>
      <c r="AO56" s="10">
        <v>14535739</v>
      </c>
      <c r="AP56" s="10">
        <v>14774424</v>
      </c>
      <c r="AQ56" s="10">
        <v>15011117</v>
      </c>
      <c r="AR56" s="10">
        <v>15243883</v>
      </c>
      <c r="AS56" s="10">
        <v>15474102</v>
      </c>
      <c r="AT56" s="10">
        <v>15707474</v>
      </c>
      <c r="AU56" s="10">
        <v>15951838</v>
      </c>
      <c r="AV56" s="10">
        <v>16212020</v>
      </c>
      <c r="AW56" s="10">
        <v>16491115</v>
      </c>
      <c r="AX56" s="10">
        <v>16785360</v>
      </c>
      <c r="AY56" s="10">
        <v>17084356</v>
      </c>
      <c r="AZ56" s="10">
        <v>17373662</v>
      </c>
    </row>
    <row r="57" spans="1:52" x14ac:dyDescent="0.45">
      <c r="A57" t="s">
        <v>189</v>
      </c>
      <c r="B57" t="s">
        <v>203</v>
      </c>
      <c r="C57" s="10">
        <v>3673068</v>
      </c>
      <c r="D57" s="10">
        <v>3770059</v>
      </c>
      <c r="E57" s="10">
        <v>3867309</v>
      </c>
      <c r="F57" s="10">
        <v>3964270</v>
      </c>
      <c r="G57" s="10">
        <v>4060260</v>
      </c>
      <c r="H57" s="10">
        <v>4154692</v>
      </c>
      <c r="I57" s="10">
        <v>4247502</v>
      </c>
      <c r="J57" s="10">
        <v>4338458</v>
      </c>
      <c r="K57" s="10">
        <v>4426675</v>
      </c>
      <c r="L57" s="10">
        <v>4511129</v>
      </c>
      <c r="M57" s="10">
        <v>4591134</v>
      </c>
      <c r="N57" s="10">
        <v>4666364</v>
      </c>
      <c r="O57" s="10">
        <v>4737257</v>
      </c>
      <c r="P57" s="10">
        <v>4804935</v>
      </c>
      <c r="Q57" s="10">
        <v>4871035</v>
      </c>
      <c r="R57" s="10">
        <v>4936807</v>
      </c>
      <c r="S57" s="10">
        <v>5002336</v>
      </c>
      <c r="T57" s="10">
        <v>5067537</v>
      </c>
      <c r="U57" s="10">
        <v>5133274</v>
      </c>
      <c r="V57" s="10">
        <v>5200602</v>
      </c>
      <c r="W57" s="10">
        <v>5270079</v>
      </c>
      <c r="X57" s="10">
        <v>5342198</v>
      </c>
      <c r="Y57" s="10">
        <v>5416323</v>
      </c>
      <c r="Z57" s="10">
        <v>5490477</v>
      </c>
      <c r="AA57" s="10">
        <v>5561919</v>
      </c>
      <c r="AB57" s="10">
        <v>5628600</v>
      </c>
      <c r="AC57" s="10">
        <v>5689938</v>
      </c>
      <c r="AD57" s="10">
        <v>5746284</v>
      </c>
      <c r="AE57" s="10">
        <v>5797765</v>
      </c>
      <c r="AF57" s="10">
        <v>5844846</v>
      </c>
      <c r="AG57" s="10">
        <v>5887936</v>
      </c>
      <c r="AH57" s="10">
        <v>5927006</v>
      </c>
      <c r="AI57" s="10">
        <v>5962136</v>
      </c>
      <c r="AJ57" s="10">
        <v>5994077</v>
      </c>
      <c r="AK57" s="10">
        <v>6023797</v>
      </c>
      <c r="AL57" s="10">
        <v>6052123</v>
      </c>
      <c r="AM57" s="10">
        <v>6079399</v>
      </c>
      <c r="AN57" s="10">
        <v>6105810</v>
      </c>
      <c r="AO57" s="10">
        <v>6131764</v>
      </c>
      <c r="AP57" s="10">
        <v>6157686</v>
      </c>
      <c r="AQ57" s="10">
        <v>6183875</v>
      </c>
      <c r="AR57" s="10">
        <v>6210568</v>
      </c>
      <c r="AS57" s="10">
        <v>6237923</v>
      </c>
      <c r="AT57" s="10">
        <v>6266070</v>
      </c>
      <c r="AU57" s="10">
        <v>6295128</v>
      </c>
      <c r="AV57" s="10">
        <v>6325124</v>
      </c>
      <c r="AW57" s="10">
        <v>6356143</v>
      </c>
      <c r="AX57" s="10">
        <v>6388122</v>
      </c>
      <c r="AY57" s="10">
        <v>6420744</v>
      </c>
      <c r="AZ57" s="10">
        <v>6453553</v>
      </c>
    </row>
    <row r="58" spans="1:52" x14ac:dyDescent="0.45">
      <c r="A58" t="s">
        <v>189</v>
      </c>
      <c r="B58" t="s">
        <v>124</v>
      </c>
      <c r="C58" s="10">
        <v>5455197</v>
      </c>
      <c r="D58" s="10">
        <v>5589563</v>
      </c>
      <c r="E58" s="10">
        <v>5723759</v>
      </c>
      <c r="F58" s="10">
        <v>5858466</v>
      </c>
      <c r="G58" s="10">
        <v>5994300</v>
      </c>
      <c r="H58" s="10">
        <v>6131151</v>
      </c>
      <c r="I58" s="10">
        <v>6269983</v>
      </c>
      <c r="J58" s="10">
        <v>6412667</v>
      </c>
      <c r="K58" s="10">
        <v>6561919</v>
      </c>
      <c r="L58" s="10">
        <v>6720582</v>
      </c>
      <c r="M58" s="10">
        <v>6890346</v>
      </c>
      <c r="N58" s="10">
        <v>7071186</v>
      </c>
      <c r="O58" s="10">
        <v>7262658</v>
      </c>
      <c r="P58" s="10">
        <v>7462585</v>
      </c>
      <c r="Q58" s="10">
        <v>7669863</v>
      </c>
      <c r="R58" s="10">
        <v>7884034</v>
      </c>
      <c r="S58" s="10">
        <v>8104921</v>
      </c>
      <c r="T58" s="10">
        <v>8332446</v>
      </c>
      <c r="U58" s="10">
        <v>8566331</v>
      </c>
      <c r="V58" s="10">
        <v>8805995</v>
      </c>
      <c r="W58" s="10">
        <v>9050115</v>
      </c>
      <c r="X58" s="10">
        <v>9296814</v>
      </c>
      <c r="Y58" s="10">
        <v>9544055</v>
      </c>
      <c r="Z58" s="10">
        <v>9790619</v>
      </c>
      <c r="AA58" s="10">
        <v>10037522</v>
      </c>
      <c r="AB58" s="10">
        <v>10286786</v>
      </c>
      <c r="AC58" s="10">
        <v>10536942</v>
      </c>
      <c r="AD58" s="10">
        <v>10788362</v>
      </c>
      <c r="AE58" s="10">
        <v>11046215</v>
      </c>
      <c r="AF58" s="10">
        <v>11311078</v>
      </c>
      <c r="AG58" s="10">
        <v>11589761</v>
      </c>
      <c r="AH58" s="10">
        <v>11871565</v>
      </c>
      <c r="AI58" s="10">
        <v>12147518</v>
      </c>
      <c r="AJ58" s="10">
        <v>12415334</v>
      </c>
      <c r="AK58" s="10">
        <v>12682108</v>
      </c>
      <c r="AL58" s="10">
        <v>12948292</v>
      </c>
      <c r="AM58" s="10">
        <v>13213330</v>
      </c>
      <c r="AN58" s="10">
        <v>13477017</v>
      </c>
      <c r="AO58" s="10">
        <v>13739299</v>
      </c>
      <c r="AP58" s="10">
        <v>14000190</v>
      </c>
      <c r="AQ58" s="10">
        <v>14259687</v>
      </c>
      <c r="AR58" s="10">
        <v>14521515</v>
      </c>
      <c r="AS58" s="10">
        <v>14781942</v>
      </c>
      <c r="AT58" s="10">
        <v>15043981</v>
      </c>
      <c r="AU58" s="10">
        <v>15306316</v>
      </c>
      <c r="AV58" s="10">
        <v>15567419</v>
      </c>
      <c r="AW58" s="10">
        <v>15827690</v>
      </c>
      <c r="AX58" s="10">
        <v>16087418</v>
      </c>
      <c r="AY58" s="10">
        <v>16346950</v>
      </c>
      <c r="AZ58" s="10">
        <v>16604026</v>
      </c>
    </row>
    <row r="59" spans="1:52" x14ac:dyDescent="0.45">
      <c r="A59" t="s">
        <v>189</v>
      </c>
      <c r="B59" t="s">
        <v>125</v>
      </c>
      <c r="C59" s="10">
        <v>704934</v>
      </c>
      <c r="D59" s="10">
        <v>713684</v>
      </c>
      <c r="E59" s="10">
        <v>721948</v>
      </c>
      <c r="F59" s="10">
        <v>729916</v>
      </c>
      <c r="G59" s="10">
        <v>737847</v>
      </c>
      <c r="H59" s="10">
        <v>745841</v>
      </c>
      <c r="I59" s="10">
        <v>754101</v>
      </c>
      <c r="J59" s="10">
        <v>762424</v>
      </c>
      <c r="K59" s="10">
        <v>770125</v>
      </c>
      <c r="L59" s="10">
        <v>776254</v>
      </c>
      <c r="M59" s="10">
        <v>780153</v>
      </c>
      <c r="N59" s="10">
        <v>781732</v>
      </c>
      <c r="O59" s="10">
        <v>781246</v>
      </c>
      <c r="P59" s="10">
        <v>778948</v>
      </c>
      <c r="Q59" s="10">
        <v>775219</v>
      </c>
      <c r="R59" s="10">
        <v>770435</v>
      </c>
      <c r="S59" s="10">
        <v>764446</v>
      </c>
      <c r="T59" s="10">
        <v>757448</v>
      </c>
      <c r="U59" s="10">
        <v>750639</v>
      </c>
      <c r="V59" s="10">
        <v>745585</v>
      </c>
      <c r="W59" s="10">
        <v>743309</v>
      </c>
      <c r="X59" s="10">
        <v>744474</v>
      </c>
      <c r="Y59" s="10">
        <v>748602</v>
      </c>
      <c r="Z59" s="10">
        <v>754144</v>
      </c>
      <c r="AA59" s="10">
        <v>758896</v>
      </c>
      <c r="AB59" s="10">
        <v>761291</v>
      </c>
      <c r="AC59" s="10">
        <v>760795</v>
      </c>
      <c r="AD59" s="10">
        <v>757970</v>
      </c>
      <c r="AE59" s="10">
        <v>753778</v>
      </c>
      <c r="AF59" s="10">
        <v>749674</v>
      </c>
      <c r="AG59" s="10">
        <v>746715</v>
      </c>
      <c r="AH59" s="10">
        <v>745206</v>
      </c>
      <c r="AI59" s="10">
        <v>744789</v>
      </c>
      <c r="AJ59" s="10">
        <v>745143</v>
      </c>
      <c r="AK59" s="10">
        <v>745737</v>
      </c>
      <c r="AL59" s="10">
        <v>746163</v>
      </c>
      <c r="AM59" s="10">
        <v>746343</v>
      </c>
      <c r="AN59" s="10">
        <v>746474</v>
      </c>
      <c r="AO59" s="10">
        <v>746817</v>
      </c>
      <c r="AP59" s="10">
        <v>747718</v>
      </c>
      <c r="AQ59" s="10">
        <v>749436</v>
      </c>
      <c r="AR59" s="10">
        <v>752028</v>
      </c>
      <c r="AS59" s="10">
        <v>755399</v>
      </c>
      <c r="AT59" s="10">
        <v>759285</v>
      </c>
      <c r="AU59" s="10">
        <v>763380</v>
      </c>
      <c r="AV59" s="10">
        <v>767432</v>
      </c>
      <c r="AW59" s="10">
        <v>771366</v>
      </c>
      <c r="AX59" s="10">
        <v>775221</v>
      </c>
      <c r="AY59" s="10">
        <v>779004</v>
      </c>
      <c r="AZ59" s="10">
        <v>782766</v>
      </c>
    </row>
    <row r="60" spans="1:52" x14ac:dyDescent="0.45">
      <c r="A60" t="s">
        <v>189</v>
      </c>
      <c r="B60" t="s">
        <v>126</v>
      </c>
      <c r="C60" s="10">
        <v>4676230</v>
      </c>
      <c r="D60" s="10">
        <v>4757182</v>
      </c>
      <c r="E60" s="10">
        <v>4837332</v>
      </c>
      <c r="F60" s="10">
        <v>4918625</v>
      </c>
      <c r="G60" s="10">
        <v>5003710</v>
      </c>
      <c r="H60" s="10">
        <v>5094577</v>
      </c>
      <c r="I60" s="10">
        <v>5191632</v>
      </c>
      <c r="J60" s="10">
        <v>5294619</v>
      </c>
      <c r="K60" s="10">
        <v>5404019</v>
      </c>
      <c r="L60" s="10">
        <v>5520187</v>
      </c>
      <c r="M60" s="10">
        <v>5643173</v>
      </c>
      <c r="N60" s="10">
        <v>5773366</v>
      </c>
      <c r="O60" s="10">
        <v>5910227</v>
      </c>
      <c r="P60" s="10">
        <v>6051622</v>
      </c>
      <c r="Q60" s="10">
        <v>6194687</v>
      </c>
      <c r="R60" s="10">
        <v>6337273</v>
      </c>
      <c r="S60" s="10">
        <v>6478541</v>
      </c>
      <c r="T60" s="10">
        <v>6618744</v>
      </c>
      <c r="U60" s="10">
        <v>6758223</v>
      </c>
      <c r="V60" s="10">
        <v>6897755</v>
      </c>
      <c r="W60" s="10">
        <v>7037917</v>
      </c>
      <c r="X60" s="10">
        <v>7178607</v>
      </c>
      <c r="Y60" s="10">
        <v>7319493</v>
      </c>
      <c r="Z60" s="10">
        <v>7460689</v>
      </c>
      <c r="AA60" s="10">
        <v>7602320</v>
      </c>
      <c r="AB60" s="10">
        <v>7744503</v>
      </c>
      <c r="AC60" s="10">
        <v>7887304</v>
      </c>
      <c r="AD60" s="10">
        <v>8030726</v>
      </c>
      <c r="AE60" s="10">
        <v>8174680</v>
      </c>
      <c r="AF60" s="10">
        <v>8319057</v>
      </c>
      <c r="AG60" s="10">
        <v>8463806</v>
      </c>
      <c r="AH60" s="10">
        <v>8608819</v>
      </c>
      <c r="AI60" s="10">
        <v>8754150</v>
      </c>
      <c r="AJ60" s="10">
        <v>8900104</v>
      </c>
      <c r="AK60" s="10">
        <v>9047077</v>
      </c>
      <c r="AL60" s="10">
        <v>9195288</v>
      </c>
      <c r="AM60" s="10">
        <v>9344785</v>
      </c>
      <c r="AN60" s="10">
        <v>9495328</v>
      </c>
      <c r="AO60" s="10">
        <v>9646580</v>
      </c>
      <c r="AP60" s="10">
        <v>9798046</v>
      </c>
      <c r="AQ60" s="10">
        <v>9949322</v>
      </c>
      <c r="AR60" s="10">
        <v>10100320</v>
      </c>
      <c r="AS60" s="10">
        <v>10250930</v>
      </c>
      <c r="AT60" s="10">
        <v>10400673</v>
      </c>
      <c r="AU60" s="10">
        <v>10549008</v>
      </c>
      <c r="AV60" s="10">
        <v>10695542</v>
      </c>
      <c r="AW60" s="10">
        <v>10839970</v>
      </c>
      <c r="AX60" s="10">
        <v>10982366</v>
      </c>
      <c r="AY60" s="10">
        <v>11123176</v>
      </c>
      <c r="AZ60" s="10">
        <v>11263077</v>
      </c>
    </row>
    <row r="61" spans="1:52" x14ac:dyDescent="0.45">
      <c r="A61" t="s">
        <v>189</v>
      </c>
      <c r="B61" t="s">
        <v>127</v>
      </c>
      <c r="C61" s="10">
        <v>2716654</v>
      </c>
      <c r="D61" s="10">
        <v>2798123</v>
      </c>
      <c r="E61" s="10">
        <v>2882113</v>
      </c>
      <c r="F61" s="10">
        <v>2968989</v>
      </c>
      <c r="G61" s="10">
        <v>3059239</v>
      </c>
      <c r="H61" s="10">
        <v>3153253</v>
      </c>
      <c r="I61" s="10">
        <v>3251145</v>
      </c>
      <c r="J61" s="10">
        <v>3352825</v>
      </c>
      <c r="K61" s="10">
        <v>3458095</v>
      </c>
      <c r="L61" s="10">
        <v>3566654</v>
      </c>
      <c r="M61" s="10">
        <v>3678279</v>
      </c>
      <c r="N61" s="10">
        <v>3792919</v>
      </c>
      <c r="O61" s="10">
        <v>3910640</v>
      </c>
      <c r="P61" s="10">
        <v>4031325</v>
      </c>
      <c r="Q61" s="10">
        <v>4154860</v>
      </c>
      <c r="R61" s="10">
        <v>4281161</v>
      </c>
      <c r="S61" s="10">
        <v>4410269</v>
      </c>
      <c r="T61" s="10">
        <v>4542214</v>
      </c>
      <c r="U61" s="10">
        <v>4677024</v>
      </c>
      <c r="V61" s="10">
        <v>4814702</v>
      </c>
      <c r="W61" s="10">
        <v>4955303</v>
      </c>
      <c r="X61" s="10">
        <v>5098591</v>
      </c>
      <c r="Y61" s="10">
        <v>5244678</v>
      </c>
      <c r="Z61" s="10">
        <v>5394412</v>
      </c>
      <c r="AA61" s="10">
        <v>5548960</v>
      </c>
      <c r="AB61" s="10">
        <v>5709014</v>
      </c>
      <c r="AC61" s="10">
        <v>5874809</v>
      </c>
      <c r="AD61" s="10">
        <v>6045699</v>
      </c>
      <c r="AE61" s="10">
        <v>6220406</v>
      </c>
      <c r="AF61" s="10">
        <v>6397151</v>
      </c>
      <c r="AG61" s="10">
        <v>6574509</v>
      </c>
      <c r="AH61" s="10">
        <v>6751912</v>
      </c>
      <c r="AI61" s="10">
        <v>6929265</v>
      </c>
      <c r="AJ61" s="10">
        <v>7106319</v>
      </c>
      <c r="AK61" s="10">
        <v>7282953</v>
      </c>
      <c r="AL61" s="10">
        <v>7458985</v>
      </c>
      <c r="AM61" s="10">
        <v>7634298</v>
      </c>
      <c r="AN61" s="10">
        <v>7808518</v>
      </c>
      <c r="AO61" s="10">
        <v>7980955</v>
      </c>
      <c r="AP61" s="10">
        <v>8150775</v>
      </c>
      <c r="AQ61" s="10">
        <v>8317470</v>
      </c>
      <c r="AR61" s="10">
        <v>8480671</v>
      </c>
      <c r="AS61" s="10">
        <v>8640691</v>
      </c>
      <c r="AT61" s="10">
        <v>8798521</v>
      </c>
      <c r="AU61" s="10">
        <v>8955589</v>
      </c>
      <c r="AV61" s="10">
        <v>9112916</v>
      </c>
      <c r="AW61" s="10">
        <v>9270795</v>
      </c>
      <c r="AX61" s="10">
        <v>9429013</v>
      </c>
      <c r="AY61" s="10">
        <v>9587522</v>
      </c>
      <c r="AZ61" s="10">
        <v>9746117</v>
      </c>
    </row>
    <row r="62" spans="1:52" x14ac:dyDescent="0.45">
      <c r="A62" t="s">
        <v>189</v>
      </c>
      <c r="B62" t="s">
        <v>204</v>
      </c>
      <c r="C62" s="10">
        <v>1875642</v>
      </c>
      <c r="D62" s="10">
        <v>1904276</v>
      </c>
      <c r="E62" s="10">
        <v>1935100</v>
      </c>
      <c r="F62" s="10">
        <v>1966974</v>
      </c>
      <c r="G62" s="10">
        <v>1998309</v>
      </c>
      <c r="H62" s="10">
        <v>2028016</v>
      </c>
      <c r="I62" s="10">
        <v>2055365</v>
      </c>
      <c r="J62" s="10">
        <v>2080831</v>
      </c>
      <c r="K62" s="10">
        <v>2105907</v>
      </c>
      <c r="L62" s="10">
        <v>2132785</v>
      </c>
      <c r="M62" s="10">
        <v>2162846</v>
      </c>
      <c r="N62" s="10">
        <v>2196921</v>
      </c>
      <c r="O62" s="10">
        <v>2234057</v>
      </c>
      <c r="P62" s="10">
        <v>2271736</v>
      </c>
      <c r="Q62" s="10">
        <v>2306366</v>
      </c>
      <c r="R62" s="10">
        <v>2335510</v>
      </c>
      <c r="S62" s="10">
        <v>2358161</v>
      </c>
      <c r="T62" s="10">
        <v>2375393</v>
      </c>
      <c r="U62" s="10">
        <v>2389411</v>
      </c>
      <c r="V62" s="10">
        <v>2403464</v>
      </c>
      <c r="W62" s="10">
        <v>2419906</v>
      </c>
      <c r="X62" s="10">
        <v>2439334</v>
      </c>
      <c r="Y62" s="10">
        <v>2461049</v>
      </c>
      <c r="Z62" s="10">
        <v>2484581</v>
      </c>
      <c r="AA62" s="10">
        <v>2509043</v>
      </c>
      <c r="AB62" s="10">
        <v>2533711</v>
      </c>
      <c r="AC62" s="10">
        <v>2558637</v>
      </c>
      <c r="AD62" s="10">
        <v>2583916</v>
      </c>
      <c r="AE62" s="10">
        <v>2608873</v>
      </c>
      <c r="AF62" s="10">
        <v>2632675</v>
      </c>
      <c r="AG62" s="10">
        <v>2654701</v>
      </c>
      <c r="AH62" s="10">
        <v>2674702</v>
      </c>
      <c r="AI62" s="10">
        <v>2692845</v>
      </c>
      <c r="AJ62" s="10">
        <v>2709437</v>
      </c>
      <c r="AK62" s="10">
        <v>2725015</v>
      </c>
      <c r="AL62" s="10">
        <v>2740003</v>
      </c>
      <c r="AM62" s="10">
        <v>2754407</v>
      </c>
      <c r="AN62" s="10">
        <v>2768227</v>
      </c>
      <c r="AO62" s="10">
        <v>2781876</v>
      </c>
      <c r="AP62" s="10">
        <v>2795837</v>
      </c>
      <c r="AQ62" s="10">
        <v>2810460</v>
      </c>
      <c r="AR62" s="10">
        <v>2825929</v>
      </c>
      <c r="AS62" s="10">
        <v>2842132</v>
      </c>
      <c r="AT62" s="10">
        <v>2858709</v>
      </c>
      <c r="AU62" s="10">
        <v>2875136</v>
      </c>
      <c r="AV62" s="10">
        <v>2891021</v>
      </c>
      <c r="AW62" s="10">
        <v>2906238</v>
      </c>
      <c r="AX62" s="10">
        <v>2920853</v>
      </c>
      <c r="AY62" s="10">
        <v>2934855</v>
      </c>
      <c r="AZ62" s="10">
        <v>2948279</v>
      </c>
    </row>
    <row r="63" spans="1:52" x14ac:dyDescent="0.45">
      <c r="A63" t="s">
        <v>189</v>
      </c>
      <c r="B63" t="s">
        <v>134</v>
      </c>
      <c r="C63" s="10">
        <v>51493564</v>
      </c>
      <c r="D63" s="10">
        <v>53076372</v>
      </c>
      <c r="E63" s="10">
        <v>54689944</v>
      </c>
      <c r="F63" s="10">
        <v>56324304</v>
      </c>
      <c r="G63" s="10">
        <v>57966804</v>
      </c>
      <c r="H63" s="10">
        <v>59607952</v>
      </c>
      <c r="I63" s="10">
        <v>61242192</v>
      </c>
      <c r="J63" s="10">
        <v>62869904</v>
      </c>
      <c r="K63" s="10">
        <v>64494868</v>
      </c>
      <c r="L63" s="10">
        <v>66123896</v>
      </c>
      <c r="M63" s="10">
        <v>67761376</v>
      </c>
      <c r="N63" s="10">
        <v>69407624</v>
      </c>
      <c r="O63" s="10">
        <v>71058656</v>
      </c>
      <c r="P63" s="10">
        <v>72709296</v>
      </c>
      <c r="Q63" s="10">
        <v>74352632</v>
      </c>
      <c r="R63" s="10">
        <v>75983488</v>
      </c>
      <c r="S63" s="10">
        <v>77599096</v>
      </c>
      <c r="T63" s="10">
        <v>79200080</v>
      </c>
      <c r="U63" s="10">
        <v>80788720</v>
      </c>
      <c r="V63" s="10">
        <v>82368928</v>
      </c>
      <c r="W63" s="10">
        <v>83943136</v>
      </c>
      <c r="X63" s="10">
        <v>85512624</v>
      </c>
      <c r="Y63" s="10">
        <v>87075136</v>
      </c>
      <c r="Z63" s="10">
        <v>88625440</v>
      </c>
      <c r="AA63" s="10">
        <v>90156400</v>
      </c>
      <c r="AB63" s="10">
        <v>91663288</v>
      </c>
      <c r="AC63" s="10">
        <v>93147040</v>
      </c>
      <c r="AD63" s="10">
        <v>94611000</v>
      </c>
      <c r="AE63" s="10">
        <v>96056320</v>
      </c>
      <c r="AF63" s="10">
        <v>97484832</v>
      </c>
      <c r="AG63" s="10">
        <v>98899848</v>
      </c>
      <c r="AH63" s="10">
        <v>100298152</v>
      </c>
      <c r="AI63" s="10">
        <v>101684760</v>
      </c>
      <c r="AJ63" s="10">
        <v>103081024</v>
      </c>
      <c r="AK63" s="10">
        <v>104514928</v>
      </c>
      <c r="AL63" s="10">
        <v>106005200</v>
      </c>
      <c r="AM63" s="10">
        <v>107560152</v>
      </c>
      <c r="AN63" s="10">
        <v>109170504</v>
      </c>
      <c r="AO63" s="10">
        <v>110815272</v>
      </c>
      <c r="AP63" s="10">
        <v>112463888</v>
      </c>
      <c r="AQ63" s="10">
        <v>114092960</v>
      </c>
      <c r="AR63" s="10">
        <v>115695472</v>
      </c>
      <c r="AS63" s="10">
        <v>117274152</v>
      </c>
      <c r="AT63" s="10">
        <v>118827160</v>
      </c>
      <c r="AU63" s="10">
        <v>120355128</v>
      </c>
      <c r="AV63" s="10">
        <v>121858256</v>
      </c>
      <c r="AW63" s="10">
        <v>123333376</v>
      </c>
      <c r="AX63" s="10">
        <v>124777328</v>
      </c>
      <c r="AY63" s="10">
        <v>126190784</v>
      </c>
      <c r="AZ63" s="10">
        <v>127575528</v>
      </c>
    </row>
    <row r="64" spans="1:52" x14ac:dyDescent="0.45">
      <c r="A64" t="s">
        <v>189</v>
      </c>
      <c r="B64" t="s">
        <v>136</v>
      </c>
      <c r="C64" s="10">
        <v>2406513</v>
      </c>
      <c r="D64" s="10">
        <v>2481341</v>
      </c>
      <c r="E64" s="10">
        <v>2558699</v>
      </c>
      <c r="F64" s="10">
        <v>2638699</v>
      </c>
      <c r="G64" s="10">
        <v>2721415</v>
      </c>
      <c r="H64" s="10">
        <v>2806857</v>
      </c>
      <c r="I64" s="10">
        <v>2894972</v>
      </c>
      <c r="J64" s="10">
        <v>2985489</v>
      </c>
      <c r="K64" s="10">
        <v>3077866</v>
      </c>
      <c r="L64" s="10">
        <v>3171408</v>
      </c>
      <c r="M64" s="10">
        <v>3265519</v>
      </c>
      <c r="N64" s="10">
        <v>3360140</v>
      </c>
      <c r="O64" s="10">
        <v>3455123</v>
      </c>
      <c r="P64" s="10">
        <v>3549711</v>
      </c>
      <c r="Q64" s="10">
        <v>3642976</v>
      </c>
      <c r="R64" s="10">
        <v>3734341</v>
      </c>
      <c r="S64" s="10">
        <v>3823130</v>
      </c>
      <c r="T64" s="10">
        <v>3909671</v>
      </c>
      <c r="U64" s="10">
        <v>3995533</v>
      </c>
      <c r="V64" s="10">
        <v>4082958</v>
      </c>
      <c r="W64" s="10">
        <v>4173434</v>
      </c>
      <c r="X64" s="10">
        <v>4267568</v>
      </c>
      <c r="Y64" s="10">
        <v>4364512</v>
      </c>
      <c r="Z64" s="10">
        <v>4462497</v>
      </c>
      <c r="AA64" s="10">
        <v>4559006</v>
      </c>
      <c r="AB64" s="10">
        <v>4652185</v>
      </c>
      <c r="AC64" s="10">
        <v>4741578</v>
      </c>
      <c r="AD64" s="10">
        <v>4827661</v>
      </c>
      <c r="AE64" s="10">
        <v>4910647</v>
      </c>
      <c r="AF64" s="10">
        <v>4991040</v>
      </c>
      <c r="AG64" s="10">
        <v>5069302</v>
      </c>
      <c r="AH64" s="10">
        <v>5145366</v>
      </c>
      <c r="AI64" s="10">
        <v>5219328</v>
      </c>
      <c r="AJ64" s="10">
        <v>5292118</v>
      </c>
      <c r="AK64" s="10">
        <v>5364935</v>
      </c>
      <c r="AL64" s="10">
        <v>5438690</v>
      </c>
      <c r="AM64" s="10">
        <v>5513763</v>
      </c>
      <c r="AN64" s="10">
        <v>5590055</v>
      </c>
      <c r="AO64" s="10">
        <v>5667432</v>
      </c>
      <c r="AP64" s="10">
        <v>5745526</v>
      </c>
      <c r="AQ64" s="10">
        <v>5824065</v>
      </c>
      <c r="AR64" s="10">
        <v>5903039</v>
      </c>
      <c r="AS64" s="10">
        <v>5982526</v>
      </c>
      <c r="AT64" s="10">
        <v>6062454</v>
      </c>
      <c r="AU64" s="10">
        <v>6142733</v>
      </c>
      <c r="AV64" s="10">
        <v>6223240</v>
      </c>
      <c r="AW64" s="10">
        <v>6303974</v>
      </c>
      <c r="AX64" s="10">
        <v>6384855</v>
      </c>
      <c r="AY64" s="10">
        <v>6465513</v>
      </c>
      <c r="AZ64" s="10">
        <v>6545502</v>
      </c>
    </row>
    <row r="65" spans="1:52" x14ac:dyDescent="0.45">
      <c r="A65" t="s">
        <v>189</v>
      </c>
      <c r="B65" t="s">
        <v>140</v>
      </c>
      <c r="C65" s="10">
        <v>1519285</v>
      </c>
      <c r="D65" s="10">
        <v>1563093</v>
      </c>
      <c r="E65" s="10">
        <v>1607796</v>
      </c>
      <c r="F65" s="10">
        <v>1653212</v>
      </c>
      <c r="G65" s="10">
        <v>1699054</v>
      </c>
      <c r="H65" s="10">
        <v>1745138</v>
      </c>
      <c r="I65" s="10">
        <v>1791380</v>
      </c>
      <c r="J65" s="10">
        <v>1837800</v>
      </c>
      <c r="K65" s="10">
        <v>1884424</v>
      </c>
      <c r="L65" s="10">
        <v>1931304</v>
      </c>
      <c r="M65" s="10">
        <v>1978487</v>
      </c>
      <c r="N65" s="10">
        <v>2025971</v>
      </c>
      <c r="O65" s="10">
        <v>2073757</v>
      </c>
      <c r="P65" s="10">
        <v>2121860</v>
      </c>
      <c r="Q65" s="10">
        <v>2170325</v>
      </c>
      <c r="R65" s="10">
        <v>2219201</v>
      </c>
      <c r="S65" s="10">
        <v>2268500</v>
      </c>
      <c r="T65" s="10">
        <v>2318264</v>
      </c>
      <c r="U65" s="10">
        <v>2368551</v>
      </c>
      <c r="V65" s="10">
        <v>2419426</v>
      </c>
      <c r="W65" s="10">
        <v>2470947</v>
      </c>
      <c r="X65" s="10">
        <v>2523118</v>
      </c>
      <c r="Y65" s="10">
        <v>2575954</v>
      </c>
      <c r="Z65" s="10">
        <v>2629580</v>
      </c>
      <c r="AA65" s="10">
        <v>2684116</v>
      </c>
      <c r="AB65" s="10">
        <v>2739668</v>
      </c>
      <c r="AC65" s="10">
        <v>2796291</v>
      </c>
      <c r="AD65" s="10">
        <v>2853913</v>
      </c>
      <c r="AE65" s="10">
        <v>2912316</v>
      </c>
      <c r="AF65" s="10">
        <v>2971196</v>
      </c>
      <c r="AG65" s="10">
        <v>3030328</v>
      </c>
      <c r="AH65" s="10">
        <v>3089648</v>
      </c>
      <c r="AI65" s="10">
        <v>3149188</v>
      </c>
      <c r="AJ65" s="10">
        <v>3209048</v>
      </c>
      <c r="AK65" s="10">
        <v>3269356</v>
      </c>
      <c r="AL65" s="10">
        <v>3330217</v>
      </c>
      <c r="AM65" s="10">
        <v>3391666</v>
      </c>
      <c r="AN65" s="10">
        <v>3453675</v>
      </c>
      <c r="AO65" s="10">
        <v>3516204</v>
      </c>
      <c r="AP65" s="10">
        <v>3579215</v>
      </c>
      <c r="AQ65" s="10">
        <v>3642687</v>
      </c>
      <c r="AR65" s="10">
        <v>3706483</v>
      </c>
      <c r="AS65" s="10">
        <v>3770624</v>
      </c>
      <c r="AT65" s="10">
        <v>3835437</v>
      </c>
      <c r="AU65" s="10">
        <v>3901315</v>
      </c>
      <c r="AV65" s="10">
        <v>3968487</v>
      </c>
      <c r="AW65" s="10">
        <v>4037078</v>
      </c>
      <c r="AX65" s="10">
        <v>4106771</v>
      </c>
      <c r="AY65" s="10">
        <v>4176873</v>
      </c>
      <c r="AZ65" s="10">
        <v>4246439</v>
      </c>
    </row>
    <row r="66" spans="1:52" x14ac:dyDescent="0.45">
      <c r="A66" t="s">
        <v>189</v>
      </c>
      <c r="B66" t="s">
        <v>205</v>
      </c>
      <c r="C66" s="10">
        <v>2474763</v>
      </c>
      <c r="D66" s="10">
        <v>2535873</v>
      </c>
      <c r="E66" s="10">
        <v>2597154</v>
      </c>
      <c r="F66" s="10">
        <v>2659421</v>
      </c>
      <c r="G66" s="10">
        <v>2723812</v>
      </c>
      <c r="H66" s="10">
        <v>2791241</v>
      </c>
      <c r="I66" s="10">
        <v>2861867</v>
      </c>
      <c r="J66" s="10">
        <v>2935712</v>
      </c>
      <c r="K66" s="10">
        <v>3013282</v>
      </c>
      <c r="L66" s="10">
        <v>3095145</v>
      </c>
      <c r="M66" s="10">
        <v>3181625</v>
      </c>
      <c r="N66" s="10">
        <v>3272912</v>
      </c>
      <c r="O66" s="10">
        <v>3368773</v>
      </c>
      <c r="P66" s="10">
        <v>3468535</v>
      </c>
      <c r="Q66" s="10">
        <v>3571272</v>
      </c>
      <c r="R66" s="10">
        <v>3676210</v>
      </c>
      <c r="S66" s="10">
        <v>3783074</v>
      </c>
      <c r="T66" s="10">
        <v>3891734</v>
      </c>
      <c r="U66" s="10">
        <v>4001681</v>
      </c>
      <c r="V66" s="10">
        <v>4112386</v>
      </c>
      <c r="W66" s="10">
        <v>4223415</v>
      </c>
      <c r="X66" s="10">
        <v>4334345</v>
      </c>
      <c r="Y66" s="10">
        <v>4445016</v>
      </c>
      <c r="Z66" s="10">
        <v>4555521</v>
      </c>
      <c r="AA66" s="10">
        <v>4666094</v>
      </c>
      <c r="AB66" s="10">
        <v>4776843</v>
      </c>
      <c r="AC66" s="10">
        <v>4887632</v>
      </c>
      <c r="AD66" s="10">
        <v>4998100</v>
      </c>
      <c r="AE66" s="10">
        <v>5107839</v>
      </c>
      <c r="AF66" s="10">
        <v>5216349</v>
      </c>
      <c r="AG66" s="10">
        <v>5323201</v>
      </c>
      <c r="AH66" s="10">
        <v>5428444</v>
      </c>
      <c r="AI66" s="10">
        <v>5531962</v>
      </c>
      <c r="AJ66" s="10">
        <v>5632983</v>
      </c>
      <c r="AK66" s="10">
        <v>5730549</v>
      </c>
      <c r="AL66" s="10">
        <v>5824096</v>
      </c>
      <c r="AM66" s="10">
        <v>5913209</v>
      </c>
      <c r="AN66" s="10">
        <v>5998427</v>
      </c>
      <c r="AO66" s="10">
        <v>6081296</v>
      </c>
      <c r="AP66" s="10">
        <v>6163972</v>
      </c>
      <c r="AQ66" s="10">
        <v>6248020</v>
      </c>
      <c r="AR66" s="10">
        <v>6333976</v>
      </c>
      <c r="AS66" s="10">
        <v>6421512</v>
      </c>
      <c r="AT66" s="10">
        <v>6510276</v>
      </c>
      <c r="AU66" s="10">
        <v>6599526</v>
      </c>
      <c r="AV66" s="10">
        <v>6688746</v>
      </c>
      <c r="AW66" s="10">
        <v>6777872</v>
      </c>
      <c r="AX66" s="10">
        <v>6867062</v>
      </c>
      <c r="AY66" s="10">
        <v>6956071</v>
      </c>
      <c r="AZ66" s="10">
        <v>7044636</v>
      </c>
    </row>
    <row r="67" spans="1:52" x14ac:dyDescent="0.45">
      <c r="A67" t="s">
        <v>189</v>
      </c>
      <c r="B67" t="s">
        <v>142</v>
      </c>
      <c r="C67" s="10">
        <v>13459794</v>
      </c>
      <c r="D67" s="10">
        <v>13836367</v>
      </c>
      <c r="E67" s="10">
        <v>14221961</v>
      </c>
      <c r="F67" s="10">
        <v>14615845</v>
      </c>
      <c r="G67" s="10">
        <v>15017055</v>
      </c>
      <c r="H67" s="10">
        <v>15424744</v>
      </c>
      <c r="I67" s="10">
        <v>15838572</v>
      </c>
      <c r="J67" s="10">
        <v>16258321</v>
      </c>
      <c r="K67" s="10">
        <v>16683456</v>
      </c>
      <c r="L67" s="10">
        <v>17113388</v>
      </c>
      <c r="M67" s="10">
        <v>17547610</v>
      </c>
      <c r="N67" s="10">
        <v>17985392</v>
      </c>
      <c r="O67" s="10">
        <v>18426416</v>
      </c>
      <c r="P67" s="10">
        <v>18870992</v>
      </c>
      <c r="Q67" s="10">
        <v>19319746</v>
      </c>
      <c r="R67" s="10">
        <v>19772872</v>
      </c>
      <c r="S67" s="10">
        <v>20230384</v>
      </c>
      <c r="T67" s="10">
        <v>20691284</v>
      </c>
      <c r="U67" s="10">
        <v>21153460</v>
      </c>
      <c r="V67" s="10">
        <v>21614192</v>
      </c>
      <c r="W67" s="10">
        <v>22071432</v>
      </c>
      <c r="X67" s="10">
        <v>22522378</v>
      </c>
      <c r="Y67" s="10">
        <v>22966818</v>
      </c>
      <c r="Z67" s="10">
        <v>23408132</v>
      </c>
      <c r="AA67" s="10">
        <v>23851408</v>
      </c>
      <c r="AB67" s="10">
        <v>24299160</v>
      </c>
      <c r="AC67" s="10">
        <v>24753824</v>
      </c>
      <c r="AD67" s="10">
        <v>25210954</v>
      </c>
      <c r="AE67" s="10">
        <v>25658062</v>
      </c>
      <c r="AF67" s="10">
        <v>26078292</v>
      </c>
      <c r="AG67" s="10">
        <v>26459944</v>
      </c>
      <c r="AH67" s="10">
        <v>26799284</v>
      </c>
      <c r="AI67" s="10">
        <v>27100968</v>
      </c>
      <c r="AJ67" s="10">
        <v>27372226</v>
      </c>
      <c r="AK67" s="10">
        <v>27624212</v>
      </c>
      <c r="AL67" s="10">
        <v>27866144</v>
      </c>
      <c r="AM67" s="10">
        <v>28102056</v>
      </c>
      <c r="AN67" s="10">
        <v>28333052</v>
      </c>
      <c r="AO67" s="10">
        <v>28562316</v>
      </c>
      <c r="AP67" s="10">
        <v>28792656</v>
      </c>
      <c r="AQ67" s="10">
        <v>29027674</v>
      </c>
      <c r="AR67" s="10">
        <v>29264318</v>
      </c>
      <c r="AS67" s="10">
        <v>29506788</v>
      </c>
      <c r="AT67" s="10">
        <v>29773988</v>
      </c>
      <c r="AU67" s="10">
        <v>30090360</v>
      </c>
      <c r="AV67" s="10">
        <v>30470734</v>
      </c>
      <c r="AW67" s="10">
        <v>30926032</v>
      </c>
      <c r="AX67" s="10">
        <v>31444296</v>
      </c>
      <c r="AY67" s="10">
        <v>31989256</v>
      </c>
      <c r="AZ67" s="10">
        <v>32510452</v>
      </c>
    </row>
    <row r="68" spans="1:52" x14ac:dyDescent="0.45">
      <c r="A68" t="s">
        <v>189</v>
      </c>
      <c r="B68" t="s">
        <v>144</v>
      </c>
      <c r="C68" s="10">
        <v>2718000</v>
      </c>
      <c r="D68" s="10">
        <v>2762190</v>
      </c>
      <c r="E68" s="10">
        <v>2817256</v>
      </c>
      <c r="F68" s="10">
        <v>2878786</v>
      </c>
      <c r="G68" s="10">
        <v>2939299</v>
      </c>
      <c r="H68" s="10">
        <v>2994000</v>
      </c>
      <c r="I68" s="10">
        <v>3043854</v>
      </c>
      <c r="J68" s="10">
        <v>3088690</v>
      </c>
      <c r="K68" s="10">
        <v>3129421</v>
      </c>
      <c r="L68" s="10">
        <v>3168088</v>
      </c>
      <c r="M68" s="10">
        <v>3206000</v>
      </c>
      <c r="N68" s="10">
        <v>3242552</v>
      </c>
      <c r="O68" s="10">
        <v>3277453</v>
      </c>
      <c r="P68" s="10">
        <v>3311138</v>
      </c>
      <c r="Q68" s="10">
        <v>3344190</v>
      </c>
      <c r="R68" s="10">
        <v>3377000</v>
      </c>
      <c r="S68" s="10">
        <v>3409554</v>
      </c>
      <c r="T68" s="10">
        <v>3441850</v>
      </c>
      <c r="U68" s="10">
        <v>3473898</v>
      </c>
      <c r="V68" s="10">
        <v>3505650</v>
      </c>
      <c r="W68" s="10">
        <v>3537000</v>
      </c>
      <c r="X68" s="10">
        <v>3562110</v>
      </c>
      <c r="Y68" s="10">
        <v>3585176</v>
      </c>
      <c r="Z68" s="10">
        <v>3615497</v>
      </c>
      <c r="AA68" s="10">
        <v>3649237</v>
      </c>
      <c r="AB68" s="10">
        <v>3683103</v>
      </c>
      <c r="AC68" s="10">
        <v>3724655</v>
      </c>
      <c r="AD68" s="10">
        <v>3759430</v>
      </c>
      <c r="AE68" s="10">
        <v>3781101</v>
      </c>
      <c r="AF68" s="10">
        <v>3800081</v>
      </c>
      <c r="AG68" s="10">
        <v>3810605</v>
      </c>
      <c r="AH68" s="10">
        <v>3818774</v>
      </c>
      <c r="AI68" s="10">
        <v>3823701</v>
      </c>
      <c r="AJ68" s="10">
        <v>3826095</v>
      </c>
      <c r="AK68" s="10">
        <v>3826878</v>
      </c>
      <c r="AL68" s="10">
        <v>3821362</v>
      </c>
      <c r="AM68" s="10">
        <v>3805214</v>
      </c>
      <c r="AN68" s="10">
        <v>3782995</v>
      </c>
      <c r="AO68" s="10">
        <v>3760866</v>
      </c>
      <c r="AP68" s="10">
        <v>3740410</v>
      </c>
      <c r="AQ68" s="10">
        <v>3721525</v>
      </c>
      <c r="AR68" s="10">
        <v>3678732</v>
      </c>
      <c r="AS68" s="10">
        <v>3634488</v>
      </c>
      <c r="AT68" s="10">
        <v>3593077</v>
      </c>
      <c r="AU68" s="10">
        <v>3534874</v>
      </c>
      <c r="AV68" s="10">
        <v>3473232</v>
      </c>
      <c r="AW68" s="10">
        <v>3406672</v>
      </c>
      <c r="AX68" s="10">
        <v>3325286</v>
      </c>
      <c r="AY68" s="10">
        <v>3193354</v>
      </c>
      <c r="AZ68" s="10">
        <v>3193694</v>
      </c>
    </row>
    <row r="69" spans="1:52" x14ac:dyDescent="0.45">
      <c r="A69" t="s">
        <v>189</v>
      </c>
      <c r="B69" t="s">
        <v>151</v>
      </c>
      <c r="C69" s="10">
        <v>367931</v>
      </c>
      <c r="D69" s="10">
        <v>369236</v>
      </c>
      <c r="E69" s="10">
        <v>367907</v>
      </c>
      <c r="F69" s="10">
        <v>364915</v>
      </c>
      <c r="G69" s="10">
        <v>361667</v>
      </c>
      <c r="H69" s="10">
        <v>359226</v>
      </c>
      <c r="I69" s="10">
        <v>357953</v>
      </c>
      <c r="J69" s="10">
        <v>357659</v>
      </c>
      <c r="K69" s="10">
        <v>358099</v>
      </c>
      <c r="L69" s="10">
        <v>358818</v>
      </c>
      <c r="M69" s="10">
        <v>359519</v>
      </c>
      <c r="N69" s="10">
        <v>360143</v>
      </c>
      <c r="O69" s="10">
        <v>360920</v>
      </c>
      <c r="P69" s="10">
        <v>362276</v>
      </c>
      <c r="Q69" s="10">
        <v>364733</v>
      </c>
      <c r="R69" s="10">
        <v>368638</v>
      </c>
      <c r="S69" s="10">
        <v>374140</v>
      </c>
      <c r="T69" s="10">
        <v>381037</v>
      </c>
      <c r="U69" s="10">
        <v>388881</v>
      </c>
      <c r="V69" s="10">
        <v>397085</v>
      </c>
      <c r="W69" s="10">
        <v>405168</v>
      </c>
      <c r="X69" s="10">
        <v>413005</v>
      </c>
      <c r="Y69" s="10">
        <v>420655</v>
      </c>
      <c r="Z69" s="10">
        <v>428030</v>
      </c>
      <c r="AA69" s="10">
        <v>435105</v>
      </c>
      <c r="AB69" s="10">
        <v>441851</v>
      </c>
      <c r="AC69" s="10">
        <v>448213</v>
      </c>
      <c r="AD69" s="10">
        <v>454161</v>
      </c>
      <c r="AE69" s="10">
        <v>459831</v>
      </c>
      <c r="AF69" s="10">
        <v>465385</v>
      </c>
      <c r="AG69" s="10">
        <v>470949</v>
      </c>
      <c r="AH69" s="10">
        <v>476579</v>
      </c>
      <c r="AI69" s="10">
        <v>482235</v>
      </c>
      <c r="AJ69" s="10">
        <v>487942</v>
      </c>
      <c r="AK69" s="10">
        <v>493679</v>
      </c>
      <c r="AL69" s="10">
        <v>499464</v>
      </c>
      <c r="AM69" s="10">
        <v>505295</v>
      </c>
      <c r="AN69" s="10">
        <v>511181</v>
      </c>
      <c r="AO69" s="10">
        <v>517123</v>
      </c>
      <c r="AP69" s="10">
        <v>523111</v>
      </c>
      <c r="AQ69" s="10">
        <v>529131</v>
      </c>
      <c r="AR69" s="10">
        <v>535179</v>
      </c>
      <c r="AS69" s="10">
        <v>541245</v>
      </c>
      <c r="AT69" s="10">
        <v>547291</v>
      </c>
      <c r="AU69" s="10">
        <v>553273</v>
      </c>
      <c r="AV69" s="10">
        <v>559143</v>
      </c>
      <c r="AW69" s="10">
        <v>564888</v>
      </c>
      <c r="AX69" s="10">
        <v>570496</v>
      </c>
      <c r="AY69" s="10">
        <v>575991</v>
      </c>
      <c r="AZ69" s="10">
        <v>581372</v>
      </c>
    </row>
    <row r="70" spans="1:52" x14ac:dyDescent="0.45">
      <c r="A70" t="s">
        <v>189</v>
      </c>
      <c r="B70" t="s">
        <v>154</v>
      </c>
      <c r="C70" s="10">
        <v>945360</v>
      </c>
      <c r="D70" s="10">
        <v>955741</v>
      </c>
      <c r="E70" s="10">
        <v>968136</v>
      </c>
      <c r="F70" s="10">
        <v>982010</v>
      </c>
      <c r="G70" s="10">
        <v>996493</v>
      </c>
      <c r="H70" s="10">
        <v>1010936</v>
      </c>
      <c r="I70" s="10">
        <v>1025107</v>
      </c>
      <c r="J70" s="10">
        <v>1039212</v>
      </c>
      <c r="K70" s="10">
        <v>1053558</v>
      </c>
      <c r="L70" s="10">
        <v>1068640</v>
      </c>
      <c r="M70" s="10">
        <v>1084744</v>
      </c>
      <c r="N70" s="10">
        <v>1101983</v>
      </c>
      <c r="O70" s="10">
        <v>1120020</v>
      </c>
      <c r="P70" s="10">
        <v>1138071</v>
      </c>
      <c r="Q70" s="10">
        <v>1155074</v>
      </c>
      <c r="R70" s="10">
        <v>1170285</v>
      </c>
      <c r="S70" s="10">
        <v>1183381</v>
      </c>
      <c r="T70" s="10">
        <v>1194541</v>
      </c>
      <c r="U70" s="10">
        <v>1204153</v>
      </c>
      <c r="V70" s="10">
        <v>1212857</v>
      </c>
      <c r="W70" s="10">
        <v>1221116</v>
      </c>
      <c r="X70" s="10">
        <v>1229103</v>
      </c>
      <c r="Y70" s="10">
        <v>1236683</v>
      </c>
      <c r="Z70" s="10">
        <v>1243616</v>
      </c>
      <c r="AA70" s="10">
        <v>1249520</v>
      </c>
      <c r="AB70" s="10">
        <v>1254200</v>
      </c>
      <c r="AC70" s="10">
        <v>1257549</v>
      </c>
      <c r="AD70" s="10">
        <v>1259848</v>
      </c>
      <c r="AE70" s="10">
        <v>1261695</v>
      </c>
      <c r="AF70" s="10">
        <v>1263933</v>
      </c>
      <c r="AG70" s="10">
        <v>1267153</v>
      </c>
      <c r="AH70" s="10">
        <v>1271632</v>
      </c>
      <c r="AI70" s="10">
        <v>1277213</v>
      </c>
      <c r="AJ70" s="10">
        <v>1283559</v>
      </c>
      <c r="AK70" s="10">
        <v>1290123</v>
      </c>
      <c r="AL70" s="10">
        <v>1296502</v>
      </c>
      <c r="AM70" s="10">
        <v>1302561</v>
      </c>
      <c r="AN70" s="10">
        <v>1308451</v>
      </c>
      <c r="AO70" s="10">
        <v>1314443</v>
      </c>
      <c r="AP70" s="10">
        <v>1320930</v>
      </c>
      <c r="AQ70" s="10">
        <v>1328147</v>
      </c>
      <c r="AR70" s="10">
        <v>1336178</v>
      </c>
      <c r="AS70" s="10">
        <v>1344817</v>
      </c>
      <c r="AT70" s="10">
        <v>1353700</v>
      </c>
      <c r="AU70" s="10">
        <v>1362342</v>
      </c>
      <c r="AV70" s="10">
        <v>1370328</v>
      </c>
      <c r="AW70" s="10">
        <v>1377564</v>
      </c>
      <c r="AX70" s="10">
        <v>1384072</v>
      </c>
      <c r="AY70" s="10">
        <v>1389858</v>
      </c>
      <c r="AZ70" s="10">
        <v>1394973</v>
      </c>
    </row>
    <row r="71" spans="1:52" x14ac:dyDescent="0.45">
      <c r="A71" t="s">
        <v>189</v>
      </c>
      <c r="B71" t="s">
        <v>156</v>
      </c>
      <c r="C71" s="10">
        <v>2809793</v>
      </c>
      <c r="D71" s="10">
        <v>2818281</v>
      </c>
      <c r="E71" s="10">
        <v>2821461</v>
      </c>
      <c r="F71" s="10">
        <v>2822117</v>
      </c>
      <c r="G71" s="10">
        <v>2824095</v>
      </c>
      <c r="H71" s="10">
        <v>2830176</v>
      </c>
      <c r="I71" s="10">
        <v>2841372</v>
      </c>
      <c r="J71" s="10">
        <v>2856958</v>
      </c>
      <c r="K71" s="10">
        <v>2875728</v>
      </c>
      <c r="L71" s="10">
        <v>2895688</v>
      </c>
      <c r="M71" s="10">
        <v>2915389</v>
      </c>
      <c r="N71" s="10">
        <v>2934613</v>
      </c>
      <c r="O71" s="10">
        <v>2953852</v>
      </c>
      <c r="P71" s="10">
        <v>2973036</v>
      </c>
      <c r="Q71" s="10">
        <v>2992246</v>
      </c>
      <c r="R71" s="10">
        <v>3011519</v>
      </c>
      <c r="S71" s="10">
        <v>3030649</v>
      </c>
      <c r="T71" s="10">
        <v>3049581</v>
      </c>
      <c r="U71" s="10">
        <v>3068705</v>
      </c>
      <c r="V71" s="10">
        <v>3088595</v>
      </c>
      <c r="W71" s="10">
        <v>3109601</v>
      </c>
      <c r="X71" s="10">
        <v>3131660</v>
      </c>
      <c r="Y71" s="10">
        <v>3154464</v>
      </c>
      <c r="Z71" s="10">
        <v>3177745</v>
      </c>
      <c r="AA71" s="10">
        <v>3201151</v>
      </c>
      <c r="AB71" s="10">
        <v>3224281</v>
      </c>
      <c r="AC71" s="10">
        <v>3247381</v>
      </c>
      <c r="AD71" s="10">
        <v>3270164</v>
      </c>
      <c r="AE71" s="10">
        <v>3291053</v>
      </c>
      <c r="AF71" s="10">
        <v>3308012</v>
      </c>
      <c r="AG71" s="10">
        <v>3319736</v>
      </c>
      <c r="AH71" s="10">
        <v>3325473</v>
      </c>
      <c r="AI71" s="10">
        <v>3326040</v>
      </c>
      <c r="AJ71" s="10">
        <v>3323668</v>
      </c>
      <c r="AK71" s="10">
        <v>3321476</v>
      </c>
      <c r="AL71" s="10">
        <v>3321803</v>
      </c>
      <c r="AM71" s="10">
        <v>3325401</v>
      </c>
      <c r="AN71" s="10">
        <v>3331749</v>
      </c>
      <c r="AO71" s="10">
        <v>3340221</v>
      </c>
      <c r="AP71" s="10">
        <v>3349676</v>
      </c>
      <c r="AQ71" s="10">
        <v>3359275</v>
      </c>
      <c r="AR71" s="10">
        <v>3368934</v>
      </c>
      <c r="AS71" s="10">
        <v>3378974</v>
      </c>
      <c r="AT71" s="10">
        <v>3389439</v>
      </c>
      <c r="AU71" s="10">
        <v>3400434</v>
      </c>
      <c r="AV71" s="10">
        <v>3412009</v>
      </c>
      <c r="AW71" s="10">
        <v>3424132</v>
      </c>
      <c r="AX71" s="10">
        <v>3436646</v>
      </c>
      <c r="AY71" s="10">
        <v>3449299</v>
      </c>
      <c r="AZ71" s="10">
        <v>3461734</v>
      </c>
    </row>
    <row r="72" spans="1:52" x14ac:dyDescent="0.45">
      <c r="A72" t="s">
        <v>186</v>
      </c>
      <c r="B72" t="s">
        <v>206</v>
      </c>
      <c r="C72" s="10">
        <v>14464985</v>
      </c>
      <c r="D72" s="10">
        <v>14872250</v>
      </c>
      <c r="E72" s="10">
        <v>15285990</v>
      </c>
      <c r="F72" s="10">
        <v>15709825</v>
      </c>
      <c r="G72" s="10">
        <v>16149025</v>
      </c>
      <c r="H72" s="10">
        <v>16607707</v>
      </c>
      <c r="I72" s="10">
        <v>17085800</v>
      </c>
      <c r="J72" s="10">
        <v>17582904</v>
      </c>
      <c r="K72" s="10">
        <v>18102266</v>
      </c>
      <c r="L72" s="10">
        <v>18647816</v>
      </c>
      <c r="M72" s="10">
        <v>19221664</v>
      </c>
      <c r="N72" s="10">
        <v>19824300</v>
      </c>
      <c r="O72" s="10">
        <v>20452902</v>
      </c>
      <c r="P72" s="10">
        <v>21101876</v>
      </c>
      <c r="Q72" s="10">
        <v>21763576</v>
      </c>
      <c r="R72" s="10">
        <v>22431502</v>
      </c>
      <c r="S72" s="10">
        <v>23102388</v>
      </c>
      <c r="T72" s="10">
        <v>23774284</v>
      </c>
      <c r="U72" s="10">
        <v>24443468</v>
      </c>
      <c r="V72" s="10">
        <v>25106190</v>
      </c>
      <c r="W72" s="10">
        <v>25758868</v>
      </c>
      <c r="X72" s="10">
        <v>26400480</v>
      </c>
      <c r="Y72" s="10">
        <v>27028326</v>
      </c>
      <c r="Z72" s="10">
        <v>27635516</v>
      </c>
      <c r="AA72" s="10">
        <v>28213774</v>
      </c>
      <c r="AB72" s="10">
        <v>28757784</v>
      </c>
      <c r="AC72" s="10">
        <v>29266404</v>
      </c>
      <c r="AD72" s="10">
        <v>29742980</v>
      </c>
      <c r="AE72" s="10">
        <v>30192754</v>
      </c>
      <c r="AF72" s="10">
        <v>30623406</v>
      </c>
      <c r="AG72" s="10">
        <v>31042236</v>
      </c>
      <c r="AH72" s="10">
        <v>31451514</v>
      </c>
      <c r="AI72" s="10">
        <v>31855108</v>
      </c>
      <c r="AJ72" s="10">
        <v>32264156</v>
      </c>
      <c r="AK72" s="10">
        <v>32692164</v>
      </c>
      <c r="AL72" s="10">
        <v>33149724</v>
      </c>
      <c r="AM72" s="10">
        <v>33641000</v>
      </c>
      <c r="AN72" s="10">
        <v>34166972</v>
      </c>
      <c r="AO72" s="10">
        <v>34730608</v>
      </c>
      <c r="AP72" s="10">
        <v>35333880</v>
      </c>
      <c r="AQ72" s="10">
        <v>35977456</v>
      </c>
      <c r="AR72" s="10">
        <v>36661444</v>
      </c>
      <c r="AS72" s="10">
        <v>37383888</v>
      </c>
      <c r="AT72" s="10">
        <v>38140132</v>
      </c>
      <c r="AU72" s="10">
        <v>38923688</v>
      </c>
      <c r="AV72" s="10">
        <v>39728024</v>
      </c>
      <c r="AW72" s="10">
        <v>40551404</v>
      </c>
      <c r="AX72" s="10">
        <v>41389200</v>
      </c>
      <c r="AY72" s="10">
        <v>42228428</v>
      </c>
      <c r="AZ72" s="10">
        <v>43053056</v>
      </c>
    </row>
    <row r="73" spans="1:52" x14ac:dyDescent="0.45">
      <c r="A73" t="s">
        <v>186</v>
      </c>
      <c r="B73" t="s">
        <v>88</v>
      </c>
      <c r="C73" s="10">
        <v>2974000</v>
      </c>
      <c r="D73" s="10">
        <v>3069000</v>
      </c>
      <c r="E73" s="10">
        <v>3148000</v>
      </c>
      <c r="F73" s="10">
        <v>3278000</v>
      </c>
      <c r="G73" s="10">
        <v>3377000</v>
      </c>
      <c r="H73" s="10">
        <v>3455000</v>
      </c>
      <c r="I73" s="10">
        <v>3533000</v>
      </c>
      <c r="J73" s="10">
        <v>3613000</v>
      </c>
      <c r="K73" s="10">
        <v>3690000</v>
      </c>
      <c r="L73" s="10">
        <v>3786000</v>
      </c>
      <c r="M73" s="10">
        <v>3878000</v>
      </c>
      <c r="N73" s="10">
        <v>3956000</v>
      </c>
      <c r="O73" s="10">
        <v>4031000</v>
      </c>
      <c r="P73" s="10">
        <v>4105000</v>
      </c>
      <c r="Q73" s="10">
        <v>4159000</v>
      </c>
      <c r="R73" s="10">
        <v>4233000</v>
      </c>
      <c r="S73" s="10">
        <v>4299000</v>
      </c>
      <c r="T73" s="10">
        <v>4369000</v>
      </c>
      <c r="U73" s="10">
        <v>4442000</v>
      </c>
      <c r="V73" s="10">
        <v>4518000</v>
      </c>
      <c r="W73" s="10">
        <v>4660000</v>
      </c>
      <c r="X73" s="10">
        <v>4949000</v>
      </c>
      <c r="Y73" s="10">
        <v>5123000</v>
      </c>
      <c r="Z73" s="10">
        <v>5261000</v>
      </c>
      <c r="AA73" s="10">
        <v>5399000</v>
      </c>
      <c r="AB73" s="10">
        <v>5545000</v>
      </c>
      <c r="AC73" s="10">
        <v>5692000</v>
      </c>
      <c r="AD73" s="10">
        <v>5836000</v>
      </c>
      <c r="AE73" s="10">
        <v>5971000</v>
      </c>
      <c r="AF73" s="10">
        <v>6125000</v>
      </c>
      <c r="AG73" s="10">
        <v>6289000</v>
      </c>
      <c r="AH73" s="10">
        <v>6439000</v>
      </c>
      <c r="AI73" s="10">
        <v>6570000</v>
      </c>
      <c r="AJ73" s="10">
        <v>6689700</v>
      </c>
      <c r="AK73" s="10">
        <v>6809000</v>
      </c>
      <c r="AL73" s="10">
        <v>6930100</v>
      </c>
      <c r="AM73" s="10">
        <v>7053700</v>
      </c>
      <c r="AN73" s="10">
        <v>7180100</v>
      </c>
      <c r="AO73" s="10">
        <v>7308800</v>
      </c>
      <c r="AP73" s="10">
        <v>7485600</v>
      </c>
      <c r="AQ73" s="10">
        <v>7623600</v>
      </c>
      <c r="AR73" s="10">
        <v>7765800</v>
      </c>
      <c r="AS73" s="10">
        <v>7910500</v>
      </c>
      <c r="AT73" s="10">
        <v>8059500</v>
      </c>
      <c r="AU73" s="10">
        <v>8215700</v>
      </c>
      <c r="AV73" s="10">
        <v>8380100</v>
      </c>
      <c r="AW73" s="10">
        <v>8546000</v>
      </c>
      <c r="AX73" s="10">
        <v>8713300</v>
      </c>
      <c r="AY73" s="10">
        <v>8882800</v>
      </c>
      <c r="AZ73" s="10">
        <v>9053300</v>
      </c>
    </row>
    <row r="74" spans="1:52" x14ac:dyDescent="0.45">
      <c r="A74" t="s">
        <v>186</v>
      </c>
      <c r="B74" t="s">
        <v>207</v>
      </c>
      <c r="C74" s="10">
        <v>16004731</v>
      </c>
      <c r="D74" s="10">
        <v>16350881</v>
      </c>
      <c r="E74" s="10">
        <v>16696891</v>
      </c>
      <c r="F74" s="10">
        <v>17048518</v>
      </c>
      <c r="G74" s="10">
        <v>17413144</v>
      </c>
      <c r="H74" s="10">
        <v>17796164</v>
      </c>
      <c r="I74" s="10">
        <v>18198844</v>
      </c>
      <c r="J74" s="10">
        <v>18620092</v>
      </c>
      <c r="K74" s="10">
        <v>19059770</v>
      </c>
      <c r="L74" s="10">
        <v>19516942</v>
      </c>
      <c r="M74" s="10">
        <v>19990012</v>
      </c>
      <c r="N74" s="10">
        <v>20479716</v>
      </c>
      <c r="O74" s="10">
        <v>20984008</v>
      </c>
      <c r="P74" s="10">
        <v>21495086</v>
      </c>
      <c r="Q74" s="10">
        <v>22002644</v>
      </c>
      <c r="R74" s="10">
        <v>22499110</v>
      </c>
      <c r="S74" s="10">
        <v>22980336</v>
      </c>
      <c r="T74" s="10">
        <v>23447252</v>
      </c>
      <c r="U74" s="10">
        <v>23903592</v>
      </c>
      <c r="V74" s="10">
        <v>24355620</v>
      </c>
      <c r="W74" s="10">
        <v>24807462</v>
      </c>
      <c r="X74" s="10">
        <v>25260404</v>
      </c>
      <c r="Y74" s="10">
        <v>25711406</v>
      </c>
      <c r="Z74" s="10">
        <v>26155204</v>
      </c>
      <c r="AA74" s="10">
        <v>26584478</v>
      </c>
      <c r="AB74" s="10">
        <v>26994250</v>
      </c>
      <c r="AC74" s="10">
        <v>27383472</v>
      </c>
      <c r="AD74" s="10">
        <v>27754572</v>
      </c>
      <c r="AE74" s="10">
        <v>28110444</v>
      </c>
      <c r="AF74" s="10">
        <v>28455508</v>
      </c>
      <c r="AG74" s="10">
        <v>28793680</v>
      </c>
      <c r="AH74" s="10">
        <v>29126330</v>
      </c>
      <c r="AI74" s="10">
        <v>29454768</v>
      </c>
      <c r="AJ74" s="10">
        <v>29782884</v>
      </c>
      <c r="AK74" s="10">
        <v>30115214</v>
      </c>
      <c r="AL74" s="10">
        <v>30455560</v>
      </c>
      <c r="AM74" s="10">
        <v>30804684</v>
      </c>
      <c r="AN74" s="10">
        <v>31163672</v>
      </c>
      <c r="AO74" s="10">
        <v>31536812</v>
      </c>
      <c r="AP74" s="10">
        <v>31929088</v>
      </c>
      <c r="AQ74" s="10">
        <v>32343388</v>
      </c>
      <c r="AR74" s="10">
        <v>32781850</v>
      </c>
      <c r="AS74" s="10">
        <v>33241898</v>
      </c>
      <c r="AT74" s="10">
        <v>33715692</v>
      </c>
      <c r="AU74" s="10">
        <v>34192348</v>
      </c>
      <c r="AV74" s="10">
        <v>34663604</v>
      </c>
      <c r="AW74" s="10">
        <v>35126296</v>
      </c>
      <c r="AX74" s="10">
        <v>35581296</v>
      </c>
      <c r="AY74" s="10">
        <v>36029136</v>
      </c>
      <c r="AZ74" s="10">
        <v>36471768</v>
      </c>
    </row>
    <row r="75" spans="1:52" x14ac:dyDescent="0.45">
      <c r="A75" t="s">
        <v>186</v>
      </c>
      <c r="B75" t="s">
        <v>208</v>
      </c>
      <c r="C75" s="10">
        <v>723851</v>
      </c>
      <c r="D75" s="10">
        <v>748968</v>
      </c>
      <c r="E75" s="10">
        <v>776380</v>
      </c>
      <c r="F75" s="10">
        <v>806986</v>
      </c>
      <c r="G75" s="10">
        <v>841950</v>
      </c>
      <c r="H75" s="10">
        <v>882047</v>
      </c>
      <c r="I75" s="10">
        <v>927436</v>
      </c>
      <c r="J75" s="10">
        <v>977804</v>
      </c>
      <c r="K75" s="10">
        <v>1032799</v>
      </c>
      <c r="L75" s="10">
        <v>1091852</v>
      </c>
      <c r="M75" s="10">
        <v>1154377</v>
      </c>
      <c r="N75" s="10">
        <v>1220585</v>
      </c>
      <c r="O75" s="10">
        <v>1290111</v>
      </c>
      <c r="P75" s="10">
        <v>1361087</v>
      </c>
      <c r="Q75" s="10">
        <v>1431070</v>
      </c>
      <c r="R75" s="10">
        <v>1498418</v>
      </c>
      <c r="S75" s="10">
        <v>1561185</v>
      </c>
      <c r="T75" s="10">
        <v>1619863</v>
      </c>
      <c r="U75" s="10">
        <v>1678110</v>
      </c>
      <c r="V75" s="10">
        <v>1741156</v>
      </c>
      <c r="W75" s="10">
        <v>1812161</v>
      </c>
      <c r="X75" s="10">
        <v>1893768</v>
      </c>
      <c r="Y75" s="10">
        <v>1983275</v>
      </c>
      <c r="Z75" s="10">
        <v>2072104</v>
      </c>
      <c r="AA75" s="10">
        <v>2148419</v>
      </c>
      <c r="AB75" s="10">
        <v>2204277</v>
      </c>
      <c r="AC75" s="10">
        <v>2236654</v>
      </c>
      <c r="AD75" s="10">
        <v>2249762</v>
      </c>
      <c r="AE75" s="10">
        <v>2251864</v>
      </c>
      <c r="AF75" s="10">
        <v>2254904</v>
      </c>
      <c r="AG75" s="10">
        <v>2267973</v>
      </c>
      <c r="AH75" s="10">
        <v>2294962</v>
      </c>
      <c r="AI75" s="10">
        <v>2334858</v>
      </c>
      <c r="AJ75" s="10">
        <v>2386166</v>
      </c>
      <c r="AK75" s="10">
        <v>2445517</v>
      </c>
      <c r="AL75" s="10">
        <v>2511251</v>
      </c>
      <c r="AM75" s="10">
        <v>2580758</v>
      </c>
      <c r="AN75" s="10">
        <v>2657158</v>
      </c>
      <c r="AO75" s="10">
        <v>2750963</v>
      </c>
      <c r="AP75" s="10">
        <v>2876186</v>
      </c>
      <c r="AQ75" s="10">
        <v>3041434</v>
      </c>
      <c r="AR75" s="10">
        <v>3251108</v>
      </c>
      <c r="AS75" s="10">
        <v>3498029</v>
      </c>
      <c r="AT75" s="10">
        <v>3764805</v>
      </c>
      <c r="AU75" s="10">
        <v>4027260</v>
      </c>
      <c r="AV75" s="10">
        <v>4267348</v>
      </c>
      <c r="AW75" s="10">
        <v>4479219</v>
      </c>
      <c r="AX75" s="10">
        <v>4665935</v>
      </c>
      <c r="AY75" s="10">
        <v>4829483</v>
      </c>
      <c r="AZ75" s="10">
        <v>4974986</v>
      </c>
    </row>
    <row r="76" spans="1:52" x14ac:dyDescent="0.45">
      <c r="A76" t="s">
        <v>186</v>
      </c>
      <c r="B76" t="s">
        <v>209</v>
      </c>
      <c r="C76" s="10">
        <v>5836389</v>
      </c>
      <c r="D76" s="10">
        <v>6100626</v>
      </c>
      <c r="E76" s="10">
        <v>6392970</v>
      </c>
      <c r="F76" s="10">
        <v>6711923</v>
      </c>
      <c r="G76" s="10">
        <v>7054532</v>
      </c>
      <c r="H76" s="10">
        <v>7419493</v>
      </c>
      <c r="I76" s="10">
        <v>7802926</v>
      </c>
      <c r="J76" s="10">
        <v>8207697</v>
      </c>
      <c r="K76" s="10">
        <v>8646845</v>
      </c>
      <c r="L76" s="10">
        <v>9137927</v>
      </c>
      <c r="M76" s="10">
        <v>9691476</v>
      </c>
      <c r="N76" s="10">
        <v>10311775</v>
      </c>
      <c r="O76" s="10">
        <v>10988853</v>
      </c>
      <c r="P76" s="10">
        <v>11701128</v>
      </c>
      <c r="Q76" s="10">
        <v>12418834</v>
      </c>
      <c r="R76" s="10">
        <v>13118993</v>
      </c>
      <c r="S76" s="10">
        <v>13794165</v>
      </c>
      <c r="T76" s="10">
        <v>14445671</v>
      </c>
      <c r="U76" s="10">
        <v>15070082</v>
      </c>
      <c r="V76" s="10">
        <v>15666297</v>
      </c>
      <c r="W76" s="10">
        <v>16233785</v>
      </c>
      <c r="X76" s="10">
        <v>16772694</v>
      </c>
      <c r="Y76" s="10">
        <v>17282692</v>
      </c>
      <c r="Z76" s="10">
        <v>17763298</v>
      </c>
      <c r="AA76" s="10">
        <v>18214470</v>
      </c>
      <c r="AB76" s="10">
        <v>18638788</v>
      </c>
      <c r="AC76" s="10">
        <v>19033844</v>
      </c>
      <c r="AD76" s="10">
        <v>19407142</v>
      </c>
      <c r="AE76" s="10">
        <v>19783304</v>
      </c>
      <c r="AF76" s="10">
        <v>20194528</v>
      </c>
      <c r="AG76" s="10">
        <v>20663844</v>
      </c>
      <c r="AH76" s="10">
        <v>21202642</v>
      </c>
      <c r="AI76" s="10">
        <v>21805312</v>
      </c>
      <c r="AJ76" s="10">
        <v>22456648</v>
      </c>
      <c r="AK76" s="10">
        <v>23132682</v>
      </c>
      <c r="AL76" s="10">
        <v>23816184</v>
      </c>
      <c r="AM76" s="10">
        <v>24498310</v>
      </c>
      <c r="AN76" s="10">
        <v>25184596</v>
      </c>
      <c r="AO76" s="10">
        <v>25888540</v>
      </c>
      <c r="AP76" s="10">
        <v>26630304</v>
      </c>
      <c r="AQ76" s="10">
        <v>27421460</v>
      </c>
      <c r="AR76" s="10">
        <v>28267684</v>
      </c>
      <c r="AS76" s="10">
        <v>29155188</v>
      </c>
      <c r="AT76" s="10">
        <v>30052518</v>
      </c>
      <c r="AU76" s="10">
        <v>30916994</v>
      </c>
      <c r="AV76" s="10">
        <v>31717668</v>
      </c>
      <c r="AW76" s="10">
        <v>32442572</v>
      </c>
      <c r="AX76" s="10">
        <v>33099148</v>
      </c>
      <c r="AY76" s="10">
        <v>33699948</v>
      </c>
      <c r="AZ76" s="10">
        <v>34268528</v>
      </c>
    </row>
    <row r="77" spans="1:52" x14ac:dyDescent="0.45">
      <c r="A77" t="s">
        <v>186</v>
      </c>
      <c r="B77" t="s">
        <v>210</v>
      </c>
      <c r="C77" s="10">
        <v>5063809</v>
      </c>
      <c r="D77" s="10">
        <v>5176295</v>
      </c>
      <c r="E77" s="10">
        <v>5291338</v>
      </c>
      <c r="F77" s="10">
        <v>5409343</v>
      </c>
      <c r="G77" s="10">
        <v>5530975</v>
      </c>
      <c r="H77" s="10">
        <v>5656914</v>
      </c>
      <c r="I77" s="10">
        <v>5786478</v>
      </c>
      <c r="J77" s="10">
        <v>5919965</v>
      </c>
      <c r="K77" s="10">
        <v>6060151</v>
      </c>
      <c r="L77" s="10">
        <v>6210756</v>
      </c>
      <c r="M77" s="10">
        <v>6374039</v>
      </c>
      <c r="N77" s="10">
        <v>6551231</v>
      </c>
      <c r="O77" s="10">
        <v>6740529</v>
      </c>
      <c r="P77" s="10">
        <v>6937331</v>
      </c>
      <c r="Q77" s="10">
        <v>7135270</v>
      </c>
      <c r="R77" s="10">
        <v>7329594</v>
      </c>
      <c r="S77" s="10">
        <v>7517858</v>
      </c>
      <c r="T77" s="10">
        <v>7700736</v>
      </c>
      <c r="U77" s="10">
        <v>7880332</v>
      </c>
      <c r="V77" s="10">
        <v>8060210</v>
      </c>
      <c r="W77" s="10">
        <v>8242496</v>
      </c>
      <c r="X77" s="10">
        <v>8427857</v>
      </c>
      <c r="Y77" s="10">
        <v>8613861</v>
      </c>
      <c r="Z77" s="10">
        <v>8795932</v>
      </c>
      <c r="AA77" s="10">
        <v>8967916</v>
      </c>
      <c r="AB77" s="10">
        <v>9125398</v>
      </c>
      <c r="AC77" s="10">
        <v>9267340</v>
      </c>
      <c r="AD77" s="10">
        <v>9395123</v>
      </c>
      <c r="AE77" s="10">
        <v>9509857</v>
      </c>
      <c r="AF77" s="10">
        <v>9613588</v>
      </c>
      <c r="AG77" s="10">
        <v>9708350</v>
      </c>
      <c r="AH77" s="10">
        <v>9793903</v>
      </c>
      <c r="AI77" s="10">
        <v>9871251</v>
      </c>
      <c r="AJ77" s="10">
        <v>9945277</v>
      </c>
      <c r="AK77" s="10">
        <v>10022277</v>
      </c>
      <c r="AL77" s="10">
        <v>10106771</v>
      </c>
      <c r="AM77" s="10">
        <v>10201214</v>
      </c>
      <c r="AN77" s="10">
        <v>10304726</v>
      </c>
      <c r="AO77" s="10">
        <v>10414433</v>
      </c>
      <c r="AP77" s="10">
        <v>10525694</v>
      </c>
      <c r="AQ77" s="10">
        <v>10635244</v>
      </c>
      <c r="AR77" s="10">
        <v>10741880</v>
      </c>
      <c r="AS77" s="10">
        <v>10847002</v>
      </c>
      <c r="AT77" s="10">
        <v>10952951</v>
      </c>
      <c r="AU77" s="10">
        <v>11063201</v>
      </c>
      <c r="AV77" s="10">
        <v>11179949</v>
      </c>
      <c r="AW77" s="10">
        <v>11303946</v>
      </c>
      <c r="AX77" s="10">
        <v>11433443</v>
      </c>
      <c r="AY77" s="10">
        <v>11565204</v>
      </c>
      <c r="AZ77" s="10">
        <v>11694719</v>
      </c>
    </row>
    <row r="78" spans="1:52" x14ac:dyDescent="0.45">
      <c r="A78" t="s">
        <v>186</v>
      </c>
      <c r="B78" t="s">
        <v>155</v>
      </c>
      <c r="C78" s="10">
        <v>34876304</v>
      </c>
      <c r="D78" s="10">
        <v>35720600</v>
      </c>
      <c r="E78" s="10">
        <v>36587260</v>
      </c>
      <c r="F78" s="10">
        <v>37472336</v>
      </c>
      <c r="G78" s="10">
        <v>38370284</v>
      </c>
      <c r="H78" s="10">
        <v>39277256</v>
      </c>
      <c r="I78" s="10">
        <v>40189568</v>
      </c>
      <c r="J78" s="10">
        <v>41108296</v>
      </c>
      <c r="K78" s="10">
        <v>42039992</v>
      </c>
      <c r="L78" s="10">
        <v>42994040</v>
      </c>
      <c r="M78" s="10">
        <v>43975972</v>
      </c>
      <c r="N78" s="10">
        <v>44988416</v>
      </c>
      <c r="O78" s="10">
        <v>46025412</v>
      </c>
      <c r="P78" s="10">
        <v>47073472</v>
      </c>
      <c r="Q78" s="10">
        <v>48114156</v>
      </c>
      <c r="R78" s="10">
        <v>49133936</v>
      </c>
      <c r="S78" s="10">
        <v>50128540</v>
      </c>
      <c r="T78" s="10">
        <v>51100924</v>
      </c>
      <c r="U78" s="10">
        <v>52053764</v>
      </c>
      <c r="V78" s="10">
        <v>52992488</v>
      </c>
      <c r="W78" s="10">
        <v>53921760</v>
      </c>
      <c r="X78" s="10">
        <v>54840592</v>
      </c>
      <c r="Y78" s="10">
        <v>55748948</v>
      </c>
      <c r="Z78" s="10">
        <v>56653804</v>
      </c>
      <c r="AA78" s="10">
        <v>57564204</v>
      </c>
      <c r="AB78" s="10">
        <v>58486456</v>
      </c>
      <c r="AC78" s="10">
        <v>59423280</v>
      </c>
      <c r="AD78" s="10">
        <v>60372568</v>
      </c>
      <c r="AE78" s="10">
        <v>61329676</v>
      </c>
      <c r="AF78" s="10">
        <v>62287396</v>
      </c>
      <c r="AG78" s="10">
        <v>63240192</v>
      </c>
      <c r="AH78" s="10">
        <v>64192244</v>
      </c>
      <c r="AI78" s="10">
        <v>65145368</v>
      </c>
      <c r="AJ78" s="10">
        <v>66089400</v>
      </c>
      <c r="AK78" s="10">
        <v>67010928</v>
      </c>
      <c r="AL78" s="10">
        <v>67903472</v>
      </c>
      <c r="AM78" s="10">
        <v>68756808</v>
      </c>
      <c r="AN78" s="10">
        <v>69581848</v>
      </c>
      <c r="AO78" s="10">
        <v>70418608</v>
      </c>
      <c r="AP78" s="10">
        <v>71321400</v>
      </c>
      <c r="AQ78" s="10">
        <v>72326992</v>
      </c>
      <c r="AR78" s="10">
        <v>73443864</v>
      </c>
      <c r="AS78" s="10">
        <v>74653016</v>
      </c>
      <c r="AT78" s="10">
        <v>75928560</v>
      </c>
      <c r="AU78" s="10">
        <v>77231904</v>
      </c>
      <c r="AV78" s="10">
        <v>78529408</v>
      </c>
      <c r="AW78" s="10">
        <v>79821728</v>
      </c>
      <c r="AX78" s="10">
        <v>81101888</v>
      </c>
      <c r="AY78" s="10">
        <v>82319728</v>
      </c>
      <c r="AZ78" s="10">
        <v>83429616</v>
      </c>
    </row>
    <row r="79" spans="1:52" x14ac:dyDescent="0.45">
      <c r="A79" t="s">
        <v>188</v>
      </c>
      <c r="B79" t="s">
        <v>211</v>
      </c>
      <c r="C79" s="10">
        <v>21324000</v>
      </c>
      <c r="D79" s="10">
        <v>21962032</v>
      </c>
      <c r="E79" s="10">
        <v>22218464</v>
      </c>
      <c r="F79" s="10">
        <v>22491776</v>
      </c>
      <c r="G79" s="10">
        <v>22807968</v>
      </c>
      <c r="H79" s="10">
        <v>23143276</v>
      </c>
      <c r="I79" s="10">
        <v>23449808</v>
      </c>
      <c r="J79" s="10">
        <v>23725844</v>
      </c>
      <c r="K79" s="10">
        <v>23963204</v>
      </c>
      <c r="L79" s="10">
        <v>24201544</v>
      </c>
      <c r="M79" s="10">
        <v>24515668</v>
      </c>
      <c r="N79" s="10">
        <v>24819916</v>
      </c>
      <c r="O79" s="10">
        <v>25116942</v>
      </c>
      <c r="P79" s="10">
        <v>25366452</v>
      </c>
      <c r="Q79" s="10">
        <v>25607052</v>
      </c>
      <c r="R79" s="10">
        <v>25842116</v>
      </c>
      <c r="S79" s="10">
        <v>26100278</v>
      </c>
      <c r="T79" s="10">
        <v>26446600</v>
      </c>
      <c r="U79" s="10">
        <v>26791748</v>
      </c>
      <c r="V79" s="10">
        <v>27276780</v>
      </c>
      <c r="W79" s="10">
        <v>27691138</v>
      </c>
      <c r="X79" s="10">
        <v>28037420</v>
      </c>
      <c r="Y79" s="10">
        <v>28371264</v>
      </c>
      <c r="Z79" s="10">
        <v>28684764</v>
      </c>
      <c r="AA79" s="10">
        <v>29000664</v>
      </c>
      <c r="AB79" s="10">
        <v>29302312</v>
      </c>
      <c r="AC79" s="10">
        <v>29610218</v>
      </c>
      <c r="AD79" s="10">
        <v>29905948</v>
      </c>
      <c r="AE79" s="10">
        <v>30155172</v>
      </c>
      <c r="AF79" s="10">
        <v>30401286</v>
      </c>
      <c r="AG79" s="10">
        <v>30685730</v>
      </c>
      <c r="AH79" s="10">
        <v>31020902</v>
      </c>
      <c r="AI79" s="10">
        <v>31360080</v>
      </c>
      <c r="AJ79" s="10">
        <v>31644028</v>
      </c>
      <c r="AK79" s="10">
        <v>31940656</v>
      </c>
      <c r="AL79" s="10">
        <v>32243752</v>
      </c>
      <c r="AM79" s="10">
        <v>32571174</v>
      </c>
      <c r="AN79" s="10">
        <v>32889024</v>
      </c>
      <c r="AO79" s="10">
        <v>33247118</v>
      </c>
      <c r="AP79" s="10">
        <v>33628896</v>
      </c>
      <c r="AQ79" s="10">
        <v>34004888</v>
      </c>
      <c r="AR79" s="10">
        <v>34339328</v>
      </c>
      <c r="AS79" s="10">
        <v>34714224</v>
      </c>
      <c r="AT79" s="10">
        <v>35082952</v>
      </c>
      <c r="AU79" s="10">
        <v>35437436</v>
      </c>
      <c r="AV79" s="10">
        <v>35702908</v>
      </c>
      <c r="AW79" s="10">
        <v>36109488</v>
      </c>
      <c r="AX79" s="10">
        <v>36543320</v>
      </c>
      <c r="AY79" s="10">
        <v>37057764</v>
      </c>
      <c r="AZ79" s="10">
        <v>37589264</v>
      </c>
    </row>
    <row r="80" spans="1:52" x14ac:dyDescent="0.45">
      <c r="A80" t="s">
        <v>188</v>
      </c>
      <c r="B80" t="s">
        <v>100</v>
      </c>
      <c r="C80" s="10">
        <v>205052000</v>
      </c>
      <c r="D80" s="10">
        <v>207660992</v>
      </c>
      <c r="E80" s="10">
        <v>209896000</v>
      </c>
      <c r="F80" s="10">
        <v>211908992</v>
      </c>
      <c r="G80" s="10">
        <v>213854000</v>
      </c>
      <c r="H80" s="10">
        <v>215972992</v>
      </c>
      <c r="I80" s="10">
        <v>218035008</v>
      </c>
      <c r="J80" s="10">
        <v>220239008</v>
      </c>
      <c r="K80" s="10">
        <v>222584992</v>
      </c>
      <c r="L80" s="10">
        <v>225055008</v>
      </c>
      <c r="M80" s="10">
        <v>227224992</v>
      </c>
      <c r="N80" s="10">
        <v>229466000</v>
      </c>
      <c r="O80" s="10">
        <v>231664000</v>
      </c>
      <c r="P80" s="10">
        <v>233792000</v>
      </c>
      <c r="Q80" s="10">
        <v>235824992</v>
      </c>
      <c r="R80" s="10">
        <v>237924000</v>
      </c>
      <c r="S80" s="10">
        <v>240132992</v>
      </c>
      <c r="T80" s="10">
        <v>242288992</v>
      </c>
      <c r="U80" s="10">
        <v>244499008</v>
      </c>
      <c r="V80" s="10">
        <v>246819008</v>
      </c>
      <c r="W80" s="10">
        <v>249623008</v>
      </c>
      <c r="X80" s="10">
        <v>252980992</v>
      </c>
      <c r="Y80" s="10">
        <v>256514000</v>
      </c>
      <c r="Z80" s="10">
        <v>259919008</v>
      </c>
      <c r="AA80" s="10">
        <v>263126000</v>
      </c>
      <c r="AB80" s="10">
        <v>266278000</v>
      </c>
      <c r="AC80" s="10">
        <v>269393984</v>
      </c>
      <c r="AD80" s="10">
        <v>272656992</v>
      </c>
      <c r="AE80" s="10">
        <v>275854016</v>
      </c>
      <c r="AF80" s="10">
        <v>279040000</v>
      </c>
      <c r="AG80" s="10">
        <v>282162400</v>
      </c>
      <c r="AH80" s="10">
        <v>284968960</v>
      </c>
      <c r="AI80" s="10">
        <v>287625184</v>
      </c>
      <c r="AJ80" s="10">
        <v>290107936</v>
      </c>
      <c r="AK80" s="10">
        <v>292805312</v>
      </c>
      <c r="AL80" s="10">
        <v>295516608</v>
      </c>
      <c r="AM80" s="10">
        <v>298379904</v>
      </c>
      <c r="AN80" s="10">
        <v>301231200</v>
      </c>
      <c r="AO80" s="10">
        <v>304093952</v>
      </c>
      <c r="AP80" s="10">
        <v>306771520</v>
      </c>
      <c r="AQ80" s="10">
        <v>309321664</v>
      </c>
      <c r="AR80" s="10">
        <v>311556864</v>
      </c>
      <c r="AS80" s="10">
        <v>313830976</v>
      </c>
      <c r="AT80" s="10">
        <v>315993728</v>
      </c>
      <c r="AU80" s="10">
        <v>318300992</v>
      </c>
      <c r="AV80" s="10">
        <v>320635168</v>
      </c>
      <c r="AW80" s="10">
        <v>322941312</v>
      </c>
      <c r="AX80" s="10">
        <v>324985536</v>
      </c>
      <c r="AY80" s="10">
        <v>326687488</v>
      </c>
      <c r="AZ80" s="10">
        <v>328239520</v>
      </c>
    </row>
    <row r="81" spans="1:52" x14ac:dyDescent="0.45">
      <c r="A81" t="s">
        <v>184</v>
      </c>
      <c r="B81" t="s">
        <v>82</v>
      </c>
      <c r="C81" s="10">
        <v>12507000</v>
      </c>
      <c r="D81" s="10">
        <v>12937000</v>
      </c>
      <c r="E81" s="10">
        <v>13177000</v>
      </c>
      <c r="F81" s="10">
        <v>13380000</v>
      </c>
      <c r="G81" s="10">
        <v>13723000</v>
      </c>
      <c r="H81" s="10">
        <v>13893000</v>
      </c>
      <c r="I81" s="10">
        <v>14033000</v>
      </c>
      <c r="J81" s="10">
        <v>14192000</v>
      </c>
      <c r="K81" s="10">
        <v>14358000</v>
      </c>
      <c r="L81" s="10">
        <v>14514000</v>
      </c>
      <c r="M81" s="10">
        <v>14692000</v>
      </c>
      <c r="N81" s="10">
        <v>14927000</v>
      </c>
      <c r="O81" s="10">
        <v>15178000</v>
      </c>
      <c r="P81" s="10">
        <v>15369000</v>
      </c>
      <c r="Q81" s="10">
        <v>15544000</v>
      </c>
      <c r="R81" s="10">
        <v>15758000</v>
      </c>
      <c r="S81" s="10">
        <v>16018400</v>
      </c>
      <c r="T81" s="10">
        <v>16263900</v>
      </c>
      <c r="U81" s="10">
        <v>16532200</v>
      </c>
      <c r="V81" s="10">
        <v>16814400</v>
      </c>
      <c r="W81" s="10">
        <v>17065100</v>
      </c>
      <c r="X81" s="10">
        <v>17284000</v>
      </c>
      <c r="Y81" s="10">
        <v>17495000</v>
      </c>
      <c r="Z81" s="10">
        <v>17667000</v>
      </c>
      <c r="AA81" s="10">
        <v>17855000</v>
      </c>
      <c r="AB81" s="10">
        <v>18072000</v>
      </c>
      <c r="AC81" s="10">
        <v>18311000</v>
      </c>
      <c r="AD81" s="10">
        <v>18517000</v>
      </c>
      <c r="AE81" s="10">
        <v>18711000</v>
      </c>
      <c r="AF81" s="10">
        <v>18926000</v>
      </c>
      <c r="AG81" s="10">
        <v>19153000</v>
      </c>
      <c r="AH81" s="10">
        <v>19413000</v>
      </c>
      <c r="AI81" s="10">
        <v>19651400</v>
      </c>
      <c r="AJ81" s="10">
        <v>19895400</v>
      </c>
      <c r="AK81" s="10">
        <v>20127400</v>
      </c>
      <c r="AL81" s="10">
        <v>20394800</v>
      </c>
      <c r="AM81" s="10">
        <v>20697900</v>
      </c>
      <c r="AN81" s="10">
        <v>20827600</v>
      </c>
      <c r="AO81" s="10">
        <v>21249200</v>
      </c>
      <c r="AP81" s="10">
        <v>21691700</v>
      </c>
      <c r="AQ81" s="10">
        <v>22031750</v>
      </c>
      <c r="AR81" s="10">
        <v>22340024</v>
      </c>
      <c r="AS81" s="10">
        <v>22733464</v>
      </c>
      <c r="AT81" s="10">
        <v>23128128</v>
      </c>
      <c r="AU81" s="10">
        <v>23475686</v>
      </c>
      <c r="AV81" s="10">
        <v>23815996</v>
      </c>
      <c r="AW81" s="10">
        <v>24190908</v>
      </c>
      <c r="AX81" s="10">
        <v>24601860</v>
      </c>
      <c r="AY81" s="10">
        <v>24982688</v>
      </c>
      <c r="AZ81" s="10">
        <v>25364308</v>
      </c>
    </row>
    <row r="82" spans="1:52" x14ac:dyDescent="0.45">
      <c r="A82" t="s">
        <v>184</v>
      </c>
      <c r="B82" t="s">
        <v>121</v>
      </c>
      <c r="C82" s="10">
        <v>520562</v>
      </c>
      <c r="D82" s="10">
        <v>531635</v>
      </c>
      <c r="E82" s="10">
        <v>542844</v>
      </c>
      <c r="F82" s="10">
        <v>554138</v>
      </c>
      <c r="G82" s="10">
        <v>565415</v>
      </c>
      <c r="H82" s="10">
        <v>576626</v>
      </c>
      <c r="I82" s="10">
        <v>587557</v>
      </c>
      <c r="J82" s="10">
        <v>598296</v>
      </c>
      <c r="K82" s="10">
        <v>609383</v>
      </c>
      <c r="L82" s="10">
        <v>621585</v>
      </c>
      <c r="M82" s="10">
        <v>635307</v>
      </c>
      <c r="N82" s="10">
        <v>651021</v>
      </c>
      <c r="O82" s="10">
        <v>668280</v>
      </c>
      <c r="P82" s="10">
        <v>685497</v>
      </c>
      <c r="Q82" s="10">
        <v>700483</v>
      </c>
      <c r="R82" s="10">
        <v>711775</v>
      </c>
      <c r="S82" s="10">
        <v>718639</v>
      </c>
      <c r="T82" s="10">
        <v>721783</v>
      </c>
      <c r="U82" s="10">
        <v>722930</v>
      </c>
      <c r="V82" s="10">
        <v>724594</v>
      </c>
      <c r="W82" s="10">
        <v>728573</v>
      </c>
      <c r="X82" s="10">
        <v>735401</v>
      </c>
      <c r="Y82" s="10">
        <v>744469</v>
      </c>
      <c r="Z82" s="10">
        <v>754963</v>
      </c>
      <c r="AA82" s="10">
        <v>765609</v>
      </c>
      <c r="AB82" s="10">
        <v>775425</v>
      </c>
      <c r="AC82" s="10">
        <v>784386</v>
      </c>
      <c r="AD82" s="10">
        <v>792736</v>
      </c>
      <c r="AE82" s="10">
        <v>800157</v>
      </c>
      <c r="AF82" s="10">
        <v>806303</v>
      </c>
      <c r="AG82" s="10">
        <v>811006</v>
      </c>
      <c r="AH82" s="10">
        <v>813925</v>
      </c>
      <c r="AI82" s="10">
        <v>815257</v>
      </c>
      <c r="AJ82" s="10">
        <v>816076</v>
      </c>
      <c r="AK82" s="10">
        <v>817860</v>
      </c>
      <c r="AL82" s="10">
        <v>821604</v>
      </c>
      <c r="AM82" s="10">
        <v>827870</v>
      </c>
      <c r="AN82" s="10">
        <v>836190</v>
      </c>
      <c r="AO82" s="10">
        <v>845361</v>
      </c>
      <c r="AP82" s="10">
        <v>853637</v>
      </c>
      <c r="AQ82" s="10">
        <v>859818</v>
      </c>
      <c r="AR82" s="10">
        <v>863449</v>
      </c>
      <c r="AS82" s="10">
        <v>865069</v>
      </c>
      <c r="AT82" s="10">
        <v>865608</v>
      </c>
      <c r="AU82" s="10">
        <v>866453</v>
      </c>
      <c r="AV82" s="10">
        <v>868627</v>
      </c>
      <c r="AW82" s="10">
        <v>872399</v>
      </c>
      <c r="AX82" s="10">
        <v>877459</v>
      </c>
      <c r="AY82" s="10">
        <v>883483</v>
      </c>
      <c r="AZ82" s="10">
        <v>889953</v>
      </c>
    </row>
    <row r="83" spans="1:52" x14ac:dyDescent="0.45">
      <c r="A83" t="s">
        <v>184</v>
      </c>
      <c r="B83" t="s">
        <v>212</v>
      </c>
      <c r="C83" s="10">
        <v>51151</v>
      </c>
      <c r="D83" s="10">
        <v>51980</v>
      </c>
      <c r="E83" s="10">
        <v>52780</v>
      </c>
      <c r="F83" s="10">
        <v>53553</v>
      </c>
      <c r="G83" s="10">
        <v>54333</v>
      </c>
      <c r="H83" s="10">
        <v>55114</v>
      </c>
      <c r="I83" s="10">
        <v>55924</v>
      </c>
      <c r="J83" s="10">
        <v>56764</v>
      </c>
      <c r="K83" s="10">
        <v>57618</v>
      </c>
      <c r="L83" s="10">
        <v>58461</v>
      </c>
      <c r="M83" s="10">
        <v>59301</v>
      </c>
      <c r="N83" s="10">
        <v>60104</v>
      </c>
      <c r="O83" s="10">
        <v>60887</v>
      </c>
      <c r="P83" s="10">
        <v>61733</v>
      </c>
      <c r="Q83" s="10">
        <v>62744</v>
      </c>
      <c r="R83" s="10">
        <v>63986</v>
      </c>
      <c r="S83" s="10">
        <v>65505</v>
      </c>
      <c r="T83" s="10">
        <v>67248</v>
      </c>
      <c r="U83" s="10">
        <v>69089</v>
      </c>
      <c r="V83" s="10">
        <v>70853</v>
      </c>
      <c r="W83" s="10">
        <v>72400</v>
      </c>
      <c r="X83" s="10">
        <v>73692</v>
      </c>
      <c r="Y83" s="10">
        <v>74766</v>
      </c>
      <c r="Z83" s="10">
        <v>75716</v>
      </c>
      <c r="AA83" s="10">
        <v>76670</v>
      </c>
      <c r="AB83" s="10">
        <v>77723</v>
      </c>
      <c r="AC83" s="10">
        <v>78903</v>
      </c>
      <c r="AD83" s="10">
        <v>80187</v>
      </c>
      <c r="AE83" s="10">
        <v>81556</v>
      </c>
      <c r="AF83" s="10">
        <v>82972</v>
      </c>
      <c r="AG83" s="10">
        <v>84396</v>
      </c>
      <c r="AH83" s="10">
        <v>85849</v>
      </c>
      <c r="AI83" s="10">
        <v>87305</v>
      </c>
      <c r="AJ83" s="10">
        <v>88835</v>
      </c>
      <c r="AK83" s="10">
        <v>90499</v>
      </c>
      <c r="AL83" s="10">
        <v>92325</v>
      </c>
      <c r="AM83" s="10">
        <v>94343</v>
      </c>
      <c r="AN83" s="10">
        <v>96527</v>
      </c>
      <c r="AO83" s="10">
        <v>98761</v>
      </c>
      <c r="AP83" s="10">
        <v>100930</v>
      </c>
      <c r="AQ83" s="10">
        <v>102927</v>
      </c>
      <c r="AR83" s="10">
        <v>104728</v>
      </c>
      <c r="AS83" s="10">
        <v>106370</v>
      </c>
      <c r="AT83" s="10">
        <v>107890</v>
      </c>
      <c r="AU83" s="10">
        <v>109391</v>
      </c>
      <c r="AV83" s="10">
        <v>110930</v>
      </c>
      <c r="AW83" s="10">
        <v>112524</v>
      </c>
      <c r="AX83" s="10">
        <v>114158</v>
      </c>
      <c r="AY83" s="10">
        <v>115847</v>
      </c>
      <c r="AZ83" s="10">
        <v>117606</v>
      </c>
    </row>
    <row r="84" spans="1:52" x14ac:dyDescent="0.45">
      <c r="A84" t="s">
        <v>184</v>
      </c>
      <c r="B84" t="s">
        <v>213</v>
      </c>
      <c r="C84" s="10">
        <v>2810700</v>
      </c>
      <c r="D84" s="10">
        <v>2853000</v>
      </c>
      <c r="E84" s="10">
        <v>2903900</v>
      </c>
      <c r="F84" s="10">
        <v>2961300</v>
      </c>
      <c r="G84" s="10">
        <v>3023700</v>
      </c>
      <c r="H84" s="10">
        <v>3083100</v>
      </c>
      <c r="I84" s="10">
        <v>3110500</v>
      </c>
      <c r="J84" s="10">
        <v>3120200</v>
      </c>
      <c r="K84" s="10">
        <v>3121200</v>
      </c>
      <c r="L84" s="10">
        <v>3109000</v>
      </c>
      <c r="M84" s="10">
        <v>3112900</v>
      </c>
      <c r="N84" s="10">
        <v>3124900</v>
      </c>
      <c r="O84" s="10">
        <v>3156100</v>
      </c>
      <c r="P84" s="10">
        <v>3199300</v>
      </c>
      <c r="Q84" s="10">
        <v>3227100</v>
      </c>
      <c r="R84" s="10">
        <v>3247100</v>
      </c>
      <c r="S84" s="10">
        <v>3246300</v>
      </c>
      <c r="T84" s="10">
        <v>3274400</v>
      </c>
      <c r="U84" s="10">
        <v>3283400</v>
      </c>
      <c r="V84" s="10">
        <v>3299200</v>
      </c>
      <c r="W84" s="10">
        <v>3329800</v>
      </c>
      <c r="X84" s="10">
        <v>3495100</v>
      </c>
      <c r="Y84" s="10">
        <v>3531700</v>
      </c>
      <c r="Z84" s="10">
        <v>3572200</v>
      </c>
      <c r="AA84" s="10">
        <v>3620000</v>
      </c>
      <c r="AB84" s="10">
        <v>3673400</v>
      </c>
      <c r="AC84" s="10">
        <v>3732000</v>
      </c>
      <c r="AD84" s="10">
        <v>3781300</v>
      </c>
      <c r="AE84" s="10">
        <v>3815000</v>
      </c>
      <c r="AF84" s="10">
        <v>3835100</v>
      </c>
      <c r="AG84" s="10">
        <v>3857700</v>
      </c>
      <c r="AH84" s="10">
        <v>3880500</v>
      </c>
      <c r="AI84" s="10">
        <v>3948500</v>
      </c>
      <c r="AJ84" s="10">
        <v>4027200</v>
      </c>
      <c r="AK84" s="10">
        <v>4087500</v>
      </c>
      <c r="AL84" s="10">
        <v>4133900</v>
      </c>
      <c r="AM84" s="10">
        <v>4184600</v>
      </c>
      <c r="AN84" s="10">
        <v>4223800</v>
      </c>
      <c r="AO84" s="10">
        <v>4259800</v>
      </c>
      <c r="AP84" s="10">
        <v>4302600</v>
      </c>
      <c r="AQ84" s="10">
        <v>4350700</v>
      </c>
      <c r="AR84" s="10">
        <v>4384000</v>
      </c>
      <c r="AS84" s="10">
        <v>4408100</v>
      </c>
      <c r="AT84" s="10">
        <v>4442100</v>
      </c>
      <c r="AU84" s="10">
        <v>4509700</v>
      </c>
      <c r="AV84" s="10">
        <v>4595700</v>
      </c>
      <c r="AW84" s="10">
        <v>4693200</v>
      </c>
      <c r="AX84" s="10">
        <v>4793900</v>
      </c>
      <c r="AY84" s="10">
        <v>4841000</v>
      </c>
      <c r="AZ84" s="10">
        <v>4917000</v>
      </c>
    </row>
    <row r="85" spans="1:52" x14ac:dyDescent="0.45">
      <c r="A85" t="s">
        <v>184</v>
      </c>
      <c r="B85" t="s">
        <v>141</v>
      </c>
      <c r="C85" s="10">
        <v>2783121</v>
      </c>
      <c r="D85" s="10">
        <v>2849532</v>
      </c>
      <c r="E85" s="10">
        <v>2918139</v>
      </c>
      <c r="F85" s="10">
        <v>2989202</v>
      </c>
      <c r="G85" s="10">
        <v>3063049</v>
      </c>
      <c r="H85" s="10">
        <v>3139945</v>
      </c>
      <c r="I85" s="10">
        <v>3219829</v>
      </c>
      <c r="J85" s="10">
        <v>3302633</v>
      </c>
      <c r="K85" s="10">
        <v>3388618</v>
      </c>
      <c r="L85" s="10">
        <v>3478100</v>
      </c>
      <c r="M85" s="10">
        <v>3571205</v>
      </c>
      <c r="N85" s="10">
        <v>3668104</v>
      </c>
      <c r="O85" s="10">
        <v>3768483</v>
      </c>
      <c r="P85" s="10">
        <v>3871492</v>
      </c>
      <c r="Q85" s="10">
        <v>3975956</v>
      </c>
      <c r="R85" s="10">
        <v>4081030</v>
      </c>
      <c r="S85" s="10">
        <v>4186499</v>
      </c>
      <c r="T85" s="10">
        <v>4292563</v>
      </c>
      <c r="U85" s="10">
        <v>4399324</v>
      </c>
      <c r="V85" s="10">
        <v>4506991</v>
      </c>
      <c r="W85" s="10">
        <v>4615839</v>
      </c>
      <c r="X85" s="10">
        <v>4725547</v>
      </c>
      <c r="Y85" s="10">
        <v>4836217</v>
      </c>
      <c r="Z85" s="10">
        <v>4949051</v>
      </c>
      <c r="AA85" s="10">
        <v>5065661</v>
      </c>
      <c r="AB85" s="10">
        <v>5187060</v>
      </c>
      <c r="AC85" s="10">
        <v>5314248</v>
      </c>
      <c r="AD85" s="10">
        <v>5446641</v>
      </c>
      <c r="AE85" s="10">
        <v>5581762</v>
      </c>
      <c r="AF85" s="10">
        <v>5716161</v>
      </c>
      <c r="AG85" s="10">
        <v>5847586</v>
      </c>
      <c r="AH85" s="10">
        <v>5974629</v>
      </c>
      <c r="AI85" s="10">
        <v>6098621</v>
      </c>
      <c r="AJ85" s="10">
        <v>6223377</v>
      </c>
      <c r="AK85" s="10">
        <v>6354245</v>
      </c>
      <c r="AL85" s="10">
        <v>6494903</v>
      </c>
      <c r="AM85" s="10">
        <v>6646895</v>
      </c>
      <c r="AN85" s="10">
        <v>6808514</v>
      </c>
      <c r="AO85" s="10">
        <v>6976201</v>
      </c>
      <c r="AP85" s="10">
        <v>7144776</v>
      </c>
      <c r="AQ85" s="10">
        <v>7310507</v>
      </c>
      <c r="AR85" s="10">
        <v>7472200</v>
      </c>
      <c r="AS85" s="10">
        <v>7631002</v>
      </c>
      <c r="AT85" s="10">
        <v>7788379</v>
      </c>
      <c r="AU85" s="10">
        <v>7946731</v>
      </c>
      <c r="AV85" s="10">
        <v>8107775</v>
      </c>
      <c r="AW85" s="10">
        <v>8271760</v>
      </c>
      <c r="AX85" s="10">
        <v>8438029</v>
      </c>
      <c r="AY85" s="10">
        <v>8606316</v>
      </c>
      <c r="AZ85" s="10">
        <v>8776109</v>
      </c>
    </row>
    <row r="86" spans="1:52" x14ac:dyDescent="0.45">
      <c r="A86" t="s">
        <v>190</v>
      </c>
      <c r="B86" t="s">
        <v>102</v>
      </c>
      <c r="C86" s="10">
        <v>64232480</v>
      </c>
      <c r="D86" s="10">
        <v>65531632</v>
      </c>
      <c r="E86" s="10">
        <v>66625704</v>
      </c>
      <c r="F86" s="10">
        <v>67637528</v>
      </c>
      <c r="G86" s="10">
        <v>68742232</v>
      </c>
      <c r="H86" s="10">
        <v>70066304</v>
      </c>
      <c r="I86" s="10">
        <v>71652384</v>
      </c>
      <c r="J86" s="10">
        <v>73463584</v>
      </c>
      <c r="K86" s="10">
        <v>75450032</v>
      </c>
      <c r="L86" s="10">
        <v>77529048</v>
      </c>
      <c r="M86" s="10">
        <v>79639488</v>
      </c>
      <c r="N86" s="10">
        <v>81767512</v>
      </c>
      <c r="O86" s="10">
        <v>83932128</v>
      </c>
      <c r="P86" s="10">
        <v>86142496</v>
      </c>
      <c r="Q86" s="10">
        <v>88416520</v>
      </c>
      <c r="R86" s="10">
        <v>90764184</v>
      </c>
      <c r="S86" s="10">
        <v>93187600</v>
      </c>
      <c r="T86" s="10">
        <v>95671160</v>
      </c>
      <c r="U86" s="10">
        <v>98186352</v>
      </c>
      <c r="V86" s="10">
        <v>100695496</v>
      </c>
      <c r="W86" s="10">
        <v>103171952</v>
      </c>
      <c r="X86" s="10">
        <v>105599128</v>
      </c>
      <c r="Y86" s="10">
        <v>107983704</v>
      </c>
      <c r="Z86" s="10">
        <v>110350640</v>
      </c>
      <c r="AA86" s="10">
        <v>112737680</v>
      </c>
      <c r="AB86" s="10">
        <v>115169928</v>
      </c>
      <c r="AC86" s="10">
        <v>117649936</v>
      </c>
      <c r="AD86" s="10">
        <v>120160560</v>
      </c>
      <c r="AE86" s="10">
        <v>122682816</v>
      </c>
      <c r="AF86" s="10">
        <v>125189648</v>
      </c>
      <c r="AG86" s="10">
        <v>127657856</v>
      </c>
      <c r="AH86" s="10">
        <v>130088704</v>
      </c>
      <c r="AI86" s="10">
        <v>132478088</v>
      </c>
      <c r="AJ86" s="10">
        <v>134791600</v>
      </c>
      <c r="AK86" s="10">
        <v>136986432</v>
      </c>
      <c r="AL86" s="10">
        <v>139035504</v>
      </c>
      <c r="AM86" s="10">
        <v>140921168</v>
      </c>
      <c r="AN86" s="10">
        <v>142660384</v>
      </c>
      <c r="AO86" s="10">
        <v>144304160</v>
      </c>
      <c r="AP86" s="10">
        <v>145924800</v>
      </c>
      <c r="AQ86" s="10">
        <v>147575424</v>
      </c>
      <c r="AR86" s="10">
        <v>149273776</v>
      </c>
      <c r="AS86" s="10">
        <v>151007808</v>
      </c>
      <c r="AT86" s="10">
        <v>152764672</v>
      </c>
      <c r="AU86" s="10">
        <v>154520160</v>
      </c>
      <c r="AV86" s="10">
        <v>156256272</v>
      </c>
      <c r="AW86" s="10">
        <v>157970848</v>
      </c>
      <c r="AX86" s="10">
        <v>159670592</v>
      </c>
      <c r="AY86" s="10">
        <v>161356032</v>
      </c>
      <c r="AZ86" s="10">
        <v>163046160</v>
      </c>
    </row>
    <row r="87" spans="1:52" x14ac:dyDescent="0.45">
      <c r="A87" t="s">
        <v>190</v>
      </c>
      <c r="B87" t="s">
        <v>128</v>
      </c>
      <c r="C87" s="10">
        <v>555189760</v>
      </c>
      <c r="D87" s="10">
        <v>567868032</v>
      </c>
      <c r="E87" s="10">
        <v>581087232</v>
      </c>
      <c r="F87" s="10">
        <v>594770112</v>
      </c>
      <c r="G87" s="10">
        <v>608802624</v>
      </c>
      <c r="H87" s="10">
        <v>623102912</v>
      </c>
      <c r="I87" s="10">
        <v>637630080</v>
      </c>
      <c r="J87" s="10">
        <v>652408768</v>
      </c>
      <c r="K87" s="10">
        <v>667499776</v>
      </c>
      <c r="L87" s="10">
        <v>682995328</v>
      </c>
      <c r="M87" s="10">
        <v>698952832</v>
      </c>
      <c r="N87" s="10">
        <v>715385024</v>
      </c>
      <c r="O87" s="10">
        <v>732239488</v>
      </c>
      <c r="P87" s="10">
        <v>749428928</v>
      </c>
      <c r="Q87" s="10">
        <v>766833408</v>
      </c>
      <c r="R87" s="10">
        <v>784360000</v>
      </c>
      <c r="S87" s="10">
        <v>801975232</v>
      </c>
      <c r="T87" s="10">
        <v>819682112</v>
      </c>
      <c r="U87" s="10">
        <v>837468928</v>
      </c>
      <c r="V87" s="10">
        <v>855334656</v>
      </c>
      <c r="W87" s="10">
        <v>873277824</v>
      </c>
      <c r="X87" s="10">
        <v>891273216</v>
      </c>
      <c r="Y87" s="10">
        <v>909307008</v>
      </c>
      <c r="Z87" s="10">
        <v>927403840</v>
      </c>
      <c r="AA87" s="10">
        <v>945601856</v>
      </c>
      <c r="AB87" s="10">
        <v>963922560</v>
      </c>
      <c r="AC87" s="10">
        <v>982365248</v>
      </c>
      <c r="AD87" s="10">
        <v>1000900032</v>
      </c>
      <c r="AE87" s="10">
        <v>1019483584</v>
      </c>
      <c r="AF87" s="10">
        <v>1038058176</v>
      </c>
      <c r="AG87" s="10">
        <v>1056575552</v>
      </c>
      <c r="AH87" s="10">
        <v>1075000064</v>
      </c>
      <c r="AI87" s="10">
        <v>1093317248</v>
      </c>
      <c r="AJ87" s="10">
        <v>1111523200</v>
      </c>
      <c r="AK87" s="10">
        <v>1129623424</v>
      </c>
      <c r="AL87" s="10">
        <v>1147609984</v>
      </c>
      <c r="AM87" s="10">
        <v>1165486336</v>
      </c>
      <c r="AN87" s="10">
        <v>1183209472</v>
      </c>
      <c r="AO87" s="10">
        <v>1200669824</v>
      </c>
      <c r="AP87" s="10">
        <v>1217726208</v>
      </c>
      <c r="AQ87" s="10">
        <v>1234281216</v>
      </c>
      <c r="AR87" s="10">
        <v>1250288768</v>
      </c>
      <c r="AS87" s="10">
        <v>1265782784</v>
      </c>
      <c r="AT87" s="10">
        <v>1280846080</v>
      </c>
      <c r="AU87" s="10">
        <v>1295604224</v>
      </c>
      <c r="AV87" s="10">
        <v>1310152448</v>
      </c>
      <c r="AW87" s="10">
        <v>1324509568</v>
      </c>
      <c r="AX87" s="10">
        <v>1338658816</v>
      </c>
      <c r="AY87" s="10">
        <v>1352617344</v>
      </c>
      <c r="AZ87" s="10">
        <v>1366417792</v>
      </c>
    </row>
    <row r="88" spans="1:52" x14ac:dyDescent="0.45">
      <c r="A88" t="s">
        <v>190</v>
      </c>
      <c r="B88" t="s">
        <v>135</v>
      </c>
      <c r="C88" s="10">
        <v>12074626</v>
      </c>
      <c r="D88" s="10">
        <v>12323982</v>
      </c>
      <c r="E88" s="10">
        <v>12583140</v>
      </c>
      <c r="F88" s="10">
        <v>12852206</v>
      </c>
      <c r="G88" s="10">
        <v>13131260</v>
      </c>
      <c r="H88" s="10">
        <v>13420369</v>
      </c>
      <c r="I88" s="10">
        <v>13719471</v>
      </c>
      <c r="J88" s="10">
        <v>14028536</v>
      </c>
      <c r="K88" s="10">
        <v>14347641</v>
      </c>
      <c r="L88" s="10">
        <v>14676929</v>
      </c>
      <c r="M88" s="10">
        <v>15016402</v>
      </c>
      <c r="N88" s="10">
        <v>15367230</v>
      </c>
      <c r="O88" s="10">
        <v>15729431</v>
      </c>
      <c r="P88" s="10">
        <v>16100617</v>
      </c>
      <c r="Q88" s="10">
        <v>16477473</v>
      </c>
      <c r="R88" s="10">
        <v>16858310</v>
      </c>
      <c r="S88" s="10">
        <v>17239672</v>
      </c>
      <c r="T88" s="10">
        <v>17623692</v>
      </c>
      <c r="U88" s="10">
        <v>18020752</v>
      </c>
      <c r="V88" s="10">
        <v>18445028</v>
      </c>
      <c r="W88" s="10">
        <v>18905478</v>
      </c>
      <c r="X88" s="10">
        <v>19405504</v>
      </c>
      <c r="Y88" s="10">
        <v>19938320</v>
      </c>
      <c r="Z88" s="10">
        <v>20489976</v>
      </c>
      <c r="AA88" s="10">
        <v>21040904</v>
      </c>
      <c r="AB88" s="10">
        <v>21576072</v>
      </c>
      <c r="AC88" s="10">
        <v>22090352</v>
      </c>
      <c r="AD88" s="10">
        <v>22584776</v>
      </c>
      <c r="AE88" s="10">
        <v>23057884</v>
      </c>
      <c r="AF88" s="10">
        <v>23509964</v>
      </c>
      <c r="AG88" s="10">
        <v>23941110</v>
      </c>
      <c r="AH88" s="10">
        <v>24347106</v>
      </c>
      <c r="AI88" s="10">
        <v>24725628</v>
      </c>
      <c r="AJ88" s="10">
        <v>25080872</v>
      </c>
      <c r="AK88" s="10">
        <v>25419344</v>
      </c>
      <c r="AL88" s="10">
        <v>25744500</v>
      </c>
      <c r="AM88" s="10">
        <v>26066692</v>
      </c>
      <c r="AN88" s="10">
        <v>26382580</v>
      </c>
      <c r="AO88" s="10">
        <v>26666576</v>
      </c>
      <c r="AP88" s="10">
        <v>26883536</v>
      </c>
      <c r="AQ88" s="10">
        <v>27013212</v>
      </c>
      <c r="AR88" s="10">
        <v>27041436</v>
      </c>
      <c r="AS88" s="10">
        <v>26989862</v>
      </c>
      <c r="AT88" s="10">
        <v>26917906</v>
      </c>
      <c r="AU88" s="10">
        <v>26906926</v>
      </c>
      <c r="AV88" s="10">
        <v>27015032</v>
      </c>
      <c r="AW88" s="10">
        <v>27261132</v>
      </c>
      <c r="AX88" s="10">
        <v>27627124</v>
      </c>
      <c r="AY88" s="10">
        <v>28087872</v>
      </c>
      <c r="AZ88" s="10">
        <v>28608710</v>
      </c>
    </row>
    <row r="89" spans="1:52" x14ac:dyDescent="0.45">
      <c r="A89" t="s">
        <v>190</v>
      </c>
      <c r="B89" t="s">
        <v>139</v>
      </c>
      <c r="C89" s="10">
        <v>58142060</v>
      </c>
      <c r="D89" s="10">
        <v>59734480</v>
      </c>
      <c r="E89" s="10">
        <v>61381988</v>
      </c>
      <c r="F89" s="10">
        <v>63099408</v>
      </c>
      <c r="G89" s="10">
        <v>64906000</v>
      </c>
      <c r="H89" s="10">
        <v>66816876</v>
      </c>
      <c r="I89" s="10">
        <v>68834328</v>
      </c>
      <c r="J89" s="10">
        <v>70958168</v>
      </c>
      <c r="K89" s="10">
        <v>73197256</v>
      </c>
      <c r="L89" s="10">
        <v>75561128</v>
      </c>
      <c r="M89" s="10">
        <v>78054344</v>
      </c>
      <c r="N89" s="10">
        <v>80680456</v>
      </c>
      <c r="O89" s="10">
        <v>83431608</v>
      </c>
      <c r="P89" s="10">
        <v>86285936</v>
      </c>
      <c r="Q89" s="10">
        <v>89213704</v>
      </c>
      <c r="R89" s="10">
        <v>92191512</v>
      </c>
      <c r="S89" s="10">
        <v>95215376</v>
      </c>
      <c r="T89" s="10">
        <v>98285752</v>
      </c>
      <c r="U89" s="10">
        <v>101389600</v>
      </c>
      <c r="V89" s="10">
        <v>104512880</v>
      </c>
      <c r="W89" s="10">
        <v>107647920</v>
      </c>
      <c r="X89" s="10">
        <v>110778648</v>
      </c>
      <c r="Y89" s="10">
        <v>113911128</v>
      </c>
      <c r="Z89" s="10">
        <v>117086688</v>
      </c>
      <c r="AA89" s="10">
        <v>120362760</v>
      </c>
      <c r="AB89" s="10">
        <v>123776840</v>
      </c>
      <c r="AC89" s="10">
        <v>127349288</v>
      </c>
      <c r="AD89" s="10">
        <v>131057432</v>
      </c>
      <c r="AE89" s="10">
        <v>134843232</v>
      </c>
      <c r="AF89" s="10">
        <v>138624624</v>
      </c>
      <c r="AG89" s="10">
        <v>142343584</v>
      </c>
      <c r="AH89" s="10">
        <v>145978400</v>
      </c>
      <c r="AI89" s="10">
        <v>149549696</v>
      </c>
      <c r="AJ89" s="10">
        <v>153093376</v>
      </c>
      <c r="AK89" s="10">
        <v>156664704</v>
      </c>
      <c r="AL89" s="10">
        <v>160304000</v>
      </c>
      <c r="AM89" s="10">
        <v>164022624</v>
      </c>
      <c r="AN89" s="10">
        <v>167808112</v>
      </c>
      <c r="AO89" s="10">
        <v>171648992</v>
      </c>
      <c r="AP89" s="10">
        <v>175525616</v>
      </c>
      <c r="AQ89" s="10">
        <v>179424640</v>
      </c>
      <c r="AR89" s="10">
        <v>183340592</v>
      </c>
      <c r="AS89" s="10">
        <v>187281472</v>
      </c>
      <c r="AT89" s="10">
        <v>191262912</v>
      </c>
      <c r="AU89" s="10">
        <v>195306832</v>
      </c>
      <c r="AV89" s="10">
        <v>199426960</v>
      </c>
      <c r="AW89" s="10">
        <v>203627280</v>
      </c>
      <c r="AX89" s="10">
        <v>207896688</v>
      </c>
      <c r="AY89" s="10">
        <v>212215024</v>
      </c>
      <c r="AZ89" s="10">
        <v>216565312</v>
      </c>
    </row>
    <row r="90" spans="1:52" x14ac:dyDescent="0.45">
      <c r="A90" t="s">
        <v>190</v>
      </c>
      <c r="B90" t="s">
        <v>214</v>
      </c>
      <c r="C90" s="10">
        <v>12485740</v>
      </c>
      <c r="D90" s="10">
        <v>12747821</v>
      </c>
      <c r="E90" s="10">
        <v>13002231</v>
      </c>
      <c r="F90" s="10">
        <v>13252036</v>
      </c>
      <c r="G90" s="10">
        <v>13501935</v>
      </c>
      <c r="H90" s="10">
        <v>13755146</v>
      </c>
      <c r="I90" s="10">
        <v>14012899</v>
      </c>
      <c r="J90" s="10">
        <v>14273495</v>
      </c>
      <c r="K90" s="10">
        <v>14533690</v>
      </c>
      <c r="L90" s="10">
        <v>14788862</v>
      </c>
      <c r="M90" s="10">
        <v>15035834</v>
      </c>
      <c r="N90" s="10">
        <v>15272831</v>
      </c>
      <c r="O90" s="10">
        <v>15501207</v>
      </c>
      <c r="P90" s="10">
        <v>15724651</v>
      </c>
      <c r="Q90" s="10">
        <v>15948487</v>
      </c>
      <c r="R90" s="10">
        <v>16176280</v>
      </c>
      <c r="S90" s="10">
        <v>16408859</v>
      </c>
      <c r="T90" s="10">
        <v>16643952</v>
      </c>
      <c r="U90" s="10">
        <v>16878188</v>
      </c>
      <c r="V90" s="10">
        <v>17106752</v>
      </c>
      <c r="W90" s="10">
        <v>17325772</v>
      </c>
      <c r="X90" s="10">
        <v>17535728</v>
      </c>
      <c r="Y90" s="10">
        <v>17736820</v>
      </c>
      <c r="Z90" s="10">
        <v>17924824</v>
      </c>
      <c r="AA90" s="10">
        <v>18094476</v>
      </c>
      <c r="AB90" s="10">
        <v>18242912</v>
      </c>
      <c r="AC90" s="10">
        <v>18367288</v>
      </c>
      <c r="AD90" s="10">
        <v>18470900</v>
      </c>
      <c r="AE90" s="10">
        <v>18564600</v>
      </c>
      <c r="AF90" s="10">
        <v>18663284</v>
      </c>
      <c r="AG90" s="10">
        <v>18777600</v>
      </c>
      <c r="AH90" s="10">
        <v>18911730</v>
      </c>
      <c r="AI90" s="10">
        <v>19062482</v>
      </c>
      <c r="AJ90" s="10">
        <v>19224036</v>
      </c>
      <c r="AK90" s="10">
        <v>19387152</v>
      </c>
      <c r="AL90" s="10">
        <v>19544988</v>
      </c>
      <c r="AM90" s="10">
        <v>19695972</v>
      </c>
      <c r="AN90" s="10">
        <v>19842044</v>
      </c>
      <c r="AO90" s="10">
        <v>19983984</v>
      </c>
      <c r="AP90" s="10">
        <v>20123508</v>
      </c>
      <c r="AQ90" s="10">
        <v>20261736</v>
      </c>
      <c r="AR90" s="10">
        <v>20398670</v>
      </c>
      <c r="AS90" s="10">
        <v>20425000</v>
      </c>
      <c r="AT90" s="10">
        <v>20585000</v>
      </c>
      <c r="AU90" s="10">
        <v>20778000</v>
      </c>
      <c r="AV90" s="10">
        <v>20970000</v>
      </c>
      <c r="AW90" s="10">
        <v>21203000</v>
      </c>
      <c r="AX90" s="10">
        <v>21444000</v>
      </c>
      <c r="AY90" s="10">
        <v>21670000</v>
      </c>
      <c r="AZ90" s="10">
        <v>21803000</v>
      </c>
    </row>
    <row r="91" spans="1:52" x14ac:dyDescent="0.45">
      <c r="A91" t="s">
        <v>191</v>
      </c>
      <c r="B91" t="s">
        <v>104</v>
      </c>
      <c r="C91" s="10">
        <v>2912340</v>
      </c>
      <c r="D91" s="10">
        <v>2976572</v>
      </c>
      <c r="E91" s="10">
        <v>3043567</v>
      </c>
      <c r="F91" s="10">
        <v>3113675</v>
      </c>
      <c r="G91" s="10">
        <v>3187412</v>
      </c>
      <c r="H91" s="10">
        <v>3265165</v>
      </c>
      <c r="I91" s="10">
        <v>3347173</v>
      </c>
      <c r="J91" s="10">
        <v>3433439</v>
      </c>
      <c r="K91" s="10">
        <v>3523938</v>
      </c>
      <c r="L91" s="10">
        <v>3618526</v>
      </c>
      <c r="M91" s="10">
        <v>3717165</v>
      </c>
      <c r="N91" s="10">
        <v>3820128</v>
      </c>
      <c r="O91" s="10">
        <v>3927714</v>
      </c>
      <c r="P91" s="10">
        <v>4039949</v>
      </c>
      <c r="Q91" s="10">
        <v>4156819</v>
      </c>
      <c r="R91" s="10">
        <v>4278501</v>
      </c>
      <c r="S91" s="10">
        <v>4404506</v>
      </c>
      <c r="T91" s="10">
        <v>4535263</v>
      </c>
      <c r="U91" s="10">
        <v>4672852</v>
      </c>
      <c r="V91" s="10">
        <v>4820016</v>
      </c>
      <c r="W91" s="10">
        <v>4978496</v>
      </c>
      <c r="X91" s="10">
        <v>5149499</v>
      </c>
      <c r="Y91" s="10">
        <v>5331803</v>
      </c>
      <c r="Z91" s="10">
        <v>5521763</v>
      </c>
      <c r="AA91" s="10">
        <v>5714220</v>
      </c>
      <c r="AB91" s="10">
        <v>5905558</v>
      </c>
      <c r="AC91" s="10">
        <v>6094259</v>
      </c>
      <c r="AD91" s="10">
        <v>6281639</v>
      </c>
      <c r="AE91" s="10">
        <v>6470265</v>
      </c>
      <c r="AF91" s="10">
        <v>6664098</v>
      </c>
      <c r="AG91" s="10">
        <v>6865951</v>
      </c>
      <c r="AH91" s="10">
        <v>7076733</v>
      </c>
      <c r="AI91" s="10">
        <v>7295394</v>
      </c>
      <c r="AJ91" s="10">
        <v>7520555</v>
      </c>
      <c r="AK91" s="10">
        <v>7750004</v>
      </c>
      <c r="AL91" s="10">
        <v>7982225</v>
      </c>
      <c r="AM91" s="10">
        <v>8216897</v>
      </c>
      <c r="AN91" s="10">
        <v>8454793</v>
      </c>
      <c r="AO91" s="10">
        <v>8696921</v>
      </c>
      <c r="AP91" s="10">
        <v>8944708</v>
      </c>
      <c r="AQ91" s="10">
        <v>9199259</v>
      </c>
      <c r="AR91" s="10">
        <v>9460830</v>
      </c>
      <c r="AS91" s="10">
        <v>9729248</v>
      </c>
      <c r="AT91" s="10">
        <v>10004588</v>
      </c>
      <c r="AU91" s="10">
        <v>10286842</v>
      </c>
      <c r="AV91" s="10">
        <v>10575952</v>
      </c>
      <c r="AW91" s="10">
        <v>10872067</v>
      </c>
      <c r="AX91" s="10">
        <v>11175204</v>
      </c>
      <c r="AY91" s="10">
        <v>11485048</v>
      </c>
      <c r="AZ91" s="10">
        <v>11801151</v>
      </c>
    </row>
    <row r="92" spans="1:52" x14ac:dyDescent="0.45">
      <c r="A92" t="s">
        <v>191</v>
      </c>
      <c r="B92" t="s">
        <v>106</v>
      </c>
      <c r="C92" s="10">
        <v>627715</v>
      </c>
      <c r="D92" s="10">
        <v>646347</v>
      </c>
      <c r="E92" s="10">
        <v>667092</v>
      </c>
      <c r="F92" s="10">
        <v>689912</v>
      </c>
      <c r="G92" s="10">
        <v>714712</v>
      </c>
      <c r="H92" s="10">
        <v>741355</v>
      </c>
      <c r="I92" s="10">
        <v>769979</v>
      </c>
      <c r="J92" s="10">
        <v>800529</v>
      </c>
      <c r="K92" s="10">
        <v>832467</v>
      </c>
      <c r="L92" s="10">
        <v>865075</v>
      </c>
      <c r="M92" s="10">
        <v>897868</v>
      </c>
      <c r="N92" s="10">
        <v>930408</v>
      </c>
      <c r="O92" s="10">
        <v>962875</v>
      </c>
      <c r="P92" s="10">
        <v>996130</v>
      </c>
      <c r="Q92" s="10">
        <v>1031439</v>
      </c>
      <c r="R92" s="10">
        <v>1069582</v>
      </c>
      <c r="S92" s="10">
        <v>1110943</v>
      </c>
      <c r="T92" s="10">
        <v>1154906</v>
      </c>
      <c r="U92" s="10">
        <v>1200067</v>
      </c>
      <c r="V92" s="10">
        <v>1244484</v>
      </c>
      <c r="W92" s="10">
        <v>1286756</v>
      </c>
      <c r="X92" s="10">
        <v>1326322</v>
      </c>
      <c r="Y92" s="10">
        <v>1363554</v>
      </c>
      <c r="Z92" s="10">
        <v>1399110</v>
      </c>
      <c r="AA92" s="10">
        <v>1434059</v>
      </c>
      <c r="AB92" s="10">
        <v>1469174</v>
      </c>
      <c r="AC92" s="10">
        <v>1504730</v>
      </c>
      <c r="AD92" s="10">
        <v>1540425</v>
      </c>
      <c r="AE92" s="10">
        <v>1575824</v>
      </c>
      <c r="AF92" s="10">
        <v>1610264</v>
      </c>
      <c r="AG92" s="10">
        <v>1643334</v>
      </c>
      <c r="AH92" s="10">
        <v>1674678</v>
      </c>
      <c r="AI92" s="10">
        <v>1704642</v>
      </c>
      <c r="AJ92" s="10">
        <v>1734398</v>
      </c>
      <c r="AK92" s="10">
        <v>1765527</v>
      </c>
      <c r="AL92" s="10">
        <v>1799078</v>
      </c>
      <c r="AM92" s="10">
        <v>1835908</v>
      </c>
      <c r="AN92" s="10">
        <v>1875459</v>
      </c>
      <c r="AO92" s="10">
        <v>1915639</v>
      </c>
      <c r="AP92" s="10">
        <v>1953498</v>
      </c>
      <c r="AQ92" s="10">
        <v>1987105</v>
      </c>
      <c r="AR92" s="10">
        <v>2015402</v>
      </c>
      <c r="AS92" s="10">
        <v>2039551</v>
      </c>
      <c r="AT92" s="10">
        <v>2062536</v>
      </c>
      <c r="AU92" s="10">
        <v>2088614</v>
      </c>
      <c r="AV92" s="10">
        <v>2120716</v>
      </c>
      <c r="AW92" s="10">
        <v>2159944</v>
      </c>
      <c r="AX92" s="10">
        <v>2205128</v>
      </c>
      <c r="AY92" s="10">
        <v>2254126</v>
      </c>
      <c r="AZ92" s="10">
        <v>2303697</v>
      </c>
    </row>
    <row r="93" spans="1:52" x14ac:dyDescent="0.45">
      <c r="A93" t="s">
        <v>191</v>
      </c>
      <c r="B93" t="s">
        <v>108</v>
      </c>
      <c r="C93" s="10">
        <v>5624600</v>
      </c>
      <c r="D93" s="10">
        <v>5723381</v>
      </c>
      <c r="E93" s="10">
        <v>5825173</v>
      </c>
      <c r="F93" s="10">
        <v>5930483</v>
      </c>
      <c r="G93" s="10">
        <v>6040041</v>
      </c>
      <c r="H93" s="10">
        <v>6154545</v>
      </c>
      <c r="I93" s="10">
        <v>6274037</v>
      </c>
      <c r="J93" s="10">
        <v>6398935</v>
      </c>
      <c r="K93" s="10">
        <v>6530819</v>
      </c>
      <c r="L93" s="10">
        <v>6671656</v>
      </c>
      <c r="M93" s="10">
        <v>6822843</v>
      </c>
      <c r="N93" s="10">
        <v>6985160</v>
      </c>
      <c r="O93" s="10">
        <v>7158255</v>
      </c>
      <c r="P93" s="10">
        <v>7340905</v>
      </c>
      <c r="Q93" s="10">
        <v>7531242</v>
      </c>
      <c r="R93" s="10">
        <v>7727907</v>
      </c>
      <c r="S93" s="10">
        <v>7930694</v>
      </c>
      <c r="T93" s="10">
        <v>8140073</v>
      </c>
      <c r="U93" s="10">
        <v>8356305</v>
      </c>
      <c r="V93" s="10">
        <v>8579823</v>
      </c>
      <c r="W93" s="10">
        <v>8811034</v>
      </c>
      <c r="X93" s="10">
        <v>9050084</v>
      </c>
      <c r="Y93" s="10">
        <v>9297113</v>
      </c>
      <c r="Z93" s="10">
        <v>9552476</v>
      </c>
      <c r="AA93" s="10">
        <v>9816588</v>
      </c>
      <c r="AB93" s="10">
        <v>10089878</v>
      </c>
      <c r="AC93" s="10">
        <v>10372745</v>
      </c>
      <c r="AD93" s="10">
        <v>10665546</v>
      </c>
      <c r="AE93" s="10">
        <v>10968724</v>
      </c>
      <c r="AF93" s="10">
        <v>11282701</v>
      </c>
      <c r="AG93" s="10">
        <v>11607942</v>
      </c>
      <c r="AH93" s="10">
        <v>11944587</v>
      </c>
      <c r="AI93" s="10">
        <v>12293100</v>
      </c>
      <c r="AJ93" s="10">
        <v>12654621</v>
      </c>
      <c r="AK93" s="10">
        <v>13030569</v>
      </c>
      <c r="AL93" s="10">
        <v>13421930</v>
      </c>
      <c r="AM93" s="10">
        <v>13829176</v>
      </c>
      <c r="AN93" s="10">
        <v>14252021</v>
      </c>
      <c r="AO93" s="10">
        <v>14689725</v>
      </c>
      <c r="AP93" s="10">
        <v>15141098</v>
      </c>
      <c r="AQ93" s="10">
        <v>15605217</v>
      </c>
      <c r="AR93" s="10">
        <v>16081911</v>
      </c>
      <c r="AS93" s="10">
        <v>16571246</v>
      </c>
      <c r="AT93" s="10">
        <v>17072776</v>
      </c>
      <c r="AU93" s="10">
        <v>17586016</v>
      </c>
      <c r="AV93" s="10">
        <v>18110624</v>
      </c>
      <c r="AW93" s="10">
        <v>18646378</v>
      </c>
      <c r="AX93" s="10">
        <v>19193284</v>
      </c>
      <c r="AY93" s="10">
        <v>19751536</v>
      </c>
      <c r="AZ93" s="10">
        <v>20321378</v>
      </c>
    </row>
    <row r="94" spans="1:52" x14ac:dyDescent="0.45">
      <c r="A94" t="s">
        <v>191</v>
      </c>
      <c r="B94" t="s">
        <v>109</v>
      </c>
      <c r="C94" s="10">
        <v>3479074</v>
      </c>
      <c r="D94" s="10">
        <v>3529997</v>
      </c>
      <c r="E94" s="10">
        <v>3569666</v>
      </c>
      <c r="F94" s="10">
        <v>3605126</v>
      </c>
      <c r="G94" s="10">
        <v>3646431</v>
      </c>
      <c r="H94" s="10">
        <v>3700880</v>
      </c>
      <c r="I94" s="10">
        <v>3770871</v>
      </c>
      <c r="J94" s="10">
        <v>3854445</v>
      </c>
      <c r="K94" s="10">
        <v>3949266</v>
      </c>
      <c r="L94" s="10">
        <v>4051234</v>
      </c>
      <c r="M94" s="10">
        <v>4157298</v>
      </c>
      <c r="N94" s="10">
        <v>4266520</v>
      </c>
      <c r="O94" s="10">
        <v>4379724</v>
      </c>
      <c r="P94" s="10">
        <v>4497533</v>
      </c>
      <c r="Q94" s="10">
        <v>4621103</v>
      </c>
      <c r="R94" s="10">
        <v>4750837</v>
      </c>
      <c r="S94" s="10">
        <v>4886743</v>
      </c>
      <c r="T94" s="10">
        <v>5027138</v>
      </c>
      <c r="U94" s="10">
        <v>5168698</v>
      </c>
      <c r="V94" s="10">
        <v>5307069</v>
      </c>
      <c r="W94" s="10">
        <v>5438957</v>
      </c>
      <c r="X94" s="10">
        <v>5564926</v>
      </c>
      <c r="Y94" s="10">
        <v>5685565</v>
      </c>
      <c r="Z94" s="10">
        <v>5798053</v>
      </c>
      <c r="AA94" s="10">
        <v>5898967</v>
      </c>
      <c r="AB94" s="10">
        <v>5987043</v>
      </c>
      <c r="AC94" s="10">
        <v>6060111</v>
      </c>
      <c r="AD94" s="10">
        <v>6122130</v>
      </c>
      <c r="AE94" s="10">
        <v>6185562</v>
      </c>
      <c r="AF94" s="10">
        <v>6267124</v>
      </c>
      <c r="AG94" s="10">
        <v>6378871</v>
      </c>
      <c r="AH94" s="10">
        <v>6525545</v>
      </c>
      <c r="AI94" s="10">
        <v>6704113</v>
      </c>
      <c r="AJ94" s="10">
        <v>6909154</v>
      </c>
      <c r="AK94" s="10">
        <v>7131693</v>
      </c>
      <c r="AL94" s="10">
        <v>7364862</v>
      </c>
      <c r="AM94" s="10">
        <v>7607849</v>
      </c>
      <c r="AN94" s="10">
        <v>7862214</v>
      </c>
      <c r="AO94" s="10">
        <v>8126102</v>
      </c>
      <c r="AP94" s="10">
        <v>8397668</v>
      </c>
      <c r="AQ94" s="10">
        <v>8675602</v>
      </c>
      <c r="AR94" s="10">
        <v>8958406</v>
      </c>
      <c r="AS94" s="10">
        <v>9245988</v>
      </c>
      <c r="AT94" s="10">
        <v>9540289</v>
      </c>
      <c r="AU94" s="10">
        <v>9844297</v>
      </c>
      <c r="AV94" s="10">
        <v>10160030</v>
      </c>
      <c r="AW94" s="10">
        <v>10487998</v>
      </c>
      <c r="AX94" s="10">
        <v>10827024</v>
      </c>
      <c r="AY94" s="10">
        <v>11175378</v>
      </c>
      <c r="AZ94" s="10">
        <v>11530580</v>
      </c>
    </row>
    <row r="95" spans="1:52" x14ac:dyDescent="0.45">
      <c r="A95" t="s">
        <v>191</v>
      </c>
      <c r="B95" t="s">
        <v>110</v>
      </c>
      <c r="C95" s="10">
        <v>6519762</v>
      </c>
      <c r="D95" s="10">
        <v>6689662</v>
      </c>
      <c r="E95" s="10">
        <v>6867178</v>
      </c>
      <c r="F95" s="10">
        <v>7052849</v>
      </c>
      <c r="G95" s="10">
        <v>7247287</v>
      </c>
      <c r="H95" s="10">
        <v>7451054</v>
      </c>
      <c r="I95" s="10">
        <v>7664406</v>
      </c>
      <c r="J95" s="10">
        <v>7887560</v>
      </c>
      <c r="K95" s="10">
        <v>8121084</v>
      </c>
      <c r="L95" s="10">
        <v>8365567</v>
      </c>
      <c r="M95" s="10">
        <v>8621406</v>
      </c>
      <c r="N95" s="10">
        <v>8888535</v>
      </c>
      <c r="O95" s="10">
        <v>9166816</v>
      </c>
      <c r="P95" s="10">
        <v>9456494</v>
      </c>
      <c r="Q95" s="10">
        <v>9757841</v>
      </c>
      <c r="R95" s="10">
        <v>10070806</v>
      </c>
      <c r="S95" s="10">
        <v>10395480</v>
      </c>
      <c r="T95" s="10">
        <v>10731064</v>
      </c>
      <c r="U95" s="10">
        <v>11075422</v>
      </c>
      <c r="V95" s="10">
        <v>11425800</v>
      </c>
      <c r="W95" s="10">
        <v>11780088</v>
      </c>
      <c r="X95" s="10">
        <v>12137912</v>
      </c>
      <c r="Y95" s="10">
        <v>12499499</v>
      </c>
      <c r="Z95" s="10">
        <v>12864090</v>
      </c>
      <c r="AA95" s="10">
        <v>13230984</v>
      </c>
      <c r="AB95" s="10">
        <v>13599988</v>
      </c>
      <c r="AC95" s="10">
        <v>13970813</v>
      </c>
      <c r="AD95" s="10">
        <v>14344449</v>
      </c>
      <c r="AE95" s="10">
        <v>14723768</v>
      </c>
      <c r="AF95" s="10">
        <v>15112592</v>
      </c>
      <c r="AG95" s="10">
        <v>15513945</v>
      </c>
      <c r="AH95" s="10">
        <v>15928910</v>
      </c>
      <c r="AI95" s="10">
        <v>16357602</v>
      </c>
      <c r="AJ95" s="10">
        <v>16800864</v>
      </c>
      <c r="AK95" s="10">
        <v>17259322</v>
      </c>
      <c r="AL95" s="10">
        <v>17733410</v>
      </c>
      <c r="AM95" s="10">
        <v>18223674</v>
      </c>
      <c r="AN95" s="10">
        <v>18730282</v>
      </c>
      <c r="AO95" s="10">
        <v>19252666</v>
      </c>
      <c r="AP95" s="10">
        <v>19789920</v>
      </c>
      <c r="AQ95" s="10">
        <v>20341240</v>
      </c>
      <c r="AR95" s="10">
        <v>20906388</v>
      </c>
      <c r="AS95" s="10">
        <v>21485266</v>
      </c>
      <c r="AT95" s="10">
        <v>22077298</v>
      </c>
      <c r="AU95" s="10">
        <v>22681858</v>
      </c>
      <c r="AV95" s="10">
        <v>23298368</v>
      </c>
      <c r="AW95" s="10">
        <v>23926540</v>
      </c>
      <c r="AX95" s="10">
        <v>24566044</v>
      </c>
      <c r="AY95" s="10">
        <v>25216236</v>
      </c>
      <c r="AZ95" s="10">
        <v>25876380</v>
      </c>
    </row>
    <row r="96" spans="1:52" x14ac:dyDescent="0.45">
      <c r="A96" t="s">
        <v>191</v>
      </c>
      <c r="B96" t="s">
        <v>111</v>
      </c>
      <c r="C96" s="10">
        <v>1811144</v>
      </c>
      <c r="D96" s="10">
        <v>1840518</v>
      </c>
      <c r="E96" s="10">
        <v>1867782</v>
      </c>
      <c r="F96" s="10">
        <v>1894853</v>
      </c>
      <c r="G96" s="10">
        <v>1924388</v>
      </c>
      <c r="H96" s="10">
        <v>1958367</v>
      </c>
      <c r="I96" s="10">
        <v>1997014</v>
      </c>
      <c r="J96" s="10">
        <v>2039919</v>
      </c>
      <c r="K96" s="10">
        <v>2087663</v>
      </c>
      <c r="L96" s="10">
        <v>2140777</v>
      </c>
      <c r="M96" s="10">
        <v>2199356</v>
      </c>
      <c r="N96" s="10">
        <v>2264442</v>
      </c>
      <c r="O96" s="10">
        <v>2335333</v>
      </c>
      <c r="P96" s="10">
        <v>2408317</v>
      </c>
      <c r="Q96" s="10">
        <v>2478382</v>
      </c>
      <c r="R96" s="10">
        <v>2542169</v>
      </c>
      <c r="S96" s="10">
        <v>2597761</v>
      </c>
      <c r="T96" s="10">
        <v>2646840</v>
      </c>
      <c r="U96" s="10">
        <v>2693973</v>
      </c>
      <c r="V96" s="10">
        <v>2745734</v>
      </c>
      <c r="W96" s="10">
        <v>2806734</v>
      </c>
      <c r="X96" s="10">
        <v>2878509</v>
      </c>
      <c r="Y96" s="10">
        <v>2959236</v>
      </c>
      <c r="Z96" s="10">
        <v>3046149</v>
      </c>
      <c r="AA96" s="10">
        <v>3135015</v>
      </c>
      <c r="AB96" s="10">
        <v>3222656</v>
      </c>
      <c r="AC96" s="10">
        <v>3308233</v>
      </c>
      <c r="AD96" s="10">
        <v>3392436</v>
      </c>
      <c r="AE96" s="10">
        <v>3475492</v>
      </c>
      <c r="AF96" s="10">
        <v>3558014</v>
      </c>
      <c r="AG96" s="10">
        <v>3640427</v>
      </c>
      <c r="AH96" s="10">
        <v>3722018</v>
      </c>
      <c r="AI96" s="10">
        <v>3802128</v>
      </c>
      <c r="AJ96" s="10">
        <v>3881181</v>
      </c>
      <c r="AK96" s="10">
        <v>3959875</v>
      </c>
      <c r="AL96" s="10">
        <v>4038382</v>
      </c>
      <c r="AM96" s="10">
        <v>4118069</v>
      </c>
      <c r="AN96" s="10">
        <v>4198010</v>
      </c>
      <c r="AO96" s="10">
        <v>4273366</v>
      </c>
      <c r="AP96" s="10">
        <v>4337625</v>
      </c>
      <c r="AQ96" s="10">
        <v>4386768</v>
      </c>
      <c r="AR96" s="10">
        <v>4418636</v>
      </c>
      <c r="AS96" s="10">
        <v>4436415</v>
      </c>
      <c r="AT96" s="10">
        <v>4447942</v>
      </c>
      <c r="AU96" s="10">
        <v>4464175</v>
      </c>
      <c r="AV96" s="10">
        <v>4493170</v>
      </c>
      <c r="AW96" s="10">
        <v>4537687</v>
      </c>
      <c r="AX96" s="10">
        <v>4596028</v>
      </c>
      <c r="AY96" s="10">
        <v>4666377</v>
      </c>
      <c r="AZ96" s="10">
        <v>4745185</v>
      </c>
    </row>
    <row r="97" spans="1:52" x14ac:dyDescent="0.45">
      <c r="A97" t="s">
        <v>191</v>
      </c>
      <c r="B97" t="s">
        <v>112</v>
      </c>
      <c r="C97" s="10">
        <v>3643604</v>
      </c>
      <c r="D97" s="10">
        <v>3726189</v>
      </c>
      <c r="E97" s="10">
        <v>3815260</v>
      </c>
      <c r="F97" s="10">
        <v>3907889</v>
      </c>
      <c r="G97" s="10">
        <v>3999921</v>
      </c>
      <c r="H97" s="10">
        <v>4088564</v>
      </c>
      <c r="I97" s="10">
        <v>4173135</v>
      </c>
      <c r="J97" s="10">
        <v>4255248</v>
      </c>
      <c r="K97" s="10">
        <v>4337291</v>
      </c>
      <c r="L97" s="10">
        <v>4422745</v>
      </c>
      <c r="M97" s="10">
        <v>4514430</v>
      </c>
      <c r="N97" s="10">
        <v>4612849</v>
      </c>
      <c r="O97" s="10">
        <v>4718162</v>
      </c>
      <c r="P97" s="10">
        <v>4832321</v>
      </c>
      <c r="Q97" s="10">
        <v>4957558</v>
      </c>
      <c r="R97" s="10">
        <v>5095401</v>
      </c>
      <c r="S97" s="10">
        <v>5247283</v>
      </c>
      <c r="T97" s="10">
        <v>5412847</v>
      </c>
      <c r="U97" s="10">
        <v>5589626</v>
      </c>
      <c r="V97" s="10">
        <v>5773920</v>
      </c>
      <c r="W97" s="10">
        <v>5963252</v>
      </c>
      <c r="X97" s="10">
        <v>6157079</v>
      </c>
      <c r="Y97" s="10">
        <v>6356748</v>
      </c>
      <c r="Z97" s="10">
        <v>6563922</v>
      </c>
      <c r="AA97" s="10">
        <v>6781053</v>
      </c>
      <c r="AB97" s="10">
        <v>7010145</v>
      </c>
      <c r="AC97" s="10">
        <v>7250975</v>
      </c>
      <c r="AD97" s="10">
        <v>7503493</v>
      </c>
      <c r="AE97" s="10">
        <v>7770048</v>
      </c>
      <c r="AF97" s="10">
        <v>8053536</v>
      </c>
      <c r="AG97" s="10">
        <v>8355654</v>
      </c>
      <c r="AH97" s="10">
        <v>8678051</v>
      </c>
      <c r="AI97" s="10">
        <v>9019233</v>
      </c>
      <c r="AJ97" s="10">
        <v>9373916</v>
      </c>
      <c r="AK97" s="10">
        <v>9734767</v>
      </c>
      <c r="AL97" s="10">
        <v>10096633</v>
      </c>
      <c r="AM97" s="10">
        <v>10457124</v>
      </c>
      <c r="AN97" s="10">
        <v>10818024</v>
      </c>
      <c r="AO97" s="10">
        <v>11183588</v>
      </c>
      <c r="AP97" s="10">
        <v>11560147</v>
      </c>
      <c r="AQ97" s="10">
        <v>11952136</v>
      </c>
      <c r="AR97" s="10">
        <v>12360989</v>
      </c>
      <c r="AS97" s="10">
        <v>12784750</v>
      </c>
      <c r="AT97" s="10">
        <v>13220424</v>
      </c>
      <c r="AU97" s="10">
        <v>13663559</v>
      </c>
      <c r="AV97" s="10">
        <v>14110975</v>
      </c>
      <c r="AW97" s="10">
        <v>14561666</v>
      </c>
      <c r="AX97" s="10">
        <v>15016773</v>
      </c>
      <c r="AY97" s="10">
        <v>15477751</v>
      </c>
      <c r="AZ97" s="10">
        <v>15946876</v>
      </c>
    </row>
    <row r="98" spans="1:52" x14ac:dyDescent="0.45">
      <c r="A98" t="s">
        <v>191</v>
      </c>
      <c r="B98" t="s">
        <v>115</v>
      </c>
      <c r="C98" s="10">
        <v>20011036</v>
      </c>
      <c r="D98" s="10">
        <v>20564068</v>
      </c>
      <c r="E98" s="10">
        <v>21121364</v>
      </c>
      <c r="F98" s="10">
        <v>21690444</v>
      </c>
      <c r="G98" s="10">
        <v>22282136</v>
      </c>
      <c r="H98" s="10">
        <v>22903580</v>
      </c>
      <c r="I98" s="10">
        <v>23560464</v>
      </c>
      <c r="J98" s="10">
        <v>24249130</v>
      </c>
      <c r="K98" s="10">
        <v>24956384</v>
      </c>
      <c r="L98" s="10">
        <v>25663592</v>
      </c>
      <c r="M98" s="10">
        <v>26358908</v>
      </c>
      <c r="N98" s="10">
        <v>27040322</v>
      </c>
      <c r="O98" s="10">
        <v>27717292</v>
      </c>
      <c r="P98" s="10">
        <v>28403852</v>
      </c>
      <c r="Q98" s="10">
        <v>29119672</v>
      </c>
      <c r="R98" s="10">
        <v>29881228</v>
      </c>
      <c r="S98" s="10">
        <v>30683868</v>
      </c>
      <c r="T98" s="10">
        <v>31528708</v>
      </c>
      <c r="U98" s="10">
        <v>32443780</v>
      </c>
      <c r="V98" s="10">
        <v>33464764</v>
      </c>
      <c r="W98" s="10">
        <v>34612024</v>
      </c>
      <c r="X98" s="10">
        <v>35908244</v>
      </c>
      <c r="Y98" s="10">
        <v>37333912</v>
      </c>
      <c r="Z98" s="10">
        <v>38815832</v>
      </c>
      <c r="AA98" s="10">
        <v>40252976</v>
      </c>
      <c r="AB98" s="10">
        <v>41576232</v>
      </c>
      <c r="AC98" s="10">
        <v>42757244</v>
      </c>
      <c r="AD98" s="10">
        <v>43827180</v>
      </c>
      <c r="AE98" s="10">
        <v>44849968</v>
      </c>
      <c r="AF98" s="10">
        <v>45919612</v>
      </c>
      <c r="AG98" s="10">
        <v>47105824</v>
      </c>
      <c r="AH98" s="10">
        <v>48428544</v>
      </c>
      <c r="AI98" s="10">
        <v>49871664</v>
      </c>
      <c r="AJ98" s="10">
        <v>51425580</v>
      </c>
      <c r="AK98" s="10">
        <v>53068880</v>
      </c>
      <c r="AL98" s="10">
        <v>54785904</v>
      </c>
      <c r="AM98" s="10">
        <v>56578036</v>
      </c>
      <c r="AN98" s="10">
        <v>58453684</v>
      </c>
      <c r="AO98" s="10">
        <v>60411196</v>
      </c>
      <c r="AP98" s="10">
        <v>62448576</v>
      </c>
      <c r="AQ98" s="10">
        <v>64563856</v>
      </c>
      <c r="AR98" s="10">
        <v>66755152</v>
      </c>
      <c r="AS98" s="10">
        <v>69020744</v>
      </c>
      <c r="AT98" s="10">
        <v>71358808</v>
      </c>
      <c r="AU98" s="10">
        <v>73767448</v>
      </c>
      <c r="AV98" s="10">
        <v>76244544</v>
      </c>
      <c r="AW98" s="10">
        <v>78789128</v>
      </c>
      <c r="AX98" s="10">
        <v>81398768</v>
      </c>
      <c r="AY98" s="10">
        <v>84068088</v>
      </c>
      <c r="AZ98" s="10">
        <v>86790568</v>
      </c>
    </row>
    <row r="99" spans="1:52" x14ac:dyDescent="0.45">
      <c r="A99" t="s">
        <v>191</v>
      </c>
      <c r="B99" t="s">
        <v>116</v>
      </c>
      <c r="C99" s="10">
        <v>1326885</v>
      </c>
      <c r="D99" s="10">
        <v>1365899</v>
      </c>
      <c r="E99" s="10">
        <v>1406522</v>
      </c>
      <c r="F99" s="10">
        <v>1448637</v>
      </c>
      <c r="G99" s="10">
        <v>1492055</v>
      </c>
      <c r="H99" s="10">
        <v>1536654</v>
      </c>
      <c r="I99" s="10">
        <v>1582358</v>
      </c>
      <c r="J99" s="10">
        <v>1629209</v>
      </c>
      <c r="K99" s="10">
        <v>1677332</v>
      </c>
      <c r="L99" s="10">
        <v>1726866</v>
      </c>
      <c r="M99" s="10">
        <v>1777934</v>
      </c>
      <c r="N99" s="10">
        <v>1830632</v>
      </c>
      <c r="O99" s="10">
        <v>1884875</v>
      </c>
      <c r="P99" s="10">
        <v>1940443</v>
      </c>
      <c r="Q99" s="10">
        <v>1996995</v>
      </c>
      <c r="R99" s="10">
        <v>2054312</v>
      </c>
      <c r="S99" s="10">
        <v>2112361</v>
      </c>
      <c r="T99" s="10">
        <v>2171321</v>
      </c>
      <c r="U99" s="10">
        <v>2231465</v>
      </c>
      <c r="V99" s="10">
        <v>2293166</v>
      </c>
      <c r="W99" s="10">
        <v>2356737</v>
      </c>
      <c r="X99" s="10">
        <v>2422305</v>
      </c>
      <c r="Y99" s="10">
        <v>2489952</v>
      </c>
      <c r="Z99" s="10">
        <v>2559873</v>
      </c>
      <c r="AA99" s="10">
        <v>2632345</v>
      </c>
      <c r="AB99" s="10">
        <v>2707537</v>
      </c>
      <c r="AC99" s="10">
        <v>2785810</v>
      </c>
      <c r="AD99" s="10">
        <v>2867280</v>
      </c>
      <c r="AE99" s="10">
        <v>2951647</v>
      </c>
      <c r="AF99" s="10">
        <v>3038433</v>
      </c>
      <c r="AG99" s="10">
        <v>3127411</v>
      </c>
      <c r="AH99" s="10">
        <v>3217933</v>
      </c>
      <c r="AI99" s="10">
        <v>3310387</v>
      </c>
      <c r="AJ99" s="10">
        <v>3406922</v>
      </c>
      <c r="AK99" s="10">
        <v>3510468</v>
      </c>
      <c r="AL99" s="10">
        <v>3622775</v>
      </c>
      <c r="AM99" s="10">
        <v>3745141</v>
      </c>
      <c r="AN99" s="10">
        <v>3876119</v>
      </c>
      <c r="AO99" s="10">
        <v>4011486</v>
      </c>
      <c r="AP99" s="10">
        <v>4145391</v>
      </c>
      <c r="AQ99" s="10">
        <v>4273731</v>
      </c>
      <c r="AR99" s="10">
        <v>4394844</v>
      </c>
      <c r="AS99" s="10">
        <v>4510198</v>
      </c>
      <c r="AT99" s="10">
        <v>4622761</v>
      </c>
      <c r="AU99" s="10">
        <v>4736974</v>
      </c>
      <c r="AV99" s="10">
        <v>4856095</v>
      </c>
      <c r="AW99" s="10">
        <v>4980999</v>
      </c>
      <c r="AX99" s="10">
        <v>5110702</v>
      </c>
      <c r="AY99" s="10">
        <v>5244363</v>
      </c>
      <c r="AZ99" s="10">
        <v>5380508</v>
      </c>
    </row>
    <row r="100" spans="1:52" x14ac:dyDescent="0.45">
      <c r="A100" t="s">
        <v>191</v>
      </c>
      <c r="B100" t="s">
        <v>118</v>
      </c>
      <c r="C100" s="10">
        <v>5102064</v>
      </c>
      <c r="D100" s="10">
        <v>5328744</v>
      </c>
      <c r="E100" s="10">
        <v>5576038</v>
      </c>
      <c r="F100" s="10">
        <v>5841506</v>
      </c>
      <c r="G100" s="10">
        <v>6121285</v>
      </c>
      <c r="H100" s="10">
        <v>6412403</v>
      </c>
      <c r="I100" s="10">
        <v>6713950</v>
      </c>
      <c r="J100" s="10">
        <v>7026496</v>
      </c>
      <c r="K100" s="10">
        <v>7350270</v>
      </c>
      <c r="L100" s="10">
        <v>7685918</v>
      </c>
      <c r="M100" s="10">
        <v>8033650</v>
      </c>
      <c r="N100" s="10">
        <v>8393691</v>
      </c>
      <c r="O100" s="10">
        <v>8764989</v>
      </c>
      <c r="P100" s="10">
        <v>9144931</v>
      </c>
      <c r="Q100" s="10">
        <v>9530107</v>
      </c>
      <c r="R100" s="10">
        <v>9918196</v>
      </c>
      <c r="S100" s="10">
        <v>10307281</v>
      </c>
      <c r="T100" s="10">
        <v>10698194</v>
      </c>
      <c r="U100" s="10">
        <v>11094748</v>
      </c>
      <c r="V100" s="10">
        <v>11502449</v>
      </c>
      <c r="W100" s="10">
        <v>11924877</v>
      </c>
      <c r="X100" s="10">
        <v>12362407</v>
      </c>
      <c r="Y100" s="10">
        <v>12812421</v>
      </c>
      <c r="Z100" s="10">
        <v>13271643</v>
      </c>
      <c r="AA100" s="10">
        <v>13735433</v>
      </c>
      <c r="AB100" s="10">
        <v>14199762</v>
      </c>
      <c r="AC100" s="10">
        <v>14665127</v>
      </c>
      <c r="AD100" s="10">
        <v>15130663</v>
      </c>
      <c r="AE100" s="10">
        <v>15589414</v>
      </c>
      <c r="AF100" s="10">
        <v>16032573</v>
      </c>
      <c r="AG100" s="10">
        <v>16454668</v>
      </c>
      <c r="AH100" s="10">
        <v>16853026</v>
      </c>
      <c r="AI100" s="10">
        <v>17231540</v>
      </c>
      <c r="AJ100" s="10">
        <v>17599610</v>
      </c>
      <c r="AK100" s="10">
        <v>17970494</v>
      </c>
      <c r="AL100" s="10">
        <v>18354514</v>
      </c>
      <c r="AM100" s="10">
        <v>18754916</v>
      </c>
      <c r="AN100" s="10">
        <v>19171236</v>
      </c>
      <c r="AO100" s="10">
        <v>19605568</v>
      </c>
      <c r="AP100" s="10">
        <v>20059148</v>
      </c>
      <c r="AQ100" s="10">
        <v>20532950</v>
      </c>
      <c r="AR100" s="10">
        <v>21028656</v>
      </c>
      <c r="AS100" s="10">
        <v>21547188</v>
      </c>
      <c r="AT100" s="10">
        <v>22087504</v>
      </c>
      <c r="AU100" s="10">
        <v>22647684</v>
      </c>
      <c r="AV100" s="10">
        <v>23226144</v>
      </c>
      <c r="AW100" s="10">
        <v>23822714</v>
      </c>
      <c r="AX100" s="10">
        <v>24437468</v>
      </c>
      <c r="AY100" s="10">
        <v>25069228</v>
      </c>
      <c r="AZ100" s="10">
        <v>25716544</v>
      </c>
    </row>
    <row r="101" spans="1:52" x14ac:dyDescent="0.45">
      <c r="A101" t="s">
        <v>191</v>
      </c>
      <c r="B101" t="s">
        <v>122</v>
      </c>
      <c r="C101" s="10">
        <v>589314</v>
      </c>
      <c r="D101" s="10">
        <v>600613</v>
      </c>
      <c r="E101" s="10">
        <v>611704</v>
      </c>
      <c r="F101" s="10">
        <v>622920</v>
      </c>
      <c r="G101" s="10">
        <v>634742</v>
      </c>
      <c r="H101" s="10">
        <v>647536</v>
      </c>
      <c r="I101" s="10">
        <v>661402</v>
      </c>
      <c r="J101" s="10">
        <v>676255</v>
      </c>
      <c r="K101" s="10">
        <v>692077</v>
      </c>
      <c r="L101" s="10">
        <v>708788</v>
      </c>
      <c r="M101" s="10">
        <v>726328</v>
      </c>
      <c r="N101" s="10">
        <v>744696</v>
      </c>
      <c r="O101" s="10">
        <v>763930</v>
      </c>
      <c r="P101" s="10">
        <v>784061</v>
      </c>
      <c r="Q101" s="10">
        <v>805115</v>
      </c>
      <c r="R101" s="10">
        <v>827108</v>
      </c>
      <c r="S101" s="10">
        <v>850048</v>
      </c>
      <c r="T101" s="10">
        <v>873867</v>
      </c>
      <c r="U101" s="10">
        <v>898469</v>
      </c>
      <c r="V101" s="10">
        <v>923711</v>
      </c>
      <c r="W101" s="10">
        <v>949488</v>
      </c>
      <c r="X101" s="10">
        <v>975783</v>
      </c>
      <c r="Y101" s="10">
        <v>1002579</v>
      </c>
      <c r="Z101" s="10">
        <v>1029778</v>
      </c>
      <c r="AA101" s="10">
        <v>1057255</v>
      </c>
      <c r="AB101" s="10">
        <v>1084946</v>
      </c>
      <c r="AC101" s="10">
        <v>1112955</v>
      </c>
      <c r="AD101" s="10">
        <v>1141338</v>
      </c>
      <c r="AE101" s="10">
        <v>1170061</v>
      </c>
      <c r="AF101" s="10">
        <v>1199052</v>
      </c>
      <c r="AG101" s="10">
        <v>1228360</v>
      </c>
      <c r="AH101" s="10">
        <v>1258003</v>
      </c>
      <c r="AI101" s="10">
        <v>1288315</v>
      </c>
      <c r="AJ101" s="10">
        <v>1319953</v>
      </c>
      <c r="AK101" s="10">
        <v>1353795</v>
      </c>
      <c r="AL101" s="10">
        <v>1390549</v>
      </c>
      <c r="AM101" s="10">
        <v>1430152</v>
      </c>
      <c r="AN101" s="10">
        <v>1472575</v>
      </c>
      <c r="AO101" s="10">
        <v>1518540</v>
      </c>
      <c r="AP101" s="10">
        <v>1568928</v>
      </c>
      <c r="AQ101" s="10">
        <v>1624140</v>
      </c>
      <c r="AR101" s="10">
        <v>1684635</v>
      </c>
      <c r="AS101" s="10">
        <v>1749682</v>
      </c>
      <c r="AT101" s="10">
        <v>1817071</v>
      </c>
      <c r="AU101" s="10">
        <v>1883800</v>
      </c>
      <c r="AV101" s="10">
        <v>1947686</v>
      </c>
      <c r="AW101" s="10">
        <v>2007873</v>
      </c>
      <c r="AX101" s="10">
        <v>2064823</v>
      </c>
      <c r="AY101" s="10">
        <v>2119275</v>
      </c>
      <c r="AZ101" s="10">
        <v>2172579</v>
      </c>
    </row>
    <row r="102" spans="1:52" x14ac:dyDescent="0.45">
      <c r="A102" t="s">
        <v>191</v>
      </c>
      <c r="B102" t="s">
        <v>215</v>
      </c>
      <c r="C102" s="10">
        <v>464410</v>
      </c>
      <c r="D102" s="10">
        <v>478116</v>
      </c>
      <c r="E102" s="10">
        <v>492426</v>
      </c>
      <c r="F102" s="10">
        <v>507432</v>
      </c>
      <c r="G102" s="10">
        <v>523251</v>
      </c>
      <c r="H102" s="10">
        <v>539979</v>
      </c>
      <c r="I102" s="10">
        <v>557805</v>
      </c>
      <c r="J102" s="10">
        <v>576757</v>
      </c>
      <c r="K102" s="10">
        <v>596536</v>
      </c>
      <c r="L102" s="10">
        <v>616768</v>
      </c>
      <c r="M102" s="10">
        <v>637246</v>
      </c>
      <c r="N102" s="10">
        <v>657579</v>
      </c>
      <c r="O102" s="10">
        <v>678113</v>
      </c>
      <c r="P102" s="10">
        <v>700199</v>
      </c>
      <c r="Q102" s="10">
        <v>725694</v>
      </c>
      <c r="R102" s="10">
        <v>755787</v>
      </c>
      <c r="S102" s="10">
        <v>791147</v>
      </c>
      <c r="T102" s="10">
        <v>831023</v>
      </c>
      <c r="U102" s="10">
        <v>873444</v>
      </c>
      <c r="V102" s="10">
        <v>915635</v>
      </c>
      <c r="W102" s="10">
        <v>955593</v>
      </c>
      <c r="X102" s="10">
        <v>992673</v>
      </c>
      <c r="Y102" s="10">
        <v>1027475</v>
      </c>
      <c r="Z102" s="10">
        <v>1060862</v>
      </c>
      <c r="AA102" s="10">
        <v>1094212</v>
      </c>
      <c r="AB102" s="10">
        <v>1128575</v>
      </c>
      <c r="AC102" s="10">
        <v>1164091</v>
      </c>
      <c r="AD102" s="10">
        <v>1200526</v>
      </c>
      <c r="AE102" s="10">
        <v>1238125</v>
      </c>
      <c r="AF102" s="10">
        <v>1277133</v>
      </c>
      <c r="AG102" s="10">
        <v>1317703</v>
      </c>
      <c r="AH102" s="10">
        <v>1360074</v>
      </c>
      <c r="AI102" s="10">
        <v>1404261</v>
      </c>
      <c r="AJ102" s="10">
        <v>1449925</v>
      </c>
      <c r="AK102" s="10">
        <v>1496527</v>
      </c>
      <c r="AL102" s="10">
        <v>1543741</v>
      </c>
      <c r="AM102" s="10">
        <v>1591445</v>
      </c>
      <c r="AN102" s="10">
        <v>1639848</v>
      </c>
      <c r="AO102" s="10">
        <v>1689285</v>
      </c>
      <c r="AP102" s="10">
        <v>1740279</v>
      </c>
      <c r="AQ102" s="10">
        <v>1793196</v>
      </c>
      <c r="AR102" s="10">
        <v>1848147</v>
      </c>
      <c r="AS102" s="10">
        <v>1905011</v>
      </c>
      <c r="AT102" s="10">
        <v>1963711</v>
      </c>
      <c r="AU102" s="10">
        <v>2024042</v>
      </c>
      <c r="AV102" s="10">
        <v>2085860</v>
      </c>
      <c r="AW102" s="10">
        <v>2149139</v>
      </c>
      <c r="AX102" s="10">
        <v>2213894</v>
      </c>
      <c r="AY102" s="10">
        <v>2280102</v>
      </c>
      <c r="AZ102" s="10">
        <v>2347706</v>
      </c>
    </row>
    <row r="103" spans="1:52" x14ac:dyDescent="0.45">
      <c r="A103" t="s">
        <v>191</v>
      </c>
      <c r="B103" t="s">
        <v>123</v>
      </c>
      <c r="C103" s="10">
        <v>8735495</v>
      </c>
      <c r="D103" s="10">
        <v>8973244</v>
      </c>
      <c r="E103" s="10">
        <v>9229631</v>
      </c>
      <c r="F103" s="10">
        <v>9493556</v>
      </c>
      <c r="G103" s="10">
        <v>9749104</v>
      </c>
      <c r="H103" s="10">
        <v>9985946</v>
      </c>
      <c r="I103" s="10">
        <v>10199165</v>
      </c>
      <c r="J103" s="10">
        <v>10395452</v>
      </c>
      <c r="K103" s="10">
        <v>10590261</v>
      </c>
      <c r="L103" s="10">
        <v>10805314</v>
      </c>
      <c r="M103" s="10">
        <v>11056116</v>
      </c>
      <c r="N103" s="10">
        <v>11348289</v>
      </c>
      <c r="O103" s="10">
        <v>11676823</v>
      </c>
      <c r="P103" s="10">
        <v>12033575</v>
      </c>
      <c r="Q103" s="10">
        <v>12405660</v>
      </c>
      <c r="R103" s="10">
        <v>12783613</v>
      </c>
      <c r="S103" s="10">
        <v>13164837</v>
      </c>
      <c r="T103" s="10">
        <v>13552021</v>
      </c>
      <c r="U103" s="10">
        <v>13947042</v>
      </c>
      <c r="V103" s="10">
        <v>14353410</v>
      </c>
      <c r="W103" s="10">
        <v>14773277</v>
      </c>
      <c r="X103" s="10">
        <v>15207367</v>
      </c>
      <c r="Y103" s="10">
        <v>15653336</v>
      </c>
      <c r="Z103" s="10">
        <v>16106765</v>
      </c>
      <c r="AA103" s="10">
        <v>16561674</v>
      </c>
      <c r="AB103" s="10">
        <v>17014056</v>
      </c>
      <c r="AC103" s="10">
        <v>17462496</v>
      </c>
      <c r="AD103" s="10">
        <v>17908984</v>
      </c>
      <c r="AE103" s="10">
        <v>18357156</v>
      </c>
      <c r="AF103" s="10">
        <v>18812360</v>
      </c>
      <c r="AG103" s="10">
        <v>19278856</v>
      </c>
      <c r="AH103" s="10">
        <v>19756928</v>
      </c>
      <c r="AI103" s="10">
        <v>20246380</v>
      </c>
      <c r="AJ103" s="10">
        <v>20750300</v>
      </c>
      <c r="AK103" s="10">
        <v>21272324</v>
      </c>
      <c r="AL103" s="10">
        <v>21814642</v>
      </c>
      <c r="AM103" s="10">
        <v>22379056</v>
      </c>
      <c r="AN103" s="10">
        <v>22963946</v>
      </c>
      <c r="AO103" s="10">
        <v>23563824</v>
      </c>
      <c r="AP103" s="10">
        <v>24170940</v>
      </c>
      <c r="AQ103" s="10">
        <v>24779620</v>
      </c>
      <c r="AR103" s="10">
        <v>25387710</v>
      </c>
      <c r="AS103" s="10">
        <v>25996448</v>
      </c>
      <c r="AT103" s="10">
        <v>26607642</v>
      </c>
      <c r="AU103" s="10">
        <v>27224472</v>
      </c>
      <c r="AV103" s="10">
        <v>27849204</v>
      </c>
      <c r="AW103" s="10">
        <v>28481946</v>
      </c>
      <c r="AX103" s="10">
        <v>29121472</v>
      </c>
      <c r="AY103" s="10">
        <v>29767108</v>
      </c>
      <c r="AZ103" s="10">
        <v>30417856</v>
      </c>
    </row>
    <row r="104" spans="1:52" x14ac:dyDescent="0.45">
      <c r="A104" t="s">
        <v>191</v>
      </c>
      <c r="B104" t="s">
        <v>216</v>
      </c>
      <c r="C104" s="10">
        <v>704939</v>
      </c>
      <c r="D104" s="10">
        <v>718364</v>
      </c>
      <c r="E104" s="10">
        <v>732523</v>
      </c>
      <c r="F104" s="10">
        <v>746173</v>
      </c>
      <c r="G104" s="10">
        <v>757674</v>
      </c>
      <c r="H104" s="10">
        <v>765989</v>
      </c>
      <c r="I104" s="10">
        <v>770421</v>
      </c>
      <c r="J104" s="10">
        <v>771737</v>
      </c>
      <c r="K104" s="10">
        <v>772142</v>
      </c>
      <c r="L104" s="10">
        <v>774726</v>
      </c>
      <c r="M104" s="10">
        <v>781677</v>
      </c>
      <c r="N104" s="10">
        <v>793806</v>
      </c>
      <c r="O104" s="10">
        <v>810405</v>
      </c>
      <c r="P104" s="10">
        <v>830207</v>
      </c>
      <c r="Q104" s="10">
        <v>851276</v>
      </c>
      <c r="R104" s="10">
        <v>872163</v>
      </c>
      <c r="S104" s="10">
        <v>892522</v>
      </c>
      <c r="T104" s="10">
        <v>912754</v>
      </c>
      <c r="U104" s="10">
        <v>933045</v>
      </c>
      <c r="V104" s="10">
        <v>953790</v>
      </c>
      <c r="W104" s="10">
        <v>975261</v>
      </c>
      <c r="X104" s="10">
        <v>997522</v>
      </c>
      <c r="Y104" s="10">
        <v>1020350</v>
      </c>
      <c r="Z104" s="10">
        <v>1043423</v>
      </c>
      <c r="AA104" s="10">
        <v>1066346</v>
      </c>
      <c r="AB104" s="10">
        <v>1088854</v>
      </c>
      <c r="AC104" s="10">
        <v>1110833</v>
      </c>
      <c r="AD104" s="10">
        <v>1132510</v>
      </c>
      <c r="AE104" s="10">
        <v>1154371</v>
      </c>
      <c r="AF104" s="10">
        <v>1177131</v>
      </c>
      <c r="AG104" s="10">
        <v>1201301</v>
      </c>
      <c r="AH104" s="10">
        <v>1227106</v>
      </c>
      <c r="AI104" s="10">
        <v>1254453</v>
      </c>
      <c r="AJ104" s="10">
        <v>1283305</v>
      </c>
      <c r="AK104" s="10">
        <v>1313492</v>
      </c>
      <c r="AL104" s="10">
        <v>1344930</v>
      </c>
      <c r="AM104" s="10">
        <v>1377581</v>
      </c>
      <c r="AN104" s="10">
        <v>1411543</v>
      </c>
      <c r="AO104" s="10">
        <v>1446936</v>
      </c>
      <c r="AP104" s="10">
        <v>1483921</v>
      </c>
      <c r="AQ104" s="10">
        <v>1522599</v>
      </c>
      <c r="AR104" s="10">
        <v>1562989</v>
      </c>
      <c r="AS104" s="10">
        <v>1604979</v>
      </c>
      <c r="AT104" s="10">
        <v>1648257</v>
      </c>
      <c r="AU104" s="10">
        <v>1692439</v>
      </c>
      <c r="AV104" s="10">
        <v>1737202</v>
      </c>
      <c r="AW104" s="10">
        <v>1782437</v>
      </c>
      <c r="AX104" s="10">
        <v>1828146</v>
      </c>
      <c r="AY104" s="10">
        <v>1874309</v>
      </c>
      <c r="AZ104" s="10">
        <v>1920922</v>
      </c>
    </row>
    <row r="105" spans="1:52" x14ac:dyDescent="0.45">
      <c r="A105" t="s">
        <v>191</v>
      </c>
      <c r="B105" t="s">
        <v>129</v>
      </c>
      <c r="C105" s="10">
        <v>11301394</v>
      </c>
      <c r="D105" s="10">
        <v>11713048</v>
      </c>
      <c r="E105" s="10">
        <v>12146068</v>
      </c>
      <c r="F105" s="10">
        <v>12600797</v>
      </c>
      <c r="G105" s="10">
        <v>13077341</v>
      </c>
      <c r="H105" s="10">
        <v>13575907</v>
      </c>
      <c r="I105" s="10">
        <v>14096263</v>
      </c>
      <c r="J105" s="10">
        <v>14638890</v>
      </c>
      <c r="K105" s="10">
        <v>15205374</v>
      </c>
      <c r="L105" s="10">
        <v>15797776</v>
      </c>
      <c r="M105" s="10">
        <v>16417197</v>
      </c>
      <c r="N105" s="10">
        <v>17063876</v>
      </c>
      <c r="O105" s="10">
        <v>17736326</v>
      </c>
      <c r="P105" s="10">
        <v>18431760</v>
      </c>
      <c r="Q105" s="10">
        <v>19146400</v>
      </c>
      <c r="R105" s="10">
        <v>19877084</v>
      </c>
      <c r="S105" s="10">
        <v>20622560</v>
      </c>
      <c r="T105" s="10">
        <v>21382112</v>
      </c>
      <c r="U105" s="10">
        <v>22153676</v>
      </c>
      <c r="V105" s="10">
        <v>22935092</v>
      </c>
      <c r="W105" s="10">
        <v>23724580</v>
      </c>
      <c r="X105" s="10">
        <v>24521704</v>
      </c>
      <c r="Y105" s="10">
        <v>25326078</v>
      </c>
      <c r="Z105" s="10">
        <v>26136216</v>
      </c>
      <c r="AA105" s="10">
        <v>26950512</v>
      </c>
      <c r="AB105" s="10">
        <v>27768296</v>
      </c>
      <c r="AC105" s="10">
        <v>28589452</v>
      </c>
      <c r="AD105" s="10">
        <v>29415660</v>
      </c>
      <c r="AE105" s="10">
        <v>30250488</v>
      </c>
      <c r="AF105" s="10">
        <v>31098756</v>
      </c>
      <c r="AG105" s="10">
        <v>31964556</v>
      </c>
      <c r="AH105" s="10">
        <v>32848564</v>
      </c>
      <c r="AI105" s="10">
        <v>33751740</v>
      </c>
      <c r="AJ105" s="10">
        <v>34678780</v>
      </c>
      <c r="AK105" s="10">
        <v>35635272</v>
      </c>
      <c r="AL105" s="10">
        <v>36624896</v>
      </c>
      <c r="AM105" s="10">
        <v>37649032</v>
      </c>
      <c r="AN105" s="10">
        <v>38705932</v>
      </c>
      <c r="AO105" s="10">
        <v>39791980</v>
      </c>
      <c r="AP105" s="10">
        <v>40901792</v>
      </c>
      <c r="AQ105" s="10">
        <v>42030676</v>
      </c>
      <c r="AR105" s="10">
        <v>43178256</v>
      </c>
      <c r="AS105" s="10">
        <v>44343408</v>
      </c>
      <c r="AT105" s="10">
        <v>45519888</v>
      </c>
      <c r="AU105" s="10">
        <v>46699980</v>
      </c>
      <c r="AV105" s="10">
        <v>47878336</v>
      </c>
      <c r="AW105" s="10">
        <v>49051688</v>
      </c>
      <c r="AX105" s="10">
        <v>50221472</v>
      </c>
      <c r="AY105" s="10">
        <v>51393008</v>
      </c>
      <c r="AZ105" s="10">
        <v>52573972</v>
      </c>
    </row>
    <row r="106" spans="1:52" x14ac:dyDescent="0.45">
      <c r="A106" t="s">
        <v>191</v>
      </c>
      <c r="B106" t="s">
        <v>130</v>
      </c>
      <c r="C106" s="10">
        <v>1028926</v>
      </c>
      <c r="D106" s="10">
        <v>1052614</v>
      </c>
      <c r="E106" s="10">
        <v>1077095</v>
      </c>
      <c r="F106" s="10">
        <v>1102878</v>
      </c>
      <c r="G106" s="10">
        <v>1130635</v>
      </c>
      <c r="H106" s="10">
        <v>1160792</v>
      </c>
      <c r="I106" s="10">
        <v>1193521</v>
      </c>
      <c r="J106" s="10">
        <v>1228536</v>
      </c>
      <c r="K106" s="10">
        <v>1265202</v>
      </c>
      <c r="L106" s="10">
        <v>1302667</v>
      </c>
      <c r="M106" s="10">
        <v>1340255</v>
      </c>
      <c r="N106" s="10">
        <v>1377799</v>
      </c>
      <c r="O106" s="10">
        <v>1415367</v>
      </c>
      <c r="P106" s="10">
        <v>1452728</v>
      </c>
      <c r="Q106" s="10">
        <v>1489691</v>
      </c>
      <c r="R106" s="10">
        <v>1526131</v>
      </c>
      <c r="S106" s="10">
        <v>1561692</v>
      </c>
      <c r="T106" s="10">
        <v>1596394</v>
      </c>
      <c r="U106" s="10">
        <v>1630996</v>
      </c>
      <c r="V106" s="10">
        <v>1666563</v>
      </c>
      <c r="W106" s="10">
        <v>1703747</v>
      </c>
      <c r="X106" s="10">
        <v>1742539</v>
      </c>
      <c r="Y106" s="10">
        <v>1782285</v>
      </c>
      <c r="Z106" s="10">
        <v>1822236</v>
      </c>
      <c r="AA106" s="10">
        <v>1861324</v>
      </c>
      <c r="AB106" s="10">
        <v>1898598</v>
      </c>
      <c r="AC106" s="10">
        <v>1934291</v>
      </c>
      <c r="AD106" s="10">
        <v>1968044</v>
      </c>
      <c r="AE106" s="10">
        <v>1997516</v>
      </c>
      <c r="AF106" s="10">
        <v>2019731</v>
      </c>
      <c r="AG106" s="10">
        <v>2032804</v>
      </c>
      <c r="AH106" s="10">
        <v>2035740</v>
      </c>
      <c r="AI106" s="10">
        <v>2029829</v>
      </c>
      <c r="AJ106" s="10">
        <v>2018348</v>
      </c>
      <c r="AK106" s="10">
        <v>2005940</v>
      </c>
      <c r="AL106" s="10">
        <v>1996114</v>
      </c>
      <c r="AM106" s="10">
        <v>1989939</v>
      </c>
      <c r="AN106" s="10">
        <v>1986922</v>
      </c>
      <c r="AO106" s="10">
        <v>1987129</v>
      </c>
      <c r="AP106" s="10">
        <v>1990131</v>
      </c>
      <c r="AQ106" s="10">
        <v>1995581</v>
      </c>
      <c r="AR106" s="10">
        <v>2003787</v>
      </c>
      <c r="AS106" s="10">
        <v>2014990</v>
      </c>
      <c r="AT106" s="10">
        <v>2028519</v>
      </c>
      <c r="AU106" s="10">
        <v>2043437</v>
      </c>
      <c r="AV106" s="10">
        <v>2059021</v>
      </c>
      <c r="AW106" s="10">
        <v>2075001</v>
      </c>
      <c r="AX106" s="10">
        <v>2091412</v>
      </c>
      <c r="AY106" s="10">
        <v>2108132</v>
      </c>
      <c r="AZ106" s="10">
        <v>2125268</v>
      </c>
    </row>
    <row r="107" spans="1:52" x14ac:dyDescent="0.45">
      <c r="A107" t="s">
        <v>191</v>
      </c>
      <c r="B107" t="s">
        <v>131</v>
      </c>
      <c r="C107" s="10">
        <v>6576305</v>
      </c>
      <c r="D107" s="10">
        <v>6757850</v>
      </c>
      <c r="E107" s="10">
        <v>6946620</v>
      </c>
      <c r="F107" s="10">
        <v>7142627</v>
      </c>
      <c r="G107" s="10">
        <v>7345780</v>
      </c>
      <c r="H107" s="10">
        <v>7556026</v>
      </c>
      <c r="I107" s="10">
        <v>7773449</v>
      </c>
      <c r="J107" s="10">
        <v>7998164</v>
      </c>
      <c r="K107" s="10">
        <v>8230218</v>
      </c>
      <c r="L107" s="10">
        <v>8469672</v>
      </c>
      <c r="M107" s="10">
        <v>8716553</v>
      </c>
      <c r="N107" s="10">
        <v>8971345</v>
      </c>
      <c r="O107" s="10">
        <v>9234129</v>
      </c>
      <c r="P107" s="10">
        <v>9504281</v>
      </c>
      <c r="Q107" s="10">
        <v>9780872</v>
      </c>
      <c r="R107" s="10">
        <v>10063495</v>
      </c>
      <c r="S107" s="10">
        <v>10352120</v>
      </c>
      <c r="T107" s="10">
        <v>10647754</v>
      </c>
      <c r="U107" s="10">
        <v>10952395</v>
      </c>
      <c r="V107" s="10">
        <v>11268658</v>
      </c>
      <c r="W107" s="10">
        <v>11598633</v>
      </c>
      <c r="X107" s="10">
        <v>11942819</v>
      </c>
      <c r="Y107" s="10">
        <v>12301336</v>
      </c>
      <c r="Z107" s="10">
        <v>12675460</v>
      </c>
      <c r="AA107" s="10">
        <v>13066543</v>
      </c>
      <c r="AB107" s="10">
        <v>13475400</v>
      </c>
      <c r="AC107" s="10">
        <v>13902688</v>
      </c>
      <c r="AD107" s="10">
        <v>14347854</v>
      </c>
      <c r="AE107" s="10">
        <v>14808791</v>
      </c>
      <c r="AF107" s="10">
        <v>15282521</v>
      </c>
      <c r="AG107" s="10">
        <v>15766806</v>
      </c>
      <c r="AH107" s="10">
        <v>16260932</v>
      </c>
      <c r="AI107" s="10">
        <v>16765117</v>
      </c>
      <c r="AJ107" s="10">
        <v>17279140</v>
      </c>
      <c r="AK107" s="10">
        <v>17802996</v>
      </c>
      <c r="AL107" s="10">
        <v>18336724</v>
      </c>
      <c r="AM107" s="10">
        <v>18880268</v>
      </c>
      <c r="AN107" s="10">
        <v>19433530</v>
      </c>
      <c r="AO107" s="10">
        <v>19996472</v>
      </c>
      <c r="AP107" s="10">
        <v>20569116</v>
      </c>
      <c r="AQ107" s="10">
        <v>21151640</v>
      </c>
      <c r="AR107" s="10">
        <v>21743968</v>
      </c>
      <c r="AS107" s="10">
        <v>22346640</v>
      </c>
      <c r="AT107" s="10">
        <v>22961252</v>
      </c>
      <c r="AU107" s="10">
        <v>23589888</v>
      </c>
      <c r="AV107" s="10">
        <v>24234088</v>
      </c>
      <c r="AW107" s="10">
        <v>24894380</v>
      </c>
      <c r="AX107" s="10">
        <v>25570540</v>
      </c>
      <c r="AY107" s="10">
        <v>26262368</v>
      </c>
      <c r="AZ107" s="10">
        <v>26969308</v>
      </c>
    </row>
    <row r="108" spans="1:52" x14ac:dyDescent="0.45">
      <c r="A108" t="s">
        <v>191</v>
      </c>
      <c r="B108" t="s">
        <v>132</v>
      </c>
      <c r="C108" s="10">
        <v>4703782</v>
      </c>
      <c r="D108" s="10">
        <v>4829090</v>
      </c>
      <c r="E108" s="10">
        <v>4958549</v>
      </c>
      <c r="F108" s="10">
        <v>5093363</v>
      </c>
      <c r="G108" s="10">
        <v>5235073</v>
      </c>
      <c r="H108" s="10">
        <v>5384795</v>
      </c>
      <c r="I108" s="10">
        <v>5545651</v>
      </c>
      <c r="J108" s="10">
        <v>5717953</v>
      </c>
      <c r="K108" s="10">
        <v>5896865</v>
      </c>
      <c r="L108" s="10">
        <v>6075495</v>
      </c>
      <c r="M108" s="10">
        <v>6250440</v>
      </c>
      <c r="N108" s="10">
        <v>6412384</v>
      </c>
      <c r="O108" s="10">
        <v>6565985</v>
      </c>
      <c r="P108" s="10">
        <v>6737924</v>
      </c>
      <c r="Q108" s="10">
        <v>6964607</v>
      </c>
      <c r="R108" s="10">
        <v>7268267</v>
      </c>
      <c r="S108" s="10">
        <v>7666391</v>
      </c>
      <c r="T108" s="10">
        <v>8141146</v>
      </c>
      <c r="U108" s="10">
        <v>8636690</v>
      </c>
      <c r="V108" s="10">
        <v>9075572</v>
      </c>
      <c r="W108" s="10">
        <v>9404500</v>
      </c>
      <c r="X108" s="10">
        <v>9600355</v>
      </c>
      <c r="Y108" s="10">
        <v>9685973</v>
      </c>
      <c r="Z108" s="10">
        <v>9710331</v>
      </c>
      <c r="AA108" s="10">
        <v>9745690</v>
      </c>
      <c r="AB108" s="10">
        <v>9844415</v>
      </c>
      <c r="AC108" s="10">
        <v>10022789</v>
      </c>
      <c r="AD108" s="10">
        <v>10264906</v>
      </c>
      <c r="AE108" s="10">
        <v>10552338</v>
      </c>
      <c r="AF108" s="10">
        <v>10854322</v>
      </c>
      <c r="AG108" s="10">
        <v>11148758</v>
      </c>
      <c r="AH108" s="10">
        <v>11432000</v>
      </c>
      <c r="AI108" s="10">
        <v>11713664</v>
      </c>
      <c r="AJ108" s="10">
        <v>12000181</v>
      </c>
      <c r="AK108" s="10">
        <v>12301838</v>
      </c>
      <c r="AL108" s="10">
        <v>12625952</v>
      </c>
      <c r="AM108" s="10">
        <v>12973699</v>
      </c>
      <c r="AN108" s="10">
        <v>13341806</v>
      </c>
      <c r="AO108" s="10">
        <v>13727890</v>
      </c>
      <c r="AP108" s="10">
        <v>14128155</v>
      </c>
      <c r="AQ108" s="10">
        <v>14539612</v>
      </c>
      <c r="AR108" s="10">
        <v>14962112</v>
      </c>
      <c r="AS108" s="10">
        <v>15396005</v>
      </c>
      <c r="AT108" s="10">
        <v>15839269</v>
      </c>
      <c r="AU108" s="10">
        <v>16289540</v>
      </c>
      <c r="AV108" s="10">
        <v>16745303</v>
      </c>
      <c r="AW108" s="10">
        <v>17205288</v>
      </c>
      <c r="AX108" s="10">
        <v>17670260</v>
      </c>
      <c r="AY108" s="10">
        <v>18143316</v>
      </c>
      <c r="AZ108" s="10">
        <v>18628748</v>
      </c>
    </row>
    <row r="109" spans="1:52" x14ac:dyDescent="0.45">
      <c r="A109" t="s">
        <v>191</v>
      </c>
      <c r="B109" t="s">
        <v>217</v>
      </c>
      <c r="C109" s="10">
        <v>5949045</v>
      </c>
      <c r="D109" s="10">
        <v>6044530</v>
      </c>
      <c r="E109" s="10">
        <v>6147458</v>
      </c>
      <c r="F109" s="10">
        <v>6256187</v>
      </c>
      <c r="G109" s="10">
        <v>6368348</v>
      </c>
      <c r="H109" s="10">
        <v>6482278</v>
      </c>
      <c r="I109" s="10">
        <v>6596728</v>
      </c>
      <c r="J109" s="10">
        <v>6712267</v>
      </c>
      <c r="K109" s="10">
        <v>6831085</v>
      </c>
      <c r="L109" s="10">
        <v>6956402</v>
      </c>
      <c r="M109" s="10">
        <v>7090126</v>
      </c>
      <c r="N109" s="10">
        <v>7234728</v>
      </c>
      <c r="O109" s="10">
        <v>7388668</v>
      </c>
      <c r="P109" s="10">
        <v>7545166</v>
      </c>
      <c r="Q109" s="10">
        <v>7694855</v>
      </c>
      <c r="R109" s="10">
        <v>7831889</v>
      </c>
      <c r="S109" s="10">
        <v>7952865</v>
      </c>
      <c r="T109" s="10">
        <v>8062219</v>
      </c>
      <c r="U109" s="10">
        <v>8171522</v>
      </c>
      <c r="V109" s="10">
        <v>8296915</v>
      </c>
      <c r="W109" s="10">
        <v>8449913</v>
      </c>
      <c r="X109" s="10">
        <v>8635527</v>
      </c>
      <c r="Y109" s="10">
        <v>8850334</v>
      </c>
      <c r="Z109" s="10">
        <v>9087176</v>
      </c>
      <c r="AA109" s="10">
        <v>9334880</v>
      </c>
      <c r="AB109" s="10">
        <v>9585653</v>
      </c>
      <c r="AC109" s="10">
        <v>9837571</v>
      </c>
      <c r="AD109" s="10">
        <v>10094368</v>
      </c>
      <c r="AE109" s="10">
        <v>10360561</v>
      </c>
      <c r="AF109" s="10">
        <v>10642936</v>
      </c>
      <c r="AG109" s="10">
        <v>10946445</v>
      </c>
      <c r="AH109" s="10">
        <v>11271600</v>
      </c>
      <c r="AI109" s="10">
        <v>11616887</v>
      </c>
      <c r="AJ109" s="10">
        <v>11982695</v>
      </c>
      <c r="AK109" s="10">
        <v>12369070</v>
      </c>
      <c r="AL109" s="10">
        <v>12775516</v>
      </c>
      <c r="AM109" s="10">
        <v>13203378</v>
      </c>
      <c r="AN109" s="10">
        <v>13651464</v>
      </c>
      <c r="AO109" s="10">
        <v>14113577</v>
      </c>
      <c r="AP109" s="10">
        <v>14581429</v>
      </c>
      <c r="AQ109" s="10">
        <v>15049353</v>
      </c>
      <c r="AR109" s="10">
        <v>15514591</v>
      </c>
      <c r="AS109" s="10">
        <v>15979499</v>
      </c>
      <c r="AT109" s="10">
        <v>16449864</v>
      </c>
      <c r="AU109" s="10">
        <v>16934220</v>
      </c>
      <c r="AV109" s="10">
        <v>17438778</v>
      </c>
      <c r="AW109" s="10">
        <v>17965428</v>
      </c>
      <c r="AX109" s="10">
        <v>18512394</v>
      </c>
      <c r="AY109" s="10">
        <v>19077690</v>
      </c>
      <c r="AZ109" s="10">
        <v>19658032</v>
      </c>
    </row>
    <row r="110" spans="1:52" x14ac:dyDescent="0.45">
      <c r="A110" t="s">
        <v>191</v>
      </c>
      <c r="B110" t="s">
        <v>218</v>
      </c>
      <c r="C110" s="10">
        <v>1146780</v>
      </c>
      <c r="D110" s="10">
        <v>1181674</v>
      </c>
      <c r="E110" s="10">
        <v>1217446</v>
      </c>
      <c r="F110" s="10">
        <v>1254157</v>
      </c>
      <c r="G110" s="10">
        <v>1291855</v>
      </c>
      <c r="H110" s="10">
        <v>1330598</v>
      </c>
      <c r="I110" s="10">
        <v>1370357</v>
      </c>
      <c r="J110" s="10">
        <v>1411140</v>
      </c>
      <c r="K110" s="10">
        <v>1453032</v>
      </c>
      <c r="L110" s="10">
        <v>1496185</v>
      </c>
      <c r="M110" s="10">
        <v>1540640</v>
      </c>
      <c r="N110" s="10">
        <v>1586493</v>
      </c>
      <c r="O110" s="10">
        <v>1633652</v>
      </c>
      <c r="P110" s="10">
        <v>1681863</v>
      </c>
      <c r="Q110" s="10">
        <v>1730738</v>
      </c>
      <c r="R110" s="10">
        <v>1780030</v>
      </c>
      <c r="S110" s="10">
        <v>1829675</v>
      </c>
      <c r="T110" s="10">
        <v>1879763</v>
      </c>
      <c r="U110" s="10">
        <v>1930433</v>
      </c>
      <c r="V110" s="10">
        <v>1981899</v>
      </c>
      <c r="W110" s="10">
        <v>2034346</v>
      </c>
      <c r="X110" s="10">
        <v>2087912</v>
      </c>
      <c r="Y110" s="10">
        <v>2142645</v>
      </c>
      <c r="Z110" s="10">
        <v>2198532</v>
      </c>
      <c r="AA110" s="10">
        <v>2255516</v>
      </c>
      <c r="AB110" s="10">
        <v>2313630</v>
      </c>
      <c r="AC110" s="10">
        <v>2372901</v>
      </c>
      <c r="AD110" s="10">
        <v>2433563</v>
      </c>
      <c r="AE110" s="10">
        <v>2496216</v>
      </c>
      <c r="AF110" s="10">
        <v>2561585</v>
      </c>
      <c r="AG110" s="10">
        <v>2630219</v>
      </c>
      <c r="AH110" s="10">
        <v>2702400</v>
      </c>
      <c r="AI110" s="10">
        <v>2778099</v>
      </c>
      <c r="AJ110" s="10">
        <v>2857148</v>
      </c>
      <c r="AK110" s="10">
        <v>2939247</v>
      </c>
      <c r="AL110" s="10">
        <v>3024194</v>
      </c>
      <c r="AM110" s="10">
        <v>3111906</v>
      </c>
      <c r="AN110" s="10">
        <v>3202517</v>
      </c>
      <c r="AO110" s="10">
        <v>3296238</v>
      </c>
      <c r="AP110" s="10">
        <v>3393409</v>
      </c>
      <c r="AQ110" s="10">
        <v>3494195</v>
      </c>
      <c r="AR110" s="10">
        <v>3598648</v>
      </c>
      <c r="AS110" s="10">
        <v>3706554</v>
      </c>
      <c r="AT110" s="10">
        <v>3817494</v>
      </c>
      <c r="AU110" s="10">
        <v>3930896</v>
      </c>
      <c r="AV110" s="10">
        <v>4046301</v>
      </c>
      <c r="AW110" s="10">
        <v>4163534</v>
      </c>
      <c r="AX110" s="10">
        <v>4282574</v>
      </c>
      <c r="AY110" s="10">
        <v>4403319</v>
      </c>
      <c r="AZ110" s="10">
        <v>4525696</v>
      </c>
    </row>
    <row r="111" spans="1:52" x14ac:dyDescent="0.45">
      <c r="A111" t="s">
        <v>191</v>
      </c>
      <c r="B111" t="s">
        <v>137</v>
      </c>
      <c r="C111" s="10">
        <v>4510644</v>
      </c>
      <c r="D111" s="10">
        <v>4637988</v>
      </c>
      <c r="E111" s="10">
        <v>4768227</v>
      </c>
      <c r="F111" s="10">
        <v>4902151</v>
      </c>
      <c r="G111" s="10">
        <v>5040798</v>
      </c>
      <c r="H111" s="10">
        <v>5184941</v>
      </c>
      <c r="I111" s="10">
        <v>5335085</v>
      </c>
      <c r="J111" s="10">
        <v>5491153</v>
      </c>
      <c r="K111" s="10">
        <v>5652652</v>
      </c>
      <c r="L111" s="10">
        <v>5818763</v>
      </c>
      <c r="M111" s="10">
        <v>5989004</v>
      </c>
      <c r="N111" s="10">
        <v>6163705</v>
      </c>
      <c r="O111" s="10">
        <v>6343523</v>
      </c>
      <c r="P111" s="10">
        <v>6528641</v>
      </c>
      <c r="Q111" s="10">
        <v>6719309</v>
      </c>
      <c r="R111" s="10">
        <v>6915997</v>
      </c>
      <c r="S111" s="10">
        <v>7118883</v>
      </c>
      <c r="T111" s="10">
        <v>7328943</v>
      </c>
      <c r="U111" s="10">
        <v>7548433</v>
      </c>
      <c r="V111" s="10">
        <v>7780245</v>
      </c>
      <c r="W111" s="10">
        <v>8026591</v>
      </c>
      <c r="X111" s="10">
        <v>8288735</v>
      </c>
      <c r="Y111" s="10">
        <v>8566770</v>
      </c>
      <c r="Z111" s="10">
        <v>8860287</v>
      </c>
      <c r="AA111" s="10">
        <v>9168312</v>
      </c>
      <c r="AB111" s="10">
        <v>9490288</v>
      </c>
      <c r="AC111" s="10">
        <v>9826598</v>
      </c>
      <c r="AD111" s="10">
        <v>10178201</v>
      </c>
      <c r="AE111" s="10">
        <v>10545716</v>
      </c>
      <c r="AF111" s="10">
        <v>10929918</v>
      </c>
      <c r="AG111" s="10">
        <v>11331557</v>
      </c>
      <c r="AH111" s="10">
        <v>11751365</v>
      </c>
      <c r="AI111" s="10">
        <v>12189983</v>
      </c>
      <c r="AJ111" s="10">
        <v>12647984</v>
      </c>
      <c r="AK111" s="10">
        <v>13125916</v>
      </c>
      <c r="AL111" s="10">
        <v>13624467</v>
      </c>
      <c r="AM111" s="10">
        <v>14143971</v>
      </c>
      <c r="AN111" s="10">
        <v>14685399</v>
      </c>
      <c r="AO111" s="10">
        <v>15250908</v>
      </c>
      <c r="AP111" s="10">
        <v>15843133</v>
      </c>
      <c r="AQ111" s="10">
        <v>16464025</v>
      </c>
      <c r="AR111" s="10">
        <v>17114760</v>
      </c>
      <c r="AS111" s="10">
        <v>17795192</v>
      </c>
      <c r="AT111" s="10">
        <v>18504256</v>
      </c>
      <c r="AU111" s="10">
        <v>19240156</v>
      </c>
      <c r="AV111" s="10">
        <v>20001664</v>
      </c>
      <c r="AW111" s="10">
        <v>20788838</v>
      </c>
      <c r="AX111" s="10">
        <v>21602472</v>
      </c>
      <c r="AY111" s="10">
        <v>22442948</v>
      </c>
      <c r="AZ111" s="10">
        <v>23310716</v>
      </c>
    </row>
    <row r="112" spans="1:52" x14ac:dyDescent="0.45">
      <c r="A112" t="s">
        <v>191</v>
      </c>
      <c r="B112" t="s">
        <v>138</v>
      </c>
      <c r="C112" s="10">
        <v>55982144</v>
      </c>
      <c r="D112" s="10">
        <v>57296984</v>
      </c>
      <c r="E112" s="10">
        <v>58665808</v>
      </c>
      <c r="F112" s="10">
        <v>60114624</v>
      </c>
      <c r="G112" s="10">
        <v>61677176</v>
      </c>
      <c r="H112" s="10">
        <v>63374296</v>
      </c>
      <c r="I112" s="10">
        <v>65221376</v>
      </c>
      <c r="J112" s="10">
        <v>67203128</v>
      </c>
      <c r="K112" s="10">
        <v>69271920</v>
      </c>
      <c r="L112" s="10">
        <v>71361128</v>
      </c>
      <c r="M112" s="10">
        <v>73423632</v>
      </c>
      <c r="N112" s="10">
        <v>75440504</v>
      </c>
      <c r="O112" s="10">
        <v>77427544</v>
      </c>
      <c r="P112" s="10">
        <v>79414840</v>
      </c>
      <c r="Q112" s="10">
        <v>81448752</v>
      </c>
      <c r="R112" s="10">
        <v>83562784</v>
      </c>
      <c r="S112" s="10">
        <v>85766400</v>
      </c>
      <c r="T112" s="10">
        <v>88048032</v>
      </c>
      <c r="U112" s="10">
        <v>90395272</v>
      </c>
      <c r="V112" s="10">
        <v>92788024</v>
      </c>
      <c r="W112" s="10">
        <v>95212448</v>
      </c>
      <c r="X112" s="10">
        <v>97667632</v>
      </c>
      <c r="Y112" s="10">
        <v>100161712</v>
      </c>
      <c r="Z112" s="10">
        <v>102700752</v>
      </c>
      <c r="AA112" s="10">
        <v>105293696</v>
      </c>
      <c r="AB112" s="10">
        <v>107948336</v>
      </c>
      <c r="AC112" s="10">
        <v>110668792</v>
      </c>
      <c r="AD112" s="10">
        <v>113457664</v>
      </c>
      <c r="AE112" s="10">
        <v>116319760</v>
      </c>
      <c r="AF112" s="10">
        <v>119260064</v>
      </c>
      <c r="AG112" s="10">
        <v>122283848</v>
      </c>
      <c r="AH112" s="10">
        <v>125394048</v>
      </c>
      <c r="AI112" s="10">
        <v>128596080</v>
      </c>
      <c r="AJ112" s="10">
        <v>131900632</v>
      </c>
      <c r="AK112" s="10">
        <v>135320416</v>
      </c>
      <c r="AL112" s="10">
        <v>138865024</v>
      </c>
      <c r="AM112" s="10">
        <v>142538304</v>
      </c>
      <c r="AN112" s="10">
        <v>146339984</v>
      </c>
      <c r="AO112" s="10">
        <v>150269616</v>
      </c>
      <c r="AP112" s="10">
        <v>154324928</v>
      </c>
      <c r="AQ112" s="10">
        <v>158503200</v>
      </c>
      <c r="AR112" s="10">
        <v>162805072</v>
      </c>
      <c r="AS112" s="10">
        <v>167228768</v>
      </c>
      <c r="AT112" s="10">
        <v>171765776</v>
      </c>
      <c r="AU112" s="10">
        <v>176404896</v>
      </c>
      <c r="AV112" s="10">
        <v>181137440</v>
      </c>
      <c r="AW112" s="10">
        <v>185960288</v>
      </c>
      <c r="AX112" s="10">
        <v>190873312</v>
      </c>
      <c r="AY112" s="10">
        <v>195874736</v>
      </c>
      <c r="AZ112" s="10">
        <v>200963600</v>
      </c>
    </row>
    <row r="113" spans="1:52" x14ac:dyDescent="0.45">
      <c r="A113" t="s">
        <v>191</v>
      </c>
      <c r="B113" t="s">
        <v>145</v>
      </c>
      <c r="C113" s="10">
        <v>3757358</v>
      </c>
      <c r="D113" s="10">
        <v>3871439</v>
      </c>
      <c r="E113" s="10">
        <v>3987224</v>
      </c>
      <c r="F113" s="10">
        <v>4106407</v>
      </c>
      <c r="G113" s="10">
        <v>4231578</v>
      </c>
      <c r="H113" s="10">
        <v>4364706</v>
      </c>
      <c r="I113" s="10">
        <v>4506109</v>
      </c>
      <c r="J113" s="10">
        <v>4655383</v>
      </c>
      <c r="K113" s="10">
        <v>4812872</v>
      </c>
      <c r="L113" s="10">
        <v>4978817</v>
      </c>
      <c r="M113" s="10">
        <v>5153312</v>
      </c>
      <c r="N113" s="10">
        <v>5329252</v>
      </c>
      <c r="O113" s="10">
        <v>5504842</v>
      </c>
      <c r="P113" s="10">
        <v>5690980</v>
      </c>
      <c r="Q113" s="10">
        <v>5902843</v>
      </c>
      <c r="R113" s="10">
        <v>6146891</v>
      </c>
      <c r="S113" s="10">
        <v>6443751</v>
      </c>
      <c r="T113" s="10">
        <v>6779983</v>
      </c>
      <c r="U113" s="10">
        <v>7088191</v>
      </c>
      <c r="V113" s="10">
        <v>7276985</v>
      </c>
      <c r="W113" s="10">
        <v>7288882</v>
      </c>
      <c r="X113" s="10">
        <v>7083935</v>
      </c>
      <c r="Y113" s="10">
        <v>6702244</v>
      </c>
      <c r="Z113" s="10">
        <v>6263757</v>
      </c>
      <c r="AA113" s="10">
        <v>5936261</v>
      </c>
      <c r="AB113" s="10">
        <v>5836495</v>
      </c>
      <c r="AC113" s="10">
        <v>6013107</v>
      </c>
      <c r="AD113" s="10">
        <v>6419901</v>
      </c>
      <c r="AE113" s="10">
        <v>6962802</v>
      </c>
      <c r="AF113" s="10">
        <v>7501234</v>
      </c>
      <c r="AG113" s="10">
        <v>7933681</v>
      </c>
      <c r="AH113" s="10">
        <v>8231156</v>
      </c>
      <c r="AI113" s="10">
        <v>8427060</v>
      </c>
      <c r="AJ113" s="10">
        <v>8557161</v>
      </c>
      <c r="AK113" s="10">
        <v>8680524</v>
      </c>
      <c r="AL113" s="10">
        <v>8840215</v>
      </c>
      <c r="AM113" s="10">
        <v>9043337</v>
      </c>
      <c r="AN113" s="10">
        <v>9273757</v>
      </c>
      <c r="AO113" s="10">
        <v>9524534</v>
      </c>
      <c r="AP113" s="10">
        <v>9782770</v>
      </c>
      <c r="AQ113" s="10">
        <v>10039338</v>
      </c>
      <c r="AR113" s="10">
        <v>10293331</v>
      </c>
      <c r="AS113" s="10">
        <v>10549678</v>
      </c>
      <c r="AT113" s="10">
        <v>10811543</v>
      </c>
      <c r="AU113" s="10">
        <v>11083635</v>
      </c>
      <c r="AV113" s="10">
        <v>11369071</v>
      </c>
      <c r="AW113" s="10">
        <v>11668818</v>
      </c>
      <c r="AX113" s="10">
        <v>11980937</v>
      </c>
      <c r="AY113" s="10">
        <v>12301939</v>
      </c>
      <c r="AZ113" s="10">
        <v>12626950</v>
      </c>
    </row>
    <row r="114" spans="1:52" x14ac:dyDescent="0.45">
      <c r="A114" t="s">
        <v>191</v>
      </c>
      <c r="B114" t="s">
        <v>146</v>
      </c>
      <c r="C114" s="10">
        <v>4257505</v>
      </c>
      <c r="D114" s="10">
        <v>4387540</v>
      </c>
      <c r="E114" s="10">
        <v>4522893</v>
      </c>
      <c r="F114" s="10">
        <v>4660725</v>
      </c>
      <c r="G114" s="10">
        <v>4797187</v>
      </c>
      <c r="H114" s="10">
        <v>4929846</v>
      </c>
      <c r="I114" s="10">
        <v>5057378</v>
      </c>
      <c r="J114" s="10">
        <v>5181514</v>
      </c>
      <c r="K114" s="10">
        <v>5306681</v>
      </c>
      <c r="L114" s="10">
        <v>5439066</v>
      </c>
      <c r="M114" s="10">
        <v>5583165</v>
      </c>
      <c r="N114" s="10">
        <v>5740444</v>
      </c>
      <c r="O114" s="10">
        <v>5909739</v>
      </c>
      <c r="P114" s="10">
        <v>6089572</v>
      </c>
      <c r="Q114" s="10">
        <v>6277424</v>
      </c>
      <c r="R114" s="10">
        <v>6471327</v>
      </c>
      <c r="S114" s="10">
        <v>6670663</v>
      </c>
      <c r="T114" s="10">
        <v>6875754</v>
      </c>
      <c r="U114" s="10">
        <v>7086627</v>
      </c>
      <c r="V114" s="10">
        <v>7303517</v>
      </c>
      <c r="W114" s="10">
        <v>7526307</v>
      </c>
      <c r="X114" s="10">
        <v>7755496</v>
      </c>
      <c r="Y114" s="10">
        <v>7990096</v>
      </c>
      <c r="Z114" s="10">
        <v>8226760</v>
      </c>
      <c r="AA114" s="10">
        <v>8461068</v>
      </c>
      <c r="AB114" s="10">
        <v>8690164</v>
      </c>
      <c r="AC114" s="10">
        <v>8912861</v>
      </c>
      <c r="AD114" s="10">
        <v>9130877</v>
      </c>
      <c r="AE114" s="10">
        <v>9347774</v>
      </c>
      <c r="AF114" s="10">
        <v>9568722</v>
      </c>
      <c r="AG114" s="10">
        <v>9797734</v>
      </c>
      <c r="AH114" s="10">
        <v>10036104</v>
      </c>
      <c r="AI114" s="10">
        <v>10283699</v>
      </c>
      <c r="AJ114" s="10">
        <v>10541467</v>
      </c>
      <c r="AK114" s="10">
        <v>10810083</v>
      </c>
      <c r="AL114" s="10">
        <v>11090116</v>
      </c>
      <c r="AM114" s="10">
        <v>11382268</v>
      </c>
      <c r="AN114" s="10">
        <v>11687080</v>
      </c>
      <c r="AO114" s="10">
        <v>12004701</v>
      </c>
      <c r="AP114" s="10">
        <v>12335084</v>
      </c>
      <c r="AQ114" s="10">
        <v>12678148</v>
      </c>
      <c r="AR114" s="10">
        <v>13033809</v>
      </c>
      <c r="AS114" s="10">
        <v>13401991</v>
      </c>
      <c r="AT114" s="10">
        <v>13782420</v>
      </c>
      <c r="AU114" s="10">
        <v>14174731</v>
      </c>
      <c r="AV114" s="10">
        <v>14578459</v>
      </c>
      <c r="AW114" s="10">
        <v>14993528</v>
      </c>
      <c r="AX114" s="10">
        <v>15419381</v>
      </c>
      <c r="AY114" s="10">
        <v>15854360</v>
      </c>
      <c r="AZ114" s="10">
        <v>16296364</v>
      </c>
    </row>
    <row r="115" spans="1:52" x14ac:dyDescent="0.45">
      <c r="A115" t="s">
        <v>191</v>
      </c>
      <c r="B115" t="s">
        <v>147</v>
      </c>
      <c r="C115" s="10">
        <v>53600</v>
      </c>
      <c r="D115" s="10">
        <v>54695</v>
      </c>
      <c r="E115" s="10">
        <v>56029</v>
      </c>
      <c r="F115" s="10">
        <v>56892</v>
      </c>
      <c r="G115" s="10">
        <v>57937</v>
      </c>
      <c r="H115" s="10">
        <v>59292</v>
      </c>
      <c r="I115" s="10">
        <v>60504</v>
      </c>
      <c r="J115" s="10">
        <v>61786</v>
      </c>
      <c r="K115" s="10">
        <v>62150</v>
      </c>
      <c r="L115" s="10">
        <v>62686</v>
      </c>
      <c r="M115" s="10">
        <v>63261</v>
      </c>
      <c r="N115" s="10">
        <v>64035</v>
      </c>
      <c r="O115" s="10">
        <v>64413</v>
      </c>
      <c r="P115" s="10">
        <v>64335</v>
      </c>
      <c r="Q115" s="10">
        <v>64717</v>
      </c>
      <c r="R115" s="10">
        <v>65244</v>
      </c>
      <c r="S115" s="10">
        <v>65652</v>
      </c>
      <c r="T115" s="10">
        <v>68499</v>
      </c>
      <c r="U115" s="10">
        <v>68755</v>
      </c>
      <c r="V115" s="10">
        <v>69167</v>
      </c>
      <c r="W115" s="10">
        <v>69507</v>
      </c>
      <c r="X115" s="10">
        <v>70439</v>
      </c>
      <c r="Y115" s="10">
        <v>70763</v>
      </c>
      <c r="Z115" s="10">
        <v>72253</v>
      </c>
      <c r="AA115" s="10">
        <v>74205</v>
      </c>
      <c r="AB115" s="10">
        <v>75304</v>
      </c>
      <c r="AC115" s="10">
        <v>76417</v>
      </c>
      <c r="AD115" s="10">
        <v>77319</v>
      </c>
      <c r="AE115" s="10">
        <v>78846</v>
      </c>
      <c r="AF115" s="10">
        <v>80410</v>
      </c>
      <c r="AG115" s="10">
        <v>81131</v>
      </c>
      <c r="AH115" s="10">
        <v>81202</v>
      </c>
      <c r="AI115" s="10">
        <v>83723</v>
      </c>
      <c r="AJ115" s="10">
        <v>82781</v>
      </c>
      <c r="AK115" s="10">
        <v>82475</v>
      </c>
      <c r="AL115" s="10">
        <v>82858</v>
      </c>
      <c r="AM115" s="10">
        <v>84600</v>
      </c>
      <c r="AN115" s="10">
        <v>85033</v>
      </c>
      <c r="AO115" s="10">
        <v>86956</v>
      </c>
      <c r="AP115" s="10">
        <v>87298</v>
      </c>
      <c r="AQ115" s="10">
        <v>89770</v>
      </c>
      <c r="AR115" s="10">
        <v>87441</v>
      </c>
      <c r="AS115" s="10">
        <v>88303</v>
      </c>
      <c r="AT115" s="10">
        <v>89949</v>
      </c>
      <c r="AU115" s="10">
        <v>91359</v>
      </c>
      <c r="AV115" s="10">
        <v>93419</v>
      </c>
      <c r="AW115" s="10">
        <v>94677</v>
      </c>
      <c r="AX115" s="10">
        <v>95843</v>
      </c>
      <c r="AY115" s="10">
        <v>96762</v>
      </c>
      <c r="AZ115" s="10">
        <v>97625</v>
      </c>
    </row>
    <row r="116" spans="1:52" x14ac:dyDescent="0.45">
      <c r="A116" t="s">
        <v>191</v>
      </c>
      <c r="B116" t="s">
        <v>148</v>
      </c>
      <c r="C116" s="10">
        <v>2744891</v>
      </c>
      <c r="D116" s="10">
        <v>2798724</v>
      </c>
      <c r="E116" s="10">
        <v>2854872</v>
      </c>
      <c r="F116" s="10">
        <v>2913344</v>
      </c>
      <c r="G116" s="10">
        <v>2974104</v>
      </c>
      <c r="H116" s="10">
        <v>3037154</v>
      </c>
      <c r="I116" s="10">
        <v>3102592</v>
      </c>
      <c r="J116" s="10">
        <v>3170508</v>
      </c>
      <c r="K116" s="10">
        <v>3240839</v>
      </c>
      <c r="L116" s="10">
        <v>3313504</v>
      </c>
      <c r="M116" s="10">
        <v>3388495</v>
      </c>
      <c r="N116" s="10">
        <v>3464106</v>
      </c>
      <c r="O116" s="10">
        <v>3540170</v>
      </c>
      <c r="P116" s="10">
        <v>3619847</v>
      </c>
      <c r="Q116" s="10">
        <v>3707510</v>
      </c>
      <c r="R116" s="10">
        <v>3805311</v>
      </c>
      <c r="S116" s="10">
        <v>3916685</v>
      </c>
      <c r="T116" s="10">
        <v>4038144</v>
      </c>
      <c r="U116" s="10">
        <v>4156634</v>
      </c>
      <c r="V116" s="10">
        <v>4254444</v>
      </c>
      <c r="W116" s="10">
        <v>4319762</v>
      </c>
      <c r="X116" s="10">
        <v>4348660</v>
      </c>
      <c r="Y116" s="10">
        <v>4347724</v>
      </c>
      <c r="Z116" s="10">
        <v>4328957</v>
      </c>
      <c r="AA116" s="10">
        <v>4309775</v>
      </c>
      <c r="AB116" s="10">
        <v>4303957</v>
      </c>
      <c r="AC116" s="10">
        <v>4312666</v>
      </c>
      <c r="AD116" s="10">
        <v>4335301</v>
      </c>
      <c r="AE116" s="10">
        <v>4381483</v>
      </c>
      <c r="AF116" s="10">
        <v>4462378</v>
      </c>
      <c r="AG116" s="10">
        <v>4584571</v>
      </c>
      <c r="AH116" s="10">
        <v>4754072</v>
      </c>
      <c r="AI116" s="10">
        <v>4965766</v>
      </c>
      <c r="AJ116" s="10">
        <v>5201070</v>
      </c>
      <c r="AK116" s="10">
        <v>5433991</v>
      </c>
      <c r="AL116" s="10">
        <v>5645624</v>
      </c>
      <c r="AM116" s="10">
        <v>5829237</v>
      </c>
      <c r="AN116" s="10">
        <v>5989633</v>
      </c>
      <c r="AO116" s="10">
        <v>6133603</v>
      </c>
      <c r="AP116" s="10">
        <v>6272734</v>
      </c>
      <c r="AQ116" s="10">
        <v>6415634</v>
      </c>
      <c r="AR116" s="10">
        <v>6563240</v>
      </c>
      <c r="AS116" s="10">
        <v>6712581</v>
      </c>
      <c r="AT116" s="10">
        <v>6863980</v>
      </c>
      <c r="AU116" s="10">
        <v>7017144</v>
      </c>
      <c r="AV116" s="10">
        <v>7171914</v>
      </c>
      <c r="AW116" s="10">
        <v>7328838</v>
      </c>
      <c r="AX116" s="10">
        <v>7488431</v>
      </c>
      <c r="AY116" s="10">
        <v>7650154</v>
      </c>
      <c r="AZ116" s="10">
        <v>7813215</v>
      </c>
    </row>
    <row r="117" spans="1:52" x14ac:dyDescent="0.45">
      <c r="A117" t="s">
        <v>191</v>
      </c>
      <c r="B117" t="s">
        <v>149</v>
      </c>
      <c r="C117" s="10">
        <v>22069776</v>
      </c>
      <c r="D117" s="10">
        <v>22665272</v>
      </c>
      <c r="E117" s="10">
        <v>23281508</v>
      </c>
      <c r="F117" s="10">
        <v>23913100</v>
      </c>
      <c r="G117" s="10">
        <v>24552540</v>
      </c>
      <c r="H117" s="10">
        <v>25195188</v>
      </c>
      <c r="I117" s="10">
        <v>25836888</v>
      </c>
      <c r="J117" s="10">
        <v>26480912</v>
      </c>
      <c r="K117" s="10">
        <v>27138964</v>
      </c>
      <c r="L117" s="10">
        <v>27827320</v>
      </c>
      <c r="M117" s="10">
        <v>28556768</v>
      </c>
      <c r="N117" s="10">
        <v>29333104</v>
      </c>
      <c r="O117" s="10">
        <v>30150448</v>
      </c>
      <c r="P117" s="10">
        <v>30993758</v>
      </c>
      <c r="Q117" s="10">
        <v>31841592</v>
      </c>
      <c r="R117" s="10">
        <v>32678874</v>
      </c>
      <c r="S117" s="10">
        <v>33495952</v>
      </c>
      <c r="T117" s="10">
        <v>34297728</v>
      </c>
      <c r="U117" s="10">
        <v>35100908</v>
      </c>
      <c r="V117" s="10">
        <v>35930048</v>
      </c>
      <c r="W117" s="10">
        <v>36800508</v>
      </c>
      <c r="X117" s="10">
        <v>37718952</v>
      </c>
      <c r="Y117" s="10">
        <v>38672608</v>
      </c>
      <c r="Z117" s="10">
        <v>39633752</v>
      </c>
      <c r="AA117" s="10">
        <v>40564060</v>
      </c>
      <c r="AB117" s="10">
        <v>41435760</v>
      </c>
      <c r="AC117" s="10">
        <v>42241012</v>
      </c>
      <c r="AD117" s="10">
        <v>42987460</v>
      </c>
      <c r="AE117" s="10">
        <v>43682260</v>
      </c>
      <c r="AF117" s="10">
        <v>44338544</v>
      </c>
      <c r="AG117" s="10">
        <v>44967708</v>
      </c>
      <c r="AH117" s="10">
        <v>45571272</v>
      </c>
      <c r="AI117" s="10">
        <v>46150912</v>
      </c>
      <c r="AJ117" s="10">
        <v>46719196</v>
      </c>
      <c r="AK117" s="10">
        <v>47291608</v>
      </c>
      <c r="AL117" s="10">
        <v>47880600</v>
      </c>
      <c r="AM117" s="10">
        <v>48489460</v>
      </c>
      <c r="AN117" s="10">
        <v>49119760</v>
      </c>
      <c r="AO117" s="10">
        <v>49779472</v>
      </c>
      <c r="AP117" s="10">
        <v>50477012</v>
      </c>
      <c r="AQ117" s="10">
        <v>51216964</v>
      </c>
      <c r="AR117" s="10">
        <v>52004172</v>
      </c>
      <c r="AS117" s="10">
        <v>52834004</v>
      </c>
      <c r="AT117" s="10">
        <v>53689236</v>
      </c>
      <c r="AU117" s="10">
        <v>54545992</v>
      </c>
      <c r="AV117" s="10">
        <v>55386368</v>
      </c>
      <c r="AW117" s="10">
        <v>56203656</v>
      </c>
      <c r="AX117" s="10">
        <v>57000452</v>
      </c>
      <c r="AY117" s="10">
        <v>57779624</v>
      </c>
      <c r="AZ117" s="10">
        <v>58558272</v>
      </c>
    </row>
    <row r="118" spans="1:52" x14ac:dyDescent="0.45">
      <c r="A118" t="s">
        <v>191</v>
      </c>
      <c r="B118" t="s">
        <v>150</v>
      </c>
      <c r="C118" s="10">
        <v>10281700</v>
      </c>
      <c r="D118" s="10">
        <v>10621472</v>
      </c>
      <c r="E118" s="10">
        <v>10974622</v>
      </c>
      <c r="F118" s="10">
        <v>11343926</v>
      </c>
      <c r="G118" s="10">
        <v>11732958</v>
      </c>
      <c r="H118" s="10">
        <v>12144135</v>
      </c>
      <c r="I118" s="10">
        <v>12578407</v>
      </c>
      <c r="J118" s="10">
        <v>13034625</v>
      </c>
      <c r="K118" s="10">
        <v>13510421</v>
      </c>
      <c r="L118" s="10">
        <v>14002303</v>
      </c>
      <c r="M118" s="10">
        <v>14507468</v>
      </c>
      <c r="N118" s="10">
        <v>15027248</v>
      </c>
      <c r="O118" s="10">
        <v>15562125</v>
      </c>
      <c r="P118" s="10">
        <v>16107620</v>
      </c>
      <c r="Q118" s="10">
        <v>16657959</v>
      </c>
      <c r="R118" s="10">
        <v>17210188</v>
      </c>
      <c r="S118" s="10">
        <v>17757492</v>
      </c>
      <c r="T118" s="10">
        <v>18303436</v>
      </c>
      <c r="U118" s="10">
        <v>18867560</v>
      </c>
      <c r="V118" s="10">
        <v>19476648</v>
      </c>
      <c r="W118" s="10">
        <v>20147590</v>
      </c>
      <c r="X118" s="10">
        <v>20891440</v>
      </c>
      <c r="Y118" s="10">
        <v>21696244</v>
      </c>
      <c r="Z118" s="10">
        <v>22527834</v>
      </c>
      <c r="AA118" s="10">
        <v>23338464</v>
      </c>
      <c r="AB118" s="10">
        <v>24094748</v>
      </c>
      <c r="AC118" s="10">
        <v>24782384</v>
      </c>
      <c r="AD118" s="10">
        <v>25413916</v>
      </c>
      <c r="AE118" s="10">
        <v>26015520</v>
      </c>
      <c r="AF118" s="10">
        <v>26626520</v>
      </c>
      <c r="AG118" s="10">
        <v>27275016</v>
      </c>
      <c r="AH118" s="10">
        <v>27971082</v>
      </c>
      <c r="AI118" s="10">
        <v>28704778</v>
      </c>
      <c r="AJ118" s="10">
        <v>29460520</v>
      </c>
      <c r="AK118" s="10">
        <v>30214192</v>
      </c>
      <c r="AL118" s="10">
        <v>30949516</v>
      </c>
      <c r="AM118" s="10">
        <v>31661824</v>
      </c>
      <c r="AN118" s="10">
        <v>32360620</v>
      </c>
      <c r="AO118" s="10">
        <v>33060836</v>
      </c>
      <c r="AP118" s="10">
        <v>33783788</v>
      </c>
      <c r="AQ118" s="10">
        <v>34545012</v>
      </c>
      <c r="AR118" s="10">
        <v>35349680</v>
      </c>
      <c r="AS118" s="10">
        <v>36193784</v>
      </c>
      <c r="AT118" s="10">
        <v>37072552</v>
      </c>
      <c r="AU118" s="10">
        <v>37977656</v>
      </c>
      <c r="AV118" s="10">
        <v>38902952</v>
      </c>
      <c r="AW118" s="10">
        <v>39847440</v>
      </c>
      <c r="AX118" s="10">
        <v>40813396</v>
      </c>
      <c r="AY118" s="10">
        <v>41801532</v>
      </c>
      <c r="AZ118" s="10">
        <v>42813240</v>
      </c>
    </row>
    <row r="119" spans="1:52" x14ac:dyDescent="0.45">
      <c r="A119" t="s">
        <v>191</v>
      </c>
      <c r="B119" t="s">
        <v>219</v>
      </c>
      <c r="C119" s="10">
        <v>431253</v>
      </c>
      <c r="D119" s="10">
        <v>443977</v>
      </c>
      <c r="E119" s="10">
        <v>457039</v>
      </c>
      <c r="F119" s="10">
        <v>470559</v>
      </c>
      <c r="G119" s="10">
        <v>484749</v>
      </c>
      <c r="H119" s="10">
        <v>499763</v>
      </c>
      <c r="I119" s="10">
        <v>515599</v>
      </c>
      <c r="J119" s="10">
        <v>532260</v>
      </c>
      <c r="K119" s="10">
        <v>549796</v>
      </c>
      <c r="L119" s="10">
        <v>568315</v>
      </c>
      <c r="M119" s="10">
        <v>587858</v>
      </c>
      <c r="N119" s="10">
        <v>608380</v>
      </c>
      <c r="O119" s="10">
        <v>629811</v>
      </c>
      <c r="P119" s="10">
        <v>652115</v>
      </c>
      <c r="Q119" s="10">
        <v>675239</v>
      </c>
      <c r="R119" s="10">
        <v>699080</v>
      </c>
      <c r="S119" s="10">
        <v>723595</v>
      </c>
      <c r="T119" s="10">
        <v>748632</v>
      </c>
      <c r="U119" s="10">
        <v>773768</v>
      </c>
      <c r="V119" s="10">
        <v>798507</v>
      </c>
      <c r="W119" s="10">
        <v>822420</v>
      </c>
      <c r="X119" s="10">
        <v>845266</v>
      </c>
      <c r="Y119" s="10">
        <v>866993</v>
      </c>
      <c r="Z119" s="10">
        <v>887706</v>
      </c>
      <c r="AA119" s="10">
        <v>907620</v>
      </c>
      <c r="AB119" s="10">
        <v>926841</v>
      </c>
      <c r="AC119" s="10">
        <v>945508</v>
      </c>
      <c r="AD119" s="10">
        <v>963426</v>
      </c>
      <c r="AE119" s="10">
        <v>979918</v>
      </c>
      <c r="AF119" s="10">
        <v>994108</v>
      </c>
      <c r="AG119" s="10">
        <v>1005435</v>
      </c>
      <c r="AH119" s="10">
        <v>1013609</v>
      </c>
      <c r="AI119" s="10">
        <v>1019059</v>
      </c>
      <c r="AJ119" s="10">
        <v>1022802</v>
      </c>
      <c r="AK119" s="10">
        <v>1026286</v>
      </c>
      <c r="AL119" s="10">
        <v>1030579</v>
      </c>
      <c r="AM119" s="10">
        <v>1036092</v>
      </c>
      <c r="AN119" s="10">
        <v>1042652</v>
      </c>
      <c r="AO119" s="10">
        <v>1049945</v>
      </c>
      <c r="AP119" s="10">
        <v>1057467</v>
      </c>
      <c r="AQ119" s="10">
        <v>1064837</v>
      </c>
      <c r="AR119" s="10">
        <v>1072032</v>
      </c>
      <c r="AS119" s="10">
        <v>1079288</v>
      </c>
      <c r="AT119" s="10">
        <v>1086839</v>
      </c>
      <c r="AU119" s="10">
        <v>1095021</v>
      </c>
      <c r="AV119" s="10">
        <v>1104044</v>
      </c>
      <c r="AW119" s="10">
        <v>1113984</v>
      </c>
      <c r="AX119" s="10">
        <v>1124753</v>
      </c>
      <c r="AY119" s="10">
        <v>1136191</v>
      </c>
      <c r="AZ119" s="10">
        <v>1148130</v>
      </c>
    </row>
    <row r="120" spans="1:52" x14ac:dyDescent="0.45">
      <c r="A120" t="s">
        <v>191</v>
      </c>
      <c r="B120" t="s">
        <v>153</v>
      </c>
      <c r="C120" s="10">
        <v>2115522</v>
      </c>
      <c r="D120" s="10">
        <v>2185662</v>
      </c>
      <c r="E120" s="10">
        <v>2247582</v>
      </c>
      <c r="F120" s="10">
        <v>2303345</v>
      </c>
      <c r="G120" s="10">
        <v>2356622</v>
      </c>
      <c r="H120" s="10">
        <v>2410446</v>
      </c>
      <c r="I120" s="10">
        <v>2464423</v>
      </c>
      <c r="J120" s="10">
        <v>2518457</v>
      </c>
      <c r="K120" s="10">
        <v>2576292</v>
      </c>
      <c r="L120" s="10">
        <v>2642696</v>
      </c>
      <c r="M120" s="10">
        <v>2720839</v>
      </c>
      <c r="N120" s="10">
        <v>2812307</v>
      </c>
      <c r="O120" s="10">
        <v>2915620</v>
      </c>
      <c r="P120" s="10">
        <v>3026973</v>
      </c>
      <c r="Q120" s="10">
        <v>3140846</v>
      </c>
      <c r="R120" s="10">
        <v>3252994</v>
      </c>
      <c r="S120" s="10">
        <v>3363042</v>
      </c>
      <c r="T120" s="10">
        <v>3471739</v>
      </c>
      <c r="U120" s="10">
        <v>3577468</v>
      </c>
      <c r="V120" s="10">
        <v>3678567</v>
      </c>
      <c r="W120" s="10">
        <v>3774312</v>
      </c>
      <c r="X120" s="10">
        <v>3862992</v>
      </c>
      <c r="Y120" s="10">
        <v>3945905</v>
      </c>
      <c r="Z120" s="10">
        <v>4029053</v>
      </c>
      <c r="AA120" s="10">
        <v>4120616</v>
      </c>
      <c r="AB120" s="10">
        <v>4226291</v>
      </c>
      <c r="AC120" s="10">
        <v>4348805</v>
      </c>
      <c r="AD120" s="10">
        <v>4485951</v>
      </c>
      <c r="AE120" s="10">
        <v>4632446</v>
      </c>
      <c r="AF120" s="10">
        <v>4780448</v>
      </c>
      <c r="AG120" s="10">
        <v>4924402</v>
      </c>
      <c r="AH120" s="10">
        <v>5062567</v>
      </c>
      <c r="AI120" s="10">
        <v>5197031</v>
      </c>
      <c r="AJ120" s="10">
        <v>5330639</v>
      </c>
      <c r="AK120" s="10">
        <v>5467766</v>
      </c>
      <c r="AL120" s="10">
        <v>5611640</v>
      </c>
      <c r="AM120" s="10">
        <v>5762880</v>
      </c>
      <c r="AN120" s="10">
        <v>5920359</v>
      </c>
      <c r="AO120" s="10">
        <v>6083420</v>
      </c>
      <c r="AP120" s="10">
        <v>6250835</v>
      </c>
      <c r="AQ120" s="10">
        <v>6421679</v>
      </c>
      <c r="AR120" s="10">
        <v>6595943</v>
      </c>
      <c r="AS120" s="10">
        <v>6773807</v>
      </c>
      <c r="AT120" s="10">
        <v>6954721</v>
      </c>
      <c r="AU120" s="10">
        <v>7137997</v>
      </c>
      <c r="AV120" s="10">
        <v>7323158</v>
      </c>
      <c r="AW120" s="10">
        <v>7509952</v>
      </c>
      <c r="AX120" s="10">
        <v>7698475</v>
      </c>
      <c r="AY120" s="10">
        <v>7889094</v>
      </c>
      <c r="AZ120" s="10">
        <v>8082366</v>
      </c>
    </row>
    <row r="121" spans="1:52" x14ac:dyDescent="0.45">
      <c r="A121" t="s">
        <v>191</v>
      </c>
      <c r="B121" t="s">
        <v>157</v>
      </c>
      <c r="C121" s="10">
        <v>4179067</v>
      </c>
      <c r="D121" s="10">
        <v>4319224</v>
      </c>
      <c r="E121" s="10">
        <v>4466174</v>
      </c>
      <c r="F121" s="10">
        <v>4619546</v>
      </c>
      <c r="G121" s="10">
        <v>4778724</v>
      </c>
      <c r="H121" s="10">
        <v>4943283</v>
      </c>
      <c r="I121" s="10">
        <v>5112823</v>
      </c>
      <c r="J121" s="10">
        <v>5287548</v>
      </c>
      <c r="K121" s="10">
        <v>5468262</v>
      </c>
      <c r="L121" s="10">
        <v>5656139</v>
      </c>
      <c r="M121" s="10">
        <v>5851825</v>
      </c>
      <c r="N121" s="10">
        <v>6055366</v>
      </c>
      <c r="O121" s="10">
        <v>6265864</v>
      </c>
      <c r="P121" s="10">
        <v>6481916</v>
      </c>
      <c r="Q121" s="10">
        <v>6701540</v>
      </c>
      <c r="R121" s="10">
        <v>6923149</v>
      </c>
      <c r="S121" s="10">
        <v>7146969</v>
      </c>
      <c r="T121" s="10">
        <v>7372837</v>
      </c>
      <c r="U121" s="10">
        <v>7598275</v>
      </c>
      <c r="V121" s="10">
        <v>7820205</v>
      </c>
      <c r="W121" s="10">
        <v>8036845</v>
      </c>
      <c r="X121" s="10">
        <v>8246656</v>
      </c>
      <c r="Y121" s="10">
        <v>8451347</v>
      </c>
      <c r="Z121" s="10">
        <v>8656486</v>
      </c>
      <c r="AA121" s="10">
        <v>8869740</v>
      </c>
      <c r="AB121" s="10">
        <v>9096607</v>
      </c>
      <c r="AC121" s="10">
        <v>9339733</v>
      </c>
      <c r="AD121" s="10">
        <v>9597609</v>
      </c>
      <c r="AE121" s="10">
        <v>9866476</v>
      </c>
      <c r="AF121" s="10">
        <v>10140561</v>
      </c>
      <c r="AG121" s="10">
        <v>10415944</v>
      </c>
      <c r="AH121" s="10">
        <v>10692193</v>
      </c>
      <c r="AI121" s="10">
        <v>10971698</v>
      </c>
      <c r="AJ121" s="10">
        <v>11256743</v>
      </c>
      <c r="AK121" s="10">
        <v>11550642</v>
      </c>
      <c r="AL121" s="10">
        <v>11856247</v>
      </c>
      <c r="AM121" s="10">
        <v>12173514</v>
      </c>
      <c r="AN121" s="10">
        <v>12502958</v>
      </c>
      <c r="AO121" s="10">
        <v>12848530</v>
      </c>
      <c r="AP121" s="10">
        <v>13215139</v>
      </c>
      <c r="AQ121" s="10">
        <v>13605984</v>
      </c>
      <c r="AR121" s="10">
        <v>14023193</v>
      </c>
      <c r="AS121" s="10">
        <v>14465121</v>
      </c>
      <c r="AT121" s="10">
        <v>14926504</v>
      </c>
      <c r="AU121" s="10">
        <v>15399753</v>
      </c>
      <c r="AV121" s="10">
        <v>15879361</v>
      </c>
      <c r="AW121" s="10">
        <v>16363507</v>
      </c>
      <c r="AX121" s="10">
        <v>16853688</v>
      </c>
      <c r="AY121" s="10">
        <v>17351822</v>
      </c>
      <c r="AZ121" s="10">
        <v>17861030</v>
      </c>
    </row>
    <row r="122" spans="1:52" x14ac:dyDescent="0.45">
      <c r="A122" t="s">
        <v>191</v>
      </c>
      <c r="B122" t="s">
        <v>158</v>
      </c>
      <c r="C122" s="10">
        <v>5289303</v>
      </c>
      <c r="D122" s="10">
        <v>5476982</v>
      </c>
      <c r="E122" s="10">
        <v>5673911</v>
      </c>
      <c r="F122" s="10">
        <v>5877726</v>
      </c>
      <c r="G122" s="10">
        <v>6085074</v>
      </c>
      <c r="H122" s="10">
        <v>6293875</v>
      </c>
      <c r="I122" s="10">
        <v>6502569</v>
      </c>
      <c r="J122" s="10">
        <v>6712827</v>
      </c>
      <c r="K122" s="10">
        <v>6929664</v>
      </c>
      <c r="L122" s="10">
        <v>7160023</v>
      </c>
      <c r="M122" s="10">
        <v>7408624</v>
      </c>
      <c r="N122" s="10">
        <v>7675591</v>
      </c>
      <c r="O122" s="10">
        <v>7958241</v>
      </c>
      <c r="P122" s="10">
        <v>8254747</v>
      </c>
      <c r="Q122" s="10">
        <v>8562249</v>
      </c>
      <c r="R122" s="10">
        <v>8877489</v>
      </c>
      <c r="S122" s="10">
        <v>9200149</v>
      </c>
      <c r="T122" s="10">
        <v>9527203</v>
      </c>
      <c r="U122" s="10">
        <v>9849125</v>
      </c>
      <c r="V122" s="10">
        <v>10153852</v>
      </c>
      <c r="W122" s="10">
        <v>10432421</v>
      </c>
      <c r="X122" s="10">
        <v>10680995</v>
      </c>
      <c r="Y122" s="10">
        <v>10900502</v>
      </c>
      <c r="Z122" s="10">
        <v>11092766</v>
      </c>
      <c r="AA122" s="10">
        <v>11261744</v>
      </c>
      <c r="AB122" s="10">
        <v>11410714</v>
      </c>
      <c r="AC122" s="10">
        <v>11541217</v>
      </c>
      <c r="AD122" s="10">
        <v>11653242</v>
      </c>
      <c r="AE122" s="10">
        <v>11747072</v>
      </c>
      <c r="AF122" s="10">
        <v>11822719</v>
      </c>
      <c r="AG122" s="10">
        <v>11881477</v>
      </c>
      <c r="AH122" s="10">
        <v>11923914</v>
      </c>
      <c r="AI122" s="10">
        <v>11954290</v>
      </c>
      <c r="AJ122" s="10">
        <v>11982224</v>
      </c>
      <c r="AK122" s="10">
        <v>12019912</v>
      </c>
      <c r="AL122" s="10">
        <v>12076699</v>
      </c>
      <c r="AM122" s="10">
        <v>12155491</v>
      </c>
      <c r="AN122" s="10">
        <v>12255922</v>
      </c>
      <c r="AO122" s="10">
        <v>12379549</v>
      </c>
      <c r="AP122" s="10">
        <v>12526968</v>
      </c>
      <c r="AQ122" s="10">
        <v>12697723</v>
      </c>
      <c r="AR122" s="10">
        <v>12894316</v>
      </c>
      <c r="AS122" s="10">
        <v>13115131</v>
      </c>
      <c r="AT122" s="10">
        <v>13350356</v>
      </c>
      <c r="AU122" s="10">
        <v>13586681</v>
      </c>
      <c r="AV122" s="10">
        <v>13814629</v>
      </c>
      <c r="AW122" s="10">
        <v>14030390</v>
      </c>
      <c r="AX122" s="10">
        <v>14236745</v>
      </c>
      <c r="AY122" s="10">
        <v>14439018</v>
      </c>
      <c r="AZ122" s="10">
        <v>14645468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AA0DA-3446-4B50-AC05-297F08F1834C}">
  <sheetPr codeName="Sheet3"/>
  <dimension ref="A1:CG122"/>
  <sheetViews>
    <sheetView workbookViewId="0">
      <pane xSplit="2" ySplit="18" topLeftCell="C43" activePane="bottomRight" state="frozen"/>
      <selection pane="topRight" activeCell="C1" sqref="C1"/>
      <selection pane="bottomLeft" activeCell="A13" sqref="A13"/>
      <selection pane="bottomRight" activeCell="B122" sqref="B122"/>
    </sheetView>
  </sheetViews>
  <sheetFormatPr defaultRowHeight="14.25" x14ac:dyDescent="0.45"/>
  <cols>
    <col min="1" max="1" width="39.9296875" bestFit="1" customWidth="1"/>
    <col min="2" max="2" width="21.59765625" bestFit="1" customWidth="1"/>
    <col min="3" max="12" width="16.9296875" bestFit="1" customWidth="1"/>
    <col min="13" max="52" width="17.9296875" bestFit="1" customWidth="1"/>
    <col min="53" max="62" width="4.53125" bestFit="1" customWidth="1"/>
    <col min="63" max="64" width="11.73046875" bestFit="1" customWidth="1"/>
    <col min="65" max="75" width="11.59765625" bestFit="1" customWidth="1"/>
    <col min="76" max="77" width="11.73046875" bestFit="1" customWidth="1"/>
    <col min="78" max="81" width="11.59765625" bestFit="1" customWidth="1"/>
    <col min="82" max="91" width="11.73046875" bestFit="1" customWidth="1"/>
    <col min="92" max="110" width="11.59765625" bestFit="1" customWidth="1"/>
    <col min="111" max="146" width="11.73046875" bestFit="1" customWidth="1"/>
    <col min="147" max="149" width="11.59765625" bestFit="1" customWidth="1"/>
    <col min="150" max="153" width="11.73046875" bestFit="1" customWidth="1"/>
    <col min="154" max="155" width="11.59765625" bestFit="1" customWidth="1"/>
  </cols>
  <sheetData>
    <row r="1" spans="1:85" x14ac:dyDescent="0.45">
      <c r="B1" t="s">
        <v>192</v>
      </c>
      <c r="C1" s="11">
        <f>SUMIF($A$19:$A$123,$B1,C$19:C$123)</f>
        <v>92602974208</v>
      </c>
      <c r="D1" s="11">
        <f t="shared" ref="D1:AZ6" si="0">SUMIF($A$19:$A$123,$B1,D$19:D$123)</f>
        <v>99800956928</v>
      </c>
      <c r="E1" s="11">
        <f t="shared" si="0"/>
        <v>113687584768</v>
      </c>
      <c r="F1" s="11">
        <f t="shared" si="0"/>
        <v>138544283648</v>
      </c>
      <c r="G1" s="11">
        <f t="shared" si="0"/>
        <v>144182132736</v>
      </c>
      <c r="H1" s="11">
        <f t="shared" si="0"/>
        <v>163431546880</v>
      </c>
      <c r="I1" s="11">
        <f t="shared" si="0"/>
        <v>153940459520</v>
      </c>
      <c r="J1" s="11">
        <f t="shared" si="0"/>
        <v>174938095616</v>
      </c>
      <c r="K1" s="11">
        <f t="shared" si="0"/>
        <v>149540749312</v>
      </c>
      <c r="L1" s="11">
        <f t="shared" si="0"/>
        <v>178280595456</v>
      </c>
      <c r="M1" s="11">
        <f t="shared" si="0"/>
        <v>191149211648</v>
      </c>
      <c r="N1" s="11">
        <f t="shared" si="0"/>
        <v>195866378240</v>
      </c>
      <c r="O1" s="11">
        <f t="shared" si="0"/>
        <v>205089701888</v>
      </c>
      <c r="P1" s="11">
        <f t="shared" si="0"/>
        <v>230686752768</v>
      </c>
      <c r="Q1" s="11">
        <f t="shared" si="0"/>
        <v>259946512384</v>
      </c>
      <c r="R1" s="11">
        <f t="shared" si="0"/>
        <v>309488025600</v>
      </c>
      <c r="S1" s="11">
        <f t="shared" si="0"/>
        <v>300758106112</v>
      </c>
      <c r="T1" s="11">
        <f t="shared" si="0"/>
        <v>272972972032</v>
      </c>
      <c r="U1" s="11">
        <f t="shared" si="0"/>
        <v>312353619968</v>
      </c>
      <c r="V1" s="11">
        <f t="shared" si="0"/>
        <v>347768061952</v>
      </c>
      <c r="W1" s="11">
        <f t="shared" si="0"/>
        <v>360857927680</v>
      </c>
      <c r="X1" s="11">
        <f t="shared" si="0"/>
        <v>383373312000</v>
      </c>
      <c r="Y1" s="11">
        <f t="shared" si="0"/>
        <v>426915725312</v>
      </c>
      <c r="Z1" s="11">
        <f t="shared" si="0"/>
        <v>444731293696</v>
      </c>
      <c r="AA1" s="11">
        <f t="shared" si="0"/>
        <v>564324663296</v>
      </c>
      <c r="AB1" s="11">
        <f t="shared" si="0"/>
        <v>734547869696</v>
      </c>
      <c r="AC1" s="11">
        <f t="shared" si="0"/>
        <v>863746719744</v>
      </c>
      <c r="AD1" s="11">
        <f t="shared" si="0"/>
        <v>961603960832</v>
      </c>
      <c r="AE1" s="11">
        <f t="shared" si="0"/>
        <v>1029043126272</v>
      </c>
      <c r="AF1" s="11">
        <f t="shared" si="0"/>
        <v>1093997297664</v>
      </c>
      <c r="AG1" s="11">
        <f t="shared" si="0"/>
        <v>1211346845696</v>
      </c>
      <c r="AH1" s="11">
        <f t="shared" si="0"/>
        <v>1339395670016</v>
      </c>
      <c r="AI1" s="11">
        <f t="shared" si="0"/>
        <v>1470549983232</v>
      </c>
      <c r="AJ1" s="11">
        <f t="shared" si="0"/>
        <v>1660287975424</v>
      </c>
      <c r="AK1" s="11">
        <f t="shared" si="0"/>
        <v>1955347038208</v>
      </c>
      <c r="AL1" s="11">
        <f t="shared" si="0"/>
        <v>2285965934592</v>
      </c>
      <c r="AM1" s="11">
        <f t="shared" si="0"/>
        <v>2752131891200</v>
      </c>
      <c r="AN1" s="11">
        <f t="shared" si="0"/>
        <v>3550342545408</v>
      </c>
      <c r="AO1" s="11">
        <f t="shared" si="0"/>
        <v>4594306908160</v>
      </c>
      <c r="AP1" s="11">
        <f t="shared" si="0"/>
        <v>5101702348800</v>
      </c>
      <c r="AQ1" s="11">
        <f t="shared" si="0"/>
        <v>6087164559360</v>
      </c>
      <c r="AR1" s="11">
        <f t="shared" si="0"/>
        <v>7551500419072</v>
      </c>
      <c r="AS1" s="11">
        <f t="shared" si="0"/>
        <v>8532230930432</v>
      </c>
      <c r="AT1" s="11">
        <f t="shared" si="0"/>
        <v>9570405580800</v>
      </c>
      <c r="AU1" s="11">
        <f t="shared" si="0"/>
        <v>10475683184640</v>
      </c>
      <c r="AV1" s="11">
        <f t="shared" si="0"/>
        <v>11061553004544</v>
      </c>
      <c r="AW1" s="11">
        <f t="shared" si="0"/>
        <v>11233277247488</v>
      </c>
      <c r="AX1" s="11">
        <f t="shared" si="0"/>
        <v>12310409117696</v>
      </c>
      <c r="AY1" s="11">
        <f t="shared" si="0"/>
        <v>13894816890880</v>
      </c>
      <c r="AZ1" s="11">
        <f t="shared" si="0"/>
        <v>14342902775808</v>
      </c>
      <c r="BA1" s="11"/>
      <c r="BB1" s="11"/>
      <c r="BC1" s="11"/>
      <c r="BD1" s="11"/>
      <c r="BE1" s="11"/>
      <c r="BF1" s="11"/>
      <c r="BG1" s="11"/>
      <c r="BH1" s="11"/>
      <c r="BI1" s="11"/>
      <c r="BJ1" s="11"/>
    </row>
    <row r="2" spans="1:85" x14ac:dyDescent="0.45">
      <c r="B2" t="str">
        <f>A20</f>
        <v>East Asia</v>
      </c>
      <c r="C2" s="11">
        <f t="shared" ref="C2:R9" si="1">SUMIF($A$19:$A$123,$B2,C$19:C$123)</f>
        <v>244973478400</v>
      </c>
      <c r="D2" s="11">
        <f t="shared" si="1"/>
        <v>275822739456</v>
      </c>
      <c r="E2" s="11">
        <f t="shared" si="1"/>
        <v>358563797248</v>
      </c>
      <c r="F2" s="11">
        <f t="shared" si="1"/>
        <v>486270013696</v>
      </c>
      <c r="G2" s="11">
        <f t="shared" si="1"/>
        <v>550760510464</v>
      </c>
      <c r="H2" s="11">
        <f t="shared" si="1"/>
        <v>598083422720</v>
      </c>
      <c r="I2" s="11">
        <f t="shared" si="1"/>
        <v>680400671744</v>
      </c>
      <c r="J2" s="11">
        <f t="shared" si="1"/>
        <v>834763096064</v>
      </c>
      <c r="K2" s="11">
        <f t="shared" si="1"/>
        <v>1154487545344</v>
      </c>
      <c r="L2" s="11">
        <f t="shared" si="1"/>
        <v>1229869489152</v>
      </c>
      <c r="M2" s="11">
        <f t="shared" si="1"/>
        <v>1300834689024</v>
      </c>
      <c r="N2" s="11">
        <f t="shared" si="1"/>
        <v>1432650073088</v>
      </c>
      <c r="O2" s="11">
        <f t="shared" si="1"/>
        <v>1361786730496</v>
      </c>
      <c r="P2" s="11">
        <f t="shared" si="1"/>
        <v>1482376929280</v>
      </c>
      <c r="Q2" s="11">
        <f t="shared" si="1"/>
        <v>1576302252032</v>
      </c>
      <c r="R2" s="11">
        <f t="shared" si="1"/>
        <v>1655880232960</v>
      </c>
      <c r="S2" s="11">
        <f t="shared" si="0"/>
        <v>2356152076288</v>
      </c>
      <c r="T2" s="11">
        <f t="shared" si="0"/>
        <v>2868211703808</v>
      </c>
      <c r="U2" s="11">
        <f t="shared" si="0"/>
        <v>3491177277440</v>
      </c>
      <c r="V2" s="11">
        <f t="shared" si="0"/>
        <v>3554771898368</v>
      </c>
      <c r="W2" s="11">
        <f t="shared" si="0"/>
        <v>3702936670208</v>
      </c>
      <c r="X2" s="11">
        <f t="shared" si="0"/>
        <v>4242289668096</v>
      </c>
      <c r="Y2" s="11">
        <f t="shared" si="0"/>
        <v>4644334100480</v>
      </c>
      <c r="Z2" s="11">
        <f t="shared" si="0"/>
        <v>5277919502336</v>
      </c>
      <c r="AA2" s="11">
        <f t="shared" si="0"/>
        <v>5865406078976</v>
      </c>
      <c r="AB2" s="11">
        <f t="shared" si="0"/>
        <v>6580267958272</v>
      </c>
      <c r="AC2" s="11">
        <f t="shared" si="0"/>
        <v>6066633883648</v>
      </c>
      <c r="AD2" s="11">
        <f t="shared" si="0"/>
        <v>5594494730240</v>
      </c>
      <c r="AE2" s="11">
        <f t="shared" si="0"/>
        <v>4928505274368</v>
      </c>
      <c r="AF2" s="11">
        <f t="shared" si="0"/>
        <v>5600456957952</v>
      </c>
      <c r="AG2" s="11">
        <f t="shared" si="0"/>
        <v>6035292651520</v>
      </c>
      <c r="AH2" s="11">
        <f t="shared" si="0"/>
        <v>5402402291712</v>
      </c>
      <c r="AI2" s="11">
        <f t="shared" si="0"/>
        <v>5320703156224</v>
      </c>
      <c r="AJ2" s="11">
        <f t="shared" si="0"/>
        <v>5756927688704</v>
      </c>
      <c r="AK2" s="11">
        <f t="shared" si="0"/>
        <v>6285106552832</v>
      </c>
      <c r="AL2" s="11">
        <f t="shared" si="0"/>
        <v>6439962025984</v>
      </c>
      <c r="AM2" s="11">
        <f t="shared" si="0"/>
        <v>6437863227392</v>
      </c>
      <c r="AN2" s="11">
        <f t="shared" si="0"/>
        <v>6692888821760</v>
      </c>
      <c r="AO2" s="11">
        <f t="shared" si="0"/>
        <v>7201342963712</v>
      </c>
      <c r="AP2" s="11">
        <f t="shared" si="0"/>
        <v>7243623170048</v>
      </c>
      <c r="AQ2" s="11">
        <f t="shared" si="0"/>
        <v>8117102280704</v>
      </c>
      <c r="AR2" s="11">
        <f t="shared" si="0"/>
        <v>8841535160320</v>
      </c>
      <c r="AS2" s="11">
        <f t="shared" si="0"/>
        <v>9013279293440</v>
      </c>
      <c r="AT2" s="11">
        <f t="shared" si="0"/>
        <v>8137298706432</v>
      </c>
      <c r="AU2" s="11">
        <f t="shared" si="0"/>
        <v>7983927328768</v>
      </c>
      <c r="AV2" s="11">
        <f t="shared" si="0"/>
        <v>7481733251072</v>
      </c>
      <c r="AW2" s="11">
        <f t="shared" si="0"/>
        <v>8095452069888</v>
      </c>
      <c r="AX2" s="11">
        <f t="shared" si="0"/>
        <v>8277606957056</v>
      </c>
      <c r="AY2" s="11">
        <f t="shared" si="0"/>
        <v>8622233747456</v>
      </c>
      <c r="AZ2" s="11">
        <f t="shared" si="0"/>
        <v>8747391811584</v>
      </c>
      <c r="BA2" s="11"/>
      <c r="BB2" s="11"/>
      <c r="BC2" s="11"/>
      <c r="BD2" s="11"/>
      <c r="BE2" s="11"/>
      <c r="BF2" s="11"/>
      <c r="BG2" s="11"/>
      <c r="BH2" s="11"/>
      <c r="BI2" s="11"/>
      <c r="BJ2" s="11"/>
    </row>
    <row r="3" spans="1:85" x14ac:dyDescent="0.45">
      <c r="B3" t="str">
        <f>A27</f>
        <v>Europe</v>
      </c>
      <c r="C3" s="11">
        <f t="shared" si="1"/>
        <v>861227953896</v>
      </c>
      <c r="D3" s="11">
        <f t="shared" si="0"/>
        <v>976044716992</v>
      </c>
      <c r="E3" s="11">
        <f t="shared" si="0"/>
        <v>1169362742792</v>
      </c>
      <c r="F3" s="11">
        <f t="shared" si="0"/>
        <v>1488113794912</v>
      </c>
      <c r="G3" s="11">
        <f t="shared" si="0"/>
        <v>1676055014416</v>
      </c>
      <c r="H3" s="11">
        <f t="shared" si="0"/>
        <v>1953671248048</v>
      </c>
      <c r="I3" s="11">
        <f t="shared" si="0"/>
        <v>2026300372192</v>
      </c>
      <c r="J3" s="11">
        <f t="shared" si="0"/>
        <v>2291462834496</v>
      </c>
      <c r="K3" s="11">
        <f t="shared" si="0"/>
        <v>2815705614976</v>
      </c>
      <c r="L3" s="11">
        <f t="shared" si="0"/>
        <v>3424912159328</v>
      </c>
      <c r="M3" s="11">
        <f t="shared" si="0"/>
        <v>3903718691296</v>
      </c>
      <c r="N3" s="11">
        <f t="shared" si="0"/>
        <v>3462184045824</v>
      </c>
      <c r="O3" s="11">
        <f t="shared" si="0"/>
        <v>3339805551392</v>
      </c>
      <c r="P3" s="11">
        <f t="shared" si="0"/>
        <v>3242896946368</v>
      </c>
      <c r="Q3" s="11">
        <f t="shared" si="0"/>
        <v>3114323082144</v>
      </c>
      <c r="R3" s="11">
        <f t="shared" si="0"/>
        <v>3218735002400</v>
      </c>
      <c r="S3" s="11">
        <f t="shared" si="0"/>
        <v>4412799659488</v>
      </c>
      <c r="T3" s="11">
        <f t="shared" si="0"/>
        <v>5456599470656</v>
      </c>
      <c r="U3" s="11">
        <f t="shared" si="0"/>
        <v>6087351854976</v>
      </c>
      <c r="V3" s="11">
        <f t="shared" si="0"/>
        <v>6202263324800</v>
      </c>
      <c r="W3" s="11">
        <f t="shared" si="0"/>
        <v>7710570793664</v>
      </c>
      <c r="X3" s="11">
        <f t="shared" si="0"/>
        <v>8009747858176</v>
      </c>
      <c r="Y3" s="11">
        <f t="shared" si="0"/>
        <v>8716210587392</v>
      </c>
      <c r="Z3" s="11">
        <f t="shared" si="0"/>
        <v>7927238745664</v>
      </c>
      <c r="AA3" s="11">
        <f t="shared" si="0"/>
        <v>8407346927680</v>
      </c>
      <c r="AB3" s="11">
        <f t="shared" si="0"/>
        <v>9737821385472</v>
      </c>
      <c r="AC3" s="11">
        <f t="shared" si="0"/>
        <v>9923735170432</v>
      </c>
      <c r="AD3" s="11">
        <f t="shared" si="0"/>
        <v>9329891608576</v>
      </c>
      <c r="AE3" s="11">
        <f t="shared" si="0"/>
        <v>9619679234048</v>
      </c>
      <c r="AF3" s="11">
        <f t="shared" si="0"/>
        <v>9622898355968</v>
      </c>
      <c r="AG3" s="11">
        <f t="shared" si="0"/>
        <v>8933416148096</v>
      </c>
      <c r="AH3" s="11">
        <f t="shared" si="0"/>
        <v>9011339511424</v>
      </c>
      <c r="AI3" s="11">
        <f t="shared" si="0"/>
        <v>9802875381632</v>
      </c>
      <c r="AJ3" s="11">
        <f t="shared" si="0"/>
        <v>11912436869120</v>
      </c>
      <c r="AK3" s="11">
        <f t="shared" si="0"/>
        <v>13711964347392</v>
      </c>
      <c r="AL3" s="11">
        <f t="shared" si="0"/>
        <v>14277461034752</v>
      </c>
      <c r="AM3" s="11">
        <f t="shared" si="0"/>
        <v>15192277044480</v>
      </c>
      <c r="AN3" s="11">
        <f t="shared" si="0"/>
        <v>17428666991616</v>
      </c>
      <c r="AO3" s="11">
        <f t="shared" si="0"/>
        <v>18639571877376</v>
      </c>
      <c r="AP3" s="11">
        <f t="shared" si="0"/>
        <v>16750071925760</v>
      </c>
      <c r="AQ3" s="11">
        <f t="shared" si="0"/>
        <v>16706362723584</v>
      </c>
      <c r="AR3" s="11">
        <f t="shared" si="0"/>
        <v>18143321605376</v>
      </c>
      <c r="AS3" s="11">
        <f t="shared" si="0"/>
        <v>17158723463424</v>
      </c>
      <c r="AT3" s="11">
        <f t="shared" si="0"/>
        <v>17863424574464</v>
      </c>
      <c r="AU3" s="11">
        <f t="shared" si="0"/>
        <v>18436658823424</v>
      </c>
      <c r="AV3" s="11">
        <f t="shared" si="0"/>
        <v>16251461243392</v>
      </c>
      <c r="AW3" s="11">
        <f t="shared" si="0"/>
        <v>16302079530240</v>
      </c>
      <c r="AX3" s="11">
        <f t="shared" si="0"/>
        <v>17026437244928</v>
      </c>
      <c r="AY3" s="11">
        <f t="shared" si="0"/>
        <v>18298777385728</v>
      </c>
      <c r="AZ3" s="11">
        <f t="shared" si="0"/>
        <v>17872175518464</v>
      </c>
      <c r="BA3" s="11"/>
      <c r="BB3" s="11"/>
      <c r="BC3" s="11"/>
      <c r="BD3" s="11"/>
      <c r="BE3" s="11"/>
      <c r="BF3" s="11"/>
      <c r="BG3" s="11"/>
      <c r="BH3" s="11"/>
      <c r="BI3" s="11"/>
      <c r="BJ3" s="11"/>
    </row>
    <row r="4" spans="1:85" x14ac:dyDescent="0.45">
      <c r="B4" t="str">
        <f>A47</f>
        <v>Latin America and Caribbean</v>
      </c>
      <c r="C4" s="11">
        <f t="shared" si="1"/>
        <v>156884646236</v>
      </c>
      <c r="D4" s="11">
        <f t="shared" si="0"/>
        <v>174671344596</v>
      </c>
      <c r="E4" s="11">
        <f t="shared" si="0"/>
        <v>196450205316</v>
      </c>
      <c r="F4" s="11">
        <f t="shared" si="0"/>
        <v>259248768840</v>
      </c>
      <c r="G4" s="11">
        <f t="shared" si="0"/>
        <v>334544929592</v>
      </c>
      <c r="H4" s="11">
        <f t="shared" si="0"/>
        <v>349029272408</v>
      </c>
      <c r="I4" s="11">
        <f t="shared" si="0"/>
        <v>387549141960</v>
      </c>
      <c r="J4" s="11">
        <f t="shared" si="0"/>
        <v>425178876304</v>
      </c>
      <c r="K4" s="11">
        <f t="shared" si="0"/>
        <v>482781188960</v>
      </c>
      <c r="L4" s="11">
        <f t="shared" si="0"/>
        <v>575824098816</v>
      </c>
      <c r="M4" s="11">
        <f t="shared" si="0"/>
        <v>696200197232</v>
      </c>
      <c r="N4" s="11">
        <f t="shared" si="0"/>
        <v>807533624896</v>
      </c>
      <c r="O4" s="11">
        <f t="shared" si="0"/>
        <v>745123452208</v>
      </c>
      <c r="P4" s="11">
        <f t="shared" si="0"/>
        <v>644873174512</v>
      </c>
      <c r="Q4" s="11">
        <f t="shared" si="0"/>
        <v>657544369920</v>
      </c>
      <c r="R4" s="11">
        <f t="shared" si="0"/>
        <v>678890046560</v>
      </c>
      <c r="S4" s="11">
        <f t="shared" si="0"/>
        <v>684458397296</v>
      </c>
      <c r="T4" s="11">
        <f t="shared" si="0"/>
        <v>738428874016</v>
      </c>
      <c r="U4" s="11">
        <f t="shared" si="0"/>
        <v>827521151744</v>
      </c>
      <c r="V4" s="11">
        <f t="shared" si="0"/>
        <v>928425225920</v>
      </c>
      <c r="W4" s="11">
        <f t="shared" si="0"/>
        <v>1092486890784</v>
      </c>
      <c r="X4" s="11">
        <f t="shared" si="0"/>
        <v>1361862877792</v>
      </c>
      <c r="Y4" s="11">
        <f t="shared" si="0"/>
        <v>1277850186848</v>
      </c>
      <c r="Z4" s="11">
        <f t="shared" si="0"/>
        <v>1482352375648</v>
      </c>
      <c r="AA4" s="11">
        <f t="shared" si="0"/>
        <v>1701835788992</v>
      </c>
      <c r="AB4" s="11">
        <f t="shared" si="0"/>
        <v>1799628407744</v>
      </c>
      <c r="AC4" s="11">
        <f t="shared" si="0"/>
        <v>1968639318336</v>
      </c>
      <c r="AD4" s="11">
        <f t="shared" si="0"/>
        <v>2151941396416</v>
      </c>
      <c r="AE4" s="11">
        <f t="shared" si="0"/>
        <v>2165989278976</v>
      </c>
      <c r="AF4" s="11">
        <f t="shared" si="0"/>
        <v>1932432376960</v>
      </c>
      <c r="AG4" s="11">
        <f t="shared" si="0"/>
        <v>2123635562496</v>
      </c>
      <c r="AH4" s="11">
        <f t="shared" si="0"/>
        <v>2067431050624</v>
      </c>
      <c r="AI4" s="11">
        <f t="shared" si="0"/>
        <v>1866253315840</v>
      </c>
      <c r="AJ4" s="11">
        <f t="shared" si="0"/>
        <v>1916031689984</v>
      </c>
      <c r="AK4" s="11">
        <f t="shared" si="0"/>
        <v>2196114252416</v>
      </c>
      <c r="AL4" s="11">
        <f t="shared" si="0"/>
        <v>2650957221696</v>
      </c>
      <c r="AM4" s="11">
        <f t="shared" si="0"/>
        <v>3092360184448</v>
      </c>
      <c r="AN4" s="11">
        <f t="shared" si="0"/>
        <v>3633939524736</v>
      </c>
      <c r="AO4" s="11">
        <f t="shared" si="0"/>
        <v>4185497508992</v>
      </c>
      <c r="AP4" s="11">
        <f t="shared" si="0"/>
        <v>3895121646976</v>
      </c>
      <c r="AQ4" s="11">
        <f t="shared" si="0"/>
        <v>4863085537408</v>
      </c>
      <c r="AR4" s="11">
        <f t="shared" si="0"/>
        <v>5667406964736</v>
      </c>
      <c r="AS4" s="11">
        <f t="shared" si="0"/>
        <v>5661040272896</v>
      </c>
      <c r="AT4" s="11">
        <f t="shared" si="0"/>
        <v>5818095812608</v>
      </c>
      <c r="AU4" s="11">
        <f t="shared" si="0"/>
        <v>5824946660992</v>
      </c>
      <c r="AV4" s="11">
        <f t="shared" si="0"/>
        <v>4988668102656</v>
      </c>
      <c r="AW4" s="11">
        <f t="shared" si="0"/>
        <v>4863950744192</v>
      </c>
      <c r="AX4" s="11">
        <f t="shared" si="0"/>
        <v>5407643493376</v>
      </c>
      <c r="AY4" s="11">
        <f t="shared" si="0"/>
        <v>5247110892288</v>
      </c>
      <c r="AZ4" s="11">
        <f t="shared" si="0"/>
        <v>5159082938752</v>
      </c>
      <c r="BA4" s="11"/>
      <c r="BB4" s="11"/>
      <c r="BC4" s="11"/>
      <c r="BD4" s="11"/>
      <c r="BE4" s="11"/>
      <c r="BF4" s="11"/>
      <c r="BG4" s="11"/>
      <c r="BH4" s="11"/>
      <c r="BI4" s="11"/>
      <c r="BJ4" s="11"/>
    </row>
    <row r="5" spans="1:85" x14ac:dyDescent="0.45">
      <c r="B5" t="str">
        <f>A72</f>
        <v>Middle East and North Africa</v>
      </c>
      <c r="C5" s="11">
        <f t="shared" si="1"/>
        <v>40028309984</v>
      </c>
      <c r="D5" s="11">
        <f t="shared" si="0"/>
        <v>41573306784</v>
      </c>
      <c r="E5" s="11">
        <f t="shared" si="0"/>
        <v>53310741504</v>
      </c>
      <c r="F5" s="11">
        <f t="shared" si="0"/>
        <v>70169128512</v>
      </c>
      <c r="G5" s="11">
        <f t="shared" si="0"/>
        <v>123430844800</v>
      </c>
      <c r="H5" s="11">
        <f t="shared" si="0"/>
        <v>137735307520</v>
      </c>
      <c r="I5" s="11">
        <f t="shared" si="0"/>
        <v>164849745408</v>
      </c>
      <c r="J5" s="11">
        <f t="shared" si="0"/>
        <v>190110155520</v>
      </c>
      <c r="K5" s="11">
        <f t="shared" si="0"/>
        <v>210565508608</v>
      </c>
      <c r="L5" s="11">
        <f t="shared" si="0"/>
        <v>282844946176</v>
      </c>
      <c r="M5" s="11">
        <f t="shared" si="0"/>
        <v>336295482368</v>
      </c>
      <c r="N5" s="11">
        <f t="shared" si="0"/>
        <v>358735526912</v>
      </c>
      <c r="O5" s="11">
        <f t="shared" si="0"/>
        <v>324210405376</v>
      </c>
      <c r="P5" s="11">
        <f t="shared" si="0"/>
        <v>303277696000</v>
      </c>
      <c r="Q5" s="11">
        <f t="shared" si="0"/>
        <v>294374492160</v>
      </c>
      <c r="R5" s="11">
        <f t="shared" si="0"/>
        <v>289982539776</v>
      </c>
      <c r="S5" s="11">
        <f t="shared" si="0"/>
        <v>296287927296</v>
      </c>
      <c r="T5" s="11">
        <f t="shared" si="0"/>
        <v>319846917632</v>
      </c>
      <c r="U5" s="11">
        <f t="shared" si="0"/>
        <v>332485141504</v>
      </c>
      <c r="V5" s="11">
        <f t="shared" si="0"/>
        <v>353809726464</v>
      </c>
      <c r="W5" s="11">
        <f t="shared" si="0"/>
        <v>443518655488</v>
      </c>
      <c r="X5" s="11">
        <f t="shared" si="0"/>
        <v>452226134016</v>
      </c>
      <c r="Y5" s="11">
        <f t="shared" si="0"/>
        <v>480817946624</v>
      </c>
      <c r="Z5" s="11">
        <f t="shared" si="0"/>
        <v>497827523584</v>
      </c>
      <c r="AA5" s="11">
        <f t="shared" si="0"/>
        <v>458905743360</v>
      </c>
      <c r="AB5" s="11">
        <f t="shared" si="0"/>
        <v>525841608704</v>
      </c>
      <c r="AC5" s="11">
        <f t="shared" si="0"/>
        <v>575101828096</v>
      </c>
      <c r="AD5" s="11">
        <f t="shared" si="0"/>
        <v>594400340992</v>
      </c>
      <c r="AE5" s="11">
        <f t="shared" si="0"/>
        <v>664359758848</v>
      </c>
      <c r="AF5" s="11">
        <f t="shared" si="0"/>
        <v>663639267328</v>
      </c>
      <c r="AG5" s="11">
        <f t="shared" si="0"/>
        <v>729463951360</v>
      </c>
      <c r="AH5" s="11">
        <f t="shared" si="0"/>
        <v>650869272576</v>
      </c>
      <c r="AI5" s="11">
        <f t="shared" si="0"/>
        <v>691440416768</v>
      </c>
      <c r="AJ5" s="11">
        <f t="shared" si="0"/>
        <v>823612450816</v>
      </c>
      <c r="AK5" s="11">
        <f t="shared" si="0"/>
        <v>999903825920</v>
      </c>
      <c r="AL5" s="11">
        <f t="shared" si="0"/>
        <v>1201301215232</v>
      </c>
      <c r="AM5" s="11">
        <f t="shared" si="0"/>
        <v>1340681900032</v>
      </c>
      <c r="AN5" s="11">
        <f t="shared" si="0"/>
        <v>1565705777152</v>
      </c>
      <c r="AO5" s="11">
        <f t="shared" si="0"/>
        <v>1869507465216</v>
      </c>
      <c r="AP5" s="11">
        <f t="shared" si="0"/>
        <v>1603157172224</v>
      </c>
      <c r="AQ5" s="11">
        <f t="shared" si="0"/>
        <v>1889628147712</v>
      </c>
      <c r="AR5" s="11">
        <f t="shared" si="0"/>
        <v>2180448628736</v>
      </c>
      <c r="AS5" s="11">
        <f t="shared" si="0"/>
        <v>2296123858944</v>
      </c>
      <c r="AT5" s="11">
        <f t="shared" si="0"/>
        <v>2431478591488</v>
      </c>
      <c r="AU5" s="11">
        <f t="shared" si="0"/>
        <v>2452693532672</v>
      </c>
      <c r="AV5" s="11">
        <f t="shared" si="0"/>
        <v>2192612823040</v>
      </c>
      <c r="AW5" s="11">
        <f t="shared" si="0"/>
        <v>2198235594752</v>
      </c>
      <c r="AX5" s="11">
        <f t="shared" si="0"/>
        <v>2282022420480</v>
      </c>
      <c r="AY5" s="11">
        <f t="shared" si="0"/>
        <v>2339185242112</v>
      </c>
      <c r="AZ5" s="11">
        <f t="shared" si="0"/>
        <v>2346971533312</v>
      </c>
      <c r="BA5" s="11"/>
      <c r="BB5" s="11"/>
      <c r="BC5" s="11"/>
      <c r="BD5" s="11"/>
      <c r="BE5" s="11"/>
      <c r="BF5" s="11"/>
      <c r="BG5" s="11"/>
      <c r="BH5" s="11"/>
      <c r="BI5" s="11"/>
      <c r="BJ5" s="11"/>
    </row>
    <row r="6" spans="1:85" x14ac:dyDescent="0.45">
      <c r="B6" t="str">
        <f>A79</f>
        <v>North America</v>
      </c>
      <c r="C6" s="11">
        <f t="shared" si="1"/>
        <v>1161199091712</v>
      </c>
      <c r="D6" s="11">
        <f t="shared" si="0"/>
        <v>1264121929728</v>
      </c>
      <c r="E6" s="11">
        <f t="shared" si="0"/>
        <v>1392192839680</v>
      </c>
      <c r="F6" s="11">
        <f t="shared" si="0"/>
        <v>1556697874432</v>
      </c>
      <c r="G6" s="11">
        <f t="shared" si="0"/>
        <v>1705651634176</v>
      </c>
      <c r="H6" s="11">
        <f t="shared" si="0"/>
        <v>1858737979392</v>
      </c>
      <c r="I6" s="11">
        <f t="shared" si="0"/>
        <v>2079987531776</v>
      </c>
      <c r="J6" s="11">
        <f t="shared" si="0"/>
        <v>2293438169088</v>
      </c>
      <c r="K6" s="11">
        <f t="shared" si="0"/>
        <v>2570231791616</v>
      </c>
      <c r="L6" s="11">
        <f t="shared" si="0"/>
        <v>2870406152192</v>
      </c>
      <c r="M6" s="11">
        <f t="shared" si="0"/>
        <v>3131160772608</v>
      </c>
      <c r="N6" s="11">
        <f t="shared" si="0"/>
        <v>3513256771584</v>
      </c>
      <c r="O6" s="11">
        <f t="shared" si="0"/>
        <v>3657295593472</v>
      </c>
      <c r="P6" s="11">
        <f t="shared" si="0"/>
        <v>3974585745408</v>
      </c>
      <c r="Q6" s="11">
        <f t="shared" si="0"/>
        <v>4392985493504</v>
      </c>
      <c r="R6" s="11">
        <f t="shared" si="0"/>
        <v>4703735414784</v>
      </c>
      <c r="S6" s="11">
        <f t="shared" si="0"/>
        <v>4957068951552</v>
      </c>
      <c r="T6" s="11">
        <f t="shared" si="0"/>
        <v>5286531891200</v>
      </c>
      <c r="U6" s="11">
        <f t="shared" si="0"/>
        <v>5743792422912</v>
      </c>
      <c r="V6" s="11">
        <f t="shared" si="0"/>
        <v>6206635769856</v>
      </c>
      <c r="W6" s="11">
        <f t="shared" si="0"/>
        <v>6557073801216</v>
      </c>
      <c r="X6" s="11">
        <f t="shared" si="0"/>
        <v>6768457220096</v>
      </c>
      <c r="Y6" s="11">
        <f t="shared" si="0"/>
        <v>7112714813440</v>
      </c>
      <c r="Z6" s="11">
        <f t="shared" si="0"/>
        <v>7435729698816</v>
      </c>
      <c r="AA6" s="11">
        <f t="shared" si="0"/>
        <v>7865375457280</v>
      </c>
      <c r="AB6" s="11">
        <f t="shared" si="0"/>
        <v>8243780714496</v>
      </c>
      <c r="AC6" s="11">
        <f t="shared" ref="AC6:AZ6" si="2">SUMIF($A$19:$A$123,$B6,AC$19:AC$123)</f>
        <v>8701668294656</v>
      </c>
      <c r="AD6" s="11">
        <f t="shared" si="2"/>
        <v>9230378467328</v>
      </c>
      <c r="AE6" s="11">
        <f t="shared" si="2"/>
        <v>9694631559168</v>
      </c>
      <c r="AF6" s="11">
        <f t="shared" si="2"/>
        <v>10306748088320</v>
      </c>
      <c r="AG6" s="11">
        <f t="shared" si="2"/>
        <v>10994641403904</v>
      </c>
      <c r="AH6" s="11">
        <f t="shared" si="2"/>
        <v>11318200893440</v>
      </c>
      <c r="AI6" s="11">
        <f t="shared" si="2"/>
        <v>11694369800192</v>
      </c>
      <c r="AJ6" s="11">
        <f t="shared" si="2"/>
        <v>12350626398208</v>
      </c>
      <c r="AK6" s="11">
        <f t="shared" si="2"/>
        <v>13236926152704</v>
      </c>
      <c r="AL6" s="11">
        <f t="shared" si="2"/>
        <v>14205998202880</v>
      </c>
      <c r="AM6" s="11">
        <f t="shared" si="2"/>
        <v>15130026573824</v>
      </c>
      <c r="AN6" s="11">
        <f t="shared" si="2"/>
        <v>15916835405824</v>
      </c>
      <c r="AO6" s="11">
        <f t="shared" si="2"/>
        <v>16261975769088</v>
      </c>
      <c r="AP6" s="11">
        <f t="shared" si="2"/>
        <v>15820085657600</v>
      </c>
      <c r="AQ6" s="11">
        <f t="shared" si="2"/>
        <v>16605517578240</v>
      </c>
      <c r="AR6" s="11">
        <f t="shared" si="2"/>
        <v>17331228639232</v>
      </c>
      <c r="AS6" s="11">
        <f t="shared" si="2"/>
        <v>18025696722944</v>
      </c>
      <c r="AT6" s="11">
        <f t="shared" si="2"/>
        <v>18632058208256</v>
      </c>
      <c r="AU6" s="11">
        <f t="shared" si="2"/>
        <v>19325280059392</v>
      </c>
      <c r="AV6" s="11">
        <f t="shared" si="2"/>
        <v>19775426920448</v>
      </c>
      <c r="AW6" s="11">
        <f t="shared" si="2"/>
        <v>20235430395904</v>
      </c>
      <c r="AX6" s="11">
        <f t="shared" si="2"/>
        <v>21135272312832</v>
      </c>
      <c r="AY6" s="11">
        <f t="shared" si="2"/>
        <v>22245310857216</v>
      </c>
      <c r="AZ6" s="11">
        <f t="shared" si="2"/>
        <v>23110844153856</v>
      </c>
      <c r="BA6" s="11"/>
      <c r="BB6" s="11"/>
      <c r="BC6" s="11"/>
      <c r="BD6" s="11"/>
      <c r="BE6" s="11"/>
      <c r="BF6" s="11"/>
      <c r="BG6" s="11"/>
      <c r="BH6" s="11"/>
      <c r="BI6" s="11"/>
      <c r="BJ6" s="11"/>
    </row>
    <row r="7" spans="1:85" x14ac:dyDescent="0.45">
      <c r="B7" t="str">
        <f>A81</f>
        <v>Pacific</v>
      </c>
      <c r="C7" s="11">
        <f t="shared" si="1"/>
        <v>48646456512</v>
      </c>
      <c r="D7" s="11">
        <f t="shared" si="1"/>
        <v>54041392568</v>
      </c>
      <c r="E7" s="11">
        <f t="shared" si="1"/>
        <v>62729011790</v>
      </c>
      <c r="F7" s="11">
        <f t="shared" si="1"/>
        <v>78296408866</v>
      </c>
      <c r="G7" s="11">
        <f t="shared" si="1"/>
        <v>104883801208</v>
      </c>
      <c r="H7" s="11">
        <f t="shared" si="1"/>
        <v>112128479960</v>
      </c>
      <c r="I7" s="11">
        <f t="shared" si="1"/>
        <v>120773569968</v>
      </c>
      <c r="J7" s="11">
        <f t="shared" si="1"/>
        <v>128047749980</v>
      </c>
      <c r="K7" s="11">
        <f t="shared" si="1"/>
        <v>139691517036</v>
      </c>
      <c r="L7" s="11">
        <f t="shared" si="1"/>
        <v>158799261892</v>
      </c>
      <c r="M7" s="11">
        <f t="shared" si="1"/>
        <v>176806739748</v>
      </c>
      <c r="N7" s="11">
        <f t="shared" si="1"/>
        <v>204835233096</v>
      </c>
      <c r="O7" s="11">
        <f t="shared" si="1"/>
        <v>221538051236</v>
      </c>
      <c r="P7" s="11">
        <f t="shared" si="1"/>
        <v>205063130636</v>
      </c>
      <c r="Q7" s="11">
        <f t="shared" si="1"/>
        <v>218679915600</v>
      </c>
      <c r="R7" s="11">
        <f t="shared" si="1"/>
        <v>208511218140</v>
      </c>
      <c r="S7" s="11">
        <f t="shared" ref="S7:AZ9" si="3">SUMIF($A$19:$A$123,$B7,S$19:S$123)</f>
        <v>216611955642</v>
      </c>
      <c r="T7" s="11">
        <f t="shared" si="3"/>
        <v>233792068132</v>
      </c>
      <c r="U7" s="11">
        <f t="shared" si="3"/>
        <v>285644938828</v>
      </c>
      <c r="V7" s="11">
        <f t="shared" si="3"/>
        <v>347958472040</v>
      </c>
      <c r="W7" s="11">
        <f t="shared" si="3"/>
        <v>360868909828</v>
      </c>
      <c r="X7" s="11">
        <f t="shared" si="3"/>
        <v>373274500660</v>
      </c>
      <c r="Y7" s="11">
        <f t="shared" si="3"/>
        <v>372486209508</v>
      </c>
      <c r="Z7" s="11">
        <f t="shared" si="3"/>
        <v>364976930120</v>
      </c>
      <c r="AA7" s="11">
        <f t="shared" si="3"/>
        <v>384909310912</v>
      </c>
      <c r="AB7" s="11">
        <f t="shared" si="3"/>
        <v>437797807468</v>
      </c>
      <c r="AC7" s="11">
        <f t="shared" si="3"/>
        <v>477794666416</v>
      </c>
      <c r="AD7" s="11">
        <f t="shared" si="3"/>
        <v>507741295304</v>
      </c>
      <c r="AE7" s="11">
        <f t="shared" si="3"/>
        <v>460637881784</v>
      </c>
      <c r="AF7" s="11">
        <f t="shared" si="3"/>
        <v>452858731200</v>
      </c>
      <c r="AG7" s="11">
        <f t="shared" si="3"/>
        <v>473118614048</v>
      </c>
      <c r="AH7" s="11">
        <f t="shared" si="3"/>
        <v>437052748632</v>
      </c>
      <c r="AI7" s="11">
        <f t="shared" si="3"/>
        <v>466191038184</v>
      </c>
      <c r="AJ7" s="11">
        <f t="shared" si="3"/>
        <v>560681529648</v>
      </c>
      <c r="AK7" s="11">
        <f t="shared" si="3"/>
        <v>723152650304</v>
      </c>
      <c r="AL7" s="11">
        <f t="shared" si="3"/>
        <v>816112657720</v>
      </c>
      <c r="AM7" s="11">
        <f t="shared" si="3"/>
        <v>869231053112</v>
      </c>
      <c r="AN7" s="11">
        <f t="shared" si="3"/>
        <v>1003503006720</v>
      </c>
      <c r="AO7" s="11">
        <f t="shared" si="3"/>
        <v>1202620790960</v>
      </c>
      <c r="AP7" s="11">
        <f t="shared" si="3"/>
        <v>1063785877208</v>
      </c>
      <c r="AQ7" s="11">
        <f t="shared" si="3"/>
        <v>1310305048640</v>
      </c>
      <c r="AR7" s="11">
        <f t="shared" si="3"/>
        <v>1587101226288</v>
      </c>
      <c r="AS7" s="11">
        <f t="shared" si="3"/>
        <v>1747857683456</v>
      </c>
      <c r="AT7" s="11">
        <f t="shared" si="3"/>
        <v>1792667031616</v>
      </c>
      <c r="AU7" s="11">
        <f t="shared" si="3"/>
        <v>1696652973712</v>
      </c>
      <c r="AV7" s="11">
        <f t="shared" si="3"/>
        <v>1555738743600</v>
      </c>
      <c r="AW7" s="11">
        <f t="shared" si="3"/>
        <v>1422938310448</v>
      </c>
      <c r="AX7" s="11">
        <f t="shared" si="3"/>
        <v>1563834848176</v>
      </c>
      <c r="AY7" s="11">
        <f t="shared" si="3"/>
        <v>1670970952544</v>
      </c>
      <c r="AZ7" s="11">
        <f t="shared" si="3"/>
        <v>1630309212832</v>
      </c>
      <c r="BA7" s="11"/>
      <c r="BB7" s="11"/>
      <c r="BC7" s="11"/>
      <c r="BD7" s="11"/>
      <c r="BE7" s="11"/>
      <c r="BF7" s="11"/>
      <c r="BG7" s="11"/>
      <c r="BH7" s="11"/>
      <c r="BI7" s="11"/>
      <c r="BJ7" s="11"/>
    </row>
    <row r="8" spans="1:85" x14ac:dyDescent="0.45">
      <c r="B8" t="str">
        <f>A86</f>
        <v>South Asia</v>
      </c>
      <c r="C8" s="11">
        <f t="shared" si="1"/>
        <v>84605160448</v>
      </c>
      <c r="D8" s="11">
        <f t="shared" si="1"/>
        <v>90020801152</v>
      </c>
      <c r="E8" s="11">
        <f t="shared" si="1"/>
        <v>90744487936</v>
      </c>
      <c r="F8" s="11">
        <f t="shared" si="1"/>
        <v>103833154112</v>
      </c>
      <c r="G8" s="11">
        <f t="shared" si="1"/>
        <v>125730094848</v>
      </c>
      <c r="H8" s="11">
        <f t="shared" si="1"/>
        <v>134518838528</v>
      </c>
      <c r="I8" s="11">
        <f t="shared" si="1"/>
        <v>131046467968</v>
      </c>
      <c r="J8" s="11">
        <f t="shared" si="1"/>
        <v>151751438592</v>
      </c>
      <c r="K8" s="11">
        <f t="shared" si="1"/>
        <v>172730924800</v>
      </c>
      <c r="L8" s="11">
        <f t="shared" si="1"/>
        <v>193461371520</v>
      </c>
      <c r="M8" s="11">
        <f t="shared" si="1"/>
        <v>234088384384</v>
      </c>
      <c r="N8" s="11">
        <f t="shared" si="1"/>
        <v>248532344064</v>
      </c>
      <c r="O8" s="11">
        <f t="shared" si="1"/>
        <v>257130706944</v>
      </c>
      <c r="P8" s="11">
        <f t="shared" si="1"/>
        <v>272178300672</v>
      </c>
      <c r="Q8" s="11">
        <f t="shared" si="1"/>
        <v>270855580928</v>
      </c>
      <c r="R8" s="11">
        <f t="shared" si="1"/>
        <v>294533600000</v>
      </c>
      <c r="S8" s="11">
        <f t="shared" si="3"/>
        <v>311915091712</v>
      </c>
      <c r="T8" s="11">
        <f t="shared" si="3"/>
        <v>346322561792</v>
      </c>
      <c r="U8" s="11">
        <f t="shared" si="3"/>
        <v>372106128384</v>
      </c>
      <c r="V8" s="11">
        <f t="shared" si="3"/>
        <v>375507592192</v>
      </c>
      <c r="W8" s="11">
        <f t="shared" si="3"/>
        <v>404247922688</v>
      </c>
      <c r="X8" s="11">
        <f t="shared" si="3"/>
        <v>359609902592</v>
      </c>
      <c r="Y8" s="11">
        <f t="shared" si="3"/>
        <v>381906123520</v>
      </c>
      <c r="Z8" s="11">
        <f t="shared" si="3"/>
        <v>378271205888</v>
      </c>
      <c r="AA8" s="11">
        <f t="shared" si="3"/>
        <v>429122074112</v>
      </c>
      <c r="AB8" s="11">
        <f t="shared" si="3"/>
        <v>476288536064</v>
      </c>
      <c r="AC8" s="11">
        <f t="shared" si="3"/>
        <v>521074995200</v>
      </c>
      <c r="AD8" s="11">
        <f t="shared" si="3"/>
        <v>546555980800</v>
      </c>
      <c r="AE8" s="11">
        <f t="shared" si="3"/>
        <v>554179234304</v>
      </c>
      <c r="AF8" s="11">
        <f t="shared" si="3"/>
        <v>593754813952</v>
      </c>
      <c r="AG8" s="11">
        <f t="shared" si="3"/>
        <v>625607534080</v>
      </c>
      <c r="AH8" s="11">
        <f t="shared" si="3"/>
        <v>640673512960</v>
      </c>
      <c r="AI8" s="11">
        <f t="shared" si="3"/>
        <v>672154426880</v>
      </c>
      <c r="AJ8" s="11">
        <f t="shared" si="3"/>
        <v>784830982656</v>
      </c>
      <c r="AK8" s="11">
        <f t="shared" si="3"/>
        <v>909953232384</v>
      </c>
      <c r="AL8" s="11">
        <f t="shared" si="3"/>
        <v>1042415899648</v>
      </c>
      <c r="AM8" s="11">
        <f t="shared" si="3"/>
        <v>1186666544128</v>
      </c>
      <c r="AN8" s="11">
        <f t="shared" si="3"/>
        <v>1491408948224</v>
      </c>
      <c r="AO8" s="11">
        <f t="shared" si="3"/>
        <v>1513863877632</v>
      </c>
      <c r="AP8" s="11">
        <f t="shared" si="3"/>
        <v>1667438334976</v>
      </c>
      <c r="AQ8" s="11">
        <f t="shared" si="3"/>
        <v>2040788387840</v>
      </c>
      <c r="AR8" s="11">
        <f t="shared" si="3"/>
        <v>2249482108928</v>
      </c>
      <c r="AS8" s="11">
        <f t="shared" si="3"/>
        <v>2272663107584</v>
      </c>
      <c r="AT8" s="11">
        <f t="shared" si="3"/>
        <v>2331520167936</v>
      </c>
      <c r="AU8" s="11">
        <f t="shared" si="3"/>
        <v>2555733243904</v>
      </c>
      <c r="AV8" s="11">
        <f t="shared" si="3"/>
        <v>2671237505024</v>
      </c>
      <c r="AW8" s="11">
        <f t="shared" si="3"/>
        <v>2898454865920</v>
      </c>
      <c r="AX8" s="11">
        <f t="shared" si="3"/>
        <v>3319641692160</v>
      </c>
      <c r="AY8" s="11">
        <f t="shared" si="3"/>
        <v>3419371028480</v>
      </c>
      <c r="AZ8" s="11">
        <f t="shared" si="3"/>
        <v>3570585772032</v>
      </c>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row>
    <row r="9" spans="1:85" x14ac:dyDescent="0.45">
      <c r="B9" t="str">
        <f>A91</f>
        <v>Sub-Saharan Africa</v>
      </c>
      <c r="C9" s="11">
        <f t="shared" si="1"/>
        <v>56068713476</v>
      </c>
      <c r="D9" s="11">
        <f t="shared" si="1"/>
        <v>56911886744</v>
      </c>
      <c r="E9" s="11">
        <f t="shared" si="1"/>
        <v>64276106368</v>
      </c>
      <c r="F9" s="11">
        <f t="shared" si="1"/>
        <v>82405106224</v>
      </c>
      <c r="G9" s="11">
        <f t="shared" si="1"/>
        <v>108077983972</v>
      </c>
      <c r="H9" s="11">
        <f t="shared" si="1"/>
        <v>118883601968</v>
      </c>
      <c r="I9" s="11">
        <f t="shared" si="1"/>
        <v>129207018860</v>
      </c>
      <c r="J9" s="11">
        <f t="shared" si="1"/>
        <v>142069858184</v>
      </c>
      <c r="K9" s="11">
        <f t="shared" si="1"/>
        <v>157728609288</v>
      </c>
      <c r="L9" s="11">
        <f t="shared" si="1"/>
        <v>190718390344</v>
      </c>
      <c r="M9" s="11">
        <f t="shared" si="1"/>
        <v>242457604872</v>
      </c>
      <c r="N9" s="11">
        <f t="shared" si="1"/>
        <v>343903699376</v>
      </c>
      <c r="O9" s="11">
        <f t="shared" si="1"/>
        <v>313689894736</v>
      </c>
      <c r="P9" s="11">
        <f t="shared" si="1"/>
        <v>269309014864</v>
      </c>
      <c r="Q9" s="11">
        <f t="shared" si="1"/>
        <v>231772664640</v>
      </c>
      <c r="R9" s="11">
        <f t="shared" si="1"/>
        <v>215402104224</v>
      </c>
      <c r="S9" s="11">
        <f t="shared" si="3"/>
        <v>220793618040</v>
      </c>
      <c r="T9" s="11">
        <f t="shared" si="3"/>
        <v>250670927584</v>
      </c>
      <c r="U9" s="11">
        <f t="shared" si="3"/>
        <v>257124993360</v>
      </c>
      <c r="V9" s="11">
        <f t="shared" si="3"/>
        <v>255106870512</v>
      </c>
      <c r="W9" s="11">
        <f t="shared" si="3"/>
        <v>289982217264</v>
      </c>
      <c r="X9" s="11">
        <f t="shared" si="3"/>
        <v>293587837280</v>
      </c>
      <c r="Y9" s="11">
        <f t="shared" si="3"/>
        <v>295105943008</v>
      </c>
      <c r="Z9" s="11">
        <f t="shared" si="3"/>
        <v>276338820176</v>
      </c>
      <c r="AA9" s="11">
        <f t="shared" si="3"/>
        <v>272923517520</v>
      </c>
      <c r="AB9" s="11">
        <f t="shared" si="3"/>
        <v>312233142736</v>
      </c>
      <c r="AC9" s="11">
        <f t="shared" si="3"/>
        <v>317685833792</v>
      </c>
      <c r="AD9" s="11">
        <f t="shared" si="3"/>
        <v>329512564640</v>
      </c>
      <c r="AE9" s="11">
        <f t="shared" si="3"/>
        <v>313181596688</v>
      </c>
      <c r="AF9" s="11">
        <f t="shared" si="3"/>
        <v>317433437056</v>
      </c>
      <c r="AG9" s="11">
        <f t="shared" si="3"/>
        <v>337170906944</v>
      </c>
      <c r="AH9" s="11">
        <f t="shared" si="3"/>
        <v>319876793632</v>
      </c>
      <c r="AI9" s="11">
        <f t="shared" si="3"/>
        <v>346094060320</v>
      </c>
      <c r="AJ9" s="11">
        <f t="shared" si="3"/>
        <v>440782673856</v>
      </c>
      <c r="AK9" s="11">
        <f t="shared" si="3"/>
        <v>549967933984</v>
      </c>
      <c r="AL9" s="11">
        <f t="shared" si="3"/>
        <v>646391325312</v>
      </c>
      <c r="AM9" s="11">
        <f t="shared" si="3"/>
        <v>764729514816</v>
      </c>
      <c r="AN9" s="11">
        <f t="shared" si="3"/>
        <v>878199097600</v>
      </c>
      <c r="AO9" s="11">
        <f t="shared" si="3"/>
        <v>981540232128</v>
      </c>
      <c r="AP9" s="11">
        <f t="shared" si="3"/>
        <v>933086213504</v>
      </c>
      <c r="AQ9" s="11">
        <f t="shared" si="3"/>
        <v>1130773515392</v>
      </c>
      <c r="AR9" s="11">
        <f t="shared" si="3"/>
        <v>1262416885888</v>
      </c>
      <c r="AS9" s="11">
        <f t="shared" si="3"/>
        <v>1304364937984</v>
      </c>
      <c r="AT9" s="11">
        <f t="shared" si="3"/>
        <v>1385513590848</v>
      </c>
      <c r="AU9" s="11">
        <f t="shared" si="3"/>
        <v>1445340785664</v>
      </c>
      <c r="AV9" s="11">
        <f t="shared" si="3"/>
        <v>1322887746752</v>
      </c>
      <c r="AW9" s="11">
        <f t="shared" si="3"/>
        <v>1208464208512</v>
      </c>
      <c r="AX9" s="11">
        <f t="shared" si="3"/>
        <v>1267464166656</v>
      </c>
      <c r="AY9" s="11">
        <f t="shared" si="3"/>
        <v>1346644831616</v>
      </c>
      <c r="AZ9" s="11">
        <f t="shared" si="3"/>
        <v>1377375234688</v>
      </c>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row>
    <row r="10" spans="1:85" x14ac:dyDescent="0.45">
      <c r="B10" t="s">
        <v>178</v>
      </c>
      <c r="C10" s="15">
        <f>SUM(C1:C9)</f>
        <v>2746236784872</v>
      </c>
      <c r="D10" s="15">
        <f t="shared" ref="D10:AZ10" si="4">SUM(D1:D9)</f>
        <v>3033009074948</v>
      </c>
      <c r="E10" s="15">
        <f t="shared" si="4"/>
        <v>3501317517402</v>
      </c>
      <c r="F10" s="15">
        <f t="shared" si="4"/>
        <v>4263578533242</v>
      </c>
      <c r="G10" s="15">
        <f t="shared" si="4"/>
        <v>4873316946212</v>
      </c>
      <c r="H10" s="15">
        <f t="shared" si="4"/>
        <v>5426219697424</v>
      </c>
      <c r="I10" s="15">
        <f t="shared" si="4"/>
        <v>5874054979396</v>
      </c>
      <c r="J10" s="15">
        <f t="shared" si="4"/>
        <v>6631760273844</v>
      </c>
      <c r="K10" s="15">
        <f t="shared" si="4"/>
        <v>7853463449940</v>
      </c>
      <c r="L10" s="15">
        <f t="shared" si="4"/>
        <v>9105116464876</v>
      </c>
      <c r="M10" s="15">
        <f t="shared" si="4"/>
        <v>10212711773180</v>
      </c>
      <c r="N10" s="15">
        <f t="shared" si="4"/>
        <v>10567497697080</v>
      </c>
      <c r="O10" s="15">
        <f t="shared" si="4"/>
        <v>10425670087748</v>
      </c>
      <c r="P10" s="15">
        <f t="shared" si="4"/>
        <v>10625247690508</v>
      </c>
      <c r="Q10" s="15">
        <f t="shared" si="4"/>
        <v>11016784363312</v>
      </c>
      <c r="R10" s="15">
        <f t="shared" si="4"/>
        <v>11575158184444</v>
      </c>
      <c r="S10" s="15">
        <f t="shared" si="4"/>
        <v>13756845783426</v>
      </c>
      <c r="T10" s="15">
        <f t="shared" si="4"/>
        <v>15773377386852</v>
      </c>
      <c r="U10" s="15">
        <f t="shared" si="4"/>
        <v>17709557529116</v>
      </c>
      <c r="V10" s="15">
        <f t="shared" si="4"/>
        <v>18572246942104</v>
      </c>
      <c r="W10" s="15">
        <f t="shared" si="4"/>
        <v>20922543788820</v>
      </c>
      <c r="X10" s="15">
        <f t="shared" si="4"/>
        <v>22244429310708</v>
      </c>
      <c r="Y10" s="15">
        <f t="shared" si="4"/>
        <v>23708341636132</v>
      </c>
      <c r="Z10" s="15">
        <f t="shared" si="4"/>
        <v>24085386095928</v>
      </c>
      <c r="AA10" s="15">
        <f t="shared" si="4"/>
        <v>25950149562128</v>
      </c>
      <c r="AB10" s="15">
        <f t="shared" si="4"/>
        <v>28848207430652</v>
      </c>
      <c r="AC10" s="15">
        <f t="shared" si="4"/>
        <v>29416080710320</v>
      </c>
      <c r="AD10" s="15">
        <f t="shared" si="4"/>
        <v>29246520345128</v>
      </c>
      <c r="AE10" s="15">
        <f t="shared" si="4"/>
        <v>29430206944456</v>
      </c>
      <c r="AF10" s="15">
        <f t="shared" si="4"/>
        <v>30584219326400</v>
      </c>
      <c r="AG10" s="15">
        <f t="shared" si="4"/>
        <v>31463693618144</v>
      </c>
      <c r="AH10" s="15">
        <f t="shared" si="4"/>
        <v>31187241745016</v>
      </c>
      <c r="AI10" s="15">
        <f t="shared" si="4"/>
        <v>32330631579272</v>
      </c>
      <c r="AJ10" s="15">
        <f t="shared" si="4"/>
        <v>36206218258416</v>
      </c>
      <c r="AK10" s="15">
        <f t="shared" si="4"/>
        <v>40568435986144</v>
      </c>
      <c r="AL10" s="15">
        <f t="shared" si="4"/>
        <v>43566565517816</v>
      </c>
      <c r="AM10" s="15">
        <f t="shared" si="4"/>
        <v>46765967933432</v>
      </c>
      <c r="AN10" s="15">
        <f t="shared" si="4"/>
        <v>52161490119040</v>
      </c>
      <c r="AO10" s="15">
        <f t="shared" si="4"/>
        <v>56450227393264</v>
      </c>
      <c r="AP10" s="15">
        <f t="shared" si="4"/>
        <v>54078072347096</v>
      </c>
      <c r="AQ10" s="15">
        <f t="shared" si="4"/>
        <v>58750727778880</v>
      </c>
      <c r="AR10" s="15">
        <f t="shared" si="4"/>
        <v>64814441638576</v>
      </c>
      <c r="AS10" s="15">
        <f t="shared" si="4"/>
        <v>66011980271104</v>
      </c>
      <c r="AT10" s="15">
        <f t="shared" si="4"/>
        <v>67962462264448</v>
      </c>
      <c r="AU10" s="15">
        <f t="shared" si="4"/>
        <v>70196916593168</v>
      </c>
      <c r="AV10" s="15">
        <f t="shared" si="4"/>
        <v>67301319340528</v>
      </c>
      <c r="AW10" s="15">
        <f t="shared" si="4"/>
        <v>68458282967344</v>
      </c>
      <c r="AX10" s="15">
        <f t="shared" si="4"/>
        <v>72590332253360</v>
      </c>
      <c r="AY10" s="15">
        <f t="shared" si="4"/>
        <v>77084421828320</v>
      </c>
      <c r="AZ10" s="15">
        <f t="shared" si="4"/>
        <v>78157638951328</v>
      </c>
      <c r="BA10" s="15"/>
      <c r="BB10" s="15"/>
      <c r="BC10" s="15"/>
      <c r="BD10" s="15"/>
      <c r="BE10" s="15"/>
      <c r="BF10" s="15"/>
      <c r="BG10" s="15"/>
      <c r="BH10" s="15"/>
      <c r="BI10" s="15"/>
      <c r="BJ10" s="15"/>
      <c r="BK10" s="11"/>
      <c r="BL10" s="11"/>
      <c r="BM10" s="11"/>
      <c r="BN10" s="11"/>
      <c r="BO10" s="11"/>
      <c r="BP10" s="11"/>
      <c r="BQ10" s="11"/>
      <c r="BR10" s="11"/>
      <c r="BS10" s="11"/>
      <c r="BT10" s="11"/>
      <c r="BU10" s="11"/>
      <c r="BV10" s="11"/>
      <c r="BW10" s="11"/>
      <c r="BX10" s="11"/>
      <c r="BY10" s="11"/>
      <c r="BZ10" s="11"/>
      <c r="CA10" s="11"/>
      <c r="CB10" s="11"/>
      <c r="CC10" s="11"/>
      <c r="CD10" s="11"/>
      <c r="CE10" s="11"/>
      <c r="CF10" s="11"/>
      <c r="CG10" s="11"/>
    </row>
    <row r="11" spans="1:85" x14ac:dyDescent="0.45">
      <c r="A11" s="9" t="s">
        <v>25</v>
      </c>
      <c r="B11" t="s" vm="5">
        <v>160</v>
      </c>
      <c r="C11" s="15">
        <f>SUM(C19:C124)</f>
        <v>2746236784872</v>
      </c>
      <c r="D11" s="15">
        <f t="shared" ref="D11:AZ11" si="5">SUM(D19:D124)</f>
        <v>3033009074948</v>
      </c>
      <c r="E11" s="15">
        <f t="shared" si="5"/>
        <v>3501317517402</v>
      </c>
      <c r="F11" s="15">
        <f t="shared" si="5"/>
        <v>4263578533242</v>
      </c>
      <c r="G11" s="15">
        <f t="shared" si="5"/>
        <v>4873316946212</v>
      </c>
      <c r="H11" s="15">
        <f t="shared" si="5"/>
        <v>5426219697424</v>
      </c>
      <c r="I11" s="15">
        <f t="shared" si="5"/>
        <v>5874054979396</v>
      </c>
      <c r="J11" s="15">
        <f t="shared" si="5"/>
        <v>6631760273844</v>
      </c>
      <c r="K11" s="15">
        <f t="shared" si="5"/>
        <v>7853463449940</v>
      </c>
      <c r="L11" s="15">
        <f t="shared" si="5"/>
        <v>9105116464876</v>
      </c>
      <c r="M11" s="15">
        <f t="shared" si="5"/>
        <v>10212711773180</v>
      </c>
      <c r="N11" s="15">
        <f t="shared" si="5"/>
        <v>10567497697080</v>
      </c>
      <c r="O11" s="15">
        <f t="shared" si="5"/>
        <v>10425670087748</v>
      </c>
      <c r="P11" s="15">
        <f t="shared" si="5"/>
        <v>10625247690508</v>
      </c>
      <c r="Q11" s="15">
        <f t="shared" si="5"/>
        <v>11016784363312</v>
      </c>
      <c r="R11" s="15">
        <f t="shared" si="5"/>
        <v>11575158184444</v>
      </c>
      <c r="S11" s="15">
        <f t="shared" si="5"/>
        <v>13756845783426</v>
      </c>
      <c r="T11" s="15">
        <f t="shared" si="5"/>
        <v>15773377386852</v>
      </c>
      <c r="U11" s="15">
        <f t="shared" si="5"/>
        <v>17709557529116</v>
      </c>
      <c r="V11" s="15">
        <f t="shared" si="5"/>
        <v>18572246942104</v>
      </c>
      <c r="W11" s="15">
        <f t="shared" si="5"/>
        <v>20922543788820</v>
      </c>
      <c r="X11" s="15">
        <f t="shared" si="5"/>
        <v>22244429310708</v>
      </c>
      <c r="Y11" s="15">
        <f t="shared" si="5"/>
        <v>23708341636132</v>
      </c>
      <c r="Z11" s="15">
        <f t="shared" si="5"/>
        <v>24085386095928</v>
      </c>
      <c r="AA11" s="15">
        <f t="shared" si="5"/>
        <v>25950149562128</v>
      </c>
      <c r="AB11" s="15">
        <f t="shared" si="5"/>
        <v>28848207430652</v>
      </c>
      <c r="AC11" s="15">
        <f t="shared" si="5"/>
        <v>29416080710320</v>
      </c>
      <c r="AD11" s="15">
        <f t="shared" si="5"/>
        <v>29246520345128</v>
      </c>
      <c r="AE11" s="15">
        <f t="shared" si="5"/>
        <v>29430206944456</v>
      </c>
      <c r="AF11" s="15">
        <f t="shared" si="5"/>
        <v>30584219326400</v>
      </c>
      <c r="AG11" s="15">
        <f t="shared" si="5"/>
        <v>31463693618144</v>
      </c>
      <c r="AH11" s="15">
        <f t="shared" si="5"/>
        <v>31187241745016</v>
      </c>
      <c r="AI11" s="15">
        <f t="shared" si="5"/>
        <v>32330631579272</v>
      </c>
      <c r="AJ11" s="15">
        <f t="shared" si="5"/>
        <v>36206218258416</v>
      </c>
      <c r="AK11" s="15">
        <f t="shared" si="5"/>
        <v>40568435986144</v>
      </c>
      <c r="AL11" s="15">
        <f t="shared" si="5"/>
        <v>43566565517816</v>
      </c>
      <c r="AM11" s="15">
        <f t="shared" si="5"/>
        <v>46765967933432</v>
      </c>
      <c r="AN11" s="15">
        <f t="shared" si="5"/>
        <v>52161490119040</v>
      </c>
      <c r="AO11" s="15">
        <f t="shared" si="5"/>
        <v>56450227393264</v>
      </c>
      <c r="AP11" s="15">
        <f t="shared" si="5"/>
        <v>54078072347096</v>
      </c>
      <c r="AQ11" s="15">
        <f t="shared" si="5"/>
        <v>58750727778880</v>
      </c>
      <c r="AR11" s="15">
        <f t="shared" si="5"/>
        <v>64814441638576</v>
      </c>
      <c r="AS11" s="15">
        <f t="shared" si="5"/>
        <v>66011980271104</v>
      </c>
      <c r="AT11" s="15">
        <f t="shared" si="5"/>
        <v>67962462264448</v>
      </c>
      <c r="AU11" s="15">
        <f t="shared" si="5"/>
        <v>70196916593168</v>
      </c>
      <c r="AV11" s="15">
        <f t="shared" si="5"/>
        <v>67301319340528</v>
      </c>
      <c r="AW11" s="15">
        <f t="shared" si="5"/>
        <v>68458282967344</v>
      </c>
      <c r="AX11" s="15">
        <f t="shared" si="5"/>
        <v>72590332253360</v>
      </c>
      <c r="AY11" s="15">
        <f t="shared" si="5"/>
        <v>77084421828320</v>
      </c>
      <c r="AZ11" s="15">
        <f t="shared" si="5"/>
        <v>78157638951328</v>
      </c>
      <c r="BK11" s="15"/>
      <c r="BL11" s="15"/>
      <c r="BM11" s="15"/>
      <c r="BN11" s="15"/>
      <c r="BO11" s="15"/>
      <c r="BP11" s="15"/>
      <c r="BQ11" s="15"/>
      <c r="BR11" s="15"/>
      <c r="BS11" s="15"/>
      <c r="BT11" s="15"/>
      <c r="BU11" s="15"/>
      <c r="BV11" s="15"/>
      <c r="BW11" s="15"/>
      <c r="BX11" s="15"/>
      <c r="BY11" s="15"/>
      <c r="BZ11" s="15"/>
      <c r="CA11" s="15"/>
      <c r="CB11" s="15"/>
      <c r="CC11" s="15"/>
      <c r="CD11" s="15"/>
      <c r="CE11" s="15"/>
      <c r="CF11" s="15"/>
      <c r="CG11" s="15"/>
    </row>
    <row r="12" spans="1:85" x14ac:dyDescent="0.45">
      <c r="A12" s="9" t="s">
        <v>81</v>
      </c>
      <c r="B12" t="s" vm="3">
        <v>80</v>
      </c>
    </row>
    <row r="13" spans="1:85" x14ac:dyDescent="0.45">
      <c r="A13" s="9" t="s">
        <v>159</v>
      </c>
      <c r="B13" t="s" vm="4">
        <v>78</v>
      </c>
    </row>
    <row r="14" spans="1:85" x14ac:dyDescent="0.45">
      <c r="A14" s="9" t="s">
        <v>26</v>
      </c>
      <c r="B14" t="s" vm="6">
        <v>161</v>
      </c>
    </row>
    <row r="15" spans="1:85" x14ac:dyDescent="0.45">
      <c r="A15" s="9" t="s">
        <v>162</v>
      </c>
      <c r="B15" t="s" vm="7">
        <v>220</v>
      </c>
    </row>
    <row r="17" spans="1:52" x14ac:dyDescent="0.45">
      <c r="A17" s="9" t="s">
        <v>77</v>
      </c>
      <c r="C17" s="9" t="s">
        <v>163</v>
      </c>
    </row>
    <row r="18" spans="1:52" x14ac:dyDescent="0.45">
      <c r="A18" s="9" t="s">
        <v>183</v>
      </c>
      <c r="B18" s="9" t="s">
        <v>164</v>
      </c>
      <c r="C18" t="s">
        <v>27</v>
      </c>
      <c r="D18" t="s">
        <v>28</v>
      </c>
      <c r="E18" t="s">
        <v>29</v>
      </c>
      <c r="F18" t="s">
        <v>30</v>
      </c>
      <c r="G18" t="s">
        <v>31</v>
      </c>
      <c r="H18" t="s">
        <v>32</v>
      </c>
      <c r="I18" t="s">
        <v>33</v>
      </c>
      <c r="J18" t="s">
        <v>34</v>
      </c>
      <c r="K18" t="s">
        <v>35</v>
      </c>
      <c r="L18" t="s">
        <v>36</v>
      </c>
      <c r="M18" t="s">
        <v>37</v>
      </c>
      <c r="N18" t="s">
        <v>38</v>
      </c>
      <c r="O18" t="s">
        <v>39</v>
      </c>
      <c r="P18" t="s">
        <v>40</v>
      </c>
      <c r="Q18" t="s">
        <v>41</v>
      </c>
      <c r="R18" t="s">
        <v>42</v>
      </c>
      <c r="S18" t="s">
        <v>43</v>
      </c>
      <c r="T18" t="s">
        <v>44</v>
      </c>
      <c r="U18" t="s">
        <v>45</v>
      </c>
      <c r="V18" t="s">
        <v>46</v>
      </c>
      <c r="W18" t="s">
        <v>47</v>
      </c>
      <c r="X18" t="s">
        <v>48</v>
      </c>
      <c r="Y18" t="s">
        <v>49</v>
      </c>
      <c r="Z18" t="s">
        <v>50</v>
      </c>
      <c r="AA18" t="s">
        <v>51</v>
      </c>
      <c r="AB18" t="s">
        <v>52</v>
      </c>
      <c r="AC18" t="s">
        <v>53</v>
      </c>
      <c r="AD18" t="s">
        <v>54</v>
      </c>
      <c r="AE18" t="s">
        <v>55</v>
      </c>
      <c r="AF18" t="s">
        <v>56</v>
      </c>
      <c r="AG18" t="s">
        <v>57</v>
      </c>
      <c r="AH18" t="s">
        <v>58</v>
      </c>
      <c r="AI18" t="s">
        <v>59</v>
      </c>
      <c r="AJ18" t="s">
        <v>60</v>
      </c>
      <c r="AK18" t="s">
        <v>61</v>
      </c>
      <c r="AL18" t="s">
        <v>62</v>
      </c>
      <c r="AM18" t="s">
        <v>63</v>
      </c>
      <c r="AN18" t="s">
        <v>64</v>
      </c>
      <c r="AO18" t="s">
        <v>65</v>
      </c>
      <c r="AP18" t="s">
        <v>66</v>
      </c>
      <c r="AQ18" t="s">
        <v>67</v>
      </c>
      <c r="AR18" t="s">
        <v>68</v>
      </c>
      <c r="AS18" t="s">
        <v>69</v>
      </c>
      <c r="AT18" t="s">
        <v>70</v>
      </c>
      <c r="AU18" t="s">
        <v>71</v>
      </c>
      <c r="AV18" t="s">
        <v>72</v>
      </c>
      <c r="AW18" t="s">
        <v>73</v>
      </c>
      <c r="AX18" t="s">
        <v>74</v>
      </c>
      <c r="AY18" t="s">
        <v>75</v>
      </c>
      <c r="AZ18" t="s">
        <v>76</v>
      </c>
    </row>
    <row r="19" spans="1:52" x14ac:dyDescent="0.45">
      <c r="A19" t="s">
        <v>192</v>
      </c>
      <c r="B19" t="s">
        <v>193</v>
      </c>
      <c r="C19" s="10">
        <v>92602974208</v>
      </c>
      <c r="D19" s="10">
        <v>99800956928</v>
      </c>
      <c r="E19" s="10">
        <v>113687584768</v>
      </c>
      <c r="F19" s="10">
        <v>138544283648</v>
      </c>
      <c r="G19" s="10">
        <v>144182132736</v>
      </c>
      <c r="H19" s="10">
        <v>163431546880</v>
      </c>
      <c r="I19" s="10">
        <v>153940459520</v>
      </c>
      <c r="J19" s="10">
        <v>174938095616</v>
      </c>
      <c r="K19" s="10">
        <v>149540749312</v>
      </c>
      <c r="L19" s="10">
        <v>178280595456</v>
      </c>
      <c r="M19" s="10">
        <v>191149211648</v>
      </c>
      <c r="N19" s="10">
        <v>195866378240</v>
      </c>
      <c r="O19" s="10">
        <v>205089701888</v>
      </c>
      <c r="P19" s="10">
        <v>230686752768</v>
      </c>
      <c r="Q19" s="10">
        <v>259946512384</v>
      </c>
      <c r="R19" s="10">
        <v>309488025600</v>
      </c>
      <c r="S19" s="10">
        <v>300758106112</v>
      </c>
      <c r="T19" s="10">
        <v>272972972032</v>
      </c>
      <c r="U19" s="10">
        <v>312353619968</v>
      </c>
      <c r="V19" s="10">
        <v>347768061952</v>
      </c>
      <c r="W19" s="10">
        <v>360857927680</v>
      </c>
      <c r="X19" s="10">
        <v>383373312000</v>
      </c>
      <c r="Y19" s="10">
        <v>426915725312</v>
      </c>
      <c r="Z19" s="10">
        <v>444731293696</v>
      </c>
      <c r="AA19" s="10">
        <v>564324663296</v>
      </c>
      <c r="AB19" s="10">
        <v>734547869696</v>
      </c>
      <c r="AC19" s="10">
        <v>863746719744</v>
      </c>
      <c r="AD19" s="10">
        <v>961603960832</v>
      </c>
      <c r="AE19" s="10">
        <v>1029043126272</v>
      </c>
      <c r="AF19" s="10">
        <v>1093997297664</v>
      </c>
      <c r="AG19" s="10">
        <v>1211346845696</v>
      </c>
      <c r="AH19" s="10">
        <v>1339395670016</v>
      </c>
      <c r="AI19" s="10">
        <v>1470549983232</v>
      </c>
      <c r="AJ19" s="10">
        <v>1660287975424</v>
      </c>
      <c r="AK19" s="10">
        <v>1955347038208</v>
      </c>
      <c r="AL19" s="10">
        <v>2285965934592</v>
      </c>
      <c r="AM19" s="10">
        <v>2752131891200</v>
      </c>
      <c r="AN19" s="10">
        <v>3550342545408</v>
      </c>
      <c r="AO19" s="10">
        <v>4594306908160</v>
      </c>
      <c r="AP19" s="10">
        <v>5101702348800</v>
      </c>
      <c r="AQ19" s="10">
        <v>6087164559360</v>
      </c>
      <c r="AR19" s="10">
        <v>7551500419072</v>
      </c>
      <c r="AS19" s="10">
        <v>8532230930432</v>
      </c>
      <c r="AT19" s="10">
        <v>9570405580800</v>
      </c>
      <c r="AU19" s="10">
        <v>10475683184640</v>
      </c>
      <c r="AV19" s="10">
        <v>11061553004544</v>
      </c>
      <c r="AW19" s="10">
        <v>11233277247488</v>
      </c>
      <c r="AX19" s="10">
        <v>12310409117696</v>
      </c>
      <c r="AY19" s="10">
        <v>13894816890880</v>
      </c>
      <c r="AZ19" s="10">
        <v>14342902775808</v>
      </c>
    </row>
    <row r="20" spans="1:52" x14ac:dyDescent="0.45">
      <c r="A20" t="s">
        <v>187</v>
      </c>
      <c r="B20" t="s">
        <v>194</v>
      </c>
      <c r="C20" s="10">
        <v>3800766464</v>
      </c>
      <c r="D20" s="10">
        <v>4476001792</v>
      </c>
      <c r="E20" s="10">
        <v>5710107648</v>
      </c>
      <c r="F20" s="10">
        <v>8030117376</v>
      </c>
      <c r="G20" s="10">
        <v>9388663808</v>
      </c>
      <c r="H20" s="10">
        <v>10048022528</v>
      </c>
      <c r="I20" s="10">
        <v>12876365824</v>
      </c>
      <c r="J20" s="10">
        <v>15719433216</v>
      </c>
      <c r="K20" s="10">
        <v>18315008000</v>
      </c>
      <c r="L20" s="10">
        <v>22526035968</v>
      </c>
      <c r="M20" s="10">
        <v>28861759488</v>
      </c>
      <c r="N20" s="10">
        <v>31055409152</v>
      </c>
      <c r="O20" s="10">
        <v>32291305472</v>
      </c>
      <c r="P20" s="10">
        <v>29907091456</v>
      </c>
      <c r="Q20" s="10">
        <v>33511383040</v>
      </c>
      <c r="R20" s="10">
        <v>35699544064</v>
      </c>
      <c r="S20" s="10">
        <v>41075568640</v>
      </c>
      <c r="T20" s="10">
        <v>50622570496</v>
      </c>
      <c r="U20" s="10">
        <v>59707404288</v>
      </c>
      <c r="V20" s="10">
        <v>68790370304</v>
      </c>
      <c r="W20" s="10">
        <v>76928294912</v>
      </c>
      <c r="X20" s="10">
        <v>88959623168</v>
      </c>
      <c r="Y20" s="10">
        <v>104272281600</v>
      </c>
      <c r="Z20" s="10">
        <v>120353947648</v>
      </c>
      <c r="AA20" s="10">
        <v>135812071424</v>
      </c>
      <c r="AB20" s="10">
        <v>144652910592</v>
      </c>
      <c r="AC20" s="10">
        <v>159717228544</v>
      </c>
      <c r="AD20" s="10">
        <v>177352785920</v>
      </c>
      <c r="AE20" s="10">
        <v>168886157312</v>
      </c>
      <c r="AF20" s="10">
        <v>165768101888</v>
      </c>
      <c r="AG20" s="10">
        <v>171668160512</v>
      </c>
      <c r="AH20" s="10">
        <v>169403236352</v>
      </c>
      <c r="AI20" s="10">
        <v>166349225984</v>
      </c>
      <c r="AJ20" s="10">
        <v>161384529920</v>
      </c>
      <c r="AK20" s="10">
        <v>169099771904</v>
      </c>
      <c r="AL20" s="10">
        <v>181570076672</v>
      </c>
      <c r="AM20" s="10">
        <v>193536262144</v>
      </c>
      <c r="AN20" s="10">
        <v>211597410304</v>
      </c>
      <c r="AO20" s="10">
        <v>219279671296</v>
      </c>
      <c r="AP20" s="10">
        <v>214046408704</v>
      </c>
      <c r="AQ20" s="10">
        <v>228637704192</v>
      </c>
      <c r="AR20" s="10">
        <v>248513609728</v>
      </c>
      <c r="AS20" s="10">
        <v>262629441536</v>
      </c>
      <c r="AT20" s="10">
        <v>275696877568</v>
      </c>
      <c r="AU20" s="10">
        <v>291459366912</v>
      </c>
      <c r="AV20" s="10">
        <v>309383626752</v>
      </c>
      <c r="AW20" s="10">
        <v>320837648384</v>
      </c>
      <c r="AX20" s="10">
        <v>341244149760</v>
      </c>
      <c r="AY20" s="10">
        <v>361693052928</v>
      </c>
      <c r="AZ20" s="10">
        <v>366029570048</v>
      </c>
    </row>
    <row r="21" spans="1:52" x14ac:dyDescent="0.45">
      <c r="A21" t="s">
        <v>187</v>
      </c>
      <c r="B21" t="s">
        <v>90</v>
      </c>
      <c r="C21" s="10">
        <v>212609187840</v>
      </c>
      <c r="D21" s="10">
        <v>240151805952</v>
      </c>
      <c r="E21" s="10">
        <v>318031298560</v>
      </c>
      <c r="F21" s="10">
        <v>432082681856</v>
      </c>
      <c r="G21" s="10">
        <v>479626002432</v>
      </c>
      <c r="H21" s="10">
        <v>521541910528</v>
      </c>
      <c r="I21" s="10">
        <v>586161848320</v>
      </c>
      <c r="J21" s="10">
        <v>721411768320</v>
      </c>
      <c r="K21" s="10">
        <v>1013612150784</v>
      </c>
      <c r="L21" s="10">
        <v>1055012093952</v>
      </c>
      <c r="M21" s="10">
        <v>1105386012672</v>
      </c>
      <c r="N21" s="10">
        <v>1218988998656</v>
      </c>
      <c r="O21" s="10">
        <v>1134517944320</v>
      </c>
      <c r="P21" s="10">
        <v>1243323564032</v>
      </c>
      <c r="Q21" s="10">
        <v>1318381682688</v>
      </c>
      <c r="R21" s="10">
        <v>1398892789760</v>
      </c>
      <c r="S21" s="10">
        <v>2078953308160</v>
      </c>
      <c r="T21" s="10">
        <v>2532808589312</v>
      </c>
      <c r="U21" s="10">
        <v>3071683067904</v>
      </c>
      <c r="V21" s="10">
        <v>3054914240512</v>
      </c>
      <c r="W21" s="10">
        <v>3132817670144</v>
      </c>
      <c r="X21" s="10">
        <v>3584419954688</v>
      </c>
      <c r="Y21" s="10">
        <v>3908809523200</v>
      </c>
      <c r="Z21" s="10">
        <v>4454143754240</v>
      </c>
      <c r="AA21" s="10">
        <v>4907039457280</v>
      </c>
      <c r="AB21" s="10">
        <v>5449116549120</v>
      </c>
      <c r="AC21" s="10">
        <v>4833712537600</v>
      </c>
      <c r="AD21" s="10">
        <v>4414733025280</v>
      </c>
      <c r="AE21" s="10">
        <v>4032509771776</v>
      </c>
      <c r="AF21" s="10">
        <v>4562078924800</v>
      </c>
      <c r="AG21" s="10">
        <v>4887519690752</v>
      </c>
      <c r="AH21" s="10">
        <v>4303544385536</v>
      </c>
      <c r="AI21" s="10">
        <v>4115116326912</v>
      </c>
      <c r="AJ21" s="10">
        <v>4445658152960</v>
      </c>
      <c r="AK21" s="10">
        <v>4815149072384</v>
      </c>
      <c r="AL21" s="10">
        <v>4755410649088</v>
      </c>
      <c r="AM21" s="10">
        <v>4530377326592</v>
      </c>
      <c r="AN21" s="10">
        <v>4515264724992</v>
      </c>
      <c r="AO21" s="10">
        <v>5037908557824</v>
      </c>
      <c r="AP21" s="10">
        <v>5231382888448</v>
      </c>
      <c r="AQ21" s="10">
        <v>5700097933312</v>
      </c>
      <c r="AR21" s="10">
        <v>6157459521536</v>
      </c>
      <c r="AS21" s="10">
        <v>6203213086720</v>
      </c>
      <c r="AT21" s="10">
        <v>5155717120000</v>
      </c>
      <c r="AU21" s="10">
        <v>4850413731840</v>
      </c>
      <c r="AV21" s="10">
        <v>4389475713024</v>
      </c>
      <c r="AW21" s="10">
        <v>4922537934848</v>
      </c>
      <c r="AX21" s="10">
        <v>4866864316416</v>
      </c>
      <c r="AY21" s="10">
        <v>4954806812672</v>
      </c>
      <c r="AZ21" s="10">
        <v>5081769443328</v>
      </c>
    </row>
    <row r="22" spans="1:52" x14ac:dyDescent="0.45">
      <c r="A22" t="s">
        <v>187</v>
      </c>
      <c r="B22" t="s">
        <v>133</v>
      </c>
      <c r="C22" s="10">
        <v>3864171008</v>
      </c>
      <c r="D22" s="10">
        <v>4244340224</v>
      </c>
      <c r="E22" s="10">
        <v>5043268608</v>
      </c>
      <c r="F22" s="10">
        <v>7662996992</v>
      </c>
      <c r="G22" s="10">
        <v>9496074240</v>
      </c>
      <c r="H22" s="10">
        <v>9298800640</v>
      </c>
      <c r="I22" s="10">
        <v>11050126336</v>
      </c>
      <c r="J22" s="10">
        <v>13139397632</v>
      </c>
      <c r="K22" s="10">
        <v>16358376448</v>
      </c>
      <c r="L22" s="10">
        <v>21213671424</v>
      </c>
      <c r="M22" s="10">
        <v>24488034304</v>
      </c>
      <c r="N22" s="10">
        <v>25004556288</v>
      </c>
      <c r="O22" s="10">
        <v>26804402176</v>
      </c>
      <c r="P22" s="10">
        <v>30346788864</v>
      </c>
      <c r="Q22" s="10">
        <v>33943504896</v>
      </c>
      <c r="R22" s="10">
        <v>31200161792</v>
      </c>
      <c r="S22" s="10">
        <v>27734562816</v>
      </c>
      <c r="T22" s="10">
        <v>32181696512</v>
      </c>
      <c r="U22" s="10">
        <v>35271880704</v>
      </c>
      <c r="V22" s="10">
        <v>38848569344</v>
      </c>
      <c r="W22" s="10">
        <v>44024176640</v>
      </c>
      <c r="X22" s="10">
        <v>49143148544</v>
      </c>
      <c r="Y22" s="10">
        <v>59167551488</v>
      </c>
      <c r="Z22" s="10">
        <v>66894835712</v>
      </c>
      <c r="AA22" s="10">
        <v>74478354432</v>
      </c>
      <c r="AB22" s="10">
        <v>88705343488</v>
      </c>
      <c r="AC22" s="10">
        <v>100855390208</v>
      </c>
      <c r="AD22" s="10">
        <v>100005322752</v>
      </c>
      <c r="AE22" s="10">
        <v>72167497728</v>
      </c>
      <c r="AF22" s="10">
        <v>79148417024</v>
      </c>
      <c r="AG22" s="10">
        <v>93789732864</v>
      </c>
      <c r="AH22" s="10">
        <v>92783943680</v>
      </c>
      <c r="AI22" s="10">
        <v>100845527040</v>
      </c>
      <c r="AJ22" s="10">
        <v>110202372096</v>
      </c>
      <c r="AK22" s="10">
        <v>124749471744</v>
      </c>
      <c r="AL22" s="10">
        <v>143534096384</v>
      </c>
      <c r="AM22" s="10">
        <v>162691235840</v>
      </c>
      <c r="AN22" s="10">
        <v>193547829248</v>
      </c>
      <c r="AO22" s="10">
        <v>230813892608</v>
      </c>
      <c r="AP22" s="10">
        <v>202257629184</v>
      </c>
      <c r="AQ22" s="10">
        <v>255016615936</v>
      </c>
      <c r="AR22" s="10">
        <v>297951952896</v>
      </c>
      <c r="AS22" s="10">
        <v>314443137024</v>
      </c>
      <c r="AT22" s="10">
        <v>323277160448</v>
      </c>
      <c r="AU22" s="10">
        <v>338061950976</v>
      </c>
      <c r="AV22" s="10">
        <v>301354745856</v>
      </c>
      <c r="AW22" s="10">
        <v>301255458816</v>
      </c>
      <c r="AX22" s="10">
        <v>318958239744</v>
      </c>
      <c r="AY22" s="10">
        <v>358581927936</v>
      </c>
      <c r="AZ22" s="10">
        <v>364701515776</v>
      </c>
    </row>
    <row r="23" spans="1:52" x14ac:dyDescent="0.45">
      <c r="A23" t="s">
        <v>187</v>
      </c>
      <c r="B23" t="s">
        <v>143</v>
      </c>
      <c r="C23" s="10">
        <v>6687204864</v>
      </c>
      <c r="D23" s="10">
        <v>7408305664</v>
      </c>
      <c r="E23" s="10">
        <v>8017468928</v>
      </c>
      <c r="F23" s="10">
        <v>10082885632</v>
      </c>
      <c r="G23" s="10">
        <v>13781140480</v>
      </c>
      <c r="H23" s="10">
        <v>14893969408</v>
      </c>
      <c r="I23" s="10">
        <v>17097563136</v>
      </c>
      <c r="J23" s="10">
        <v>19648106496</v>
      </c>
      <c r="K23" s="10">
        <v>22706155520</v>
      </c>
      <c r="L23" s="10">
        <v>27502168064</v>
      </c>
      <c r="M23" s="10">
        <v>32450541568</v>
      </c>
      <c r="N23" s="10">
        <v>35646418944</v>
      </c>
      <c r="O23" s="10">
        <v>37140164608</v>
      </c>
      <c r="P23" s="10">
        <v>33212180480</v>
      </c>
      <c r="Q23" s="10">
        <v>31408492544</v>
      </c>
      <c r="R23" s="10">
        <v>30734336000</v>
      </c>
      <c r="S23" s="10">
        <v>29868339200</v>
      </c>
      <c r="T23" s="10">
        <v>33195933696</v>
      </c>
      <c r="U23" s="10">
        <v>37885440000</v>
      </c>
      <c r="V23" s="10">
        <v>42575183872</v>
      </c>
      <c r="W23" s="10">
        <v>44311592960</v>
      </c>
      <c r="X23" s="10">
        <v>45417562112</v>
      </c>
      <c r="Y23" s="10">
        <v>52976345088</v>
      </c>
      <c r="Z23" s="10">
        <v>54368083968</v>
      </c>
      <c r="AA23" s="10">
        <v>64084459520</v>
      </c>
      <c r="AB23" s="10">
        <v>74119987200</v>
      </c>
      <c r="AC23" s="10">
        <v>82848137216</v>
      </c>
      <c r="AD23" s="10">
        <v>82344263680</v>
      </c>
      <c r="AE23" s="10">
        <v>72207032320</v>
      </c>
      <c r="AF23" s="10">
        <v>82995142656</v>
      </c>
      <c r="AG23" s="10">
        <v>83670261760</v>
      </c>
      <c r="AH23" s="10">
        <v>78921072640</v>
      </c>
      <c r="AI23" s="10">
        <v>84307369984</v>
      </c>
      <c r="AJ23" s="10">
        <v>87039148032</v>
      </c>
      <c r="AK23" s="10">
        <v>95001993216</v>
      </c>
      <c r="AL23" s="10">
        <v>107419983872</v>
      </c>
      <c r="AM23" s="10">
        <v>127652904960</v>
      </c>
      <c r="AN23" s="10">
        <v>155980414976</v>
      </c>
      <c r="AO23" s="10">
        <v>181006860288</v>
      </c>
      <c r="AP23" s="10">
        <v>176131653632</v>
      </c>
      <c r="AQ23" s="10">
        <v>208368893952</v>
      </c>
      <c r="AR23" s="10">
        <v>234216734720</v>
      </c>
      <c r="AS23" s="10">
        <v>261920538624</v>
      </c>
      <c r="AT23" s="10">
        <v>283902836736</v>
      </c>
      <c r="AU23" s="10">
        <v>297483567104</v>
      </c>
      <c r="AV23" s="10">
        <v>306445877248</v>
      </c>
      <c r="AW23" s="10">
        <v>318626988032</v>
      </c>
      <c r="AX23" s="10">
        <v>328480751616</v>
      </c>
      <c r="AY23" s="10">
        <v>346841907200</v>
      </c>
      <c r="AZ23" s="10">
        <v>376795496448</v>
      </c>
    </row>
    <row r="24" spans="1:52" x14ac:dyDescent="0.45">
      <c r="A24" t="s">
        <v>187</v>
      </c>
      <c r="B24" t="s">
        <v>95</v>
      </c>
      <c r="C24" s="10">
        <v>1920586752</v>
      </c>
      <c r="D24" s="10">
        <v>2263785472</v>
      </c>
      <c r="E24" s="10">
        <v>2721441024</v>
      </c>
      <c r="F24" s="10">
        <v>3696213248</v>
      </c>
      <c r="G24" s="10">
        <v>5221534720</v>
      </c>
      <c r="H24" s="10">
        <v>5633673728</v>
      </c>
      <c r="I24" s="10">
        <v>6327077888</v>
      </c>
      <c r="J24" s="10">
        <v>6618585088</v>
      </c>
      <c r="K24" s="10">
        <v>7517176320</v>
      </c>
      <c r="L24" s="10">
        <v>9296921600</v>
      </c>
      <c r="M24" s="10">
        <v>11896256512</v>
      </c>
      <c r="N24" s="10">
        <v>14175228928</v>
      </c>
      <c r="O24" s="10">
        <v>16084252672</v>
      </c>
      <c r="P24" s="10">
        <v>17784113152</v>
      </c>
      <c r="Q24" s="10">
        <v>19749361664</v>
      </c>
      <c r="R24" s="10">
        <v>19156533248</v>
      </c>
      <c r="S24" s="10">
        <v>18586746880</v>
      </c>
      <c r="T24" s="10">
        <v>20919216128</v>
      </c>
      <c r="U24" s="10">
        <v>25371461632</v>
      </c>
      <c r="V24" s="10">
        <v>30465363968</v>
      </c>
      <c r="W24" s="10">
        <v>36144336896</v>
      </c>
      <c r="X24" s="10">
        <v>45466165248</v>
      </c>
      <c r="Y24" s="10">
        <v>52130263040</v>
      </c>
      <c r="Z24" s="10">
        <v>60603478016</v>
      </c>
      <c r="AA24" s="10">
        <v>73690849280</v>
      </c>
      <c r="AB24" s="10">
        <v>87810990080</v>
      </c>
      <c r="AC24" s="10">
        <v>96295886848</v>
      </c>
      <c r="AD24" s="10">
        <v>100124188672</v>
      </c>
      <c r="AE24" s="10">
        <v>85728313344</v>
      </c>
      <c r="AF24" s="10">
        <v>86284664832</v>
      </c>
      <c r="AG24" s="10">
        <v>96074481664</v>
      </c>
      <c r="AH24" s="10">
        <v>89794945024</v>
      </c>
      <c r="AI24" s="10">
        <v>92537749504</v>
      </c>
      <c r="AJ24" s="10">
        <v>97645445120</v>
      </c>
      <c r="AK24" s="10">
        <v>115035496448</v>
      </c>
      <c r="AL24" s="10">
        <v>127807619072</v>
      </c>
      <c r="AM24" s="10">
        <v>148630372352</v>
      </c>
      <c r="AN24" s="10">
        <v>180941946880</v>
      </c>
      <c r="AO24" s="10">
        <v>193611988992</v>
      </c>
      <c r="AP24" s="10">
        <v>194152284160</v>
      </c>
      <c r="AQ24" s="10">
        <v>239809380352</v>
      </c>
      <c r="AR24" s="10">
        <v>279351164928</v>
      </c>
      <c r="AS24" s="10">
        <v>295087210496</v>
      </c>
      <c r="AT24" s="10">
        <v>307576373248</v>
      </c>
      <c r="AU24" s="10">
        <v>314851164160</v>
      </c>
      <c r="AV24" s="10">
        <v>308004159488</v>
      </c>
      <c r="AW24" s="10">
        <v>318652350464</v>
      </c>
      <c r="AX24" s="10">
        <v>341863333888</v>
      </c>
      <c r="AY24" s="10">
        <v>373217067008</v>
      </c>
      <c r="AZ24" s="10">
        <v>372062519296</v>
      </c>
    </row>
    <row r="25" spans="1:52" x14ac:dyDescent="0.45">
      <c r="A25" t="s">
        <v>187</v>
      </c>
      <c r="B25" t="s">
        <v>96</v>
      </c>
      <c r="C25" s="10">
        <v>9005023232</v>
      </c>
      <c r="D25" s="10">
        <v>9903500288</v>
      </c>
      <c r="E25" s="10">
        <v>10862327808</v>
      </c>
      <c r="F25" s="10">
        <v>13876531200</v>
      </c>
      <c r="G25" s="10">
        <v>19544094720</v>
      </c>
      <c r="H25" s="10">
        <v>21784297472</v>
      </c>
      <c r="I25" s="10">
        <v>29902479360</v>
      </c>
      <c r="J25" s="10">
        <v>38446489600</v>
      </c>
      <c r="K25" s="10">
        <v>51972108288</v>
      </c>
      <c r="L25" s="10">
        <v>66946899968</v>
      </c>
      <c r="M25" s="10">
        <v>65398644736</v>
      </c>
      <c r="N25" s="10">
        <v>72933351424</v>
      </c>
      <c r="O25" s="10">
        <v>78358863872</v>
      </c>
      <c r="P25" s="10">
        <v>87760363520</v>
      </c>
      <c r="Q25" s="10">
        <v>97510236160</v>
      </c>
      <c r="R25" s="10">
        <v>101296177152</v>
      </c>
      <c r="S25" s="10">
        <v>116836802560</v>
      </c>
      <c r="T25" s="10">
        <v>147948257280</v>
      </c>
      <c r="U25" s="10">
        <v>199590821888</v>
      </c>
      <c r="V25" s="10">
        <v>246927294464</v>
      </c>
      <c r="W25" s="10">
        <v>283367538688</v>
      </c>
      <c r="X25" s="10">
        <v>330648518656</v>
      </c>
      <c r="Y25" s="10">
        <v>355525263360</v>
      </c>
      <c r="Z25" s="10">
        <v>392666087424</v>
      </c>
      <c r="AA25" s="10">
        <v>463617392640</v>
      </c>
      <c r="AB25" s="10">
        <v>566583427072</v>
      </c>
      <c r="AC25" s="10">
        <v>610169585664</v>
      </c>
      <c r="AD25" s="10">
        <v>569754517504</v>
      </c>
      <c r="AE25" s="10">
        <v>383330942976</v>
      </c>
      <c r="AF25" s="10">
        <v>497512644608</v>
      </c>
      <c r="AG25" s="10">
        <v>576178094080</v>
      </c>
      <c r="AH25" s="10">
        <v>547658235904</v>
      </c>
      <c r="AI25" s="10">
        <v>627246104576</v>
      </c>
      <c r="AJ25" s="10">
        <v>702717362176</v>
      </c>
      <c r="AK25" s="10">
        <v>793174999040</v>
      </c>
      <c r="AL25" s="10">
        <v>934901055488</v>
      </c>
      <c r="AM25" s="10">
        <v>1053216931840</v>
      </c>
      <c r="AN25" s="10">
        <v>1172614021120</v>
      </c>
      <c r="AO25" s="10">
        <v>1047339008000</v>
      </c>
      <c r="AP25" s="10">
        <v>943941877760</v>
      </c>
      <c r="AQ25" s="10">
        <v>1144066932736</v>
      </c>
      <c r="AR25" s="10">
        <v>1253223038976</v>
      </c>
      <c r="AS25" s="10">
        <v>1278427660288</v>
      </c>
      <c r="AT25" s="10">
        <v>1370795147264</v>
      </c>
      <c r="AU25" s="10">
        <v>1484318179328</v>
      </c>
      <c r="AV25" s="10">
        <v>1465773195264</v>
      </c>
      <c r="AW25" s="10">
        <v>1500111568896</v>
      </c>
      <c r="AX25" s="10">
        <v>1623901470720</v>
      </c>
      <c r="AY25" s="10">
        <v>1720578867200</v>
      </c>
      <c r="AZ25" s="10">
        <v>1642383278080</v>
      </c>
    </row>
    <row r="26" spans="1:52" x14ac:dyDescent="0.45">
      <c r="A26" t="s">
        <v>187</v>
      </c>
      <c r="B26" t="s">
        <v>152</v>
      </c>
      <c r="C26" s="10">
        <v>7086538240</v>
      </c>
      <c r="D26" s="10">
        <v>7375000064</v>
      </c>
      <c r="E26" s="10">
        <v>8177884672</v>
      </c>
      <c r="F26" s="10">
        <v>10838587392</v>
      </c>
      <c r="G26" s="10">
        <v>13703000064</v>
      </c>
      <c r="H26" s="10">
        <v>14882748416</v>
      </c>
      <c r="I26" s="10">
        <v>16985210880</v>
      </c>
      <c r="J26" s="10">
        <v>19779315712</v>
      </c>
      <c r="K26" s="10">
        <v>24006569984</v>
      </c>
      <c r="L26" s="10">
        <v>27371698176</v>
      </c>
      <c r="M26" s="10">
        <v>32353439744</v>
      </c>
      <c r="N26" s="10">
        <v>34846109696</v>
      </c>
      <c r="O26" s="10">
        <v>36589797376</v>
      </c>
      <c r="P26" s="10">
        <v>40042827776</v>
      </c>
      <c r="Q26" s="10">
        <v>41797591040</v>
      </c>
      <c r="R26" s="10">
        <v>38900690944</v>
      </c>
      <c r="S26" s="10">
        <v>43096748032</v>
      </c>
      <c r="T26" s="10">
        <v>50535440384</v>
      </c>
      <c r="U26" s="10">
        <v>61667201024</v>
      </c>
      <c r="V26" s="10">
        <v>72250875904</v>
      </c>
      <c r="W26" s="10">
        <v>85343059968</v>
      </c>
      <c r="X26" s="10">
        <v>98234695680</v>
      </c>
      <c r="Y26" s="10">
        <v>111452872704</v>
      </c>
      <c r="Z26" s="10">
        <v>128889315328</v>
      </c>
      <c r="AA26" s="10">
        <v>146683494400</v>
      </c>
      <c r="AB26" s="10">
        <v>169278750720</v>
      </c>
      <c r="AC26" s="10">
        <v>183035117568</v>
      </c>
      <c r="AD26" s="10">
        <v>150180626432</v>
      </c>
      <c r="AE26" s="10">
        <v>113675558912</v>
      </c>
      <c r="AF26" s="10">
        <v>126669062144</v>
      </c>
      <c r="AG26" s="10">
        <v>126392229888</v>
      </c>
      <c r="AH26" s="10">
        <v>120296472576</v>
      </c>
      <c r="AI26" s="10">
        <v>134300852224</v>
      </c>
      <c r="AJ26" s="10">
        <v>152280678400</v>
      </c>
      <c r="AK26" s="10">
        <v>172895748096</v>
      </c>
      <c r="AL26" s="10">
        <v>189318545408</v>
      </c>
      <c r="AM26" s="10">
        <v>221758193664</v>
      </c>
      <c r="AN26" s="10">
        <v>262942474240</v>
      </c>
      <c r="AO26" s="10">
        <v>291382984704</v>
      </c>
      <c r="AP26" s="10">
        <v>281710428160</v>
      </c>
      <c r="AQ26" s="10">
        <v>341104820224</v>
      </c>
      <c r="AR26" s="10">
        <v>370819137536</v>
      </c>
      <c r="AS26" s="10">
        <v>397558218752</v>
      </c>
      <c r="AT26" s="10">
        <v>420333191168</v>
      </c>
      <c r="AU26" s="10">
        <v>407339368448</v>
      </c>
      <c r="AV26" s="10">
        <v>401295933440</v>
      </c>
      <c r="AW26" s="10">
        <v>413430120448</v>
      </c>
      <c r="AX26" s="10">
        <v>456294694912</v>
      </c>
      <c r="AY26" s="10">
        <v>506514112512</v>
      </c>
      <c r="AZ26" s="10">
        <v>543649988608</v>
      </c>
    </row>
    <row r="27" spans="1:52" x14ac:dyDescent="0.45">
      <c r="A27" t="s">
        <v>185</v>
      </c>
      <c r="B27" t="s">
        <v>195</v>
      </c>
      <c r="C27" s="10">
        <v>78619208</v>
      </c>
      <c r="D27" s="10">
        <v>89409824</v>
      </c>
      <c r="E27" s="10">
        <v>113408232</v>
      </c>
      <c r="F27" s="10">
        <v>150820096</v>
      </c>
      <c r="G27" s="10">
        <v>186558704</v>
      </c>
      <c r="H27" s="10">
        <v>220127248</v>
      </c>
      <c r="I27" s="10">
        <v>227281024</v>
      </c>
      <c r="J27" s="10">
        <v>254020160</v>
      </c>
      <c r="K27" s="10">
        <v>308008896</v>
      </c>
      <c r="L27" s="10">
        <v>411578336</v>
      </c>
      <c r="M27" s="10">
        <v>446416096</v>
      </c>
      <c r="N27" s="10">
        <v>388958720</v>
      </c>
      <c r="O27" s="10">
        <v>375895968</v>
      </c>
      <c r="P27" s="10">
        <v>327861824</v>
      </c>
      <c r="Q27" s="10">
        <v>330070688</v>
      </c>
      <c r="R27" s="10">
        <v>346737952</v>
      </c>
      <c r="S27" s="10">
        <v>482000608</v>
      </c>
      <c r="T27" s="10">
        <v>611316416</v>
      </c>
      <c r="U27" s="10">
        <v>721425920</v>
      </c>
      <c r="V27" s="10">
        <v>795449344</v>
      </c>
      <c r="W27" s="10">
        <v>1029048512</v>
      </c>
      <c r="X27" s="10">
        <v>1106928640</v>
      </c>
      <c r="Y27" s="10">
        <v>1210013696</v>
      </c>
      <c r="Z27" s="10">
        <v>1007025728</v>
      </c>
      <c r="AA27" s="10">
        <v>1017549120</v>
      </c>
      <c r="AB27" s="10">
        <v>1178738944</v>
      </c>
      <c r="AC27" s="10">
        <v>1223945344</v>
      </c>
      <c r="AD27" s="10">
        <v>1180597248</v>
      </c>
      <c r="AE27" s="10">
        <v>1211932416</v>
      </c>
      <c r="AF27" s="10">
        <v>1239876352</v>
      </c>
      <c r="AG27" s="10">
        <v>1429049216</v>
      </c>
      <c r="AH27" s="10">
        <v>1546926208</v>
      </c>
      <c r="AI27" s="10">
        <v>1755910016</v>
      </c>
      <c r="AJ27" s="10">
        <v>2361726976</v>
      </c>
      <c r="AK27" s="10">
        <v>2894921728</v>
      </c>
      <c r="AL27" s="10">
        <v>3159905536</v>
      </c>
      <c r="AM27" s="10">
        <v>3456442112</v>
      </c>
      <c r="AN27" s="10">
        <v>3952600576</v>
      </c>
      <c r="AO27" s="10">
        <v>4085630464</v>
      </c>
      <c r="AP27" s="10">
        <v>3674409472</v>
      </c>
      <c r="AQ27" s="10">
        <v>3449966848</v>
      </c>
      <c r="AR27" s="10">
        <v>3629203712</v>
      </c>
      <c r="AS27" s="10">
        <v>3188808960</v>
      </c>
      <c r="AT27" s="10">
        <v>3193704448</v>
      </c>
      <c r="AU27" s="10">
        <v>3271808256</v>
      </c>
      <c r="AV27" s="10">
        <v>2789870080</v>
      </c>
      <c r="AW27" s="10">
        <v>2896679168</v>
      </c>
      <c r="AX27" s="10">
        <v>3000180736</v>
      </c>
      <c r="AY27" s="10">
        <v>3218316032</v>
      </c>
      <c r="AZ27" s="10">
        <v>3154057984</v>
      </c>
    </row>
    <row r="28" spans="1:52" x14ac:dyDescent="0.45">
      <c r="A28" t="s">
        <v>185</v>
      </c>
      <c r="B28" t="s">
        <v>83</v>
      </c>
      <c r="C28" s="10">
        <v>15373005824</v>
      </c>
      <c r="D28" s="10">
        <v>17858486272</v>
      </c>
      <c r="E28" s="10">
        <v>22059612160</v>
      </c>
      <c r="F28" s="10">
        <v>29515468800</v>
      </c>
      <c r="G28" s="10">
        <v>35189301248</v>
      </c>
      <c r="H28" s="10">
        <v>40059207680</v>
      </c>
      <c r="I28" s="10">
        <v>42959974400</v>
      </c>
      <c r="J28" s="10">
        <v>51545759744</v>
      </c>
      <c r="K28" s="10">
        <v>62052257792</v>
      </c>
      <c r="L28" s="10">
        <v>73937297408</v>
      </c>
      <c r="M28" s="10">
        <v>82058911744</v>
      </c>
      <c r="N28" s="10">
        <v>71034224640</v>
      </c>
      <c r="O28" s="10">
        <v>71275290624</v>
      </c>
      <c r="P28" s="10">
        <v>72121016320</v>
      </c>
      <c r="Q28" s="10">
        <v>67985346560</v>
      </c>
      <c r="R28" s="10">
        <v>69386772480</v>
      </c>
      <c r="S28" s="10">
        <v>99036168192</v>
      </c>
      <c r="T28" s="10">
        <v>124168445952</v>
      </c>
      <c r="U28" s="10">
        <v>133339398144</v>
      </c>
      <c r="V28" s="10">
        <v>133105803264</v>
      </c>
      <c r="W28" s="10">
        <v>166463389696</v>
      </c>
      <c r="X28" s="10">
        <v>173794181120</v>
      </c>
      <c r="Y28" s="10">
        <v>195078127616</v>
      </c>
      <c r="Z28" s="10">
        <v>190379720704</v>
      </c>
      <c r="AA28" s="10">
        <v>203535237120</v>
      </c>
      <c r="AB28" s="10">
        <v>241038278656</v>
      </c>
      <c r="AC28" s="10">
        <v>237250953216</v>
      </c>
      <c r="AD28" s="10">
        <v>212790345728</v>
      </c>
      <c r="AE28" s="10">
        <v>218259898368</v>
      </c>
      <c r="AF28" s="10">
        <v>217185779712</v>
      </c>
      <c r="AG28" s="10">
        <v>196799774720</v>
      </c>
      <c r="AH28" s="10">
        <v>197337874432</v>
      </c>
      <c r="AI28" s="10">
        <v>213377777664</v>
      </c>
      <c r="AJ28" s="10">
        <v>261695782912</v>
      </c>
      <c r="AK28" s="10">
        <v>300904218624</v>
      </c>
      <c r="AL28" s="10">
        <v>315974418432</v>
      </c>
      <c r="AM28" s="10">
        <v>335998550016</v>
      </c>
      <c r="AN28" s="10">
        <v>388691460096</v>
      </c>
      <c r="AO28" s="10">
        <v>430294302720</v>
      </c>
      <c r="AP28" s="10">
        <v>400172285952</v>
      </c>
      <c r="AQ28" s="10">
        <v>391892762624</v>
      </c>
      <c r="AR28" s="10">
        <v>431120318464</v>
      </c>
      <c r="AS28" s="10">
        <v>409425248256</v>
      </c>
      <c r="AT28" s="10">
        <v>430068727808</v>
      </c>
      <c r="AU28" s="10">
        <v>441996115968</v>
      </c>
      <c r="AV28" s="10">
        <v>381817552896</v>
      </c>
      <c r="AW28" s="10">
        <v>395227693056</v>
      </c>
      <c r="AX28" s="10">
        <v>418316156928</v>
      </c>
      <c r="AY28" s="10">
        <v>455508262912</v>
      </c>
      <c r="AZ28" s="10">
        <v>446314741760</v>
      </c>
    </row>
    <row r="29" spans="1:52" x14ac:dyDescent="0.45">
      <c r="A29" t="s">
        <v>185</v>
      </c>
      <c r="B29" t="s">
        <v>84</v>
      </c>
      <c r="C29" s="10">
        <v>26706196480</v>
      </c>
      <c r="D29" s="10">
        <v>29821661184</v>
      </c>
      <c r="E29" s="10">
        <v>37209419776</v>
      </c>
      <c r="F29" s="10">
        <v>47743803392</v>
      </c>
      <c r="G29" s="10">
        <v>56033079296</v>
      </c>
      <c r="H29" s="10">
        <v>65678188544</v>
      </c>
      <c r="I29" s="10">
        <v>71113883648</v>
      </c>
      <c r="J29" s="10">
        <v>82839904256</v>
      </c>
      <c r="K29" s="10">
        <v>101246525440</v>
      </c>
      <c r="L29" s="10">
        <v>116315455488</v>
      </c>
      <c r="M29" s="10">
        <v>126829314048</v>
      </c>
      <c r="N29" s="10">
        <v>104730017792</v>
      </c>
      <c r="O29" s="10">
        <v>92095930368</v>
      </c>
      <c r="P29" s="10">
        <v>87184236544</v>
      </c>
      <c r="Q29" s="10">
        <v>83349528576</v>
      </c>
      <c r="R29" s="10">
        <v>86268264448</v>
      </c>
      <c r="S29" s="10">
        <v>120018788352</v>
      </c>
      <c r="T29" s="10">
        <v>149394407424</v>
      </c>
      <c r="U29" s="10">
        <v>162299101184</v>
      </c>
      <c r="V29" s="10">
        <v>164221059072</v>
      </c>
      <c r="W29" s="10">
        <v>205331742720</v>
      </c>
      <c r="X29" s="10">
        <v>210511003648</v>
      </c>
      <c r="Y29" s="10">
        <v>234781655040</v>
      </c>
      <c r="Z29" s="10">
        <v>224721797120</v>
      </c>
      <c r="AA29" s="10">
        <v>244884127744</v>
      </c>
      <c r="AB29" s="10">
        <v>288025575424</v>
      </c>
      <c r="AC29" s="10">
        <v>279201447936</v>
      </c>
      <c r="AD29" s="10">
        <v>252708044800</v>
      </c>
      <c r="AE29" s="10">
        <v>258528346112</v>
      </c>
      <c r="AF29" s="10">
        <v>258158526464</v>
      </c>
      <c r="AG29" s="10">
        <v>236204539904</v>
      </c>
      <c r="AH29" s="10">
        <v>236541296640</v>
      </c>
      <c r="AI29" s="10">
        <v>257157824512</v>
      </c>
      <c r="AJ29" s="10">
        <v>317381705728</v>
      </c>
      <c r="AK29" s="10">
        <v>368537010176</v>
      </c>
      <c r="AL29" s="10">
        <v>385570963456</v>
      </c>
      <c r="AM29" s="10">
        <v>407918084096</v>
      </c>
      <c r="AN29" s="10">
        <v>470324248576</v>
      </c>
      <c r="AO29" s="10">
        <v>515223519232</v>
      </c>
      <c r="AP29" s="10">
        <v>481345929216</v>
      </c>
      <c r="AQ29" s="10">
        <v>480951631872</v>
      </c>
      <c r="AR29" s="10">
        <v>522645504000</v>
      </c>
      <c r="AS29" s="10">
        <v>496181248000</v>
      </c>
      <c r="AT29" s="10">
        <v>521642704896</v>
      </c>
      <c r="AU29" s="10">
        <v>534678077440</v>
      </c>
      <c r="AV29" s="10">
        <v>462149681152</v>
      </c>
      <c r="AW29" s="10">
        <v>475900870656</v>
      </c>
      <c r="AX29" s="10">
        <v>503788765184</v>
      </c>
      <c r="AY29" s="10">
        <v>542685921280</v>
      </c>
      <c r="AZ29" s="10">
        <v>529606705152</v>
      </c>
    </row>
    <row r="30" spans="1:52" x14ac:dyDescent="0.45">
      <c r="A30" t="s">
        <v>185</v>
      </c>
      <c r="B30" t="s">
        <v>196</v>
      </c>
      <c r="C30" s="10">
        <v>17075458048</v>
      </c>
      <c r="D30" s="10">
        <v>19085731840</v>
      </c>
      <c r="E30" s="10">
        <v>23232380928</v>
      </c>
      <c r="F30" s="10">
        <v>30730627072</v>
      </c>
      <c r="G30" s="10">
        <v>34160445440</v>
      </c>
      <c r="H30" s="10">
        <v>40474406912</v>
      </c>
      <c r="I30" s="10">
        <v>44575891456</v>
      </c>
      <c r="J30" s="10">
        <v>49784340480</v>
      </c>
      <c r="K30" s="10">
        <v>60362932224</v>
      </c>
      <c r="L30" s="10">
        <v>70366240768</v>
      </c>
      <c r="M30" s="10">
        <v>71127531520</v>
      </c>
      <c r="N30" s="10">
        <v>61877813248</v>
      </c>
      <c r="O30" s="10">
        <v>60412846080</v>
      </c>
      <c r="P30" s="10">
        <v>60644782080</v>
      </c>
      <c r="Q30" s="10">
        <v>59105234944</v>
      </c>
      <c r="R30" s="10">
        <v>62658568192</v>
      </c>
      <c r="S30" s="10">
        <v>88078761984</v>
      </c>
      <c r="T30" s="10">
        <v>109414424576</v>
      </c>
      <c r="U30" s="10">
        <v>115552845824</v>
      </c>
      <c r="V30" s="10">
        <v>112409223168</v>
      </c>
      <c r="W30" s="10">
        <v>138247290880</v>
      </c>
      <c r="X30" s="10">
        <v>139224694784</v>
      </c>
      <c r="Y30" s="10">
        <v>152915656704</v>
      </c>
      <c r="Z30" s="10">
        <v>143195619328</v>
      </c>
      <c r="AA30" s="10">
        <v>156162392064</v>
      </c>
      <c r="AB30" s="10">
        <v>185006882816</v>
      </c>
      <c r="AC30" s="10">
        <v>187632353280</v>
      </c>
      <c r="AD30" s="10">
        <v>173537640448</v>
      </c>
      <c r="AE30" s="10">
        <v>176991928320</v>
      </c>
      <c r="AF30" s="10">
        <v>177965187072</v>
      </c>
      <c r="AG30" s="10">
        <v>164158734336</v>
      </c>
      <c r="AH30" s="10">
        <v>164791435264</v>
      </c>
      <c r="AI30" s="10">
        <v>178635161600</v>
      </c>
      <c r="AJ30" s="10">
        <v>218096025600</v>
      </c>
      <c r="AK30" s="10">
        <v>251373010944</v>
      </c>
      <c r="AL30" s="10">
        <v>264467333120</v>
      </c>
      <c r="AM30" s="10">
        <v>282884931584</v>
      </c>
      <c r="AN30" s="10">
        <v>319423414272</v>
      </c>
      <c r="AO30" s="10">
        <v>353361035264</v>
      </c>
      <c r="AP30" s="10">
        <v>321241317376</v>
      </c>
      <c r="AQ30" s="10">
        <v>321995276288</v>
      </c>
      <c r="AR30" s="10">
        <v>344003149824</v>
      </c>
      <c r="AS30" s="10">
        <v>327148929024</v>
      </c>
      <c r="AT30" s="10">
        <v>343584407552</v>
      </c>
      <c r="AU30" s="10">
        <v>352993640448</v>
      </c>
      <c r="AV30" s="10">
        <v>302673068032</v>
      </c>
      <c r="AW30" s="10">
        <v>313115934720</v>
      </c>
      <c r="AX30" s="10">
        <v>329417064448</v>
      </c>
      <c r="AY30" s="10">
        <v>355675340800</v>
      </c>
      <c r="AZ30" s="10">
        <v>348078014464</v>
      </c>
    </row>
    <row r="31" spans="1:52" x14ac:dyDescent="0.45">
      <c r="A31" t="s">
        <v>185</v>
      </c>
      <c r="B31" t="s">
        <v>85</v>
      </c>
      <c r="C31" s="10">
        <v>11357516800</v>
      </c>
      <c r="D31" s="10">
        <v>12527405056</v>
      </c>
      <c r="E31" s="10">
        <v>14743185408</v>
      </c>
      <c r="F31" s="10">
        <v>19472363520</v>
      </c>
      <c r="G31" s="10">
        <v>24848822272</v>
      </c>
      <c r="H31" s="10">
        <v>29472624640</v>
      </c>
      <c r="I31" s="10">
        <v>31849515008</v>
      </c>
      <c r="J31" s="10">
        <v>33499799552</v>
      </c>
      <c r="K31" s="10">
        <v>36256161792</v>
      </c>
      <c r="L31" s="10">
        <v>44465254400</v>
      </c>
      <c r="M31" s="10">
        <v>53645201408</v>
      </c>
      <c r="N31" s="10">
        <v>52448333824</v>
      </c>
      <c r="O31" s="10">
        <v>52797583360</v>
      </c>
      <c r="P31" s="10">
        <v>50973528064</v>
      </c>
      <c r="Q31" s="10">
        <v>52888801280</v>
      </c>
      <c r="R31" s="10">
        <v>55875862528</v>
      </c>
      <c r="S31" s="10">
        <v>73531547648</v>
      </c>
      <c r="T31" s="10">
        <v>91594752000</v>
      </c>
      <c r="U31" s="10">
        <v>109058990080</v>
      </c>
      <c r="V31" s="10">
        <v>119012057088</v>
      </c>
      <c r="W31" s="10">
        <v>141438353408</v>
      </c>
      <c r="X31" s="10">
        <v>127773859840</v>
      </c>
      <c r="Y31" s="10">
        <v>112532520960</v>
      </c>
      <c r="Z31" s="10">
        <v>89214115840</v>
      </c>
      <c r="AA31" s="10">
        <v>103299940352</v>
      </c>
      <c r="AB31" s="10">
        <v>134189817856</v>
      </c>
      <c r="AC31" s="10">
        <v>132129177600</v>
      </c>
      <c r="AD31" s="10">
        <v>126912151552</v>
      </c>
      <c r="AE31" s="10">
        <v>134038716416</v>
      </c>
      <c r="AF31" s="10">
        <v>135218413568</v>
      </c>
      <c r="AG31" s="10">
        <v>125706649600</v>
      </c>
      <c r="AH31" s="10">
        <v>129421025280</v>
      </c>
      <c r="AI31" s="10">
        <v>139738382336</v>
      </c>
      <c r="AJ31" s="10">
        <v>171274272768</v>
      </c>
      <c r="AK31" s="10">
        <v>197116952576</v>
      </c>
      <c r="AL31" s="10">
        <v>204809109504</v>
      </c>
      <c r="AM31" s="10">
        <v>216907546624</v>
      </c>
      <c r="AN31" s="10">
        <v>256052559872</v>
      </c>
      <c r="AO31" s="10">
        <v>284553969664</v>
      </c>
      <c r="AP31" s="10">
        <v>252496527360</v>
      </c>
      <c r="AQ31" s="10">
        <v>249181192192</v>
      </c>
      <c r="AR31" s="10">
        <v>275243696128</v>
      </c>
      <c r="AS31" s="10">
        <v>258304835584</v>
      </c>
      <c r="AT31" s="10">
        <v>271285272576</v>
      </c>
      <c r="AU31" s="10">
        <v>274497224704</v>
      </c>
      <c r="AV31" s="10">
        <v>234440081408</v>
      </c>
      <c r="AW31" s="10">
        <v>240607903744</v>
      </c>
      <c r="AX31" s="10">
        <v>255122538496</v>
      </c>
      <c r="AY31" s="10">
        <v>275893682176</v>
      </c>
      <c r="AZ31" s="10">
        <v>268761202688</v>
      </c>
    </row>
    <row r="32" spans="1:52" x14ac:dyDescent="0.45">
      <c r="A32" t="s">
        <v>185</v>
      </c>
      <c r="B32" t="s">
        <v>86</v>
      </c>
      <c r="C32" s="10">
        <v>148456357888</v>
      </c>
      <c r="D32" s="10">
        <v>165966610432</v>
      </c>
      <c r="E32" s="10">
        <v>203494146048</v>
      </c>
      <c r="F32" s="10">
        <v>264429879296</v>
      </c>
      <c r="G32" s="10">
        <v>285552377856</v>
      </c>
      <c r="H32" s="10">
        <v>360832172032</v>
      </c>
      <c r="I32" s="10">
        <v>372319027200</v>
      </c>
      <c r="J32" s="10">
        <v>410279477248</v>
      </c>
      <c r="K32" s="10">
        <v>506707836928</v>
      </c>
      <c r="L32" s="10">
        <v>613953110016</v>
      </c>
      <c r="M32" s="10">
        <v>701288415232</v>
      </c>
      <c r="N32" s="10">
        <v>615552188416</v>
      </c>
      <c r="O32" s="10">
        <v>584877735936</v>
      </c>
      <c r="P32" s="10">
        <v>559869198336</v>
      </c>
      <c r="Q32" s="10">
        <v>530683789312</v>
      </c>
      <c r="R32" s="10">
        <v>553138388992</v>
      </c>
      <c r="S32" s="10">
        <v>771470786560</v>
      </c>
      <c r="T32" s="10">
        <v>934173278208</v>
      </c>
      <c r="U32" s="10">
        <v>1018847035392</v>
      </c>
      <c r="V32" s="10">
        <v>1025211826176</v>
      </c>
      <c r="W32" s="10">
        <v>1269179613184</v>
      </c>
      <c r="X32" s="10">
        <v>1269276868608</v>
      </c>
      <c r="Y32" s="10">
        <v>1401465864192</v>
      </c>
      <c r="Z32" s="10">
        <v>1322815586304</v>
      </c>
      <c r="AA32" s="10">
        <v>1393982701568</v>
      </c>
      <c r="AB32" s="10">
        <v>1601094811648</v>
      </c>
      <c r="AC32" s="10">
        <v>1605675122688</v>
      </c>
      <c r="AD32" s="10">
        <v>1452884885504</v>
      </c>
      <c r="AE32" s="10">
        <v>1503108792320</v>
      </c>
      <c r="AF32" s="10">
        <v>1492647542784</v>
      </c>
      <c r="AG32" s="10">
        <v>1362248990720</v>
      </c>
      <c r="AH32" s="10">
        <v>1376465321984</v>
      </c>
      <c r="AI32" s="10">
        <v>1494286598144</v>
      </c>
      <c r="AJ32" s="10">
        <v>1840480780288</v>
      </c>
      <c r="AK32" s="10">
        <v>2115742466048</v>
      </c>
      <c r="AL32" s="10">
        <v>2196126040064</v>
      </c>
      <c r="AM32" s="10">
        <v>2318593687552</v>
      </c>
      <c r="AN32" s="10">
        <v>2657213218816</v>
      </c>
      <c r="AO32" s="10">
        <v>2918382829568</v>
      </c>
      <c r="AP32" s="10">
        <v>2690222391296</v>
      </c>
      <c r="AQ32" s="10">
        <v>2642609438720</v>
      </c>
      <c r="AR32" s="10">
        <v>2861408190464</v>
      </c>
      <c r="AS32" s="10">
        <v>2683825291264</v>
      </c>
      <c r="AT32" s="10">
        <v>2811077853184</v>
      </c>
      <c r="AU32" s="10">
        <v>2852165779456</v>
      </c>
      <c r="AV32" s="10">
        <v>2438207897600</v>
      </c>
      <c r="AW32" s="10">
        <v>2471285489664</v>
      </c>
      <c r="AX32" s="10">
        <v>2595151151104</v>
      </c>
      <c r="AY32" s="10">
        <v>2787863953408</v>
      </c>
      <c r="AZ32" s="10">
        <v>2715518238720</v>
      </c>
    </row>
    <row r="33" spans="1:52" x14ac:dyDescent="0.45">
      <c r="A33" t="s">
        <v>185</v>
      </c>
      <c r="B33" t="s">
        <v>197</v>
      </c>
      <c r="C33" s="10">
        <v>215838441472</v>
      </c>
      <c r="D33" s="10">
        <v>249985056768</v>
      </c>
      <c r="E33" s="10">
        <v>299801542656</v>
      </c>
      <c r="F33" s="10">
        <v>398374010880</v>
      </c>
      <c r="G33" s="10">
        <v>445303488512</v>
      </c>
      <c r="H33" s="10">
        <v>490636509184</v>
      </c>
      <c r="I33" s="10">
        <v>519754448896</v>
      </c>
      <c r="J33" s="10">
        <v>600498241536</v>
      </c>
      <c r="K33" s="10">
        <v>740469964800</v>
      </c>
      <c r="L33" s="10">
        <v>881345167360</v>
      </c>
      <c r="M33" s="10">
        <v>950290874368</v>
      </c>
      <c r="N33" s="10">
        <v>800472039424</v>
      </c>
      <c r="O33" s="10">
        <v>776576434176</v>
      </c>
      <c r="P33" s="10">
        <v>770684354560</v>
      </c>
      <c r="Q33" s="10">
        <v>725111144448</v>
      </c>
      <c r="R33" s="10">
        <v>732534865920</v>
      </c>
      <c r="S33" s="10">
        <v>1046259367936</v>
      </c>
      <c r="T33" s="10">
        <v>1298176147456</v>
      </c>
      <c r="U33" s="10">
        <v>1401233211392</v>
      </c>
      <c r="V33" s="10">
        <v>1398967500800</v>
      </c>
      <c r="W33" s="10">
        <v>1771671257088</v>
      </c>
      <c r="X33" s="10">
        <v>1868945162240</v>
      </c>
      <c r="Y33" s="10">
        <v>2131571638272</v>
      </c>
      <c r="Z33" s="10">
        <v>2071323738112</v>
      </c>
      <c r="AA33" s="10">
        <v>2205074063360</v>
      </c>
      <c r="AB33" s="10">
        <v>2585792348160</v>
      </c>
      <c r="AC33" s="10">
        <v>2497244561408</v>
      </c>
      <c r="AD33" s="10">
        <v>2211989684224</v>
      </c>
      <c r="AE33" s="10">
        <v>2238990778368</v>
      </c>
      <c r="AF33" s="10">
        <v>2194204131328</v>
      </c>
      <c r="AG33" s="10">
        <v>1943145414656</v>
      </c>
      <c r="AH33" s="10">
        <v>1944107352064</v>
      </c>
      <c r="AI33" s="10">
        <v>2068624179200</v>
      </c>
      <c r="AJ33" s="10">
        <v>2496128614400</v>
      </c>
      <c r="AK33" s="10">
        <v>2809188057088</v>
      </c>
      <c r="AL33" s="10">
        <v>2845802758144</v>
      </c>
      <c r="AM33" s="10">
        <v>2992196812800</v>
      </c>
      <c r="AN33" s="10">
        <v>3421229023232</v>
      </c>
      <c r="AO33" s="10">
        <v>3730027839488</v>
      </c>
      <c r="AP33" s="10">
        <v>3397790990336</v>
      </c>
      <c r="AQ33" s="10">
        <v>3396354179072</v>
      </c>
      <c r="AR33" s="10">
        <v>3744408535040</v>
      </c>
      <c r="AS33" s="10">
        <v>3527344914432</v>
      </c>
      <c r="AT33" s="10">
        <v>3732743389184</v>
      </c>
      <c r="AU33" s="10">
        <v>3883920261120</v>
      </c>
      <c r="AV33" s="10">
        <v>3360550027264</v>
      </c>
      <c r="AW33" s="10">
        <v>3466790174720</v>
      </c>
      <c r="AX33" s="10">
        <v>3665804132352</v>
      </c>
      <c r="AY33" s="10">
        <v>3949548797952</v>
      </c>
      <c r="AZ33" s="10">
        <v>3845629935616</v>
      </c>
    </row>
    <row r="34" spans="1:52" x14ac:dyDescent="0.45">
      <c r="A34" t="s">
        <v>185</v>
      </c>
      <c r="B34" t="s">
        <v>87</v>
      </c>
      <c r="C34" s="10">
        <v>13139862528</v>
      </c>
      <c r="D34" s="10">
        <v>14591755264</v>
      </c>
      <c r="E34" s="10">
        <v>16885507072</v>
      </c>
      <c r="F34" s="10">
        <v>22347845632</v>
      </c>
      <c r="G34" s="10">
        <v>25351305216</v>
      </c>
      <c r="H34" s="10">
        <v>28525873152</v>
      </c>
      <c r="I34" s="10">
        <v>31152840704</v>
      </c>
      <c r="J34" s="10">
        <v>36176232448</v>
      </c>
      <c r="K34" s="10">
        <v>44270202880</v>
      </c>
      <c r="L34" s="10">
        <v>54481874944</v>
      </c>
      <c r="M34" s="10">
        <v>56829665280</v>
      </c>
      <c r="N34" s="10">
        <v>52346507264</v>
      </c>
      <c r="O34" s="10">
        <v>54617993216</v>
      </c>
      <c r="P34" s="10">
        <v>49428873216</v>
      </c>
      <c r="Q34" s="10">
        <v>48020025344</v>
      </c>
      <c r="R34" s="10">
        <v>47820849152</v>
      </c>
      <c r="S34" s="10">
        <v>56379592704</v>
      </c>
      <c r="T34" s="10">
        <v>65652752384</v>
      </c>
      <c r="U34" s="10">
        <v>76261277696</v>
      </c>
      <c r="V34" s="10">
        <v>79169044480</v>
      </c>
      <c r="W34" s="10">
        <v>97891090432</v>
      </c>
      <c r="X34" s="10">
        <v>105143230464</v>
      </c>
      <c r="Y34" s="10">
        <v>116224671744</v>
      </c>
      <c r="Z34" s="10">
        <v>108809060352</v>
      </c>
      <c r="AA34" s="10">
        <v>116601798656</v>
      </c>
      <c r="AB34" s="10">
        <v>136878366720</v>
      </c>
      <c r="AC34" s="10">
        <v>145861607424</v>
      </c>
      <c r="AD34" s="10">
        <v>143157592064</v>
      </c>
      <c r="AE34" s="10">
        <v>144428171264</v>
      </c>
      <c r="AF34" s="10">
        <v>142540734464</v>
      </c>
      <c r="AG34" s="10">
        <v>130133843968</v>
      </c>
      <c r="AH34" s="10">
        <v>136191352832</v>
      </c>
      <c r="AI34" s="10">
        <v>153830948864</v>
      </c>
      <c r="AJ34" s="10">
        <v>201924263936</v>
      </c>
      <c r="AK34" s="10">
        <v>240521265152</v>
      </c>
      <c r="AL34" s="10">
        <v>247782998016</v>
      </c>
      <c r="AM34" s="10">
        <v>273317740544</v>
      </c>
      <c r="AN34" s="10">
        <v>318497947648</v>
      </c>
      <c r="AO34" s="10">
        <v>354460794880</v>
      </c>
      <c r="AP34" s="10">
        <v>330000236544</v>
      </c>
      <c r="AQ34" s="10">
        <v>299361566720</v>
      </c>
      <c r="AR34" s="10">
        <v>287797837824</v>
      </c>
      <c r="AS34" s="10">
        <v>245670674432</v>
      </c>
      <c r="AT34" s="10">
        <v>239862005760</v>
      </c>
      <c r="AU34" s="10">
        <v>237029572608</v>
      </c>
      <c r="AV34" s="10">
        <v>196591353856</v>
      </c>
      <c r="AW34" s="10">
        <v>195222437888</v>
      </c>
      <c r="AX34" s="10">
        <v>203588419584</v>
      </c>
      <c r="AY34" s="10">
        <v>218138361856</v>
      </c>
      <c r="AZ34" s="10">
        <v>209852760064</v>
      </c>
    </row>
    <row r="35" spans="1:52" x14ac:dyDescent="0.45">
      <c r="A35" t="s">
        <v>185</v>
      </c>
      <c r="B35" t="s">
        <v>198</v>
      </c>
      <c r="C35" s="10">
        <v>527496576</v>
      </c>
      <c r="D35" s="10">
        <v>671258752</v>
      </c>
      <c r="E35" s="10">
        <v>840914432</v>
      </c>
      <c r="F35" s="10">
        <v>1156175488</v>
      </c>
      <c r="G35" s="10">
        <v>1517467776</v>
      </c>
      <c r="H35" s="10">
        <v>1408989824</v>
      </c>
      <c r="I35" s="10">
        <v>1671997824</v>
      </c>
      <c r="J35" s="10">
        <v>2211828992</v>
      </c>
      <c r="K35" s="10">
        <v>2515601664</v>
      </c>
      <c r="L35" s="10">
        <v>2857724160</v>
      </c>
      <c r="M35" s="10">
        <v>3386501888</v>
      </c>
      <c r="N35" s="10">
        <v>3498247424</v>
      </c>
      <c r="O35" s="10">
        <v>3211446528</v>
      </c>
      <c r="P35" s="10">
        <v>2770107904</v>
      </c>
      <c r="Q35" s="10">
        <v>2868747008</v>
      </c>
      <c r="R35" s="10">
        <v>2988537856</v>
      </c>
      <c r="S35" s="10">
        <v>3995619584</v>
      </c>
      <c r="T35" s="10">
        <v>5528615936</v>
      </c>
      <c r="U35" s="10">
        <v>6115814912</v>
      </c>
      <c r="V35" s="10">
        <v>5681096192</v>
      </c>
      <c r="W35" s="10">
        <v>6478459904</v>
      </c>
      <c r="X35" s="10">
        <v>6920116736</v>
      </c>
      <c r="Y35" s="10">
        <v>7091625472</v>
      </c>
      <c r="Z35" s="10">
        <v>6227929088</v>
      </c>
      <c r="AA35" s="10">
        <v>6399064576</v>
      </c>
      <c r="AB35" s="10">
        <v>7134341120</v>
      </c>
      <c r="AC35" s="10">
        <v>7438183424</v>
      </c>
      <c r="AD35" s="10">
        <v>7580988928</v>
      </c>
      <c r="AE35" s="10">
        <v>8494094848</v>
      </c>
      <c r="AF35" s="10">
        <v>8971609088</v>
      </c>
      <c r="AG35" s="10">
        <v>9003639808</v>
      </c>
      <c r="AH35" s="10">
        <v>8205357568</v>
      </c>
      <c r="AI35" s="10">
        <v>9294652416</v>
      </c>
      <c r="AJ35" s="10">
        <v>11414054912</v>
      </c>
      <c r="AK35" s="10">
        <v>13834749952</v>
      </c>
      <c r="AL35" s="10">
        <v>16812530688</v>
      </c>
      <c r="AM35" s="10">
        <v>17216419840</v>
      </c>
      <c r="AN35" s="10">
        <v>21514962944</v>
      </c>
      <c r="AO35" s="10">
        <v>17905252352</v>
      </c>
      <c r="AP35" s="10">
        <v>13164652544</v>
      </c>
      <c r="AQ35" s="10">
        <v>13683689472</v>
      </c>
      <c r="AR35" s="10">
        <v>15158548480</v>
      </c>
      <c r="AS35" s="10">
        <v>14724078592</v>
      </c>
      <c r="AT35" s="10">
        <v>16033517568</v>
      </c>
      <c r="AU35" s="10">
        <v>17758050304</v>
      </c>
      <c r="AV35" s="10">
        <v>17389101056</v>
      </c>
      <c r="AW35" s="10">
        <v>20618362880</v>
      </c>
      <c r="AX35" s="10">
        <v>24488175616</v>
      </c>
      <c r="AY35" s="10">
        <v>25737594880</v>
      </c>
      <c r="AZ35" s="10">
        <v>24188035072</v>
      </c>
    </row>
    <row r="36" spans="1:52" x14ac:dyDescent="0.45">
      <c r="A36" t="s">
        <v>185</v>
      </c>
      <c r="B36" t="s">
        <v>199</v>
      </c>
      <c r="C36" s="10">
        <v>4401259520</v>
      </c>
      <c r="D36" s="10">
        <v>5104355328</v>
      </c>
      <c r="E36" s="10">
        <v>6325627392</v>
      </c>
      <c r="F36" s="10">
        <v>7490132480</v>
      </c>
      <c r="G36" s="10">
        <v>7906317312</v>
      </c>
      <c r="H36" s="10">
        <v>9495165952</v>
      </c>
      <c r="I36" s="10">
        <v>9465077760</v>
      </c>
      <c r="J36" s="10">
        <v>11261810688</v>
      </c>
      <c r="K36" s="10">
        <v>14665538560</v>
      </c>
      <c r="L36" s="10">
        <v>18341273600</v>
      </c>
      <c r="M36" s="10">
        <v>21773901824</v>
      </c>
      <c r="N36" s="10">
        <v>20694943744</v>
      </c>
      <c r="O36" s="10">
        <v>21500471296</v>
      </c>
      <c r="P36" s="10">
        <v>20790917120</v>
      </c>
      <c r="Q36" s="10">
        <v>20130727936</v>
      </c>
      <c r="R36" s="10">
        <v>21295484928</v>
      </c>
      <c r="S36" s="10">
        <v>28748959744</v>
      </c>
      <c r="T36" s="10">
        <v>33961142272</v>
      </c>
      <c r="U36" s="10">
        <v>37818134528</v>
      </c>
      <c r="V36" s="10">
        <v>39285383168</v>
      </c>
      <c r="W36" s="10">
        <v>49364680704</v>
      </c>
      <c r="X36" s="10">
        <v>49847128064</v>
      </c>
      <c r="Y36" s="10">
        <v>55985504256</v>
      </c>
      <c r="Z36" s="10">
        <v>52480249856</v>
      </c>
      <c r="AA36" s="10">
        <v>57166036992</v>
      </c>
      <c r="AB36" s="10">
        <v>69222621184</v>
      </c>
      <c r="AC36" s="10">
        <v>75880628224</v>
      </c>
      <c r="AD36" s="10">
        <v>82826141696</v>
      </c>
      <c r="AE36" s="10">
        <v>90082050048</v>
      </c>
      <c r="AF36" s="10">
        <v>98692079616</v>
      </c>
      <c r="AG36" s="10">
        <v>99852959744</v>
      </c>
      <c r="AH36" s="10">
        <v>109135257600</v>
      </c>
      <c r="AI36" s="10">
        <v>127949873152</v>
      </c>
      <c r="AJ36" s="10">
        <v>164284694528</v>
      </c>
      <c r="AK36" s="10">
        <v>193870692352</v>
      </c>
      <c r="AL36" s="10">
        <v>211649036288</v>
      </c>
      <c r="AM36" s="10">
        <v>232083472384</v>
      </c>
      <c r="AN36" s="10">
        <v>269917945856</v>
      </c>
      <c r="AO36" s="10">
        <v>275038896128</v>
      </c>
      <c r="AP36" s="10">
        <v>236316409856</v>
      </c>
      <c r="AQ36" s="10">
        <v>222148755456</v>
      </c>
      <c r="AR36" s="10">
        <v>237472366592</v>
      </c>
      <c r="AS36" s="10">
        <v>224999489536</v>
      </c>
      <c r="AT36" s="10">
        <v>238543536128</v>
      </c>
      <c r="AU36" s="10">
        <v>258471886848</v>
      </c>
      <c r="AV36" s="10">
        <v>291499802624</v>
      </c>
      <c r="AW36" s="10">
        <v>300523290624</v>
      </c>
      <c r="AX36" s="10">
        <v>335663104000</v>
      </c>
      <c r="AY36" s="10">
        <v>382674370560</v>
      </c>
      <c r="AZ36" s="10">
        <v>388698701824</v>
      </c>
    </row>
    <row r="37" spans="1:52" x14ac:dyDescent="0.45">
      <c r="A37" t="s">
        <v>185</v>
      </c>
      <c r="B37" t="s">
        <v>89</v>
      </c>
      <c r="C37" s="10">
        <v>113395318784</v>
      </c>
      <c r="D37" s="10">
        <v>124672368640</v>
      </c>
      <c r="E37" s="10">
        <v>145260036096</v>
      </c>
      <c r="F37" s="10">
        <v>175492055040</v>
      </c>
      <c r="G37" s="10">
        <v>199564492800</v>
      </c>
      <c r="H37" s="10">
        <v>227695853568</v>
      </c>
      <c r="I37" s="10">
        <v>224717275136</v>
      </c>
      <c r="J37" s="10">
        <v>257596309504</v>
      </c>
      <c r="K37" s="10">
        <v>315058323456</v>
      </c>
      <c r="L37" s="10">
        <v>393677176832</v>
      </c>
      <c r="M37" s="10">
        <v>477256777728</v>
      </c>
      <c r="N37" s="10">
        <v>430702854144</v>
      </c>
      <c r="O37" s="10">
        <v>427272634368</v>
      </c>
      <c r="P37" s="10">
        <v>443042365440</v>
      </c>
      <c r="Q37" s="10">
        <v>437887696896</v>
      </c>
      <c r="R37" s="10">
        <v>452217503744</v>
      </c>
      <c r="S37" s="10">
        <v>640386334720</v>
      </c>
      <c r="T37" s="10">
        <v>805713149952</v>
      </c>
      <c r="U37" s="10">
        <v>891608956928</v>
      </c>
      <c r="V37" s="10">
        <v>928661307392</v>
      </c>
      <c r="W37" s="10">
        <v>1181222699008</v>
      </c>
      <c r="X37" s="10">
        <v>1246220124160</v>
      </c>
      <c r="Y37" s="10">
        <v>1320161640448</v>
      </c>
      <c r="Z37" s="10">
        <v>1064958099456</v>
      </c>
      <c r="AA37" s="10">
        <v>1099216715776</v>
      </c>
      <c r="AB37" s="10">
        <v>1174662021120</v>
      </c>
      <c r="AC37" s="10">
        <v>1312426557440</v>
      </c>
      <c r="AD37" s="10">
        <v>1241879543808</v>
      </c>
      <c r="AE37" s="10">
        <v>1270052552704</v>
      </c>
      <c r="AF37" s="10">
        <v>1252023730176</v>
      </c>
      <c r="AG37" s="10">
        <v>1143829823488</v>
      </c>
      <c r="AH37" s="10">
        <v>1167012790272</v>
      </c>
      <c r="AI37" s="10">
        <v>1270712369152</v>
      </c>
      <c r="AJ37" s="10">
        <v>1574145884160</v>
      </c>
      <c r="AK37" s="10">
        <v>1803226972160</v>
      </c>
      <c r="AL37" s="10">
        <v>1857524334592</v>
      </c>
      <c r="AM37" s="10">
        <v>1947919712256</v>
      </c>
      <c r="AN37" s="10">
        <v>2210292563968</v>
      </c>
      <c r="AO37" s="10">
        <v>2398856675328</v>
      </c>
      <c r="AP37" s="10">
        <v>2191241904128</v>
      </c>
      <c r="AQ37" s="10">
        <v>2134017835008</v>
      </c>
      <c r="AR37" s="10">
        <v>2291991052288</v>
      </c>
      <c r="AS37" s="10">
        <v>2087077019648</v>
      </c>
      <c r="AT37" s="10">
        <v>2141315268608</v>
      </c>
      <c r="AU37" s="10">
        <v>2159133982720</v>
      </c>
      <c r="AV37" s="10">
        <v>1835899289600</v>
      </c>
      <c r="AW37" s="10">
        <v>1875797475328</v>
      </c>
      <c r="AX37" s="10">
        <v>1961796173824</v>
      </c>
      <c r="AY37" s="10">
        <v>2085764333568</v>
      </c>
      <c r="AZ37" s="10">
        <v>2001244389376</v>
      </c>
    </row>
    <row r="38" spans="1:52" x14ac:dyDescent="0.45">
      <c r="A38" t="s">
        <v>185</v>
      </c>
      <c r="B38" t="s">
        <v>91</v>
      </c>
      <c r="C38" s="10">
        <v>1509155072</v>
      </c>
      <c r="D38" s="10">
        <v>1572310784</v>
      </c>
      <c r="E38" s="10">
        <v>1968733056</v>
      </c>
      <c r="F38" s="10">
        <v>2701874688</v>
      </c>
      <c r="G38" s="10">
        <v>3295860992</v>
      </c>
      <c r="H38" s="10">
        <v>3233431552</v>
      </c>
      <c r="I38" s="10">
        <v>3544268032</v>
      </c>
      <c r="J38" s="10">
        <v>3922895872</v>
      </c>
      <c r="K38" s="10">
        <v>4884869120</v>
      </c>
      <c r="L38" s="10">
        <v>5711457792</v>
      </c>
      <c r="M38" s="10">
        <v>6232005632</v>
      </c>
      <c r="N38" s="10">
        <v>5231808512</v>
      </c>
      <c r="O38" s="10">
        <v>4764549632</v>
      </c>
      <c r="P38" s="10">
        <v>4683697664</v>
      </c>
      <c r="Q38" s="10">
        <v>4594891776</v>
      </c>
      <c r="R38" s="10">
        <v>4738559488</v>
      </c>
      <c r="S38" s="10">
        <v>6921264128</v>
      </c>
      <c r="T38" s="10">
        <v>8614215680</v>
      </c>
      <c r="U38" s="10">
        <v>9750161408</v>
      </c>
      <c r="V38" s="10">
        <v>10391504896</v>
      </c>
      <c r="W38" s="10">
        <v>13229247488</v>
      </c>
      <c r="X38" s="10">
        <v>14321879040</v>
      </c>
      <c r="Y38" s="10">
        <v>16065740800</v>
      </c>
      <c r="Z38" s="10">
        <v>16486899712</v>
      </c>
      <c r="AA38" s="10">
        <v>18325790720</v>
      </c>
      <c r="AB38" s="10">
        <v>21588170752</v>
      </c>
      <c r="AC38" s="10">
        <v>21776609280</v>
      </c>
      <c r="AD38" s="10">
        <v>19731912704</v>
      </c>
      <c r="AE38" s="10">
        <v>20209121280</v>
      </c>
      <c r="AF38" s="10">
        <v>22235928576</v>
      </c>
      <c r="AG38" s="10">
        <v>21263515648</v>
      </c>
      <c r="AH38" s="10">
        <v>21272418304</v>
      </c>
      <c r="AI38" s="10">
        <v>23616329728</v>
      </c>
      <c r="AJ38" s="10">
        <v>29557325824</v>
      </c>
      <c r="AK38" s="10">
        <v>34685280256</v>
      </c>
      <c r="AL38" s="10">
        <v>37347393536</v>
      </c>
      <c r="AM38" s="10">
        <v>42414309376</v>
      </c>
      <c r="AN38" s="10">
        <v>50888134656</v>
      </c>
      <c r="AO38" s="10">
        <v>55849684992</v>
      </c>
      <c r="AP38" s="10">
        <v>51370545152</v>
      </c>
      <c r="AQ38" s="10">
        <v>53212475392</v>
      </c>
      <c r="AR38" s="10">
        <v>60004630528</v>
      </c>
      <c r="AS38" s="10">
        <v>56677961728</v>
      </c>
      <c r="AT38" s="10">
        <v>61739352064</v>
      </c>
      <c r="AU38" s="10">
        <v>66103853056</v>
      </c>
      <c r="AV38" s="10">
        <v>57744457728</v>
      </c>
      <c r="AW38" s="10">
        <v>60691484672</v>
      </c>
      <c r="AX38" s="10">
        <v>64181944320</v>
      </c>
      <c r="AY38" s="10">
        <v>70919954432</v>
      </c>
      <c r="AZ38" s="10">
        <v>71104921600</v>
      </c>
    </row>
    <row r="39" spans="1:52" x14ac:dyDescent="0.45">
      <c r="A39" t="s">
        <v>185</v>
      </c>
      <c r="B39" t="s">
        <v>200</v>
      </c>
      <c r="C39" s="10">
        <v>250721824</v>
      </c>
      <c r="D39" s="10">
        <v>264579872</v>
      </c>
      <c r="E39" s="10">
        <v>295118240</v>
      </c>
      <c r="F39" s="10">
        <v>345602016</v>
      </c>
      <c r="G39" s="10">
        <v>376094112</v>
      </c>
      <c r="H39" s="10">
        <v>474620448</v>
      </c>
      <c r="I39" s="10">
        <v>527936992</v>
      </c>
      <c r="J39" s="10">
        <v>625573376</v>
      </c>
      <c r="K39" s="10">
        <v>793675200</v>
      </c>
      <c r="L39" s="10">
        <v>1001300864</v>
      </c>
      <c r="M39" s="10">
        <v>1250242048</v>
      </c>
      <c r="N39" s="10">
        <v>1243469312</v>
      </c>
      <c r="O39" s="10">
        <v>1234518144</v>
      </c>
      <c r="P39" s="10">
        <v>1165771392</v>
      </c>
      <c r="Q39" s="10">
        <v>1101828608</v>
      </c>
      <c r="R39" s="10">
        <v>1117835264</v>
      </c>
      <c r="S39" s="10">
        <v>1435079168</v>
      </c>
      <c r="T39" s="10">
        <v>1751247744</v>
      </c>
      <c r="U39" s="10">
        <v>2019474304</v>
      </c>
      <c r="V39" s="10">
        <v>2118574720</v>
      </c>
      <c r="W39" s="10">
        <v>2547163648</v>
      </c>
      <c r="X39" s="10">
        <v>2750041344</v>
      </c>
      <c r="Y39" s="10">
        <v>3021910272</v>
      </c>
      <c r="Z39" s="10">
        <v>2709178368</v>
      </c>
      <c r="AA39" s="10">
        <v>2998570240</v>
      </c>
      <c r="AB39" s="10">
        <v>3439931904</v>
      </c>
      <c r="AC39" s="10">
        <v>3570271488</v>
      </c>
      <c r="AD39" s="10">
        <v>3705372160</v>
      </c>
      <c r="AE39" s="10">
        <v>3923638016</v>
      </c>
      <c r="AF39" s="10">
        <v>4127313920</v>
      </c>
      <c r="AG39" s="10">
        <v>4053395712</v>
      </c>
      <c r="AH39" s="10">
        <v>4066485248</v>
      </c>
      <c r="AI39" s="10">
        <v>4466981888</v>
      </c>
      <c r="AJ39" s="10">
        <v>5415856128</v>
      </c>
      <c r="AK39" s="10">
        <v>6044382208</v>
      </c>
      <c r="AL39" s="10">
        <v>6403839488</v>
      </c>
      <c r="AM39" s="10">
        <v>6757119488</v>
      </c>
      <c r="AN39" s="10">
        <v>7880508928</v>
      </c>
      <c r="AO39" s="10">
        <v>8977149952</v>
      </c>
      <c r="AP39" s="10">
        <v>8528202240</v>
      </c>
      <c r="AQ39" s="10">
        <v>8749171712</v>
      </c>
      <c r="AR39" s="10">
        <v>9515297792</v>
      </c>
      <c r="AS39" s="10">
        <v>9205506048</v>
      </c>
      <c r="AT39" s="10">
        <v>10153894912</v>
      </c>
      <c r="AU39" s="10">
        <v>11302343680</v>
      </c>
      <c r="AV39" s="10">
        <v>10682394624</v>
      </c>
      <c r="AW39" s="10">
        <v>11444483072</v>
      </c>
      <c r="AX39" s="10">
        <v>12747857920</v>
      </c>
      <c r="AY39" s="10">
        <v>14603581440</v>
      </c>
      <c r="AZ39" s="10">
        <v>14786156544</v>
      </c>
    </row>
    <row r="40" spans="1:52" x14ac:dyDescent="0.45">
      <c r="A40" t="s">
        <v>185</v>
      </c>
      <c r="B40" t="s">
        <v>92</v>
      </c>
      <c r="C40" s="10">
        <v>38164717568</v>
      </c>
      <c r="D40" s="10">
        <v>44579123200</v>
      </c>
      <c r="E40" s="10">
        <v>54706556928</v>
      </c>
      <c r="F40" s="10">
        <v>71840907264</v>
      </c>
      <c r="G40" s="10">
        <v>87243415552</v>
      </c>
      <c r="H40" s="10">
        <v>100249526272</v>
      </c>
      <c r="I40" s="10">
        <v>109168721920</v>
      </c>
      <c r="J40" s="10">
        <v>127016992768</v>
      </c>
      <c r="K40" s="10">
        <v>155859697664</v>
      </c>
      <c r="L40" s="10">
        <v>179669401600</v>
      </c>
      <c r="M40" s="10">
        <v>195152084992</v>
      </c>
      <c r="N40" s="10">
        <v>164134223872</v>
      </c>
      <c r="O40" s="10">
        <v>158479532032</v>
      </c>
      <c r="P40" s="10">
        <v>153445466112</v>
      </c>
      <c r="Q40" s="10">
        <v>143912665088</v>
      </c>
      <c r="R40" s="10">
        <v>143845818368</v>
      </c>
      <c r="S40" s="10">
        <v>200862089216</v>
      </c>
      <c r="T40" s="10">
        <v>245046312960</v>
      </c>
      <c r="U40" s="10">
        <v>261910511616</v>
      </c>
      <c r="V40" s="10">
        <v>258336702464</v>
      </c>
      <c r="W40" s="10">
        <v>318330503168</v>
      </c>
      <c r="X40" s="10">
        <v>327500333056</v>
      </c>
      <c r="Y40" s="10">
        <v>362962878464</v>
      </c>
      <c r="Z40" s="10">
        <v>353550172160</v>
      </c>
      <c r="AA40" s="10">
        <v>379130249216</v>
      </c>
      <c r="AB40" s="10">
        <v>452301684736</v>
      </c>
      <c r="AC40" s="10">
        <v>450490204160</v>
      </c>
      <c r="AD40" s="10">
        <v>416812728320</v>
      </c>
      <c r="AE40" s="10">
        <v>438008217600</v>
      </c>
      <c r="AF40" s="10">
        <v>446898569216</v>
      </c>
      <c r="AG40" s="10">
        <v>416442777600</v>
      </c>
      <c r="AH40" s="10">
        <v>431213412352</v>
      </c>
      <c r="AI40" s="10">
        <v>471613964288</v>
      </c>
      <c r="AJ40" s="10">
        <v>578792325120</v>
      </c>
      <c r="AK40" s="10">
        <v>657171611648</v>
      </c>
      <c r="AL40" s="10">
        <v>685092634624</v>
      </c>
      <c r="AM40" s="10">
        <v>733340893184</v>
      </c>
      <c r="AN40" s="10">
        <v>847481536512</v>
      </c>
      <c r="AO40" s="10">
        <v>947997638656</v>
      </c>
      <c r="AP40" s="10">
        <v>868077273088</v>
      </c>
      <c r="AQ40" s="10">
        <v>846554923008</v>
      </c>
      <c r="AR40" s="10">
        <v>904085962752</v>
      </c>
      <c r="AS40" s="10">
        <v>838971293696</v>
      </c>
      <c r="AT40" s="10">
        <v>876923518976</v>
      </c>
      <c r="AU40" s="10">
        <v>890981318656</v>
      </c>
      <c r="AV40" s="10">
        <v>765264920576</v>
      </c>
      <c r="AW40" s="10">
        <v>783528165376</v>
      </c>
      <c r="AX40" s="10">
        <v>833869643776</v>
      </c>
      <c r="AY40" s="10">
        <v>914104844288</v>
      </c>
      <c r="AZ40" s="10">
        <v>909070368768</v>
      </c>
    </row>
    <row r="41" spans="1:52" x14ac:dyDescent="0.45">
      <c r="A41" t="s">
        <v>185</v>
      </c>
      <c r="B41" t="s">
        <v>93</v>
      </c>
      <c r="C41" s="10">
        <v>12814123008</v>
      </c>
      <c r="D41" s="10">
        <v>14583114752</v>
      </c>
      <c r="E41" s="10">
        <v>17358610432</v>
      </c>
      <c r="F41" s="10">
        <v>22534254592</v>
      </c>
      <c r="G41" s="10">
        <v>27145693184</v>
      </c>
      <c r="H41" s="10">
        <v>32877805568</v>
      </c>
      <c r="I41" s="10">
        <v>35942268928</v>
      </c>
      <c r="J41" s="10">
        <v>41508028416</v>
      </c>
      <c r="K41" s="10">
        <v>46523092992</v>
      </c>
      <c r="L41" s="10">
        <v>53132242944</v>
      </c>
      <c r="M41" s="10">
        <v>64439382016</v>
      </c>
      <c r="N41" s="10">
        <v>63596654592</v>
      </c>
      <c r="O41" s="10">
        <v>62647193600</v>
      </c>
      <c r="P41" s="10">
        <v>61627240448</v>
      </c>
      <c r="Q41" s="10">
        <v>62057955328</v>
      </c>
      <c r="R41" s="10">
        <v>65416880128</v>
      </c>
      <c r="S41" s="10">
        <v>78693253120</v>
      </c>
      <c r="T41" s="10">
        <v>94230052864</v>
      </c>
      <c r="U41" s="10">
        <v>101900263424</v>
      </c>
      <c r="V41" s="10">
        <v>102633791488</v>
      </c>
      <c r="W41" s="10">
        <v>119791681536</v>
      </c>
      <c r="X41" s="10">
        <v>121872465920</v>
      </c>
      <c r="Y41" s="10">
        <v>130838036480</v>
      </c>
      <c r="Z41" s="10">
        <v>120579072000</v>
      </c>
      <c r="AA41" s="10">
        <v>127131459584</v>
      </c>
      <c r="AB41" s="10">
        <v>152029609984</v>
      </c>
      <c r="AC41" s="10">
        <v>163520102400</v>
      </c>
      <c r="AD41" s="10">
        <v>161356627968</v>
      </c>
      <c r="AE41" s="10">
        <v>154163363840</v>
      </c>
      <c r="AF41" s="10">
        <v>162284470272</v>
      </c>
      <c r="AG41" s="10">
        <v>171247124480</v>
      </c>
      <c r="AH41" s="10">
        <v>173972226048</v>
      </c>
      <c r="AI41" s="10">
        <v>195524182016</v>
      </c>
      <c r="AJ41" s="10">
        <v>228858511360</v>
      </c>
      <c r="AK41" s="10">
        <v>264511635456</v>
      </c>
      <c r="AL41" s="10">
        <v>308884275200</v>
      </c>
      <c r="AM41" s="10">
        <v>345581355008</v>
      </c>
      <c r="AN41" s="10">
        <v>400937091072</v>
      </c>
      <c r="AO41" s="10">
        <v>462249984000</v>
      </c>
      <c r="AP41" s="10">
        <v>386190376960</v>
      </c>
      <c r="AQ41" s="10">
        <v>428757024768</v>
      </c>
      <c r="AR41" s="10">
        <v>498283446272</v>
      </c>
      <c r="AS41" s="10">
        <v>509506322432</v>
      </c>
      <c r="AT41" s="10">
        <v>522761535488</v>
      </c>
      <c r="AU41" s="10">
        <v>498410061824</v>
      </c>
      <c r="AV41" s="10">
        <v>385801551872</v>
      </c>
      <c r="AW41" s="10">
        <v>368819929088</v>
      </c>
      <c r="AX41" s="10">
        <v>398393966592</v>
      </c>
      <c r="AY41" s="10">
        <v>434166628352</v>
      </c>
      <c r="AZ41" s="10">
        <v>403336364032</v>
      </c>
    </row>
    <row r="42" spans="1:52" x14ac:dyDescent="0.45">
      <c r="A42" t="s">
        <v>185</v>
      </c>
      <c r="B42" t="s">
        <v>94</v>
      </c>
      <c r="C42" s="10">
        <v>8108234752</v>
      </c>
      <c r="D42" s="10">
        <v>9201606656</v>
      </c>
      <c r="E42" s="10">
        <v>11239116800</v>
      </c>
      <c r="F42" s="10">
        <v>15090566144</v>
      </c>
      <c r="G42" s="10">
        <v>17512388608</v>
      </c>
      <c r="H42" s="10">
        <v>19347609600</v>
      </c>
      <c r="I42" s="10">
        <v>20332834816</v>
      </c>
      <c r="J42" s="10">
        <v>21439524864</v>
      </c>
      <c r="K42" s="10">
        <v>23487612928</v>
      </c>
      <c r="L42" s="10">
        <v>26622818304</v>
      </c>
      <c r="M42" s="10">
        <v>32896522240</v>
      </c>
      <c r="N42" s="10">
        <v>31977275392</v>
      </c>
      <c r="O42" s="10">
        <v>30527754240</v>
      </c>
      <c r="P42" s="10">
        <v>27239651328</v>
      </c>
      <c r="Q42" s="10">
        <v>25217970176</v>
      </c>
      <c r="R42" s="10">
        <v>27115806720</v>
      </c>
      <c r="S42" s="10">
        <v>38745903104</v>
      </c>
      <c r="T42" s="10">
        <v>48182923264</v>
      </c>
      <c r="U42" s="10">
        <v>56347250688</v>
      </c>
      <c r="V42" s="10">
        <v>60594094080</v>
      </c>
      <c r="W42" s="10">
        <v>78713856000</v>
      </c>
      <c r="X42" s="10">
        <v>89233596416</v>
      </c>
      <c r="Y42" s="10">
        <v>107592097792</v>
      </c>
      <c r="Z42" s="10">
        <v>95009751040</v>
      </c>
      <c r="AA42" s="10">
        <v>99688644608</v>
      </c>
      <c r="AB42" s="10">
        <v>118122004480</v>
      </c>
      <c r="AC42" s="10">
        <v>122630086656</v>
      </c>
      <c r="AD42" s="10">
        <v>117016535040</v>
      </c>
      <c r="AE42" s="10">
        <v>123946328064</v>
      </c>
      <c r="AF42" s="10">
        <v>127427346432</v>
      </c>
      <c r="AG42" s="10">
        <v>118310707200</v>
      </c>
      <c r="AH42" s="10">
        <v>121498886144</v>
      </c>
      <c r="AI42" s="10">
        <v>134156091392</v>
      </c>
      <c r="AJ42" s="10">
        <v>164862148608</v>
      </c>
      <c r="AK42" s="10">
        <v>189034496000</v>
      </c>
      <c r="AL42" s="10">
        <v>197180325888</v>
      </c>
      <c r="AM42" s="10">
        <v>208581689344</v>
      </c>
      <c r="AN42" s="10">
        <v>240190799872</v>
      </c>
      <c r="AO42" s="10">
        <v>262344785920</v>
      </c>
      <c r="AP42" s="10">
        <v>243701628928</v>
      </c>
      <c r="AQ42" s="10">
        <v>237880901632</v>
      </c>
      <c r="AR42" s="10">
        <v>244797227008</v>
      </c>
      <c r="AS42" s="10">
        <v>216236605440</v>
      </c>
      <c r="AT42" s="10">
        <v>226369503232</v>
      </c>
      <c r="AU42" s="10">
        <v>229596168192</v>
      </c>
      <c r="AV42" s="10">
        <v>199313899520</v>
      </c>
      <c r="AW42" s="10">
        <v>206286028800</v>
      </c>
      <c r="AX42" s="10">
        <v>221357867008</v>
      </c>
      <c r="AY42" s="10">
        <v>241274634240</v>
      </c>
      <c r="AZ42" s="10">
        <v>237686079488</v>
      </c>
    </row>
    <row r="43" spans="1:52" x14ac:dyDescent="0.45">
      <c r="A43" t="s">
        <v>185</v>
      </c>
      <c r="B43" t="s">
        <v>97</v>
      </c>
      <c r="C43" s="10">
        <v>40992997376</v>
      </c>
      <c r="D43" s="10">
        <v>46619418624</v>
      </c>
      <c r="E43" s="10">
        <v>59132416000</v>
      </c>
      <c r="F43" s="10">
        <v>78639529984</v>
      </c>
      <c r="G43" s="10">
        <v>97274003456</v>
      </c>
      <c r="H43" s="10">
        <v>114777047040</v>
      </c>
      <c r="I43" s="10">
        <v>118507184128</v>
      </c>
      <c r="J43" s="10">
        <v>132449280000</v>
      </c>
      <c r="K43" s="10">
        <v>160599687168</v>
      </c>
      <c r="L43" s="10">
        <v>214601957376</v>
      </c>
      <c r="M43" s="10">
        <v>232766816256</v>
      </c>
      <c r="N43" s="10">
        <v>202807885824</v>
      </c>
      <c r="O43" s="10">
        <v>195996762112</v>
      </c>
      <c r="P43" s="10">
        <v>170951180288</v>
      </c>
      <c r="Q43" s="10">
        <v>172102909952</v>
      </c>
      <c r="R43" s="10">
        <v>180793458688</v>
      </c>
      <c r="S43" s="10">
        <v>251321073664</v>
      </c>
      <c r="T43" s="10">
        <v>318747934720</v>
      </c>
      <c r="U43" s="10">
        <v>376160419840</v>
      </c>
      <c r="V43" s="10">
        <v>414757060608</v>
      </c>
      <c r="W43" s="10">
        <v>536558600192</v>
      </c>
      <c r="X43" s="10">
        <v>577166180352</v>
      </c>
      <c r="Y43" s="10">
        <v>630915989504</v>
      </c>
      <c r="Z43" s="10">
        <v>525075644416</v>
      </c>
      <c r="AA43" s="10">
        <v>530562646016</v>
      </c>
      <c r="AB43" s="10">
        <v>614608994304</v>
      </c>
      <c r="AC43" s="10">
        <v>642588999680</v>
      </c>
      <c r="AD43" s="10">
        <v>590077296640</v>
      </c>
      <c r="AE43" s="10">
        <v>619214864384</v>
      </c>
      <c r="AF43" s="10">
        <v>634693156864</v>
      </c>
      <c r="AG43" s="10">
        <v>596877639680</v>
      </c>
      <c r="AH43" s="10">
        <v>627286802432</v>
      </c>
      <c r="AI43" s="10">
        <v>705394311168</v>
      </c>
      <c r="AJ43" s="10">
        <v>905492103168</v>
      </c>
      <c r="AK43" s="10">
        <v>1067093393408</v>
      </c>
      <c r="AL43" s="10">
        <v>1153285619712</v>
      </c>
      <c r="AM43" s="10">
        <v>1259343839232</v>
      </c>
      <c r="AN43" s="10">
        <v>1472131104768</v>
      </c>
      <c r="AO43" s="10">
        <v>1625224904704</v>
      </c>
      <c r="AP43" s="10">
        <v>1485583548416</v>
      </c>
      <c r="AQ43" s="10">
        <v>1420722044928</v>
      </c>
      <c r="AR43" s="10">
        <v>1478772785152</v>
      </c>
      <c r="AS43" s="10">
        <v>1324820070400</v>
      </c>
      <c r="AT43" s="10">
        <v>1354757439488</v>
      </c>
      <c r="AU43" s="10">
        <v>1369398837248</v>
      </c>
      <c r="AV43" s="10">
        <v>1195119214592</v>
      </c>
      <c r="AW43" s="10">
        <v>1232076013568</v>
      </c>
      <c r="AX43" s="10">
        <v>1312551731200</v>
      </c>
      <c r="AY43" s="10">
        <v>1419735203840</v>
      </c>
      <c r="AZ43" s="10">
        <v>1394116263936</v>
      </c>
    </row>
    <row r="44" spans="1:52" x14ac:dyDescent="0.45">
      <c r="A44" t="s">
        <v>185</v>
      </c>
      <c r="B44" t="s">
        <v>98</v>
      </c>
      <c r="C44" s="10">
        <v>38092451840</v>
      </c>
      <c r="D44" s="10">
        <v>41566412800</v>
      </c>
      <c r="E44" s="10">
        <v>48954146816</v>
      </c>
      <c r="F44" s="10">
        <v>59404967936</v>
      </c>
      <c r="G44" s="10">
        <v>66013339648</v>
      </c>
      <c r="H44" s="10">
        <v>82885394432</v>
      </c>
      <c r="I44" s="10">
        <v>89362071552</v>
      </c>
      <c r="J44" s="10">
        <v>94468743168</v>
      </c>
      <c r="K44" s="10">
        <v>104442347520</v>
      </c>
      <c r="L44" s="10">
        <v>123386413056</v>
      </c>
      <c r="M44" s="10">
        <v>142092075008</v>
      </c>
      <c r="N44" s="10">
        <v>129686937600</v>
      </c>
      <c r="O44" s="10">
        <v>114380554240</v>
      </c>
      <c r="P44" s="10">
        <v>105014353920</v>
      </c>
      <c r="Q44" s="10">
        <v>109201358848</v>
      </c>
      <c r="R44" s="10">
        <v>114123538432</v>
      </c>
      <c r="S44" s="10">
        <v>150498050048</v>
      </c>
      <c r="T44" s="10">
        <v>183009640448</v>
      </c>
      <c r="U44" s="10">
        <v>206986674176</v>
      </c>
      <c r="V44" s="10">
        <v>217948323840</v>
      </c>
      <c r="W44" s="10">
        <v>261846188032</v>
      </c>
      <c r="X44" s="10">
        <v>274229035008</v>
      </c>
      <c r="Y44" s="10">
        <v>284321120256</v>
      </c>
      <c r="Z44" s="10">
        <v>212953333760</v>
      </c>
      <c r="AA44" s="10">
        <v>229033574400</v>
      </c>
      <c r="AB44" s="10">
        <v>267305877504</v>
      </c>
      <c r="AC44" s="10">
        <v>291743825920</v>
      </c>
      <c r="AD44" s="10">
        <v>268146147328</v>
      </c>
      <c r="AE44" s="10">
        <v>270809071616</v>
      </c>
      <c r="AF44" s="10">
        <v>274072174592</v>
      </c>
      <c r="AG44" s="10">
        <v>262835453952</v>
      </c>
      <c r="AH44" s="10">
        <v>242395856896</v>
      </c>
      <c r="AI44" s="10">
        <v>266849058816</v>
      </c>
      <c r="AJ44" s="10">
        <v>334337212416</v>
      </c>
      <c r="AK44" s="10">
        <v>385118044160</v>
      </c>
      <c r="AL44" s="10">
        <v>392218083328</v>
      </c>
      <c r="AM44" s="10">
        <v>423093436416</v>
      </c>
      <c r="AN44" s="10">
        <v>491252580352</v>
      </c>
      <c r="AO44" s="10">
        <v>517706153984</v>
      </c>
      <c r="AP44" s="10">
        <v>436536999936</v>
      </c>
      <c r="AQ44" s="10">
        <v>495812542464</v>
      </c>
      <c r="AR44" s="10">
        <v>574094114816</v>
      </c>
      <c r="AS44" s="10">
        <v>552483749888</v>
      </c>
      <c r="AT44" s="10">
        <v>586841849856</v>
      </c>
      <c r="AU44" s="10">
        <v>581964005376</v>
      </c>
      <c r="AV44" s="10">
        <v>505103777792</v>
      </c>
      <c r="AW44" s="10">
        <v>515654680576</v>
      </c>
      <c r="AX44" s="10">
        <v>541018750976</v>
      </c>
      <c r="AY44" s="10">
        <v>555455348736</v>
      </c>
      <c r="AZ44" s="10">
        <v>530832916480</v>
      </c>
    </row>
    <row r="45" spans="1:52" x14ac:dyDescent="0.45">
      <c r="A45" t="s">
        <v>185</v>
      </c>
      <c r="B45" t="s">
        <v>201</v>
      </c>
      <c r="C45" s="10">
        <v>24274075648</v>
      </c>
      <c r="D45" s="10">
        <v>29170151424</v>
      </c>
      <c r="E45" s="10">
        <v>35777236992</v>
      </c>
      <c r="F45" s="10">
        <v>48114941952</v>
      </c>
      <c r="G45" s="10">
        <v>55449198592</v>
      </c>
      <c r="H45" s="10">
        <v>63570059264</v>
      </c>
      <c r="I45" s="10">
        <v>66493313024</v>
      </c>
      <c r="J45" s="10">
        <v>71017619456</v>
      </c>
      <c r="K45" s="10">
        <v>99318235136</v>
      </c>
      <c r="L45" s="10">
        <v>111640338432</v>
      </c>
      <c r="M45" s="10">
        <v>119008337920</v>
      </c>
      <c r="N45" s="10">
        <v>108993978368</v>
      </c>
      <c r="O45" s="10">
        <v>111711494144</v>
      </c>
      <c r="P45" s="10">
        <v>111314329600</v>
      </c>
      <c r="Q45" s="10">
        <v>106285277184</v>
      </c>
      <c r="R45" s="10">
        <v>107766112256</v>
      </c>
      <c r="S45" s="10">
        <v>154482376704</v>
      </c>
      <c r="T45" s="10">
        <v>193466105856</v>
      </c>
      <c r="U45" s="10">
        <v>209298161664</v>
      </c>
      <c r="V45" s="10">
        <v>202078699520</v>
      </c>
      <c r="W45" s="10">
        <v>258066546688</v>
      </c>
      <c r="X45" s="10">
        <v>261113790464</v>
      </c>
      <c r="Y45" s="10">
        <v>271814361088</v>
      </c>
      <c r="Z45" s="10">
        <v>264353005568</v>
      </c>
      <c r="AA45" s="10">
        <v>292646649856</v>
      </c>
      <c r="AB45" s="10">
        <v>342616997888</v>
      </c>
      <c r="AC45" s="10">
        <v>330091692032</v>
      </c>
      <c r="AD45" s="10">
        <v>286519132160</v>
      </c>
      <c r="AE45" s="10">
        <v>295045136384</v>
      </c>
      <c r="AF45" s="10">
        <v>289912487936</v>
      </c>
      <c r="AG45" s="10">
        <v>272055500800</v>
      </c>
      <c r="AH45" s="10">
        <v>278631284736</v>
      </c>
      <c r="AI45" s="10">
        <v>301416808448</v>
      </c>
      <c r="AJ45" s="10">
        <v>352914833408</v>
      </c>
      <c r="AK45" s="10">
        <v>394163683328</v>
      </c>
      <c r="AL45" s="10">
        <v>408689344512</v>
      </c>
      <c r="AM45" s="10">
        <v>430921187328</v>
      </c>
      <c r="AN45" s="10">
        <v>479913050112</v>
      </c>
      <c r="AO45" s="10">
        <v>554363518976</v>
      </c>
      <c r="AP45" s="10">
        <v>541506502656</v>
      </c>
      <c r="AQ45" s="10">
        <v>583782957056</v>
      </c>
      <c r="AR45" s="10">
        <v>699579629568</v>
      </c>
      <c r="AS45" s="10">
        <v>668043640832</v>
      </c>
      <c r="AT45" s="10">
        <v>688504176640</v>
      </c>
      <c r="AU45" s="10">
        <v>709182554112</v>
      </c>
      <c r="AV45" s="10">
        <v>679832322048</v>
      </c>
      <c r="AW45" s="10">
        <v>671309168640</v>
      </c>
      <c r="AX45" s="10">
        <v>679950483456</v>
      </c>
      <c r="AY45" s="10">
        <v>705140621312</v>
      </c>
      <c r="AZ45" s="10">
        <v>703082463232</v>
      </c>
    </row>
    <row r="46" spans="1:52" x14ac:dyDescent="0.45">
      <c r="A46" t="s">
        <v>185</v>
      </c>
      <c r="B46" t="s">
        <v>99</v>
      </c>
      <c r="C46" s="10">
        <v>130671943680</v>
      </c>
      <c r="D46" s="10">
        <v>148113899520</v>
      </c>
      <c r="E46" s="10">
        <v>169965027328</v>
      </c>
      <c r="F46" s="10">
        <v>192537968640</v>
      </c>
      <c r="G46" s="10">
        <v>206131363840</v>
      </c>
      <c r="H46" s="10">
        <v>241756635136</v>
      </c>
      <c r="I46" s="10">
        <v>232614559744</v>
      </c>
      <c r="J46" s="10">
        <v>263066451968</v>
      </c>
      <c r="K46" s="10">
        <v>335883042816</v>
      </c>
      <c r="L46" s="10">
        <v>438994075648</v>
      </c>
      <c r="M46" s="10">
        <v>564947714048</v>
      </c>
      <c r="N46" s="10">
        <v>540765683712</v>
      </c>
      <c r="O46" s="10">
        <v>515048931328</v>
      </c>
      <c r="P46" s="10">
        <v>489618014208</v>
      </c>
      <c r="Q46" s="10">
        <v>461487112192</v>
      </c>
      <c r="R46" s="10">
        <v>489285156864</v>
      </c>
      <c r="S46" s="10">
        <v>601452642304</v>
      </c>
      <c r="T46" s="10">
        <v>745162604544</v>
      </c>
      <c r="U46" s="10">
        <v>910122745856</v>
      </c>
      <c r="V46" s="10">
        <v>926884823040</v>
      </c>
      <c r="W46" s="10">
        <v>1093169381376</v>
      </c>
      <c r="X46" s="10">
        <v>1142797238272</v>
      </c>
      <c r="Y46" s="10">
        <v>1179659534336</v>
      </c>
      <c r="Z46" s="10">
        <v>1061388746752</v>
      </c>
      <c r="AA46" s="10">
        <v>1140489715712</v>
      </c>
      <c r="AB46" s="10">
        <v>1341584310272</v>
      </c>
      <c r="AC46" s="10">
        <v>1415358840832</v>
      </c>
      <c r="AD46" s="10">
        <v>1559078240256</v>
      </c>
      <c r="AE46" s="10">
        <v>1650172231680</v>
      </c>
      <c r="AF46" s="10">
        <v>1682399297536</v>
      </c>
      <c r="AG46" s="10">
        <v>1657816612864</v>
      </c>
      <c r="AH46" s="10">
        <v>1640246149120</v>
      </c>
      <c r="AI46" s="10">
        <v>1784473976832</v>
      </c>
      <c r="AJ46" s="10">
        <v>2053018746880</v>
      </c>
      <c r="AK46" s="10">
        <v>2416931504128</v>
      </c>
      <c r="AL46" s="10">
        <v>2538680090624</v>
      </c>
      <c r="AM46" s="10">
        <v>2713749815296</v>
      </c>
      <c r="AN46" s="10">
        <v>3100882239488</v>
      </c>
      <c r="AO46" s="10">
        <v>2922667311104</v>
      </c>
      <c r="AP46" s="10">
        <v>2410909794304</v>
      </c>
      <c r="AQ46" s="10">
        <v>2475244388352</v>
      </c>
      <c r="AR46" s="10">
        <v>2659310108672</v>
      </c>
      <c r="AS46" s="10">
        <v>2704887775232</v>
      </c>
      <c r="AT46" s="10">
        <v>2786022916096</v>
      </c>
      <c r="AU46" s="10">
        <v>3063803281408</v>
      </c>
      <c r="AV46" s="10">
        <v>2928590979072</v>
      </c>
      <c r="AW46" s="10">
        <v>2694283264000</v>
      </c>
      <c r="AX46" s="10">
        <v>2666229137408</v>
      </c>
      <c r="AY46" s="10">
        <v>2860667633664</v>
      </c>
      <c r="AZ46" s="10">
        <v>2827113201664</v>
      </c>
    </row>
    <row r="47" spans="1:52" x14ac:dyDescent="0.45">
      <c r="A47" t="s">
        <v>189</v>
      </c>
      <c r="B47" t="s">
        <v>202</v>
      </c>
      <c r="C47" s="10">
        <v>31584210944</v>
      </c>
      <c r="D47" s="10">
        <v>33293199360</v>
      </c>
      <c r="E47" s="10">
        <v>34732998656</v>
      </c>
      <c r="F47" s="10">
        <v>52544000000</v>
      </c>
      <c r="G47" s="10">
        <v>72436776960</v>
      </c>
      <c r="H47" s="10">
        <v>52438646784</v>
      </c>
      <c r="I47" s="10">
        <v>51169501184</v>
      </c>
      <c r="J47" s="10">
        <v>56781000704</v>
      </c>
      <c r="K47" s="10">
        <v>58082869248</v>
      </c>
      <c r="L47" s="10">
        <v>69252325376</v>
      </c>
      <c r="M47" s="10">
        <v>76961923072</v>
      </c>
      <c r="N47" s="10">
        <v>78676844544</v>
      </c>
      <c r="O47" s="10">
        <v>84307484672</v>
      </c>
      <c r="P47" s="10">
        <v>103979106304</v>
      </c>
      <c r="Q47" s="10">
        <v>79091998720</v>
      </c>
      <c r="R47" s="10">
        <v>88416665600</v>
      </c>
      <c r="S47" s="10">
        <v>110934441984</v>
      </c>
      <c r="T47" s="10">
        <v>111106187264</v>
      </c>
      <c r="U47" s="10">
        <v>126206820352</v>
      </c>
      <c r="V47" s="10">
        <v>76636897280</v>
      </c>
      <c r="W47" s="10">
        <v>141352370176</v>
      </c>
      <c r="X47" s="10">
        <v>189719986176</v>
      </c>
      <c r="Y47" s="10">
        <v>228788617216</v>
      </c>
      <c r="Z47" s="10">
        <v>236741722112</v>
      </c>
      <c r="AA47" s="10">
        <v>257440006144</v>
      </c>
      <c r="AB47" s="10">
        <v>258031747072</v>
      </c>
      <c r="AC47" s="10">
        <v>272149757952</v>
      </c>
      <c r="AD47" s="10">
        <v>292858986496</v>
      </c>
      <c r="AE47" s="10">
        <v>298948263936</v>
      </c>
      <c r="AF47" s="10">
        <v>283522990080</v>
      </c>
      <c r="AG47" s="10">
        <v>284203745280</v>
      </c>
      <c r="AH47" s="10">
        <v>268696748032</v>
      </c>
      <c r="AI47" s="10">
        <v>97724006400</v>
      </c>
      <c r="AJ47" s="10">
        <v>127586975744</v>
      </c>
      <c r="AK47" s="10">
        <v>164657938432</v>
      </c>
      <c r="AL47" s="10">
        <v>198737100800</v>
      </c>
      <c r="AM47" s="10">
        <v>232557264896</v>
      </c>
      <c r="AN47" s="10">
        <v>287530516480</v>
      </c>
      <c r="AO47" s="10">
        <v>361558048768</v>
      </c>
      <c r="AP47" s="10">
        <v>332976488448</v>
      </c>
      <c r="AQ47" s="10">
        <v>423627423744</v>
      </c>
      <c r="AR47" s="10">
        <v>530163269632</v>
      </c>
      <c r="AS47" s="10">
        <v>545982382080</v>
      </c>
      <c r="AT47" s="10">
        <v>552025128960</v>
      </c>
      <c r="AU47" s="10">
        <v>526319681536</v>
      </c>
      <c r="AV47" s="10">
        <v>594749292544</v>
      </c>
      <c r="AW47" s="10">
        <v>557531398144</v>
      </c>
      <c r="AX47" s="10">
        <v>642695888896</v>
      </c>
      <c r="AY47" s="10">
        <v>519871528960</v>
      </c>
      <c r="AZ47" s="10">
        <v>449663434752</v>
      </c>
    </row>
    <row r="48" spans="1:52" x14ac:dyDescent="0.45">
      <c r="A48" t="s">
        <v>189</v>
      </c>
      <c r="B48" t="s">
        <v>101</v>
      </c>
      <c r="C48" s="10">
        <v>538423168</v>
      </c>
      <c r="D48" s="10">
        <v>573400000</v>
      </c>
      <c r="E48" s="10">
        <v>590899968</v>
      </c>
      <c r="F48" s="10">
        <v>670899968</v>
      </c>
      <c r="G48" s="10">
        <v>632400000</v>
      </c>
      <c r="H48" s="10">
        <v>596200000</v>
      </c>
      <c r="I48" s="10">
        <v>642099968</v>
      </c>
      <c r="J48" s="10">
        <v>713000000</v>
      </c>
      <c r="K48" s="10">
        <v>832400000</v>
      </c>
      <c r="L48" s="10">
        <v>1139800064</v>
      </c>
      <c r="M48" s="10">
        <v>1335299968</v>
      </c>
      <c r="N48" s="10">
        <v>1426499968</v>
      </c>
      <c r="O48" s="10">
        <v>1578300032</v>
      </c>
      <c r="P48" s="10">
        <v>1732800000</v>
      </c>
      <c r="Q48" s="10">
        <v>2041100032</v>
      </c>
      <c r="R48" s="10">
        <v>2320699904</v>
      </c>
      <c r="S48" s="10">
        <v>2472499968</v>
      </c>
      <c r="T48" s="10">
        <v>2713999872</v>
      </c>
      <c r="U48" s="10">
        <v>2817900032</v>
      </c>
      <c r="V48" s="10">
        <v>3062000128</v>
      </c>
      <c r="W48" s="10">
        <v>3166000128</v>
      </c>
      <c r="X48" s="10">
        <v>3111160064</v>
      </c>
      <c r="Y48" s="10">
        <v>3108999936</v>
      </c>
      <c r="Z48" s="10">
        <v>3092000000</v>
      </c>
      <c r="AA48" s="10">
        <v>3259000064</v>
      </c>
      <c r="AB48" s="10">
        <v>3428999936</v>
      </c>
      <c r="AC48" s="10">
        <v>3608999936</v>
      </c>
      <c r="AD48" s="10">
        <v>6332360192</v>
      </c>
      <c r="AE48" s="10">
        <v>6833220096</v>
      </c>
      <c r="AF48" s="10">
        <v>7683870208</v>
      </c>
      <c r="AG48" s="10">
        <v>8076469760</v>
      </c>
      <c r="AH48" s="10">
        <v>8317830144</v>
      </c>
      <c r="AI48" s="10">
        <v>8881160192</v>
      </c>
      <c r="AJ48" s="10">
        <v>8870089728</v>
      </c>
      <c r="AK48" s="10">
        <v>9055290368</v>
      </c>
      <c r="AL48" s="10">
        <v>9836199936</v>
      </c>
      <c r="AM48" s="10">
        <v>10167249920</v>
      </c>
      <c r="AN48" s="10">
        <v>10618340352</v>
      </c>
      <c r="AO48" s="10">
        <v>10526000128</v>
      </c>
      <c r="AP48" s="10">
        <v>9981960192</v>
      </c>
      <c r="AQ48" s="10">
        <v>10095760384</v>
      </c>
      <c r="AR48" s="10">
        <v>10070450176</v>
      </c>
      <c r="AS48" s="10">
        <v>10720499712</v>
      </c>
      <c r="AT48" s="10">
        <v>10562700288</v>
      </c>
      <c r="AU48" s="10">
        <v>10913300480</v>
      </c>
      <c r="AV48" s="10">
        <v>11752299520</v>
      </c>
      <c r="AW48" s="10">
        <v>11938400256</v>
      </c>
      <c r="AX48" s="10">
        <v>12150400000</v>
      </c>
      <c r="AY48" s="10">
        <v>12424500224</v>
      </c>
      <c r="AZ48" s="10">
        <v>12826999808</v>
      </c>
    </row>
    <row r="49" spans="1:52" x14ac:dyDescent="0.45">
      <c r="A49" t="s">
        <v>189</v>
      </c>
      <c r="B49" t="s">
        <v>103</v>
      </c>
      <c r="C49" s="10">
        <v>53233532</v>
      </c>
      <c r="D49" s="10">
        <v>59207316</v>
      </c>
      <c r="E49" s="10">
        <v>66062500</v>
      </c>
      <c r="F49" s="10">
        <v>78343560</v>
      </c>
      <c r="G49" s="10">
        <v>103216376</v>
      </c>
      <c r="H49" s="10">
        <v>118066296</v>
      </c>
      <c r="I49" s="10">
        <v>96905832</v>
      </c>
      <c r="J49" s="10">
        <v>117650000</v>
      </c>
      <c r="K49" s="10">
        <v>136300000</v>
      </c>
      <c r="L49" s="10">
        <v>151800000</v>
      </c>
      <c r="M49" s="10">
        <v>197938224</v>
      </c>
      <c r="N49" s="10">
        <v>196089856</v>
      </c>
      <c r="O49" s="10">
        <v>182206320</v>
      </c>
      <c r="P49" s="10">
        <v>192103184</v>
      </c>
      <c r="Q49" s="10">
        <v>214381952</v>
      </c>
      <c r="R49" s="10">
        <v>212643744</v>
      </c>
      <c r="S49" s="10">
        <v>231638320</v>
      </c>
      <c r="T49" s="10">
        <v>281082560</v>
      </c>
      <c r="U49" s="10">
        <v>320093376</v>
      </c>
      <c r="V49" s="10">
        <v>369133888</v>
      </c>
      <c r="W49" s="10">
        <v>412086432</v>
      </c>
      <c r="X49" s="10">
        <v>444720736</v>
      </c>
      <c r="Y49" s="10">
        <v>518239104</v>
      </c>
      <c r="Z49" s="10">
        <v>559858240</v>
      </c>
      <c r="AA49" s="10">
        <v>580863680</v>
      </c>
      <c r="AB49" s="10">
        <v>620140416</v>
      </c>
      <c r="AC49" s="10">
        <v>641383808</v>
      </c>
      <c r="AD49" s="10">
        <v>654314368</v>
      </c>
      <c r="AE49" s="10">
        <v>688992448</v>
      </c>
      <c r="AF49" s="10">
        <v>732732352</v>
      </c>
      <c r="AG49" s="10">
        <v>832049984</v>
      </c>
      <c r="AH49" s="10">
        <v>868350016</v>
      </c>
      <c r="AI49" s="10">
        <v>925049984</v>
      </c>
      <c r="AJ49" s="10">
        <v>983500032</v>
      </c>
      <c r="AK49" s="10">
        <v>1051350016</v>
      </c>
      <c r="AL49" s="10">
        <v>1102050048</v>
      </c>
      <c r="AM49" s="10">
        <v>1210150016</v>
      </c>
      <c r="AN49" s="10">
        <v>1271600000</v>
      </c>
      <c r="AO49" s="10">
        <v>1351350016</v>
      </c>
      <c r="AP49" s="10">
        <v>1317299968</v>
      </c>
      <c r="AQ49" s="10">
        <v>1377200000</v>
      </c>
      <c r="AR49" s="10">
        <v>1460800000</v>
      </c>
      <c r="AS49" s="10">
        <v>1522899968</v>
      </c>
      <c r="AT49" s="10">
        <v>1579399936</v>
      </c>
      <c r="AU49" s="10">
        <v>1662800000</v>
      </c>
      <c r="AV49" s="10">
        <v>1723800064</v>
      </c>
      <c r="AW49" s="10">
        <v>1775100032</v>
      </c>
      <c r="AX49" s="10">
        <v>1836600064</v>
      </c>
      <c r="AY49" s="10">
        <v>1871200000</v>
      </c>
      <c r="AZ49" s="10">
        <v>1879613568</v>
      </c>
    </row>
    <row r="50" spans="1:52" x14ac:dyDescent="0.45">
      <c r="A50" t="s">
        <v>189</v>
      </c>
      <c r="B50" t="s">
        <v>105</v>
      </c>
      <c r="C50" s="10">
        <v>1017003392</v>
      </c>
      <c r="D50" s="10">
        <v>1095622912</v>
      </c>
      <c r="E50" s="10">
        <v>1257615616</v>
      </c>
      <c r="F50" s="10">
        <v>1262968576</v>
      </c>
      <c r="G50" s="10">
        <v>2100249856</v>
      </c>
      <c r="H50" s="10">
        <v>2404697600</v>
      </c>
      <c r="I50" s="10">
        <v>2731984128</v>
      </c>
      <c r="J50" s="10">
        <v>3227436288</v>
      </c>
      <c r="K50" s="10">
        <v>3758220800</v>
      </c>
      <c r="L50" s="10">
        <v>4421343744</v>
      </c>
      <c r="M50" s="10">
        <v>4526916608</v>
      </c>
      <c r="N50" s="10">
        <v>5872756736</v>
      </c>
      <c r="O50" s="10">
        <v>5587490304</v>
      </c>
      <c r="P50" s="10">
        <v>5422440960</v>
      </c>
      <c r="Q50" s="10">
        <v>6169501184</v>
      </c>
      <c r="R50" s="10">
        <v>5377277440</v>
      </c>
      <c r="S50" s="10">
        <v>3958338816</v>
      </c>
      <c r="T50" s="10">
        <v>4323623424</v>
      </c>
      <c r="U50" s="10">
        <v>4597615616</v>
      </c>
      <c r="V50" s="10">
        <v>4715978752</v>
      </c>
      <c r="W50" s="10">
        <v>4867582464</v>
      </c>
      <c r="X50" s="10">
        <v>5343274496</v>
      </c>
      <c r="Y50" s="10">
        <v>5643893248</v>
      </c>
      <c r="Z50" s="10">
        <v>5734676480</v>
      </c>
      <c r="AA50" s="10">
        <v>5981244928</v>
      </c>
      <c r="AB50" s="10">
        <v>6715220480</v>
      </c>
      <c r="AC50" s="10">
        <v>7396966912</v>
      </c>
      <c r="AD50" s="10">
        <v>7925673472</v>
      </c>
      <c r="AE50" s="10">
        <v>8497545728</v>
      </c>
      <c r="AF50" s="10">
        <v>8285075968</v>
      </c>
      <c r="AG50" s="10">
        <v>8397912576</v>
      </c>
      <c r="AH50" s="10">
        <v>8141537792</v>
      </c>
      <c r="AI50" s="10">
        <v>7905485312</v>
      </c>
      <c r="AJ50" s="10">
        <v>8082364928</v>
      </c>
      <c r="AK50" s="10">
        <v>8773451776</v>
      </c>
      <c r="AL50" s="10">
        <v>9549077504</v>
      </c>
      <c r="AM50" s="10">
        <v>11451869184</v>
      </c>
      <c r="AN50" s="10">
        <v>13120183296</v>
      </c>
      <c r="AO50" s="10">
        <v>16674324480</v>
      </c>
      <c r="AP50" s="10">
        <v>17339992064</v>
      </c>
      <c r="AQ50" s="10">
        <v>19649632256</v>
      </c>
      <c r="AR50" s="10">
        <v>23963033600</v>
      </c>
      <c r="AS50" s="10">
        <v>27084496896</v>
      </c>
      <c r="AT50" s="10">
        <v>30659338240</v>
      </c>
      <c r="AU50" s="10">
        <v>32996188160</v>
      </c>
      <c r="AV50" s="10">
        <v>33000198144</v>
      </c>
      <c r="AW50" s="10">
        <v>33941127168</v>
      </c>
      <c r="AX50" s="10">
        <v>37508640768</v>
      </c>
      <c r="AY50" s="10">
        <v>40287649792</v>
      </c>
      <c r="AZ50" s="10">
        <v>40895324160</v>
      </c>
    </row>
    <row r="51" spans="1:52" x14ac:dyDescent="0.45">
      <c r="A51" t="s">
        <v>189</v>
      </c>
      <c r="B51" t="s">
        <v>107</v>
      </c>
      <c r="C51" s="10">
        <v>42327601152</v>
      </c>
      <c r="D51" s="10">
        <v>49204457472</v>
      </c>
      <c r="E51" s="10">
        <v>58539008000</v>
      </c>
      <c r="F51" s="10">
        <v>79279054848</v>
      </c>
      <c r="G51" s="10">
        <v>105136005120</v>
      </c>
      <c r="H51" s="10">
        <v>123709374464</v>
      </c>
      <c r="I51" s="10">
        <v>152678023168</v>
      </c>
      <c r="J51" s="10">
        <v>176171286528</v>
      </c>
      <c r="K51" s="10">
        <v>200800894976</v>
      </c>
      <c r="L51" s="10">
        <v>224969490432</v>
      </c>
      <c r="M51" s="10">
        <v>235024596992</v>
      </c>
      <c r="N51" s="10">
        <v>263561084928</v>
      </c>
      <c r="O51" s="10">
        <v>281682313216</v>
      </c>
      <c r="P51" s="10">
        <v>203304517632</v>
      </c>
      <c r="Q51" s="10">
        <v>209023909888</v>
      </c>
      <c r="R51" s="10">
        <v>222942789632</v>
      </c>
      <c r="S51" s="10">
        <v>268137218048</v>
      </c>
      <c r="T51" s="10">
        <v>294084116480</v>
      </c>
      <c r="U51" s="10">
        <v>330397384704</v>
      </c>
      <c r="V51" s="10">
        <v>425595305984</v>
      </c>
      <c r="W51" s="10">
        <v>461951795200</v>
      </c>
      <c r="X51" s="10">
        <v>602860027904</v>
      </c>
      <c r="Y51" s="10">
        <v>400599252992</v>
      </c>
      <c r="Z51" s="10">
        <v>437798567936</v>
      </c>
      <c r="AA51" s="10">
        <v>558111981568</v>
      </c>
      <c r="AB51" s="10">
        <v>769305411584</v>
      </c>
      <c r="AC51" s="10">
        <v>850426462208</v>
      </c>
      <c r="AD51" s="10">
        <v>883199639552</v>
      </c>
      <c r="AE51" s="10">
        <v>863723388928</v>
      </c>
      <c r="AF51" s="10">
        <v>599388585984</v>
      </c>
      <c r="AG51" s="10">
        <v>655420620800</v>
      </c>
      <c r="AH51" s="10">
        <v>559372304384</v>
      </c>
      <c r="AI51" s="10">
        <v>507962490880</v>
      </c>
      <c r="AJ51" s="10">
        <v>558319927296</v>
      </c>
      <c r="AK51" s="10">
        <v>669316677632</v>
      </c>
      <c r="AL51" s="10">
        <v>891630190592</v>
      </c>
      <c r="AM51" s="10">
        <v>1107640320000</v>
      </c>
      <c r="AN51" s="10">
        <v>1397084389376</v>
      </c>
      <c r="AO51" s="10">
        <v>1695824609280</v>
      </c>
      <c r="AP51" s="10">
        <v>1667019833344</v>
      </c>
      <c r="AQ51" s="10">
        <v>2208871743488</v>
      </c>
      <c r="AR51" s="10">
        <v>2616201052160</v>
      </c>
      <c r="AS51" s="10">
        <v>2465188544512</v>
      </c>
      <c r="AT51" s="10">
        <v>2472806973440</v>
      </c>
      <c r="AU51" s="10">
        <v>2455993581568</v>
      </c>
      <c r="AV51" s="10">
        <v>1802214309888</v>
      </c>
      <c r="AW51" s="10">
        <v>1795700162560</v>
      </c>
      <c r="AX51" s="10">
        <v>2062831058944</v>
      </c>
      <c r="AY51" s="10">
        <v>1885482516480</v>
      </c>
      <c r="AZ51" s="10">
        <v>1839758049280</v>
      </c>
    </row>
    <row r="52" spans="1:52" x14ac:dyDescent="0.45">
      <c r="A52" t="s">
        <v>189</v>
      </c>
      <c r="B52" t="s">
        <v>113</v>
      </c>
      <c r="C52" s="10">
        <v>9126309888</v>
      </c>
      <c r="D52" s="10">
        <v>10884114432</v>
      </c>
      <c r="E52" s="10">
        <v>11853816832</v>
      </c>
      <c r="F52" s="10">
        <v>16836260864</v>
      </c>
      <c r="G52" s="10">
        <v>16210404352</v>
      </c>
      <c r="H52" s="10">
        <v>7622217216</v>
      </c>
      <c r="I52" s="10">
        <v>10341924864</v>
      </c>
      <c r="J52" s="10">
        <v>13962893312</v>
      </c>
      <c r="K52" s="10">
        <v>15989934080</v>
      </c>
      <c r="L52" s="10">
        <v>21803696128</v>
      </c>
      <c r="M52" s="10">
        <v>29036709888</v>
      </c>
      <c r="N52" s="10">
        <v>34509877248</v>
      </c>
      <c r="O52" s="10">
        <v>25325893632</v>
      </c>
      <c r="P52" s="10">
        <v>20355958784</v>
      </c>
      <c r="Q52" s="10">
        <v>19622526976</v>
      </c>
      <c r="R52" s="10">
        <v>17702885376</v>
      </c>
      <c r="S52" s="10">
        <v>18891048960</v>
      </c>
      <c r="T52" s="10">
        <v>22255407104</v>
      </c>
      <c r="U52" s="10">
        <v>26040229888</v>
      </c>
      <c r="V52" s="10">
        <v>29885685760</v>
      </c>
      <c r="W52" s="10">
        <v>33113888768</v>
      </c>
      <c r="X52" s="10">
        <v>37834792960</v>
      </c>
      <c r="Y52" s="10">
        <v>45964328960</v>
      </c>
      <c r="Z52" s="10">
        <v>49297772544</v>
      </c>
      <c r="AA52" s="10">
        <v>57008427008</v>
      </c>
      <c r="AB52" s="10">
        <v>73447063552</v>
      </c>
      <c r="AC52" s="10">
        <v>78039572480</v>
      </c>
      <c r="AD52" s="10">
        <v>84952358912</v>
      </c>
      <c r="AE52" s="10">
        <v>81577426944</v>
      </c>
      <c r="AF52" s="10">
        <v>75173797888</v>
      </c>
      <c r="AG52" s="10">
        <v>77860929536</v>
      </c>
      <c r="AH52" s="10">
        <v>70979919872</v>
      </c>
      <c r="AI52" s="10">
        <v>69736808448</v>
      </c>
      <c r="AJ52" s="10">
        <v>75643461632</v>
      </c>
      <c r="AK52" s="10">
        <v>99210395648</v>
      </c>
      <c r="AL52" s="10">
        <v>122964811776</v>
      </c>
      <c r="AM52" s="10">
        <v>154788020224</v>
      </c>
      <c r="AN52" s="10">
        <v>173605961728</v>
      </c>
      <c r="AO52" s="10">
        <v>179638501376</v>
      </c>
      <c r="AP52" s="10">
        <v>172389498880</v>
      </c>
      <c r="AQ52" s="10">
        <v>218537558016</v>
      </c>
      <c r="AR52" s="10">
        <v>252251996160</v>
      </c>
      <c r="AS52" s="10">
        <v>267122327552</v>
      </c>
      <c r="AT52" s="10">
        <v>278384345088</v>
      </c>
      <c r="AU52" s="10">
        <v>260541628416</v>
      </c>
      <c r="AV52" s="10">
        <v>243919077376</v>
      </c>
      <c r="AW52" s="10">
        <v>250440138752</v>
      </c>
      <c r="AX52" s="10">
        <v>277044953088</v>
      </c>
      <c r="AY52" s="10">
        <v>298258006016</v>
      </c>
      <c r="AZ52" s="10">
        <v>282318143488</v>
      </c>
    </row>
    <row r="53" spans="1:52" x14ac:dyDescent="0.45">
      <c r="A53" t="s">
        <v>189</v>
      </c>
      <c r="B53" t="s">
        <v>114</v>
      </c>
      <c r="C53" s="10">
        <v>7198360576</v>
      </c>
      <c r="D53" s="10">
        <v>7820381184</v>
      </c>
      <c r="E53" s="10">
        <v>8671358976</v>
      </c>
      <c r="F53" s="10">
        <v>10315759616</v>
      </c>
      <c r="G53" s="10">
        <v>12370029568</v>
      </c>
      <c r="H53" s="10">
        <v>13098634240</v>
      </c>
      <c r="I53" s="10">
        <v>15341404160</v>
      </c>
      <c r="J53" s="10">
        <v>19470960640</v>
      </c>
      <c r="K53" s="10">
        <v>23263512576</v>
      </c>
      <c r="L53" s="10">
        <v>27940411392</v>
      </c>
      <c r="M53" s="10">
        <v>33400735744</v>
      </c>
      <c r="N53" s="10">
        <v>36388368384</v>
      </c>
      <c r="O53" s="10">
        <v>38968041472</v>
      </c>
      <c r="P53" s="10">
        <v>38729822208</v>
      </c>
      <c r="Q53" s="10">
        <v>38253121536</v>
      </c>
      <c r="R53" s="10">
        <v>34894409728</v>
      </c>
      <c r="S53" s="10">
        <v>34942488576</v>
      </c>
      <c r="T53" s="10">
        <v>36373307392</v>
      </c>
      <c r="U53" s="10">
        <v>39212548096</v>
      </c>
      <c r="V53" s="10">
        <v>39540080640</v>
      </c>
      <c r="W53" s="10">
        <v>47844089856</v>
      </c>
      <c r="X53" s="10">
        <v>49175564288</v>
      </c>
      <c r="Y53" s="10">
        <v>58418987008</v>
      </c>
      <c r="Z53" s="10">
        <v>66446802944</v>
      </c>
      <c r="AA53" s="10">
        <v>81703501824</v>
      </c>
      <c r="AB53" s="10">
        <v>92507283456</v>
      </c>
      <c r="AC53" s="10">
        <v>97160110080</v>
      </c>
      <c r="AD53" s="10">
        <v>106659512320</v>
      </c>
      <c r="AE53" s="10">
        <v>98443739136</v>
      </c>
      <c r="AF53" s="10">
        <v>86186156032</v>
      </c>
      <c r="AG53" s="10">
        <v>99886579712</v>
      </c>
      <c r="AH53" s="10">
        <v>98211749888</v>
      </c>
      <c r="AI53" s="10">
        <v>97962999808</v>
      </c>
      <c r="AJ53" s="10">
        <v>94641381376</v>
      </c>
      <c r="AK53" s="10">
        <v>117081522176</v>
      </c>
      <c r="AL53" s="10">
        <v>145619189760</v>
      </c>
      <c r="AM53" s="10">
        <v>161618575360</v>
      </c>
      <c r="AN53" s="10">
        <v>206181826560</v>
      </c>
      <c r="AO53" s="10">
        <v>242186944512</v>
      </c>
      <c r="AP53" s="10">
        <v>232397832192</v>
      </c>
      <c r="AQ53" s="10">
        <v>286563106816</v>
      </c>
      <c r="AR53" s="10">
        <v>334943879168</v>
      </c>
      <c r="AS53" s="10">
        <v>370921308160</v>
      </c>
      <c r="AT53" s="10">
        <v>382116134912</v>
      </c>
      <c r="AU53" s="10">
        <v>381112123392</v>
      </c>
      <c r="AV53" s="10">
        <v>293481742336</v>
      </c>
      <c r="AW53" s="10">
        <v>282824998912</v>
      </c>
      <c r="AX53" s="10">
        <v>311883726848</v>
      </c>
      <c r="AY53" s="10">
        <v>333568933888</v>
      </c>
      <c r="AZ53" s="10">
        <v>323802791936</v>
      </c>
    </row>
    <row r="54" spans="1:52" x14ac:dyDescent="0.45">
      <c r="A54" t="s">
        <v>189</v>
      </c>
      <c r="B54" t="s">
        <v>117</v>
      </c>
      <c r="C54" s="10">
        <v>984830144</v>
      </c>
      <c r="D54" s="10">
        <v>1077152896</v>
      </c>
      <c r="E54" s="10">
        <v>1238251648</v>
      </c>
      <c r="F54" s="10">
        <v>1528916224</v>
      </c>
      <c r="G54" s="10">
        <v>1666544768</v>
      </c>
      <c r="H54" s="10">
        <v>1960863488</v>
      </c>
      <c r="I54" s="10">
        <v>2412555520</v>
      </c>
      <c r="J54" s="10">
        <v>3072427008</v>
      </c>
      <c r="K54" s="10">
        <v>3523208704</v>
      </c>
      <c r="L54" s="10">
        <v>4035519232</v>
      </c>
      <c r="M54" s="10">
        <v>4831447040</v>
      </c>
      <c r="N54" s="10">
        <v>2623806976</v>
      </c>
      <c r="O54" s="10">
        <v>2606621184</v>
      </c>
      <c r="P54" s="10">
        <v>3146770176</v>
      </c>
      <c r="Q54" s="10">
        <v>3660476416</v>
      </c>
      <c r="R54" s="10">
        <v>3919203840</v>
      </c>
      <c r="S54" s="10">
        <v>4418983936</v>
      </c>
      <c r="T54" s="10">
        <v>4532952064</v>
      </c>
      <c r="U54" s="10">
        <v>4614629888</v>
      </c>
      <c r="V54" s="10">
        <v>5251025920</v>
      </c>
      <c r="W54" s="10">
        <v>5711687680</v>
      </c>
      <c r="X54" s="10">
        <v>7168999424</v>
      </c>
      <c r="Y54" s="10">
        <v>8528593408</v>
      </c>
      <c r="Z54" s="10">
        <v>9537297408</v>
      </c>
      <c r="AA54" s="10">
        <v>10432619520</v>
      </c>
      <c r="AB54" s="10">
        <v>11513473024</v>
      </c>
      <c r="AC54" s="10">
        <v>11618286592</v>
      </c>
      <c r="AD54" s="10">
        <v>12552071168</v>
      </c>
      <c r="AE54" s="10">
        <v>13617404928</v>
      </c>
      <c r="AF54" s="10">
        <v>14195622912</v>
      </c>
      <c r="AG54" s="10">
        <v>14949514240</v>
      </c>
      <c r="AH54" s="10">
        <v>15913363456</v>
      </c>
      <c r="AI54" s="10">
        <v>16504795136</v>
      </c>
      <c r="AJ54" s="10">
        <v>17196009472</v>
      </c>
      <c r="AK54" s="10">
        <v>18528956416</v>
      </c>
      <c r="AL54" s="10">
        <v>19948261376</v>
      </c>
      <c r="AM54" s="10">
        <v>22602721280</v>
      </c>
      <c r="AN54" s="10">
        <v>26743971840</v>
      </c>
      <c r="AO54" s="10">
        <v>30612926464</v>
      </c>
      <c r="AP54" s="10">
        <v>30562361344</v>
      </c>
      <c r="AQ54" s="10">
        <v>37268615168</v>
      </c>
      <c r="AR54" s="10">
        <v>42262695936</v>
      </c>
      <c r="AS54" s="10">
        <v>46473129984</v>
      </c>
      <c r="AT54" s="10">
        <v>49745088512</v>
      </c>
      <c r="AU54" s="10">
        <v>50577768448</v>
      </c>
      <c r="AV54" s="10">
        <v>54775996416</v>
      </c>
      <c r="AW54" s="10">
        <v>57157992448</v>
      </c>
      <c r="AX54" s="10">
        <v>58481856512</v>
      </c>
      <c r="AY54" s="10">
        <v>60553900032</v>
      </c>
      <c r="AZ54" s="10">
        <v>61773942784</v>
      </c>
    </row>
    <row r="55" spans="1:52" x14ac:dyDescent="0.45">
      <c r="A55" t="s">
        <v>189</v>
      </c>
      <c r="B55" t="s">
        <v>119</v>
      </c>
      <c r="C55" s="10">
        <v>1485500032</v>
      </c>
      <c r="D55" s="10">
        <v>1666499968</v>
      </c>
      <c r="E55" s="10">
        <v>1987399936</v>
      </c>
      <c r="F55" s="10">
        <v>2344800000</v>
      </c>
      <c r="G55" s="10">
        <v>2925700096</v>
      </c>
      <c r="H55" s="10">
        <v>3599200000</v>
      </c>
      <c r="I55" s="10">
        <v>3951500032</v>
      </c>
      <c r="J55" s="10">
        <v>4587100160</v>
      </c>
      <c r="K55" s="10">
        <v>4734400000</v>
      </c>
      <c r="L55" s="10">
        <v>5498800128</v>
      </c>
      <c r="M55" s="10">
        <v>6761299968</v>
      </c>
      <c r="N55" s="10">
        <v>7561299968</v>
      </c>
      <c r="O55" s="10">
        <v>8267400192</v>
      </c>
      <c r="P55" s="10">
        <v>9220599808</v>
      </c>
      <c r="Q55" s="10">
        <v>11594000384</v>
      </c>
      <c r="R55" s="10">
        <v>5044593152</v>
      </c>
      <c r="S55" s="10">
        <v>6122198016</v>
      </c>
      <c r="T55" s="10">
        <v>5826987008</v>
      </c>
      <c r="U55" s="10">
        <v>5374315008</v>
      </c>
      <c r="V55" s="10">
        <v>6686593024</v>
      </c>
      <c r="W55" s="10">
        <v>7073675776</v>
      </c>
      <c r="X55" s="10">
        <v>9734322176</v>
      </c>
      <c r="Y55" s="10">
        <v>11356271616</v>
      </c>
      <c r="Z55" s="10">
        <v>13081041920</v>
      </c>
      <c r="AA55" s="10">
        <v>14664238080</v>
      </c>
      <c r="AB55" s="10">
        <v>16598679552</v>
      </c>
      <c r="AC55" s="10">
        <v>18241691648</v>
      </c>
      <c r="AD55" s="10">
        <v>20017909760</v>
      </c>
      <c r="AE55" s="10">
        <v>21672525824</v>
      </c>
      <c r="AF55" s="10">
        <v>22137600000</v>
      </c>
      <c r="AG55" s="10">
        <v>24305117184</v>
      </c>
      <c r="AH55" s="10">
        <v>25599311872</v>
      </c>
      <c r="AI55" s="10">
        <v>27362875392</v>
      </c>
      <c r="AJ55" s="10">
        <v>21642883072</v>
      </c>
      <c r="AK55" s="10">
        <v>22692575232</v>
      </c>
      <c r="AL55" s="10">
        <v>36119048192</v>
      </c>
      <c r="AM55" s="10">
        <v>38116352000</v>
      </c>
      <c r="AN55" s="10">
        <v>43965419520</v>
      </c>
      <c r="AO55" s="10">
        <v>48122548224</v>
      </c>
      <c r="AP55" s="10">
        <v>48261033984</v>
      </c>
      <c r="AQ55" s="10">
        <v>53860175872</v>
      </c>
      <c r="AR55" s="10">
        <v>58029752320</v>
      </c>
      <c r="AS55" s="10">
        <v>60681535488</v>
      </c>
      <c r="AT55" s="10">
        <v>62682165248</v>
      </c>
      <c r="AU55" s="10">
        <v>67179913216</v>
      </c>
      <c r="AV55" s="10">
        <v>71164821504</v>
      </c>
      <c r="AW55" s="10">
        <v>75704721408</v>
      </c>
      <c r="AX55" s="10">
        <v>79997976576</v>
      </c>
      <c r="AY55" s="10">
        <v>85555380224</v>
      </c>
      <c r="AZ55" s="10">
        <v>88941297664</v>
      </c>
    </row>
    <row r="56" spans="1:52" x14ac:dyDescent="0.45">
      <c r="A56" t="s">
        <v>189</v>
      </c>
      <c r="B56" t="s">
        <v>120</v>
      </c>
      <c r="C56" s="10">
        <v>2862504192</v>
      </c>
      <c r="D56" s="10">
        <v>2754220288</v>
      </c>
      <c r="E56" s="10">
        <v>3185987328</v>
      </c>
      <c r="F56" s="10">
        <v>3891755520</v>
      </c>
      <c r="G56" s="10">
        <v>6599259648</v>
      </c>
      <c r="H56" s="10">
        <v>7731677184</v>
      </c>
      <c r="I56" s="10">
        <v>9091923968</v>
      </c>
      <c r="J56" s="10">
        <v>11026347008</v>
      </c>
      <c r="K56" s="10">
        <v>11922502656</v>
      </c>
      <c r="L56" s="10">
        <v>14175166464</v>
      </c>
      <c r="M56" s="10">
        <v>17881513984</v>
      </c>
      <c r="N56" s="10">
        <v>21810767872</v>
      </c>
      <c r="O56" s="10">
        <v>19929853952</v>
      </c>
      <c r="P56" s="10">
        <v>17152483328</v>
      </c>
      <c r="Q56" s="10">
        <v>16912515072</v>
      </c>
      <c r="R56" s="10">
        <v>17149094912</v>
      </c>
      <c r="S56" s="10">
        <v>15314144256</v>
      </c>
      <c r="T56" s="10">
        <v>13945432064</v>
      </c>
      <c r="U56" s="10">
        <v>13051886592</v>
      </c>
      <c r="V56" s="10">
        <v>13890828288</v>
      </c>
      <c r="W56" s="10">
        <v>15239278592</v>
      </c>
      <c r="X56" s="10">
        <v>16988534784</v>
      </c>
      <c r="Y56" s="10">
        <v>18094237696</v>
      </c>
      <c r="Z56" s="10">
        <v>18938718208</v>
      </c>
      <c r="AA56" s="10">
        <v>22708672512</v>
      </c>
      <c r="AB56" s="10">
        <v>24432883712</v>
      </c>
      <c r="AC56" s="10">
        <v>25226393600</v>
      </c>
      <c r="AD56" s="10">
        <v>28162052096</v>
      </c>
      <c r="AE56" s="10">
        <v>27981897728</v>
      </c>
      <c r="AF56" s="10">
        <v>19645272064</v>
      </c>
      <c r="AG56" s="10">
        <v>18327764992</v>
      </c>
      <c r="AH56" s="10">
        <v>24468324352</v>
      </c>
      <c r="AI56" s="10">
        <v>28548945920</v>
      </c>
      <c r="AJ56" s="10">
        <v>32432857088</v>
      </c>
      <c r="AK56" s="10">
        <v>36591661056</v>
      </c>
      <c r="AL56" s="10">
        <v>41507086336</v>
      </c>
      <c r="AM56" s="10">
        <v>46802042880</v>
      </c>
      <c r="AN56" s="10">
        <v>51007778816</v>
      </c>
      <c r="AO56" s="10">
        <v>61762633728</v>
      </c>
      <c r="AP56" s="10">
        <v>62519685120</v>
      </c>
      <c r="AQ56" s="10">
        <v>69555363840</v>
      </c>
      <c r="AR56" s="10">
        <v>79276662784</v>
      </c>
      <c r="AS56" s="10">
        <v>87924547584</v>
      </c>
      <c r="AT56" s="10">
        <v>95129657344</v>
      </c>
      <c r="AU56" s="10">
        <v>101726330880</v>
      </c>
      <c r="AV56" s="10">
        <v>99290382336</v>
      </c>
      <c r="AW56" s="10">
        <v>99937697792</v>
      </c>
      <c r="AX56" s="10">
        <v>104295858176</v>
      </c>
      <c r="AY56" s="10">
        <v>107562008576</v>
      </c>
      <c r="AZ56" s="10">
        <v>107435663360</v>
      </c>
    </row>
    <row r="57" spans="1:52" x14ac:dyDescent="0.45">
      <c r="A57" t="s">
        <v>189</v>
      </c>
      <c r="B57" t="s">
        <v>203</v>
      </c>
      <c r="C57" s="10">
        <v>1132920064</v>
      </c>
      <c r="D57" s="10">
        <v>1186119936</v>
      </c>
      <c r="E57" s="10">
        <v>1263719936</v>
      </c>
      <c r="F57" s="10">
        <v>1442320000</v>
      </c>
      <c r="G57" s="10">
        <v>1665880064</v>
      </c>
      <c r="H57" s="10">
        <v>1884120064</v>
      </c>
      <c r="I57" s="10">
        <v>2328280064</v>
      </c>
      <c r="J57" s="10">
        <v>2941640192</v>
      </c>
      <c r="K57" s="10">
        <v>3127960064</v>
      </c>
      <c r="L57" s="10">
        <v>3463639808</v>
      </c>
      <c r="M57" s="10">
        <v>3573959936</v>
      </c>
      <c r="N57" s="10">
        <v>3437200128</v>
      </c>
      <c r="O57" s="10">
        <v>3399188992</v>
      </c>
      <c r="P57" s="10">
        <v>3506347776</v>
      </c>
      <c r="Q57" s="10">
        <v>3661683456</v>
      </c>
      <c r="R57" s="10">
        <v>3800368640</v>
      </c>
      <c r="S57" s="10">
        <v>3771663104</v>
      </c>
      <c r="T57" s="10">
        <v>3958045696</v>
      </c>
      <c r="U57" s="10">
        <v>4189880064</v>
      </c>
      <c r="V57" s="10">
        <v>4372215296</v>
      </c>
      <c r="W57" s="10">
        <v>4817542144</v>
      </c>
      <c r="X57" s="10">
        <v>5252342272</v>
      </c>
      <c r="Y57" s="10">
        <v>5813399552</v>
      </c>
      <c r="Z57" s="10">
        <v>6680269312</v>
      </c>
      <c r="AA57" s="10">
        <v>7679384064</v>
      </c>
      <c r="AB57" s="10">
        <v>8921947136</v>
      </c>
      <c r="AC57" s="10">
        <v>9586327552</v>
      </c>
      <c r="AD57" s="10">
        <v>10221706240</v>
      </c>
      <c r="AE57" s="10">
        <v>10936670208</v>
      </c>
      <c r="AF57" s="10">
        <v>11284197376</v>
      </c>
      <c r="AG57" s="10">
        <v>11784927232</v>
      </c>
      <c r="AH57" s="10">
        <v>12282533888</v>
      </c>
      <c r="AI57" s="10">
        <v>12664189952</v>
      </c>
      <c r="AJ57" s="10">
        <v>13243891712</v>
      </c>
      <c r="AK57" s="10">
        <v>13724811264</v>
      </c>
      <c r="AL57" s="10">
        <v>14698001408</v>
      </c>
      <c r="AM57" s="10">
        <v>15999886336</v>
      </c>
      <c r="AN57" s="10">
        <v>17011750912</v>
      </c>
      <c r="AO57" s="10">
        <v>17986889728</v>
      </c>
      <c r="AP57" s="10">
        <v>17601619968</v>
      </c>
      <c r="AQ57" s="10">
        <v>18447998976</v>
      </c>
      <c r="AR57" s="10">
        <v>20284000256</v>
      </c>
      <c r="AS57" s="10">
        <v>21386000384</v>
      </c>
      <c r="AT57" s="10">
        <v>21990969344</v>
      </c>
      <c r="AU57" s="10">
        <v>22593480704</v>
      </c>
      <c r="AV57" s="10">
        <v>23438239744</v>
      </c>
      <c r="AW57" s="10">
        <v>24191440896</v>
      </c>
      <c r="AX57" s="10">
        <v>24979200000</v>
      </c>
      <c r="AY57" s="10">
        <v>26117400576</v>
      </c>
      <c r="AZ57" s="10">
        <v>27022639104</v>
      </c>
    </row>
    <row r="58" spans="1:52" x14ac:dyDescent="0.45">
      <c r="A58" t="s">
        <v>189</v>
      </c>
      <c r="B58" t="s">
        <v>124</v>
      </c>
      <c r="C58" s="10">
        <v>1904000000</v>
      </c>
      <c r="D58" s="10">
        <v>1984800000</v>
      </c>
      <c r="E58" s="10">
        <v>2101299968</v>
      </c>
      <c r="F58" s="10">
        <v>2569200128</v>
      </c>
      <c r="G58" s="10">
        <v>3161499904</v>
      </c>
      <c r="H58" s="10">
        <v>3645900032</v>
      </c>
      <c r="I58" s="10">
        <v>4365300224</v>
      </c>
      <c r="J58" s="10">
        <v>5480500224</v>
      </c>
      <c r="K58" s="10">
        <v>6070600192</v>
      </c>
      <c r="L58" s="10">
        <v>6902600192</v>
      </c>
      <c r="M58" s="10">
        <v>7878700032</v>
      </c>
      <c r="N58" s="10">
        <v>8607500288</v>
      </c>
      <c r="O58" s="10">
        <v>8716999680</v>
      </c>
      <c r="P58" s="10">
        <v>9050000384</v>
      </c>
      <c r="Q58" s="10">
        <v>9470000128</v>
      </c>
      <c r="R58" s="10">
        <v>9721652224</v>
      </c>
      <c r="S58" s="10">
        <v>7231963648</v>
      </c>
      <c r="T58" s="10">
        <v>7084399616</v>
      </c>
      <c r="U58" s="10">
        <v>7841603072</v>
      </c>
      <c r="V58" s="10">
        <v>8410724352</v>
      </c>
      <c r="W58" s="10">
        <v>7650125312</v>
      </c>
      <c r="X58" s="10">
        <v>9406097408</v>
      </c>
      <c r="Y58" s="10">
        <v>10440842240</v>
      </c>
      <c r="Z58" s="10">
        <v>11399942144</v>
      </c>
      <c r="AA58" s="10">
        <v>12983235584</v>
      </c>
      <c r="AB58" s="10">
        <v>14655404032</v>
      </c>
      <c r="AC58" s="10">
        <v>15674835968</v>
      </c>
      <c r="AD58" s="10">
        <v>17790025728</v>
      </c>
      <c r="AE58" s="10">
        <v>19395491840</v>
      </c>
      <c r="AF58" s="10">
        <v>18318411776</v>
      </c>
      <c r="AG58" s="10">
        <v>19288827904</v>
      </c>
      <c r="AH58" s="10">
        <v>18702802944</v>
      </c>
      <c r="AI58" s="10">
        <v>20776402944</v>
      </c>
      <c r="AJ58" s="10">
        <v>21917429760</v>
      </c>
      <c r="AK58" s="10">
        <v>23965276160</v>
      </c>
      <c r="AL58" s="10">
        <v>27211376640</v>
      </c>
      <c r="AM58" s="10">
        <v>30231248896</v>
      </c>
      <c r="AN58" s="10">
        <v>34113107968</v>
      </c>
      <c r="AO58" s="10">
        <v>39136436224</v>
      </c>
      <c r="AP58" s="10">
        <v>37733609472</v>
      </c>
      <c r="AQ58" s="10">
        <v>41338007552</v>
      </c>
      <c r="AR58" s="10">
        <v>47654785024</v>
      </c>
      <c r="AS58" s="10">
        <v>50388459520</v>
      </c>
      <c r="AT58" s="10">
        <v>52996542464</v>
      </c>
      <c r="AU58" s="10">
        <v>57852399616</v>
      </c>
      <c r="AV58" s="10">
        <v>62186184704</v>
      </c>
      <c r="AW58" s="10">
        <v>66053726208</v>
      </c>
      <c r="AX58" s="10">
        <v>71612350464</v>
      </c>
      <c r="AY58" s="10">
        <v>73118146560</v>
      </c>
      <c r="AZ58" s="10">
        <v>76710387712</v>
      </c>
    </row>
    <row r="59" spans="1:52" x14ac:dyDescent="0.45">
      <c r="A59" t="s">
        <v>189</v>
      </c>
      <c r="B59" t="s">
        <v>125</v>
      </c>
      <c r="C59" s="10">
        <v>267800000</v>
      </c>
      <c r="D59" s="10">
        <v>282049984</v>
      </c>
      <c r="E59" s="10">
        <v>285380960</v>
      </c>
      <c r="F59" s="10">
        <v>307047616</v>
      </c>
      <c r="G59" s="10">
        <v>433954560</v>
      </c>
      <c r="H59" s="10">
        <v>494791680</v>
      </c>
      <c r="I59" s="10">
        <v>454440000</v>
      </c>
      <c r="J59" s="10">
        <v>449880000</v>
      </c>
      <c r="K59" s="10">
        <v>507080000</v>
      </c>
      <c r="L59" s="10">
        <v>530440000</v>
      </c>
      <c r="M59" s="10">
        <v>603200000</v>
      </c>
      <c r="N59" s="10">
        <v>570357120</v>
      </c>
      <c r="O59" s="10">
        <v>482000000</v>
      </c>
      <c r="P59" s="10">
        <v>489333344</v>
      </c>
      <c r="Q59" s="10">
        <v>437631616</v>
      </c>
      <c r="R59" s="10">
        <v>453488384</v>
      </c>
      <c r="S59" s="10">
        <v>504651136</v>
      </c>
      <c r="T59" s="10">
        <v>354591840</v>
      </c>
      <c r="U59" s="10">
        <v>413800000</v>
      </c>
      <c r="V59" s="10">
        <v>379779392</v>
      </c>
      <c r="W59" s="10">
        <v>396582272</v>
      </c>
      <c r="X59" s="10">
        <v>348533088</v>
      </c>
      <c r="Y59" s="10">
        <v>373573152</v>
      </c>
      <c r="Z59" s="10">
        <v>454101376</v>
      </c>
      <c r="AA59" s="10">
        <v>540874944</v>
      </c>
      <c r="AB59" s="10">
        <v>621626816</v>
      </c>
      <c r="AC59" s="10">
        <v>705406016</v>
      </c>
      <c r="AD59" s="10">
        <v>749137984</v>
      </c>
      <c r="AE59" s="10">
        <v>717530688</v>
      </c>
      <c r="AF59" s="10">
        <v>694755008</v>
      </c>
      <c r="AG59" s="10">
        <v>712667904</v>
      </c>
      <c r="AH59" s="10">
        <v>712167552</v>
      </c>
      <c r="AI59" s="10">
        <v>726131456</v>
      </c>
      <c r="AJ59" s="10">
        <v>743064064</v>
      </c>
      <c r="AK59" s="10">
        <v>787814400</v>
      </c>
      <c r="AL59" s="10">
        <v>824880576</v>
      </c>
      <c r="AM59" s="10">
        <v>1458453760</v>
      </c>
      <c r="AN59" s="10">
        <v>1740180480</v>
      </c>
      <c r="AO59" s="10">
        <v>1916994944</v>
      </c>
      <c r="AP59" s="10">
        <v>2061323904</v>
      </c>
      <c r="AQ59" s="10">
        <v>2273224960</v>
      </c>
      <c r="AR59" s="10">
        <v>2576024064</v>
      </c>
      <c r="AS59" s="10">
        <v>2861562368</v>
      </c>
      <c r="AT59" s="10">
        <v>2987684096</v>
      </c>
      <c r="AU59" s="10">
        <v>3077643264</v>
      </c>
      <c r="AV59" s="10">
        <v>3197220352</v>
      </c>
      <c r="AW59" s="10">
        <v>3504024320</v>
      </c>
      <c r="AX59" s="10">
        <v>3555205888</v>
      </c>
      <c r="AY59" s="10">
        <v>3878662656</v>
      </c>
      <c r="AZ59" s="10">
        <v>4280443648</v>
      </c>
    </row>
    <row r="60" spans="1:52" x14ac:dyDescent="0.45">
      <c r="A60" t="s">
        <v>189</v>
      </c>
      <c r="B60" t="s">
        <v>126</v>
      </c>
      <c r="C60" s="10">
        <v>331200000</v>
      </c>
      <c r="D60" s="10">
        <v>362800000</v>
      </c>
      <c r="E60" s="10">
        <v>372000000</v>
      </c>
      <c r="F60" s="10">
        <v>466800000</v>
      </c>
      <c r="G60" s="10">
        <v>565400000</v>
      </c>
      <c r="H60" s="10">
        <v>681400000</v>
      </c>
      <c r="I60" s="10">
        <v>879000000</v>
      </c>
      <c r="J60" s="10">
        <v>947000000</v>
      </c>
      <c r="K60" s="10">
        <v>974200000</v>
      </c>
      <c r="L60" s="10">
        <v>1080600064</v>
      </c>
      <c r="M60" s="10">
        <v>1383800064</v>
      </c>
      <c r="N60" s="10">
        <v>1479399936</v>
      </c>
      <c r="O60" s="10">
        <v>1474200064</v>
      </c>
      <c r="P60" s="10">
        <v>1623600000</v>
      </c>
      <c r="Q60" s="10">
        <v>1816199936</v>
      </c>
      <c r="R60" s="10">
        <v>2009400064</v>
      </c>
      <c r="S60" s="10">
        <v>2318000128</v>
      </c>
      <c r="T60" s="10">
        <v>2047200000</v>
      </c>
      <c r="U60" s="10">
        <v>2613926912</v>
      </c>
      <c r="V60" s="10">
        <v>2736243712</v>
      </c>
      <c r="W60" s="10">
        <v>3096289792</v>
      </c>
      <c r="X60" s="10">
        <v>3473540608</v>
      </c>
      <c r="Y60" s="10">
        <v>2257121792</v>
      </c>
      <c r="Z60" s="10">
        <v>1878248704</v>
      </c>
      <c r="AA60" s="10">
        <v>2167564288</v>
      </c>
      <c r="AB60" s="10">
        <v>2813313280</v>
      </c>
      <c r="AC60" s="10">
        <v>2907514624</v>
      </c>
      <c r="AD60" s="10">
        <v>3338938880</v>
      </c>
      <c r="AE60" s="10">
        <v>3723909120</v>
      </c>
      <c r="AF60" s="10">
        <v>4153736448</v>
      </c>
      <c r="AG60" s="10">
        <v>3953846272</v>
      </c>
      <c r="AH60" s="10">
        <v>3596442880</v>
      </c>
      <c r="AI60" s="10">
        <v>3472192000</v>
      </c>
      <c r="AJ60" s="10">
        <v>2960306176</v>
      </c>
      <c r="AK60" s="10">
        <v>3537720320</v>
      </c>
      <c r="AL60" s="10">
        <v>4310358016</v>
      </c>
      <c r="AM60" s="10">
        <v>4756204032</v>
      </c>
      <c r="AN60" s="10">
        <v>5885325824</v>
      </c>
      <c r="AO60" s="10">
        <v>6548530688</v>
      </c>
      <c r="AP60" s="10">
        <v>6584649216</v>
      </c>
      <c r="AQ60" s="10">
        <v>6622541312</v>
      </c>
      <c r="AR60" s="10">
        <v>7516834304</v>
      </c>
      <c r="AS60" s="10">
        <v>7890647040</v>
      </c>
      <c r="AT60" s="10">
        <v>8485076992</v>
      </c>
      <c r="AU60" s="10">
        <v>8775444480</v>
      </c>
      <c r="AV60" s="10">
        <v>8724656128</v>
      </c>
      <c r="AW60" s="10">
        <v>7970649088</v>
      </c>
      <c r="AX60" s="10">
        <v>8409497600</v>
      </c>
      <c r="AY60" s="10">
        <v>9658721280</v>
      </c>
      <c r="AZ60" s="10">
        <v>8498981888</v>
      </c>
    </row>
    <row r="61" spans="1:52" x14ac:dyDescent="0.45">
      <c r="A61" t="s">
        <v>189</v>
      </c>
      <c r="B61" t="s">
        <v>127</v>
      </c>
      <c r="C61" s="10">
        <v>723000000</v>
      </c>
      <c r="D61" s="10">
        <v>731000000</v>
      </c>
      <c r="E61" s="10">
        <v>802999936</v>
      </c>
      <c r="F61" s="10">
        <v>912499968</v>
      </c>
      <c r="G61" s="10">
        <v>1034499968</v>
      </c>
      <c r="H61" s="10">
        <v>1124000000</v>
      </c>
      <c r="I61" s="10">
        <v>1348000000</v>
      </c>
      <c r="J61" s="10">
        <v>1669499904</v>
      </c>
      <c r="K61" s="10">
        <v>3097242112</v>
      </c>
      <c r="L61" s="10">
        <v>3544281856</v>
      </c>
      <c r="M61" s="10">
        <v>3968160000</v>
      </c>
      <c r="N61" s="10">
        <v>4043894784</v>
      </c>
      <c r="O61" s="10">
        <v>4266503424</v>
      </c>
      <c r="P61" s="10">
        <v>4476697088</v>
      </c>
      <c r="Q61" s="10">
        <v>4915311616</v>
      </c>
      <c r="R61" s="10">
        <v>5278120960</v>
      </c>
      <c r="S61" s="10">
        <v>5677829120</v>
      </c>
      <c r="T61" s="10">
        <v>6190521344</v>
      </c>
      <c r="U61" s="10">
        <v>5902716928</v>
      </c>
      <c r="V61" s="10">
        <v>5432345088</v>
      </c>
      <c r="W61" s="10">
        <v>4923009536</v>
      </c>
      <c r="X61" s="10">
        <v>4648668672</v>
      </c>
      <c r="Y61" s="10">
        <v>4943700480</v>
      </c>
      <c r="Z61" s="10">
        <v>4926728704</v>
      </c>
      <c r="AA61" s="10">
        <v>4642280448</v>
      </c>
      <c r="AB61" s="10">
        <v>5347445248</v>
      </c>
      <c r="AC61" s="10">
        <v>5215028736</v>
      </c>
      <c r="AD61" s="10">
        <v>5737099776</v>
      </c>
      <c r="AE61" s="10">
        <v>6366340096</v>
      </c>
      <c r="AF61" s="10">
        <v>6414520320</v>
      </c>
      <c r="AG61" s="10">
        <v>7103507968</v>
      </c>
      <c r="AH61" s="10">
        <v>7565870080</v>
      </c>
      <c r="AI61" s="10">
        <v>7775078400</v>
      </c>
      <c r="AJ61" s="10">
        <v>8140271104</v>
      </c>
      <c r="AK61" s="10">
        <v>8772146176</v>
      </c>
      <c r="AL61" s="10">
        <v>9672035328</v>
      </c>
      <c r="AM61" s="10">
        <v>10841742336</v>
      </c>
      <c r="AN61" s="10">
        <v>12275502080</v>
      </c>
      <c r="AO61" s="10">
        <v>13789715456</v>
      </c>
      <c r="AP61" s="10">
        <v>14587496448</v>
      </c>
      <c r="AQ61" s="10">
        <v>15839344640</v>
      </c>
      <c r="AR61" s="10">
        <v>17710315520</v>
      </c>
      <c r="AS61" s="10">
        <v>18528602112</v>
      </c>
      <c r="AT61" s="10">
        <v>18499710976</v>
      </c>
      <c r="AU61" s="10">
        <v>19756494848</v>
      </c>
      <c r="AV61" s="10">
        <v>20979767296</v>
      </c>
      <c r="AW61" s="10">
        <v>21717622784</v>
      </c>
      <c r="AX61" s="10">
        <v>23136231424</v>
      </c>
      <c r="AY61" s="10">
        <v>24024188928</v>
      </c>
      <c r="AZ61" s="10">
        <v>25095395328</v>
      </c>
    </row>
    <row r="62" spans="1:52" x14ac:dyDescent="0.45">
      <c r="A62" t="s">
        <v>189</v>
      </c>
      <c r="B62" t="s">
        <v>204</v>
      </c>
      <c r="C62" s="10">
        <v>1404776064</v>
      </c>
      <c r="D62" s="10">
        <v>1539865472</v>
      </c>
      <c r="E62" s="10">
        <v>1875048832</v>
      </c>
      <c r="F62" s="10">
        <v>1905917568</v>
      </c>
      <c r="G62" s="10">
        <v>2375096320</v>
      </c>
      <c r="H62" s="10">
        <v>2860411392</v>
      </c>
      <c r="I62" s="10">
        <v>2966010112</v>
      </c>
      <c r="J62" s="10">
        <v>3249697280</v>
      </c>
      <c r="K62" s="10">
        <v>2644449280</v>
      </c>
      <c r="L62" s="10">
        <v>2425033984</v>
      </c>
      <c r="M62" s="10">
        <v>2679409408</v>
      </c>
      <c r="N62" s="10">
        <v>2979061504</v>
      </c>
      <c r="O62" s="10">
        <v>3293533184</v>
      </c>
      <c r="P62" s="10">
        <v>3619294208</v>
      </c>
      <c r="Q62" s="10">
        <v>2373566976</v>
      </c>
      <c r="R62" s="10">
        <v>2100223104</v>
      </c>
      <c r="S62" s="10">
        <v>2754566144</v>
      </c>
      <c r="T62" s="10">
        <v>3286987520</v>
      </c>
      <c r="U62" s="10">
        <v>3828310784</v>
      </c>
      <c r="V62" s="10">
        <v>4404969984</v>
      </c>
      <c r="W62" s="10">
        <v>4592224256</v>
      </c>
      <c r="X62" s="10">
        <v>4071219200</v>
      </c>
      <c r="Y62" s="10">
        <v>3530892800</v>
      </c>
      <c r="Z62" s="10">
        <v>5405097472</v>
      </c>
      <c r="AA62" s="10">
        <v>5419134976</v>
      </c>
      <c r="AB62" s="10">
        <v>6538840064</v>
      </c>
      <c r="AC62" s="10">
        <v>7368000000</v>
      </c>
      <c r="AD62" s="10">
        <v>8375077376</v>
      </c>
      <c r="AE62" s="10">
        <v>8763219968</v>
      </c>
      <c r="AF62" s="10">
        <v>8851581952</v>
      </c>
      <c r="AG62" s="10">
        <v>8985353216</v>
      </c>
      <c r="AH62" s="10">
        <v>9178016768</v>
      </c>
      <c r="AI62" s="10">
        <v>9694170112</v>
      </c>
      <c r="AJ62" s="10">
        <v>9399447552</v>
      </c>
      <c r="AK62" s="10">
        <v>10150978560</v>
      </c>
      <c r="AL62" s="10">
        <v>11204415488</v>
      </c>
      <c r="AM62" s="10">
        <v>11901912064</v>
      </c>
      <c r="AN62" s="10">
        <v>12827809792</v>
      </c>
      <c r="AO62" s="10">
        <v>13680482304</v>
      </c>
      <c r="AP62" s="10">
        <v>12067478528</v>
      </c>
      <c r="AQ62" s="10">
        <v>13220556800</v>
      </c>
      <c r="AR62" s="10">
        <v>14444655616</v>
      </c>
      <c r="AS62" s="10">
        <v>14807087104</v>
      </c>
      <c r="AT62" s="10">
        <v>14262589440</v>
      </c>
      <c r="AU62" s="10">
        <v>13897804800</v>
      </c>
      <c r="AV62" s="10">
        <v>14187696128</v>
      </c>
      <c r="AW62" s="10">
        <v>14075894784</v>
      </c>
      <c r="AX62" s="10">
        <v>14806340608</v>
      </c>
      <c r="AY62" s="10">
        <v>15713908736</v>
      </c>
      <c r="AZ62" s="10">
        <v>16458071040</v>
      </c>
    </row>
    <row r="63" spans="1:52" x14ac:dyDescent="0.45">
      <c r="A63" t="s">
        <v>189</v>
      </c>
      <c r="B63" t="s">
        <v>134</v>
      </c>
      <c r="C63" s="10">
        <v>35520000000</v>
      </c>
      <c r="D63" s="10">
        <v>39199997952</v>
      </c>
      <c r="E63" s="10">
        <v>45199998976</v>
      </c>
      <c r="F63" s="10">
        <v>55280001024</v>
      </c>
      <c r="G63" s="10">
        <v>71999995904</v>
      </c>
      <c r="H63" s="10">
        <v>88000004096</v>
      </c>
      <c r="I63" s="10">
        <v>89025970176</v>
      </c>
      <c r="J63" s="10">
        <v>81814159360</v>
      </c>
      <c r="K63" s="10">
        <v>102499999744</v>
      </c>
      <c r="L63" s="10">
        <v>134561406976</v>
      </c>
      <c r="M63" s="10">
        <v>205139083264</v>
      </c>
      <c r="N63" s="10">
        <v>263959330816</v>
      </c>
      <c r="O63" s="10">
        <v>184609161216</v>
      </c>
      <c r="P63" s="10">
        <v>156159197184</v>
      </c>
      <c r="Q63" s="10">
        <v>184261492736</v>
      </c>
      <c r="R63" s="10">
        <v>195219783680</v>
      </c>
      <c r="S63" s="10">
        <v>134550093824</v>
      </c>
      <c r="T63" s="10">
        <v>147540738048</v>
      </c>
      <c r="U63" s="10">
        <v>181611544576</v>
      </c>
      <c r="V63" s="10">
        <v>221400662016</v>
      </c>
      <c r="W63" s="10">
        <v>261253578752</v>
      </c>
      <c r="X63" s="10">
        <v>313142771712</v>
      </c>
      <c r="Y63" s="10">
        <v>363157585920</v>
      </c>
      <c r="Z63" s="10">
        <v>500736065536</v>
      </c>
      <c r="AA63" s="10">
        <v>527813246976</v>
      </c>
      <c r="AB63" s="10">
        <v>360073920512</v>
      </c>
      <c r="AC63" s="10">
        <v>410975600640</v>
      </c>
      <c r="AD63" s="10">
        <v>500413497344</v>
      </c>
      <c r="AE63" s="10">
        <v>526502133760</v>
      </c>
      <c r="AF63" s="10">
        <v>600232886272</v>
      </c>
      <c r="AG63" s="10">
        <v>707906764800</v>
      </c>
      <c r="AH63" s="10">
        <v>756706312192</v>
      </c>
      <c r="AI63" s="10">
        <v>772106354688</v>
      </c>
      <c r="AJ63" s="10">
        <v>729336315904</v>
      </c>
      <c r="AK63" s="10">
        <v>782240579584</v>
      </c>
      <c r="AL63" s="10">
        <v>877476249600</v>
      </c>
      <c r="AM63" s="10">
        <v>975387099136</v>
      </c>
      <c r="AN63" s="10">
        <v>1052696313856</v>
      </c>
      <c r="AO63" s="10">
        <v>1109988999168</v>
      </c>
      <c r="AP63" s="10">
        <v>900045340672</v>
      </c>
      <c r="AQ63" s="10">
        <v>1057801306112</v>
      </c>
      <c r="AR63" s="10">
        <v>1180489613312</v>
      </c>
      <c r="AS63" s="10">
        <v>1201089937408</v>
      </c>
      <c r="AT63" s="10">
        <v>1274443071488</v>
      </c>
      <c r="AU63" s="10">
        <v>1314563948544</v>
      </c>
      <c r="AV63" s="10">
        <v>1170564579328</v>
      </c>
      <c r="AW63" s="10">
        <v>1077903622144</v>
      </c>
      <c r="AX63" s="10">
        <v>1157736169472</v>
      </c>
      <c r="AY63" s="10">
        <v>1220699488256</v>
      </c>
      <c r="AZ63" s="10">
        <v>1258286743552</v>
      </c>
    </row>
    <row r="64" spans="1:52" x14ac:dyDescent="0.45">
      <c r="A64" t="s">
        <v>189</v>
      </c>
      <c r="B64" t="s">
        <v>136</v>
      </c>
      <c r="C64" s="10">
        <v>776585664</v>
      </c>
      <c r="D64" s="10">
        <v>826571392</v>
      </c>
      <c r="E64" s="10">
        <v>880842880</v>
      </c>
      <c r="F64" s="10">
        <v>1093571456</v>
      </c>
      <c r="G64" s="10">
        <v>1520900096</v>
      </c>
      <c r="H64" s="10">
        <v>1590428544</v>
      </c>
      <c r="I64" s="10">
        <v>1847871360</v>
      </c>
      <c r="J64" s="10">
        <v>2239857152</v>
      </c>
      <c r="K64" s="10">
        <v>2142128640</v>
      </c>
      <c r="L64" s="10">
        <v>1527852672</v>
      </c>
      <c r="M64" s="10">
        <v>2189347328</v>
      </c>
      <c r="N64" s="10">
        <v>2448290048</v>
      </c>
      <c r="O64" s="10">
        <v>2465165056</v>
      </c>
      <c r="P64" s="10">
        <v>2743341824</v>
      </c>
      <c r="Q64" s="10">
        <v>3105517056</v>
      </c>
      <c r="R64" s="10">
        <v>2683816192</v>
      </c>
      <c r="S64" s="10">
        <v>2885710592</v>
      </c>
      <c r="T64" s="10">
        <v>3851213824</v>
      </c>
      <c r="U64" s="10">
        <v>2630904320</v>
      </c>
      <c r="V64" s="10">
        <v>1013184768</v>
      </c>
      <c r="W64" s="10">
        <v>1009455488</v>
      </c>
      <c r="X64" s="10">
        <v>1488804096</v>
      </c>
      <c r="Y64" s="10">
        <v>1792800000</v>
      </c>
      <c r="Z64" s="10">
        <v>1756454272</v>
      </c>
      <c r="AA64" s="10">
        <v>3863185152</v>
      </c>
      <c r="AB64" s="10">
        <v>4140470016</v>
      </c>
      <c r="AC64" s="10">
        <v>4308352000</v>
      </c>
      <c r="AD64" s="10">
        <v>4389965824</v>
      </c>
      <c r="AE64" s="10">
        <v>4635267072</v>
      </c>
      <c r="AF64" s="10">
        <v>4855717888</v>
      </c>
      <c r="AG64" s="10">
        <v>5107329024</v>
      </c>
      <c r="AH64" s="10">
        <v>5323146752</v>
      </c>
      <c r="AI64" s="10">
        <v>5224212992</v>
      </c>
      <c r="AJ64" s="10">
        <v>5322455040</v>
      </c>
      <c r="AK64" s="10">
        <v>5795568128</v>
      </c>
      <c r="AL64" s="10">
        <v>6321335808</v>
      </c>
      <c r="AM64" s="10">
        <v>6763418624</v>
      </c>
      <c r="AN64" s="10">
        <v>7423367680</v>
      </c>
      <c r="AO64" s="10">
        <v>8496946688</v>
      </c>
      <c r="AP64" s="10">
        <v>8298679808</v>
      </c>
      <c r="AQ64" s="10">
        <v>8758638592</v>
      </c>
      <c r="AR64" s="10">
        <v>9774262272</v>
      </c>
      <c r="AS64" s="10">
        <v>10531963904</v>
      </c>
      <c r="AT64" s="10">
        <v>10982979584</v>
      </c>
      <c r="AU64" s="10">
        <v>11880472576</v>
      </c>
      <c r="AV64" s="10">
        <v>12756706304</v>
      </c>
      <c r="AW64" s="10">
        <v>13286048768</v>
      </c>
      <c r="AX64" s="10">
        <v>13785943040</v>
      </c>
      <c r="AY64" s="10">
        <v>13063873536</v>
      </c>
      <c r="AZ64" s="10">
        <v>12520914944</v>
      </c>
    </row>
    <row r="65" spans="1:52" x14ac:dyDescent="0.45">
      <c r="A65" t="s">
        <v>189</v>
      </c>
      <c r="B65" t="s">
        <v>140</v>
      </c>
      <c r="C65" s="10">
        <v>1351006464</v>
      </c>
      <c r="D65" s="10">
        <v>1523917184</v>
      </c>
      <c r="E65" s="10">
        <v>1673411712</v>
      </c>
      <c r="F65" s="10">
        <v>1913793408</v>
      </c>
      <c r="G65" s="10">
        <v>2188307712</v>
      </c>
      <c r="H65" s="10">
        <v>2435304192</v>
      </c>
      <c r="I65" s="10">
        <v>2588105984</v>
      </c>
      <c r="J65" s="10">
        <v>2738262016</v>
      </c>
      <c r="K65" s="10">
        <v>3244558592</v>
      </c>
      <c r="L65" s="10">
        <v>3704551680</v>
      </c>
      <c r="M65" s="10">
        <v>4614086656</v>
      </c>
      <c r="N65" s="10">
        <v>5222421504</v>
      </c>
      <c r="O65" s="10">
        <v>5769767936</v>
      </c>
      <c r="P65" s="10">
        <v>5923756032</v>
      </c>
      <c r="Q65" s="10">
        <v>6183387136</v>
      </c>
      <c r="R65" s="10">
        <v>6541517312</v>
      </c>
      <c r="S65" s="10">
        <v>6797834240</v>
      </c>
      <c r="T65" s="10">
        <v>6827665408</v>
      </c>
      <c r="U65" s="10">
        <v>5902783488</v>
      </c>
      <c r="V65" s="10">
        <v>5918469632</v>
      </c>
      <c r="W65" s="10">
        <v>6433967104</v>
      </c>
      <c r="X65" s="10">
        <v>7074675712</v>
      </c>
      <c r="Y65" s="10">
        <v>8042337792</v>
      </c>
      <c r="Z65" s="10">
        <v>8782585856</v>
      </c>
      <c r="AA65" s="10">
        <v>9365289984</v>
      </c>
      <c r="AB65" s="10">
        <v>9573813248</v>
      </c>
      <c r="AC65" s="10">
        <v>9870493696</v>
      </c>
      <c r="AD65" s="10">
        <v>10677285888</v>
      </c>
      <c r="AE65" s="10">
        <v>11575486464</v>
      </c>
      <c r="AF65" s="10">
        <v>12130251776</v>
      </c>
      <c r="AG65" s="10">
        <v>12304114688</v>
      </c>
      <c r="AH65" s="10">
        <v>12502012928</v>
      </c>
      <c r="AI65" s="10">
        <v>12994310144</v>
      </c>
      <c r="AJ65" s="10">
        <v>13693981696</v>
      </c>
      <c r="AK65" s="10">
        <v>15013382144</v>
      </c>
      <c r="AL65" s="10">
        <v>16374393856</v>
      </c>
      <c r="AM65" s="10">
        <v>18141665280</v>
      </c>
      <c r="AN65" s="10">
        <v>21295984640</v>
      </c>
      <c r="AO65" s="10">
        <v>25155889152</v>
      </c>
      <c r="AP65" s="10">
        <v>27116636160</v>
      </c>
      <c r="AQ65" s="10">
        <v>29440299008</v>
      </c>
      <c r="AR65" s="10">
        <v>34686201856</v>
      </c>
      <c r="AS65" s="10">
        <v>40429699072</v>
      </c>
      <c r="AT65" s="10">
        <v>45599997952</v>
      </c>
      <c r="AU65" s="10">
        <v>49921499136</v>
      </c>
      <c r="AV65" s="10">
        <v>54091698176</v>
      </c>
      <c r="AW65" s="10">
        <v>57907699712</v>
      </c>
      <c r="AX65" s="10">
        <v>62219001856</v>
      </c>
      <c r="AY65" s="10">
        <v>65128198144</v>
      </c>
      <c r="AZ65" s="10">
        <v>66800799744</v>
      </c>
    </row>
    <row r="66" spans="1:52" x14ac:dyDescent="0.45">
      <c r="A66" t="s">
        <v>189</v>
      </c>
      <c r="B66" t="s">
        <v>205</v>
      </c>
      <c r="C66" s="10">
        <v>594611136</v>
      </c>
      <c r="D66" s="10">
        <v>664571456</v>
      </c>
      <c r="E66" s="10">
        <v>769039680</v>
      </c>
      <c r="F66" s="10">
        <v>995531776</v>
      </c>
      <c r="G66" s="10">
        <v>1333475456</v>
      </c>
      <c r="H66" s="10">
        <v>1511420672</v>
      </c>
      <c r="I66" s="10">
        <v>1698960256</v>
      </c>
      <c r="J66" s="10">
        <v>2092158720</v>
      </c>
      <c r="K66" s="10">
        <v>2559857152</v>
      </c>
      <c r="L66" s="10">
        <v>3416777728</v>
      </c>
      <c r="M66" s="10">
        <v>4448087552</v>
      </c>
      <c r="N66" s="10">
        <v>5624516096</v>
      </c>
      <c r="O66" s="10">
        <v>5419411968</v>
      </c>
      <c r="P66" s="10">
        <v>5673248768</v>
      </c>
      <c r="Q66" s="10">
        <v>4502462976</v>
      </c>
      <c r="R66" s="10">
        <v>3282449152</v>
      </c>
      <c r="S66" s="10">
        <v>3723993856</v>
      </c>
      <c r="T66" s="10">
        <v>3971044608</v>
      </c>
      <c r="U66" s="10">
        <v>4255683584</v>
      </c>
      <c r="V66" s="10">
        <v>4757732352</v>
      </c>
      <c r="W66" s="10">
        <v>5812114432</v>
      </c>
      <c r="X66" s="10">
        <v>6984367616</v>
      </c>
      <c r="Y66" s="10">
        <v>7157424128</v>
      </c>
      <c r="Z66" s="10">
        <v>7249533440</v>
      </c>
      <c r="AA66" s="10">
        <v>7870982144</v>
      </c>
      <c r="AB66" s="10">
        <v>9062131712</v>
      </c>
      <c r="AC66" s="10">
        <v>9788391424</v>
      </c>
      <c r="AD66" s="10">
        <v>9965225984</v>
      </c>
      <c r="AE66" s="10">
        <v>9260481536</v>
      </c>
      <c r="AF66" s="10">
        <v>8837069824</v>
      </c>
      <c r="AG66" s="10">
        <v>8855705600</v>
      </c>
      <c r="AH66" s="10">
        <v>8495806464</v>
      </c>
      <c r="AI66" s="10">
        <v>7196260864</v>
      </c>
      <c r="AJ66" s="10">
        <v>7691367424</v>
      </c>
      <c r="AK66" s="10">
        <v>9624440832</v>
      </c>
      <c r="AL66" s="10">
        <v>10737500160</v>
      </c>
      <c r="AM66" s="10">
        <v>13429430272</v>
      </c>
      <c r="AN66" s="10">
        <v>17856270336</v>
      </c>
      <c r="AO66" s="10">
        <v>24578068480</v>
      </c>
      <c r="AP66" s="10">
        <v>22341754880</v>
      </c>
      <c r="AQ66" s="10">
        <v>27215968256</v>
      </c>
      <c r="AR66" s="10">
        <v>33715525632</v>
      </c>
      <c r="AS66" s="10">
        <v>33283229696</v>
      </c>
      <c r="AT66" s="10">
        <v>38585319424</v>
      </c>
      <c r="AU66" s="10">
        <v>40276533248</v>
      </c>
      <c r="AV66" s="10">
        <v>36164067328</v>
      </c>
      <c r="AW66" s="10">
        <v>36054282240</v>
      </c>
      <c r="AX66" s="10">
        <v>39008899072</v>
      </c>
      <c r="AY66" s="10">
        <v>40384692224</v>
      </c>
      <c r="AZ66" s="10">
        <v>38145290240</v>
      </c>
    </row>
    <row r="67" spans="1:52" x14ac:dyDescent="0.45">
      <c r="A67" t="s">
        <v>189</v>
      </c>
      <c r="B67" t="s">
        <v>142</v>
      </c>
      <c r="C67" s="10">
        <v>7432223232</v>
      </c>
      <c r="D67" s="10">
        <v>8289583104</v>
      </c>
      <c r="E67" s="10">
        <v>9189413888</v>
      </c>
      <c r="F67" s="10">
        <v>10994381824</v>
      </c>
      <c r="G67" s="10">
        <v>13858441216</v>
      </c>
      <c r="H67" s="10">
        <v>16877163520</v>
      </c>
      <c r="I67" s="10">
        <v>15947709440</v>
      </c>
      <c r="J67" s="10">
        <v>14620386304</v>
      </c>
      <c r="K67" s="10">
        <v>12495779840</v>
      </c>
      <c r="L67" s="10">
        <v>15962459136</v>
      </c>
      <c r="M67" s="10">
        <v>18134028288</v>
      </c>
      <c r="N67" s="10">
        <v>21649137664</v>
      </c>
      <c r="O67" s="10">
        <v>21793497088</v>
      </c>
      <c r="P67" s="10">
        <v>17345624064</v>
      </c>
      <c r="Q67" s="10">
        <v>17599660032</v>
      </c>
      <c r="R67" s="10">
        <v>16548827136</v>
      </c>
      <c r="S67" s="10">
        <v>15244232704</v>
      </c>
      <c r="T67" s="10">
        <v>20702298112</v>
      </c>
      <c r="U67" s="10">
        <v>15439408128</v>
      </c>
      <c r="V67" s="10">
        <v>22499559424</v>
      </c>
      <c r="W67" s="10">
        <v>26410387456</v>
      </c>
      <c r="X67" s="10">
        <v>34341466112</v>
      </c>
      <c r="Y67" s="10">
        <v>35966304256</v>
      </c>
      <c r="Z67" s="10">
        <v>34832076800</v>
      </c>
      <c r="AA67" s="10">
        <v>44882079744</v>
      </c>
      <c r="AB67" s="10">
        <v>53312794624</v>
      </c>
      <c r="AC67" s="10">
        <v>55252414464</v>
      </c>
      <c r="AD67" s="10">
        <v>58147520512</v>
      </c>
      <c r="AE67" s="10">
        <v>55501467648</v>
      </c>
      <c r="AF67" s="10">
        <v>50187325440</v>
      </c>
      <c r="AG67" s="10">
        <v>51744747520</v>
      </c>
      <c r="AH67" s="10">
        <v>52030156800</v>
      </c>
      <c r="AI67" s="10">
        <v>54777552896</v>
      </c>
      <c r="AJ67" s="10">
        <v>58731028480</v>
      </c>
      <c r="AK67" s="10">
        <v>66768703488</v>
      </c>
      <c r="AL67" s="10">
        <v>76060606464</v>
      </c>
      <c r="AM67" s="10">
        <v>88643190784</v>
      </c>
      <c r="AN67" s="10">
        <v>102170984448</v>
      </c>
      <c r="AO67" s="10">
        <v>120550596608</v>
      </c>
      <c r="AP67" s="10">
        <v>120822988800</v>
      </c>
      <c r="AQ67" s="10">
        <v>147528941568</v>
      </c>
      <c r="AR67" s="10">
        <v>171761729536</v>
      </c>
      <c r="AS67" s="10">
        <v>192649003008</v>
      </c>
      <c r="AT67" s="10">
        <v>201175465984</v>
      </c>
      <c r="AU67" s="10">
        <v>200789360640</v>
      </c>
      <c r="AV67" s="10">
        <v>189805297664</v>
      </c>
      <c r="AW67" s="10">
        <v>191895945216</v>
      </c>
      <c r="AX67" s="10">
        <v>211007209472</v>
      </c>
      <c r="AY67" s="10">
        <v>222044962816</v>
      </c>
      <c r="AZ67" s="10">
        <v>226848047104</v>
      </c>
    </row>
    <row r="68" spans="1:52" x14ac:dyDescent="0.45">
      <c r="A68" t="s">
        <v>189</v>
      </c>
      <c r="B68" t="s">
        <v>144</v>
      </c>
      <c r="C68" s="10">
        <v>5034699776</v>
      </c>
      <c r="D68" s="10">
        <v>5646799872</v>
      </c>
      <c r="E68" s="10">
        <v>6328900096</v>
      </c>
      <c r="F68" s="10">
        <v>7002399744</v>
      </c>
      <c r="G68" s="10">
        <v>7684800000</v>
      </c>
      <c r="H68" s="10">
        <v>8198300160</v>
      </c>
      <c r="I68" s="10">
        <v>8968599552</v>
      </c>
      <c r="J68" s="10">
        <v>9910899712</v>
      </c>
      <c r="K68" s="10">
        <v>11164999680</v>
      </c>
      <c r="L68" s="10">
        <v>12750000128</v>
      </c>
      <c r="M68" s="10">
        <v>14436100096</v>
      </c>
      <c r="N68" s="10">
        <v>15955699712</v>
      </c>
      <c r="O68" s="10">
        <v>16764199936</v>
      </c>
      <c r="P68" s="10">
        <v>17276600320</v>
      </c>
      <c r="Q68" s="10">
        <v>19162599424</v>
      </c>
      <c r="R68" s="10">
        <v>20289200128</v>
      </c>
      <c r="S68" s="10">
        <v>22009300992</v>
      </c>
      <c r="T68" s="10">
        <v>24025800704</v>
      </c>
      <c r="U68" s="10">
        <v>26385799168</v>
      </c>
      <c r="V68" s="10">
        <v>28161200128</v>
      </c>
      <c r="W68" s="10">
        <v>30603919360</v>
      </c>
      <c r="X68" s="10">
        <v>32287031296</v>
      </c>
      <c r="Y68" s="10">
        <v>34630430720</v>
      </c>
      <c r="Z68" s="10">
        <v>36922454016</v>
      </c>
      <c r="AA68" s="10">
        <v>39690629120</v>
      </c>
      <c r="AB68" s="10">
        <v>42647330816</v>
      </c>
      <c r="AC68" s="10">
        <v>45340835840</v>
      </c>
      <c r="AD68" s="10">
        <v>48187039744</v>
      </c>
      <c r="AE68" s="10">
        <v>54086402048</v>
      </c>
      <c r="AF68" s="10">
        <v>57841000448</v>
      </c>
      <c r="AG68" s="10">
        <v>61701799936</v>
      </c>
      <c r="AH68" s="10">
        <v>69208399872</v>
      </c>
      <c r="AI68" s="10">
        <v>71623499776</v>
      </c>
      <c r="AJ68" s="10">
        <v>74827399168</v>
      </c>
      <c r="AK68" s="10">
        <v>80322314240</v>
      </c>
      <c r="AL68" s="10">
        <v>83914522624</v>
      </c>
      <c r="AM68" s="10">
        <v>87276167168</v>
      </c>
      <c r="AN68" s="10">
        <v>89524133888</v>
      </c>
      <c r="AO68" s="10">
        <v>93639303168</v>
      </c>
      <c r="AP68" s="10">
        <v>96385597440</v>
      </c>
      <c r="AQ68" s="10">
        <v>98381299712</v>
      </c>
      <c r="AR68" s="10">
        <v>100351696896</v>
      </c>
      <c r="AS68" s="10">
        <v>101564801024</v>
      </c>
      <c r="AT68" s="10">
        <v>102450003968</v>
      </c>
      <c r="AU68" s="10">
        <v>102445801472</v>
      </c>
      <c r="AV68" s="10">
        <v>103375503360</v>
      </c>
      <c r="AW68" s="10">
        <v>104336703488</v>
      </c>
      <c r="AX68" s="10">
        <v>103445504000</v>
      </c>
      <c r="AY68" s="10">
        <v>100979900416</v>
      </c>
      <c r="AZ68" s="10">
        <v>104988598272</v>
      </c>
    </row>
    <row r="69" spans="1:52" x14ac:dyDescent="0.45">
      <c r="A69" t="s">
        <v>189</v>
      </c>
      <c r="B69" t="s">
        <v>151</v>
      </c>
      <c r="C69" s="10">
        <v>274900000</v>
      </c>
      <c r="D69" s="10">
        <v>301000000</v>
      </c>
      <c r="E69" s="10">
        <v>311950016</v>
      </c>
      <c r="F69" s="10">
        <v>339449984</v>
      </c>
      <c r="G69" s="10">
        <v>409849984</v>
      </c>
      <c r="H69" s="10">
        <v>465500000</v>
      </c>
      <c r="I69" s="10">
        <v>505500000</v>
      </c>
      <c r="J69" s="10">
        <v>641500032</v>
      </c>
      <c r="K69" s="10">
        <v>735500032</v>
      </c>
      <c r="L69" s="10">
        <v>782499968</v>
      </c>
      <c r="M69" s="10">
        <v>795000000</v>
      </c>
      <c r="N69" s="10">
        <v>889000000</v>
      </c>
      <c r="O69" s="10">
        <v>915000000</v>
      </c>
      <c r="P69" s="10">
        <v>883500032</v>
      </c>
      <c r="Q69" s="10">
        <v>864000000</v>
      </c>
      <c r="R69" s="10">
        <v>873000000</v>
      </c>
      <c r="S69" s="10">
        <v>891000000</v>
      </c>
      <c r="T69" s="10">
        <v>980000000</v>
      </c>
      <c r="U69" s="10">
        <v>1160999936</v>
      </c>
      <c r="V69" s="10">
        <v>542600000</v>
      </c>
      <c r="W69" s="10">
        <v>388400000</v>
      </c>
      <c r="X69" s="10">
        <v>448100000</v>
      </c>
      <c r="Y69" s="10">
        <v>404600000</v>
      </c>
      <c r="Z69" s="10">
        <v>428764704</v>
      </c>
      <c r="AA69" s="10">
        <v>605492544</v>
      </c>
      <c r="AB69" s="10">
        <v>691590528</v>
      </c>
      <c r="AC69" s="10">
        <v>861411456</v>
      </c>
      <c r="AD69" s="10">
        <v>926422528</v>
      </c>
      <c r="AE69" s="10">
        <v>1110850048</v>
      </c>
      <c r="AF69" s="10">
        <v>886290688</v>
      </c>
      <c r="AG69" s="10">
        <v>947672000</v>
      </c>
      <c r="AH69" s="10">
        <v>834279360</v>
      </c>
      <c r="AI69" s="10">
        <v>1093574528</v>
      </c>
      <c r="AJ69" s="10">
        <v>1274190336</v>
      </c>
      <c r="AK69" s="10">
        <v>1484092544</v>
      </c>
      <c r="AL69" s="10">
        <v>1793388672</v>
      </c>
      <c r="AM69" s="10">
        <v>2626380544</v>
      </c>
      <c r="AN69" s="10">
        <v>2936612096</v>
      </c>
      <c r="AO69" s="10">
        <v>3532968960</v>
      </c>
      <c r="AP69" s="10">
        <v>3875409920</v>
      </c>
      <c r="AQ69" s="10">
        <v>4368397824</v>
      </c>
      <c r="AR69" s="10">
        <v>4422276608</v>
      </c>
      <c r="AS69" s="10">
        <v>4979999744</v>
      </c>
      <c r="AT69" s="10">
        <v>5145757696</v>
      </c>
      <c r="AU69" s="10">
        <v>5240606208</v>
      </c>
      <c r="AV69" s="10">
        <v>4787367936</v>
      </c>
      <c r="AW69" s="10">
        <v>3128953600</v>
      </c>
      <c r="AX69" s="10">
        <v>3210064384</v>
      </c>
      <c r="AY69" s="10">
        <v>3458090496</v>
      </c>
      <c r="AZ69" s="10">
        <v>3985250816</v>
      </c>
    </row>
    <row r="70" spans="1:52" x14ac:dyDescent="0.45">
      <c r="A70" t="s">
        <v>189</v>
      </c>
      <c r="B70" t="s">
        <v>154</v>
      </c>
      <c r="C70" s="10">
        <v>821849984</v>
      </c>
      <c r="D70" s="10">
        <v>896754304</v>
      </c>
      <c r="E70" s="10">
        <v>1083380992</v>
      </c>
      <c r="F70" s="10">
        <v>1308799488</v>
      </c>
      <c r="G70" s="10">
        <v>2042031872</v>
      </c>
      <c r="H70" s="10">
        <v>2442667520</v>
      </c>
      <c r="I70" s="10">
        <v>2500410624</v>
      </c>
      <c r="J70" s="10">
        <v>3138666752</v>
      </c>
      <c r="K70" s="10">
        <v>3562333440</v>
      </c>
      <c r="L70" s="10">
        <v>4602416640</v>
      </c>
      <c r="M70" s="10">
        <v>6235833344</v>
      </c>
      <c r="N70" s="10">
        <v>6992083456</v>
      </c>
      <c r="O70" s="10">
        <v>8140416512</v>
      </c>
      <c r="P70" s="10">
        <v>7763749888</v>
      </c>
      <c r="Q70" s="10">
        <v>7757083136</v>
      </c>
      <c r="R70" s="10">
        <v>7375918592</v>
      </c>
      <c r="S70" s="10">
        <v>4794444288</v>
      </c>
      <c r="T70" s="10">
        <v>4797777920</v>
      </c>
      <c r="U70" s="10">
        <v>4496851968</v>
      </c>
      <c r="V70" s="10">
        <v>4323058688</v>
      </c>
      <c r="W70" s="10">
        <v>5068000256</v>
      </c>
      <c r="X70" s="10">
        <v>5307906048</v>
      </c>
      <c r="Y70" s="10">
        <v>5439553024</v>
      </c>
      <c r="Z70" s="10">
        <v>4669488640</v>
      </c>
      <c r="AA70" s="10">
        <v>4947205632</v>
      </c>
      <c r="AB70" s="10">
        <v>5329213952</v>
      </c>
      <c r="AC70" s="10">
        <v>5759537664</v>
      </c>
      <c r="AD70" s="10">
        <v>5737751552</v>
      </c>
      <c r="AE70" s="10">
        <v>6043694080</v>
      </c>
      <c r="AF70" s="10">
        <v>6808982528</v>
      </c>
      <c r="AG70" s="10">
        <v>8154338304</v>
      </c>
      <c r="AH70" s="10">
        <v>8824872960</v>
      </c>
      <c r="AI70" s="10">
        <v>9008273408</v>
      </c>
      <c r="AJ70" s="10">
        <v>11305459712</v>
      </c>
      <c r="AK70" s="10">
        <v>13280275456</v>
      </c>
      <c r="AL70" s="10">
        <v>15982282752</v>
      </c>
      <c r="AM70" s="10">
        <v>18369361920</v>
      </c>
      <c r="AN70" s="10">
        <v>21641619456</v>
      </c>
      <c r="AO70" s="10">
        <v>27871588352</v>
      </c>
      <c r="AP70" s="10">
        <v>19172165632</v>
      </c>
      <c r="AQ70" s="10">
        <v>22157948928</v>
      </c>
      <c r="AR70" s="10">
        <v>25433012224</v>
      </c>
      <c r="AS70" s="10">
        <v>25763219456</v>
      </c>
      <c r="AT70" s="10">
        <v>27268478976</v>
      </c>
      <c r="AU70" s="10">
        <v>27615842304</v>
      </c>
      <c r="AV70" s="10">
        <v>25062893568</v>
      </c>
      <c r="AW70" s="10">
        <v>22284779520</v>
      </c>
      <c r="AX70" s="10">
        <v>22474827776</v>
      </c>
      <c r="AY70" s="10">
        <v>23808147456</v>
      </c>
      <c r="AZ70" s="10">
        <v>24100202496</v>
      </c>
    </row>
    <row r="71" spans="1:52" x14ac:dyDescent="0.45">
      <c r="A71" t="s">
        <v>189</v>
      </c>
      <c r="B71" t="s">
        <v>156</v>
      </c>
      <c r="C71" s="10">
        <v>2137096832</v>
      </c>
      <c r="D71" s="10">
        <v>2807258112</v>
      </c>
      <c r="E71" s="10">
        <v>2189417984</v>
      </c>
      <c r="F71" s="10">
        <v>3964295680</v>
      </c>
      <c r="G71" s="10">
        <v>4090209792</v>
      </c>
      <c r="H71" s="10">
        <v>3538283264</v>
      </c>
      <c r="I71" s="10">
        <v>3667161344</v>
      </c>
      <c r="J71" s="10">
        <v>4114667008</v>
      </c>
      <c r="K71" s="10">
        <v>4910257152</v>
      </c>
      <c r="L71" s="10">
        <v>7181185024</v>
      </c>
      <c r="M71" s="10">
        <v>10163019776</v>
      </c>
      <c r="N71" s="10">
        <v>11048335360</v>
      </c>
      <c r="O71" s="10">
        <v>9178802176</v>
      </c>
      <c r="P71" s="10">
        <v>5102281216</v>
      </c>
      <c r="Q71" s="10">
        <v>4850241536</v>
      </c>
      <c r="R71" s="10">
        <v>4732017664</v>
      </c>
      <c r="S71" s="10">
        <v>5880112640</v>
      </c>
      <c r="T71" s="10">
        <v>7367494144</v>
      </c>
      <c r="U71" s="10">
        <v>8213515264</v>
      </c>
      <c r="V71" s="10">
        <v>8438951424</v>
      </c>
      <c r="W71" s="10">
        <v>9298839552</v>
      </c>
      <c r="X71" s="10">
        <v>11205970944</v>
      </c>
      <c r="Y71" s="10">
        <v>12878199808</v>
      </c>
      <c r="Z71" s="10">
        <v>15002106880</v>
      </c>
      <c r="AA71" s="10">
        <v>17474648064</v>
      </c>
      <c r="AB71" s="10">
        <v>19297662976</v>
      </c>
      <c r="AC71" s="10">
        <v>20515543040</v>
      </c>
      <c r="AD71" s="10">
        <v>23969822720</v>
      </c>
      <c r="AE71" s="10">
        <v>25385928704</v>
      </c>
      <c r="AF71" s="10">
        <v>23983945728</v>
      </c>
      <c r="AG71" s="10">
        <v>22823256064</v>
      </c>
      <c r="AH71" s="10">
        <v>20898789376</v>
      </c>
      <c r="AI71" s="10">
        <v>13606494208</v>
      </c>
      <c r="AJ71" s="10">
        <v>12045631488</v>
      </c>
      <c r="AK71" s="10">
        <v>13686330368</v>
      </c>
      <c r="AL71" s="10">
        <v>17362857984</v>
      </c>
      <c r="AM71" s="10">
        <v>19579457536</v>
      </c>
      <c r="AN71" s="10">
        <v>23410573312</v>
      </c>
      <c r="AO71" s="10">
        <v>30366212096</v>
      </c>
      <c r="AP71" s="10">
        <v>31660910592</v>
      </c>
      <c r="AQ71" s="10">
        <v>40284483584</v>
      </c>
      <c r="AR71" s="10">
        <v>47962439680</v>
      </c>
      <c r="AS71" s="10">
        <v>51264389120</v>
      </c>
      <c r="AT71" s="10">
        <v>57531232256</v>
      </c>
      <c r="AU71" s="10">
        <v>57236013056</v>
      </c>
      <c r="AV71" s="10">
        <v>53274304512</v>
      </c>
      <c r="AW71" s="10">
        <v>52687613952</v>
      </c>
      <c r="AX71" s="10">
        <v>59530088448</v>
      </c>
      <c r="AY71" s="10">
        <v>59596886016</v>
      </c>
      <c r="AZ71" s="10">
        <v>56045912064</v>
      </c>
    </row>
    <row r="72" spans="1:52" x14ac:dyDescent="0.45">
      <c r="A72" t="s">
        <v>186</v>
      </c>
      <c r="B72" t="s">
        <v>206</v>
      </c>
      <c r="C72" s="10">
        <v>4863487488</v>
      </c>
      <c r="D72" s="10">
        <v>5077222400</v>
      </c>
      <c r="E72" s="10">
        <v>6761786368</v>
      </c>
      <c r="F72" s="10">
        <v>8715106304</v>
      </c>
      <c r="G72" s="10">
        <v>13209713664</v>
      </c>
      <c r="H72" s="10">
        <v>15557934080</v>
      </c>
      <c r="I72" s="10">
        <v>17728348160</v>
      </c>
      <c r="J72" s="10">
        <v>20971900928</v>
      </c>
      <c r="K72" s="10">
        <v>26364491776</v>
      </c>
      <c r="L72" s="10">
        <v>33243422720</v>
      </c>
      <c r="M72" s="10">
        <v>42345275392</v>
      </c>
      <c r="N72" s="10">
        <v>44348674048</v>
      </c>
      <c r="O72" s="10">
        <v>45207089152</v>
      </c>
      <c r="P72" s="10">
        <v>48801370112</v>
      </c>
      <c r="Q72" s="10">
        <v>53698277376</v>
      </c>
      <c r="R72" s="10">
        <v>57937866752</v>
      </c>
      <c r="S72" s="10">
        <v>63696302080</v>
      </c>
      <c r="T72" s="10">
        <v>66742267904</v>
      </c>
      <c r="U72" s="10">
        <v>59089068032</v>
      </c>
      <c r="V72" s="10">
        <v>55631491072</v>
      </c>
      <c r="W72" s="10">
        <v>62045097984</v>
      </c>
      <c r="X72" s="10">
        <v>45715365888</v>
      </c>
      <c r="Y72" s="10">
        <v>48003297280</v>
      </c>
      <c r="Z72" s="10">
        <v>49946456064</v>
      </c>
      <c r="AA72" s="10">
        <v>42542571520</v>
      </c>
      <c r="AB72" s="10">
        <v>41764052992</v>
      </c>
      <c r="AC72" s="10">
        <v>46941495296</v>
      </c>
      <c r="AD72" s="10">
        <v>48177860608</v>
      </c>
      <c r="AE72" s="10">
        <v>48187748352</v>
      </c>
      <c r="AF72" s="10">
        <v>48640610304</v>
      </c>
      <c r="AG72" s="10">
        <v>54788730880</v>
      </c>
      <c r="AH72" s="10">
        <v>54745837568</v>
      </c>
      <c r="AI72" s="10">
        <v>56760623104</v>
      </c>
      <c r="AJ72" s="10">
        <v>67864850432</v>
      </c>
      <c r="AK72" s="10">
        <v>85324767232</v>
      </c>
      <c r="AL72" s="10">
        <v>103198441472</v>
      </c>
      <c r="AM72" s="10">
        <v>117025431552</v>
      </c>
      <c r="AN72" s="10">
        <v>134977282048</v>
      </c>
      <c r="AO72" s="10">
        <v>171000643584</v>
      </c>
      <c r="AP72" s="10">
        <v>137210691584</v>
      </c>
      <c r="AQ72" s="10">
        <v>161207746560</v>
      </c>
      <c r="AR72" s="10">
        <v>200019476480</v>
      </c>
      <c r="AS72" s="10">
        <v>209060315136</v>
      </c>
      <c r="AT72" s="10">
        <v>209754767360</v>
      </c>
      <c r="AU72" s="10">
        <v>213808807936</v>
      </c>
      <c r="AV72" s="10">
        <v>165979422720</v>
      </c>
      <c r="AW72" s="10">
        <v>160033849344</v>
      </c>
      <c r="AX72" s="10">
        <v>167389364224</v>
      </c>
      <c r="AY72" s="10">
        <v>173757956096</v>
      </c>
      <c r="AZ72" s="10">
        <v>169988243456</v>
      </c>
    </row>
    <row r="73" spans="1:52" x14ac:dyDescent="0.45">
      <c r="A73" t="s">
        <v>186</v>
      </c>
      <c r="B73" t="s">
        <v>88</v>
      </c>
      <c r="C73" s="10">
        <v>7048666624</v>
      </c>
      <c r="D73" s="10">
        <v>6711750144</v>
      </c>
      <c r="E73" s="10">
        <v>8775249920</v>
      </c>
      <c r="F73" s="10">
        <v>11326249984</v>
      </c>
      <c r="G73" s="10">
        <v>16341000192</v>
      </c>
      <c r="H73" s="10">
        <v>15360166912</v>
      </c>
      <c r="I73" s="10">
        <v>15183125504</v>
      </c>
      <c r="J73" s="10">
        <v>17372798976</v>
      </c>
      <c r="K73" s="10">
        <v>16843176960</v>
      </c>
      <c r="L73" s="10">
        <v>21514080256</v>
      </c>
      <c r="M73" s="10">
        <v>24164509696</v>
      </c>
      <c r="N73" s="10">
        <v>25579227136</v>
      </c>
      <c r="O73" s="10">
        <v>27837509632</v>
      </c>
      <c r="P73" s="10">
        <v>31092230144</v>
      </c>
      <c r="Q73" s="10">
        <v>29160458240</v>
      </c>
      <c r="R73" s="10">
        <v>27504906240</v>
      </c>
      <c r="S73" s="10">
        <v>34097559552</v>
      </c>
      <c r="T73" s="10">
        <v>40963276800</v>
      </c>
      <c r="U73" s="10">
        <v>50099380224</v>
      </c>
      <c r="V73" s="10">
        <v>49901961216</v>
      </c>
      <c r="W73" s="10">
        <v>59011272704</v>
      </c>
      <c r="X73" s="10">
        <v>67558014976</v>
      </c>
      <c r="Y73" s="10">
        <v>75607007232</v>
      </c>
      <c r="Z73" s="10">
        <v>75985903616</v>
      </c>
      <c r="AA73" s="10">
        <v>86342656000</v>
      </c>
      <c r="AB73" s="10">
        <v>100384808960</v>
      </c>
      <c r="AC73" s="10">
        <v>109995843584</v>
      </c>
      <c r="AD73" s="10">
        <v>114692620288</v>
      </c>
      <c r="AE73" s="10">
        <v>115932848128</v>
      </c>
      <c r="AF73" s="10">
        <v>117111537664</v>
      </c>
      <c r="AG73" s="10">
        <v>132343046144</v>
      </c>
      <c r="AH73" s="10">
        <v>130756337664</v>
      </c>
      <c r="AI73" s="10">
        <v>121123831808</v>
      </c>
      <c r="AJ73" s="10">
        <v>126965981184</v>
      </c>
      <c r="AK73" s="10">
        <v>135477428224</v>
      </c>
      <c r="AL73" s="10">
        <v>142528905216</v>
      </c>
      <c r="AM73" s="10">
        <v>154034323456</v>
      </c>
      <c r="AN73" s="10">
        <v>178959187968</v>
      </c>
      <c r="AO73" s="10">
        <v>216105172992</v>
      </c>
      <c r="AP73" s="10">
        <v>207468167168</v>
      </c>
      <c r="AQ73" s="10">
        <v>233995681792</v>
      </c>
      <c r="AR73" s="10">
        <v>261468635136</v>
      </c>
      <c r="AS73" s="10">
        <v>257180139520</v>
      </c>
      <c r="AT73" s="10">
        <v>292636164096</v>
      </c>
      <c r="AU73" s="10">
        <v>309558444032</v>
      </c>
      <c r="AV73" s="10">
        <v>299813109760</v>
      </c>
      <c r="AW73" s="10">
        <v>318950604800</v>
      </c>
      <c r="AX73" s="10">
        <v>353253392384</v>
      </c>
      <c r="AY73" s="10">
        <v>370587992064</v>
      </c>
      <c r="AZ73" s="10">
        <v>395098652672</v>
      </c>
    </row>
    <row r="74" spans="1:52" x14ac:dyDescent="0.45">
      <c r="A74" t="s">
        <v>186</v>
      </c>
      <c r="B74" t="s">
        <v>207</v>
      </c>
      <c r="C74" s="10">
        <v>3956328448</v>
      </c>
      <c r="D74" s="10">
        <v>4356633600</v>
      </c>
      <c r="E74" s="10">
        <v>5074117632</v>
      </c>
      <c r="F74" s="10">
        <v>6242178048</v>
      </c>
      <c r="G74" s="10">
        <v>7675408384</v>
      </c>
      <c r="H74" s="10">
        <v>8984823808</v>
      </c>
      <c r="I74" s="10">
        <v>9584323584</v>
      </c>
      <c r="J74" s="10">
        <v>11049896960</v>
      </c>
      <c r="K74" s="10">
        <v>13236853760</v>
      </c>
      <c r="L74" s="10">
        <v>15912133632</v>
      </c>
      <c r="M74" s="10">
        <v>21728770048</v>
      </c>
      <c r="N74" s="10">
        <v>17788172288</v>
      </c>
      <c r="O74" s="10">
        <v>17692342272</v>
      </c>
      <c r="P74" s="10">
        <v>16251460608</v>
      </c>
      <c r="Q74" s="10">
        <v>14824728576</v>
      </c>
      <c r="R74" s="10">
        <v>14991283200</v>
      </c>
      <c r="S74" s="10">
        <v>19462174720</v>
      </c>
      <c r="T74" s="10">
        <v>21765261312</v>
      </c>
      <c r="U74" s="10">
        <v>25705295872</v>
      </c>
      <c r="V74" s="10">
        <v>26314219520</v>
      </c>
      <c r="W74" s="10">
        <v>30180108288</v>
      </c>
      <c r="X74" s="10">
        <v>32285388800</v>
      </c>
      <c r="Y74" s="10">
        <v>33711069184</v>
      </c>
      <c r="Z74" s="10">
        <v>31655473152</v>
      </c>
      <c r="AA74" s="10">
        <v>35604135936</v>
      </c>
      <c r="AB74" s="10">
        <v>39030284288</v>
      </c>
      <c r="AC74" s="10">
        <v>43161452544</v>
      </c>
      <c r="AD74" s="10">
        <v>39147843584</v>
      </c>
      <c r="AE74" s="10">
        <v>41806221312</v>
      </c>
      <c r="AF74" s="10">
        <v>41632026624</v>
      </c>
      <c r="AG74" s="10">
        <v>38857252864</v>
      </c>
      <c r="AH74" s="10">
        <v>39459581952</v>
      </c>
      <c r="AI74" s="10">
        <v>42236837888</v>
      </c>
      <c r="AJ74" s="10">
        <v>52064059392</v>
      </c>
      <c r="AK74" s="10">
        <v>59626020864</v>
      </c>
      <c r="AL74" s="10">
        <v>62343024640</v>
      </c>
      <c r="AM74" s="10">
        <v>68640825344</v>
      </c>
      <c r="AN74" s="10">
        <v>79041298432</v>
      </c>
      <c r="AO74" s="10">
        <v>92507258880</v>
      </c>
      <c r="AP74" s="10">
        <v>92897320960</v>
      </c>
      <c r="AQ74" s="10">
        <v>93216743424</v>
      </c>
      <c r="AR74" s="10">
        <v>101370470400</v>
      </c>
      <c r="AS74" s="10">
        <v>98266308608</v>
      </c>
      <c r="AT74" s="10">
        <v>106825646080</v>
      </c>
      <c r="AU74" s="10">
        <v>110081245184</v>
      </c>
      <c r="AV74" s="10">
        <v>101179809792</v>
      </c>
      <c r="AW74" s="10">
        <v>103311646720</v>
      </c>
      <c r="AX74" s="10">
        <v>109714300928</v>
      </c>
      <c r="AY74" s="10">
        <v>117921390592</v>
      </c>
      <c r="AZ74" s="10">
        <v>118725279744</v>
      </c>
    </row>
    <row r="75" spans="1:52" x14ac:dyDescent="0.45">
      <c r="A75" t="s">
        <v>186</v>
      </c>
      <c r="B75" t="s">
        <v>208</v>
      </c>
      <c r="C75" s="10">
        <v>256299488</v>
      </c>
      <c r="D75" s="10">
        <v>301010592</v>
      </c>
      <c r="E75" s="10">
        <v>366857728</v>
      </c>
      <c r="F75" s="10">
        <v>483033920</v>
      </c>
      <c r="G75" s="10">
        <v>1645917824</v>
      </c>
      <c r="H75" s="10">
        <v>2096699136</v>
      </c>
      <c r="I75" s="10">
        <v>2560220160</v>
      </c>
      <c r="J75" s="10">
        <v>2741169920</v>
      </c>
      <c r="K75" s="10">
        <v>2740301312</v>
      </c>
      <c r="L75" s="10">
        <v>3733352704</v>
      </c>
      <c r="M75" s="10">
        <v>5981760512</v>
      </c>
      <c r="N75" s="10">
        <v>7259120128</v>
      </c>
      <c r="O75" s="10">
        <v>7554719232</v>
      </c>
      <c r="P75" s="10">
        <v>7932541440</v>
      </c>
      <c r="Q75" s="10">
        <v>8821366784</v>
      </c>
      <c r="R75" s="10">
        <v>10005500928</v>
      </c>
      <c r="S75" s="10">
        <v>7323822080</v>
      </c>
      <c r="T75" s="10">
        <v>7811183104</v>
      </c>
      <c r="U75" s="10">
        <v>8386215936</v>
      </c>
      <c r="V75" s="10">
        <v>9372171264</v>
      </c>
      <c r="W75" s="10">
        <v>11685045248</v>
      </c>
      <c r="X75" s="10">
        <v>11341481984</v>
      </c>
      <c r="Y75" s="10">
        <v>12452275200</v>
      </c>
      <c r="Z75" s="10">
        <v>12493108224</v>
      </c>
      <c r="AA75" s="10">
        <v>12918855680</v>
      </c>
      <c r="AB75" s="10">
        <v>13802600448</v>
      </c>
      <c r="AC75" s="10">
        <v>15277763584</v>
      </c>
      <c r="AD75" s="10">
        <v>15837451264</v>
      </c>
      <c r="AE75" s="10">
        <v>14085372928</v>
      </c>
      <c r="AF75" s="10">
        <v>15710148608</v>
      </c>
      <c r="AG75" s="10">
        <v>19507412992</v>
      </c>
      <c r="AH75" s="10">
        <v>19452014592</v>
      </c>
      <c r="AI75" s="10">
        <v>20142782464</v>
      </c>
      <c r="AJ75" s="10">
        <v>21633810432</v>
      </c>
      <c r="AK75" s="10">
        <v>24763588608</v>
      </c>
      <c r="AL75" s="10">
        <v>31081924608</v>
      </c>
      <c r="AM75" s="10">
        <v>37215862784</v>
      </c>
      <c r="AN75" s="10">
        <v>42085306368</v>
      </c>
      <c r="AO75" s="10">
        <v>60905332736</v>
      </c>
      <c r="AP75" s="10">
        <v>48388296704</v>
      </c>
      <c r="AQ75" s="10">
        <v>57048113152</v>
      </c>
      <c r="AR75" s="10">
        <v>68016906240</v>
      </c>
      <c r="AS75" s="10">
        <v>76615868416</v>
      </c>
      <c r="AT75" s="10">
        <v>78784397312</v>
      </c>
      <c r="AU75" s="10">
        <v>81076461568</v>
      </c>
      <c r="AV75" s="10">
        <v>68400259072</v>
      </c>
      <c r="AW75" s="10">
        <v>65481146368</v>
      </c>
      <c r="AX75" s="10">
        <v>70599999488</v>
      </c>
      <c r="AY75" s="10">
        <v>79275425792</v>
      </c>
      <c r="AZ75" s="10">
        <v>76983091200</v>
      </c>
    </row>
    <row r="76" spans="1:52" x14ac:dyDescent="0.45">
      <c r="A76" t="s">
        <v>186</v>
      </c>
      <c r="B76" t="s">
        <v>209</v>
      </c>
      <c r="C76" s="10">
        <v>5377333248</v>
      </c>
      <c r="D76" s="10">
        <v>7184853504</v>
      </c>
      <c r="E76" s="10">
        <v>9664157696</v>
      </c>
      <c r="F76" s="10">
        <v>14947391488</v>
      </c>
      <c r="G76" s="10">
        <v>45412958208</v>
      </c>
      <c r="H76" s="10">
        <v>46773366784</v>
      </c>
      <c r="I76" s="10">
        <v>64005664768</v>
      </c>
      <c r="J76" s="10">
        <v>74188251136</v>
      </c>
      <c r="K76" s="10">
        <v>80265617408</v>
      </c>
      <c r="L76" s="10">
        <v>111859679232</v>
      </c>
      <c r="M76" s="10">
        <v>164541743104</v>
      </c>
      <c r="N76" s="10">
        <v>184291803136</v>
      </c>
      <c r="O76" s="10">
        <v>153239011328</v>
      </c>
      <c r="P76" s="10">
        <v>129171636224</v>
      </c>
      <c r="Q76" s="10">
        <v>119624859648</v>
      </c>
      <c r="R76" s="10">
        <v>103897849856</v>
      </c>
      <c r="S76" s="10">
        <v>86961922048</v>
      </c>
      <c r="T76" s="10">
        <v>85695864832</v>
      </c>
      <c r="U76" s="10">
        <v>88256077824</v>
      </c>
      <c r="V76" s="10">
        <v>95344459776</v>
      </c>
      <c r="W76" s="10">
        <v>117630271488</v>
      </c>
      <c r="X76" s="10">
        <v>132223270912</v>
      </c>
      <c r="Y76" s="10">
        <v>137087877120</v>
      </c>
      <c r="Z76" s="10">
        <v>132967899136</v>
      </c>
      <c r="AA76" s="10">
        <v>135174889472</v>
      </c>
      <c r="AB76" s="10">
        <v>143343042560</v>
      </c>
      <c r="AC76" s="10">
        <v>158662393856</v>
      </c>
      <c r="AD76" s="10">
        <v>165963563008</v>
      </c>
      <c r="AE76" s="10">
        <v>146775490560</v>
      </c>
      <c r="AF76" s="10">
        <v>161716961280</v>
      </c>
      <c r="AG76" s="10">
        <v>189514924032</v>
      </c>
      <c r="AH76" s="10">
        <v>184137465856</v>
      </c>
      <c r="AI76" s="10">
        <v>189605920768</v>
      </c>
      <c r="AJ76" s="10">
        <v>215807655936</v>
      </c>
      <c r="AK76" s="10">
        <v>258742140928</v>
      </c>
      <c r="AL76" s="10">
        <v>328459616256</v>
      </c>
      <c r="AM76" s="10">
        <v>376900124672</v>
      </c>
      <c r="AN76" s="10">
        <v>415964495872</v>
      </c>
      <c r="AO76" s="10">
        <v>519796785152</v>
      </c>
      <c r="AP76" s="10">
        <v>429097877504</v>
      </c>
      <c r="AQ76" s="10">
        <v>528207183872</v>
      </c>
      <c r="AR76" s="10">
        <v>671238848512</v>
      </c>
      <c r="AS76" s="10">
        <v>735974850560</v>
      </c>
      <c r="AT76" s="10">
        <v>746647126016</v>
      </c>
      <c r="AU76" s="10">
        <v>756350320640</v>
      </c>
      <c r="AV76" s="10">
        <v>654269874176</v>
      </c>
      <c r="AW76" s="10">
        <v>644935516160</v>
      </c>
      <c r="AX76" s="10">
        <v>688586162176</v>
      </c>
      <c r="AY76" s="10">
        <v>786521849856</v>
      </c>
      <c r="AZ76" s="10">
        <v>792966856704</v>
      </c>
    </row>
    <row r="77" spans="1:52" x14ac:dyDescent="0.45">
      <c r="A77" t="s">
        <v>186</v>
      </c>
      <c r="B77" t="s">
        <v>210</v>
      </c>
      <c r="C77" s="10">
        <v>1439238144</v>
      </c>
      <c r="D77" s="10">
        <v>1685217024</v>
      </c>
      <c r="E77" s="10">
        <v>2237476352</v>
      </c>
      <c r="F77" s="10">
        <v>2730787584</v>
      </c>
      <c r="G77" s="10">
        <v>3545933568</v>
      </c>
      <c r="H77" s="10">
        <v>4328610304</v>
      </c>
      <c r="I77" s="10">
        <v>4507929088</v>
      </c>
      <c r="J77" s="10">
        <v>5109323776</v>
      </c>
      <c r="K77" s="10">
        <v>5968044032</v>
      </c>
      <c r="L77" s="10">
        <v>7188191744</v>
      </c>
      <c r="M77" s="10">
        <v>8744134656</v>
      </c>
      <c r="N77" s="10">
        <v>8428513792</v>
      </c>
      <c r="O77" s="10">
        <v>8133401088</v>
      </c>
      <c r="P77" s="10">
        <v>8350176768</v>
      </c>
      <c r="Q77" s="10">
        <v>8254892032</v>
      </c>
      <c r="R77" s="10">
        <v>8410185728</v>
      </c>
      <c r="S77" s="10">
        <v>9018135552</v>
      </c>
      <c r="T77" s="10">
        <v>9696271360</v>
      </c>
      <c r="U77" s="10">
        <v>10096292864</v>
      </c>
      <c r="V77" s="10">
        <v>10102075392</v>
      </c>
      <c r="W77" s="10">
        <v>12290568192</v>
      </c>
      <c r="X77" s="10">
        <v>13074782208</v>
      </c>
      <c r="Y77" s="10">
        <v>15497286656</v>
      </c>
      <c r="Z77" s="10">
        <v>14608947200</v>
      </c>
      <c r="AA77" s="10">
        <v>15632463872</v>
      </c>
      <c r="AB77" s="10">
        <v>18030876672</v>
      </c>
      <c r="AC77" s="10">
        <v>19587321856</v>
      </c>
      <c r="AD77" s="10">
        <v>20746360832</v>
      </c>
      <c r="AE77" s="10">
        <v>21803372544</v>
      </c>
      <c r="AF77" s="10">
        <v>22943686656</v>
      </c>
      <c r="AG77" s="10">
        <v>21473189888</v>
      </c>
      <c r="AH77" s="10">
        <v>22066102272</v>
      </c>
      <c r="AI77" s="10">
        <v>23142293504</v>
      </c>
      <c r="AJ77" s="10">
        <v>27453085696</v>
      </c>
      <c r="AK77" s="10">
        <v>31183138816</v>
      </c>
      <c r="AL77" s="10">
        <v>32273006592</v>
      </c>
      <c r="AM77" s="10">
        <v>34378436608</v>
      </c>
      <c r="AN77" s="10">
        <v>38908067840</v>
      </c>
      <c r="AO77" s="10">
        <v>44856586240</v>
      </c>
      <c r="AP77" s="10">
        <v>43454935040</v>
      </c>
      <c r="AQ77" s="10">
        <v>44050927616</v>
      </c>
      <c r="AR77" s="10">
        <v>45810626560</v>
      </c>
      <c r="AS77" s="10">
        <v>45044113408</v>
      </c>
      <c r="AT77" s="10">
        <v>46251061248</v>
      </c>
      <c r="AU77" s="10">
        <v>47632326656</v>
      </c>
      <c r="AV77" s="10">
        <v>43173482496</v>
      </c>
      <c r="AW77" s="10">
        <v>41801211904</v>
      </c>
      <c r="AX77" s="10">
        <v>39802429440</v>
      </c>
      <c r="AY77" s="10">
        <v>39770296320</v>
      </c>
      <c r="AZ77" s="10">
        <v>38797709312</v>
      </c>
    </row>
    <row r="78" spans="1:52" x14ac:dyDescent="0.45">
      <c r="A78" t="s">
        <v>186</v>
      </c>
      <c r="B78" t="s">
        <v>155</v>
      </c>
      <c r="C78" s="10">
        <v>17086956544</v>
      </c>
      <c r="D78" s="10">
        <v>16256619520</v>
      </c>
      <c r="E78" s="10">
        <v>20431095808</v>
      </c>
      <c r="F78" s="10">
        <v>25724381184</v>
      </c>
      <c r="G78" s="10">
        <v>35599912960</v>
      </c>
      <c r="H78" s="10">
        <v>44633706496</v>
      </c>
      <c r="I78" s="10">
        <v>51280134144</v>
      </c>
      <c r="J78" s="10">
        <v>58676813824</v>
      </c>
      <c r="K78" s="10">
        <v>65147023360</v>
      </c>
      <c r="L78" s="10">
        <v>89394085888</v>
      </c>
      <c r="M78" s="10">
        <v>68789288960</v>
      </c>
      <c r="N78" s="10">
        <v>71040016384</v>
      </c>
      <c r="O78" s="10">
        <v>64546332672</v>
      </c>
      <c r="P78" s="10">
        <v>61678280704</v>
      </c>
      <c r="Q78" s="10">
        <v>59989909504</v>
      </c>
      <c r="R78" s="10">
        <v>67234947072</v>
      </c>
      <c r="S78" s="10">
        <v>75728011264</v>
      </c>
      <c r="T78" s="10">
        <v>87172792320</v>
      </c>
      <c r="U78" s="10">
        <v>90852810752</v>
      </c>
      <c r="V78" s="10">
        <v>107143348224</v>
      </c>
      <c r="W78" s="10">
        <v>150676291584</v>
      </c>
      <c r="X78" s="10">
        <v>150027829248</v>
      </c>
      <c r="Y78" s="10">
        <v>158459133952</v>
      </c>
      <c r="Z78" s="10">
        <v>180169736192</v>
      </c>
      <c r="AA78" s="10">
        <v>130690170880</v>
      </c>
      <c r="AB78" s="10">
        <v>169485942784</v>
      </c>
      <c r="AC78" s="10">
        <v>181475557376</v>
      </c>
      <c r="AD78" s="10">
        <v>189834641408</v>
      </c>
      <c r="AE78" s="10">
        <v>275768705024</v>
      </c>
      <c r="AF78" s="10">
        <v>255884296192</v>
      </c>
      <c r="AG78" s="10">
        <v>272979394560</v>
      </c>
      <c r="AH78" s="10">
        <v>200251932672</v>
      </c>
      <c r="AI78" s="10">
        <v>238428127232</v>
      </c>
      <c r="AJ78" s="10">
        <v>311823007744</v>
      </c>
      <c r="AK78" s="10">
        <v>404786741248</v>
      </c>
      <c r="AL78" s="10">
        <v>501416296448</v>
      </c>
      <c r="AM78" s="10">
        <v>552486895616</v>
      </c>
      <c r="AN78" s="10">
        <v>675770138624</v>
      </c>
      <c r="AO78" s="10">
        <v>764335685632</v>
      </c>
      <c r="AP78" s="10">
        <v>644639883264</v>
      </c>
      <c r="AQ78" s="10">
        <v>771901751296</v>
      </c>
      <c r="AR78" s="10">
        <v>832523665408</v>
      </c>
      <c r="AS78" s="10">
        <v>873982263296</v>
      </c>
      <c r="AT78" s="10">
        <v>950579429376</v>
      </c>
      <c r="AU78" s="10">
        <v>934185926656</v>
      </c>
      <c r="AV78" s="10">
        <v>859796865024</v>
      </c>
      <c r="AW78" s="10">
        <v>863721619456</v>
      </c>
      <c r="AX78" s="10">
        <v>852676771840</v>
      </c>
      <c r="AY78" s="10">
        <v>771350331392</v>
      </c>
      <c r="AZ78" s="10">
        <v>754411700224</v>
      </c>
    </row>
    <row r="79" spans="1:52" x14ac:dyDescent="0.45">
      <c r="A79" t="s">
        <v>188</v>
      </c>
      <c r="B79" t="s">
        <v>211</v>
      </c>
      <c r="C79" s="10">
        <v>87896096768</v>
      </c>
      <c r="D79" s="10">
        <v>99271958528</v>
      </c>
      <c r="E79" s="10">
        <v>113082818560</v>
      </c>
      <c r="F79" s="10">
        <v>131321856000</v>
      </c>
      <c r="G79" s="10">
        <v>160408698880</v>
      </c>
      <c r="H79" s="10">
        <v>173834027008</v>
      </c>
      <c r="I79" s="10">
        <v>206575566848</v>
      </c>
      <c r="J79" s="10">
        <v>211612155904</v>
      </c>
      <c r="K79" s="10">
        <v>218632863744</v>
      </c>
      <c r="L79" s="10">
        <v>243072106496</v>
      </c>
      <c r="M79" s="10">
        <v>273853825024</v>
      </c>
      <c r="N79" s="10">
        <v>306214862848</v>
      </c>
      <c r="O79" s="10">
        <v>313506529280</v>
      </c>
      <c r="P79" s="10">
        <v>340547698688</v>
      </c>
      <c r="Q79" s="10">
        <v>355372564480</v>
      </c>
      <c r="R79" s="10">
        <v>364756500480</v>
      </c>
      <c r="S79" s="10">
        <v>377437913088</v>
      </c>
      <c r="T79" s="10">
        <v>431316729856</v>
      </c>
      <c r="U79" s="10">
        <v>507354349568</v>
      </c>
      <c r="V79" s="10">
        <v>565055717376</v>
      </c>
      <c r="W79" s="10">
        <v>593929568256</v>
      </c>
      <c r="X79" s="10">
        <v>610328182784</v>
      </c>
      <c r="Y79" s="10">
        <v>592387702784</v>
      </c>
      <c r="Z79" s="10">
        <v>577170767872</v>
      </c>
      <c r="AA79" s="10">
        <v>578139258880</v>
      </c>
      <c r="AB79" s="10">
        <v>604031614976</v>
      </c>
      <c r="AC79" s="10">
        <v>628546404352</v>
      </c>
      <c r="AD79" s="10">
        <v>652823887872</v>
      </c>
      <c r="AE79" s="10">
        <v>631813308416</v>
      </c>
      <c r="AF79" s="10">
        <v>676083990528</v>
      </c>
      <c r="AG79" s="10">
        <v>742295470080</v>
      </c>
      <c r="AH79" s="10">
        <v>736379797504</v>
      </c>
      <c r="AI79" s="10">
        <v>757950709760</v>
      </c>
      <c r="AJ79" s="10">
        <v>892382412800</v>
      </c>
      <c r="AK79" s="10">
        <v>1023196790784</v>
      </c>
      <c r="AL79" s="10">
        <v>1169357930496</v>
      </c>
      <c r="AM79" s="10">
        <v>1315415261184</v>
      </c>
      <c r="AN79" s="10">
        <v>1464977195008</v>
      </c>
      <c r="AO79" s="10">
        <v>1549131186176</v>
      </c>
      <c r="AP79" s="10">
        <v>1371152973824</v>
      </c>
      <c r="AQ79" s="10">
        <v>1613464469504</v>
      </c>
      <c r="AR79" s="10">
        <v>1788647964672</v>
      </c>
      <c r="AS79" s="10">
        <v>1828689281024</v>
      </c>
      <c r="AT79" s="10">
        <v>1847208574976</v>
      </c>
      <c r="AU79" s="10">
        <v>1803533156352</v>
      </c>
      <c r="AV79" s="10">
        <v>1556129513472</v>
      </c>
      <c r="AW79" s="10">
        <v>1528243159040</v>
      </c>
      <c r="AX79" s="10">
        <v>1649878106112</v>
      </c>
      <c r="AY79" s="10">
        <v>1716262666240</v>
      </c>
      <c r="AZ79" s="10">
        <v>1736425603072</v>
      </c>
    </row>
    <row r="80" spans="1:52" x14ac:dyDescent="0.45">
      <c r="A80" t="s">
        <v>188</v>
      </c>
      <c r="B80" t="s">
        <v>100</v>
      </c>
      <c r="C80" s="10">
        <v>1073302994944</v>
      </c>
      <c r="D80" s="10">
        <v>1164849971200</v>
      </c>
      <c r="E80" s="10">
        <v>1279110021120</v>
      </c>
      <c r="F80" s="10">
        <v>1425376018432</v>
      </c>
      <c r="G80" s="10">
        <v>1545242935296</v>
      </c>
      <c r="H80" s="10">
        <v>1684903952384</v>
      </c>
      <c r="I80" s="10">
        <v>1873411964928</v>
      </c>
      <c r="J80" s="10">
        <v>2081826013184</v>
      </c>
      <c r="K80" s="10">
        <v>2351598927872</v>
      </c>
      <c r="L80" s="10">
        <v>2627334045696</v>
      </c>
      <c r="M80" s="10">
        <v>2857306947584</v>
      </c>
      <c r="N80" s="10">
        <v>3207041908736</v>
      </c>
      <c r="O80" s="10">
        <v>3343789064192</v>
      </c>
      <c r="P80" s="10">
        <v>3634038046720</v>
      </c>
      <c r="Q80" s="10">
        <v>4037612929024</v>
      </c>
      <c r="R80" s="10">
        <v>4338978914304</v>
      </c>
      <c r="S80" s="10">
        <v>4579631038464</v>
      </c>
      <c r="T80" s="10">
        <v>4855215161344</v>
      </c>
      <c r="U80" s="10">
        <v>5236438073344</v>
      </c>
      <c r="V80" s="10">
        <v>5641580052480</v>
      </c>
      <c r="W80" s="10">
        <v>5963144232960</v>
      </c>
      <c r="X80" s="10">
        <v>6158129037312</v>
      </c>
      <c r="Y80" s="10">
        <v>6520327110656</v>
      </c>
      <c r="Z80" s="10">
        <v>6858558930944</v>
      </c>
      <c r="AA80" s="10">
        <v>7287236198400</v>
      </c>
      <c r="AB80" s="10">
        <v>7639749099520</v>
      </c>
      <c r="AC80" s="10">
        <v>8073121890304</v>
      </c>
      <c r="AD80" s="10">
        <v>8577554579456</v>
      </c>
      <c r="AE80" s="10">
        <v>9062818250752</v>
      </c>
      <c r="AF80" s="10">
        <v>9630664097792</v>
      </c>
      <c r="AG80" s="10">
        <v>10252345933824</v>
      </c>
      <c r="AH80" s="10">
        <v>10581821095936</v>
      </c>
      <c r="AI80" s="10">
        <v>10936419090432</v>
      </c>
      <c r="AJ80" s="10">
        <v>11458243985408</v>
      </c>
      <c r="AK80" s="10">
        <v>12213729361920</v>
      </c>
      <c r="AL80" s="10">
        <v>13036640272384</v>
      </c>
      <c r="AM80" s="10">
        <v>13814611312640</v>
      </c>
      <c r="AN80" s="10">
        <v>14451858210816</v>
      </c>
      <c r="AO80" s="10">
        <v>14712844582912</v>
      </c>
      <c r="AP80" s="10">
        <v>14448932683776</v>
      </c>
      <c r="AQ80" s="10">
        <v>14992053108736</v>
      </c>
      <c r="AR80" s="10">
        <v>15542580674560</v>
      </c>
      <c r="AS80" s="10">
        <v>16197007441920</v>
      </c>
      <c r="AT80" s="10">
        <v>16784849633280</v>
      </c>
      <c r="AU80" s="10">
        <v>17521746903040</v>
      </c>
      <c r="AV80" s="10">
        <v>18219297406976</v>
      </c>
      <c r="AW80" s="10">
        <v>18707187236864</v>
      </c>
      <c r="AX80" s="10">
        <v>19485394206720</v>
      </c>
      <c r="AY80" s="10">
        <v>20529048190976</v>
      </c>
      <c r="AZ80" s="10">
        <v>21374418550784</v>
      </c>
    </row>
    <row r="81" spans="1:52" x14ac:dyDescent="0.45">
      <c r="A81" t="s">
        <v>184</v>
      </c>
      <c r="B81" t="s">
        <v>82</v>
      </c>
      <c r="C81" s="10">
        <v>41271140352</v>
      </c>
      <c r="D81" s="10">
        <v>45149511680</v>
      </c>
      <c r="E81" s="10">
        <v>51967291392</v>
      </c>
      <c r="F81" s="10">
        <v>63737348096</v>
      </c>
      <c r="G81" s="10">
        <v>88831246336</v>
      </c>
      <c r="H81" s="10">
        <v>97170554880</v>
      </c>
      <c r="I81" s="10">
        <v>104921219072</v>
      </c>
      <c r="J81" s="10">
        <v>110201880576</v>
      </c>
      <c r="K81" s="10">
        <v>118338600960</v>
      </c>
      <c r="L81" s="10">
        <v>134712033280</v>
      </c>
      <c r="M81" s="10">
        <v>149774925824</v>
      </c>
      <c r="N81" s="10">
        <v>176642277376</v>
      </c>
      <c r="O81" s="10">
        <v>193770274816</v>
      </c>
      <c r="P81" s="10">
        <v>177030414336</v>
      </c>
      <c r="Q81" s="10">
        <v>193242169344</v>
      </c>
      <c r="R81" s="10">
        <v>180234715136</v>
      </c>
      <c r="S81" s="10">
        <v>182036938752</v>
      </c>
      <c r="T81" s="10">
        <v>189060349952</v>
      </c>
      <c r="U81" s="10">
        <v>235659198464</v>
      </c>
      <c r="V81" s="10">
        <v>299267981312</v>
      </c>
      <c r="W81" s="10">
        <v>310777217024</v>
      </c>
      <c r="X81" s="10">
        <v>325310414848</v>
      </c>
      <c r="Y81" s="10">
        <v>324878860288</v>
      </c>
      <c r="Z81" s="10">
        <v>311544414208</v>
      </c>
      <c r="AA81" s="10">
        <v>322211676160</v>
      </c>
      <c r="AB81" s="10">
        <v>367216361472</v>
      </c>
      <c r="AC81" s="10">
        <v>400302735360</v>
      </c>
      <c r="AD81" s="10">
        <v>434568003584</v>
      </c>
      <c r="AE81" s="10">
        <v>398899150848</v>
      </c>
      <c r="AF81" s="10">
        <v>388608229376</v>
      </c>
      <c r="AG81" s="10">
        <v>415222628352</v>
      </c>
      <c r="AH81" s="10">
        <v>378376093696</v>
      </c>
      <c r="AI81" s="10">
        <v>394648911872</v>
      </c>
      <c r="AJ81" s="10">
        <v>466488066048</v>
      </c>
      <c r="AK81" s="10">
        <v>612490412032</v>
      </c>
      <c r="AL81" s="10">
        <v>693407776768</v>
      </c>
      <c r="AM81" s="10">
        <v>746054221824</v>
      </c>
      <c r="AN81" s="10">
        <v>853099610112</v>
      </c>
      <c r="AO81" s="10">
        <v>1053995499520</v>
      </c>
      <c r="AP81" s="10">
        <v>927805210624</v>
      </c>
      <c r="AQ81" s="10">
        <v>1146138525696</v>
      </c>
      <c r="AR81" s="10">
        <v>1396649885696</v>
      </c>
      <c r="AS81" s="10">
        <v>1546151788544</v>
      </c>
      <c r="AT81" s="10">
        <v>1576184446976</v>
      </c>
      <c r="AU81" s="10">
        <v>1467483684864</v>
      </c>
      <c r="AV81" s="10">
        <v>1351694024704</v>
      </c>
      <c r="AW81" s="10">
        <v>1208847040512</v>
      </c>
      <c r="AX81" s="10">
        <v>1330135695360</v>
      </c>
      <c r="AY81" s="10">
        <v>1433904349184</v>
      </c>
      <c r="AZ81" s="10">
        <v>1392680632320</v>
      </c>
    </row>
    <row r="82" spans="1:52" x14ac:dyDescent="0.45">
      <c r="A82" t="s">
        <v>184</v>
      </c>
      <c r="B82" t="s">
        <v>121</v>
      </c>
      <c r="C82" s="10">
        <v>219878480</v>
      </c>
      <c r="D82" s="10">
        <v>247749328</v>
      </c>
      <c r="E82" s="10">
        <v>316650496</v>
      </c>
      <c r="F82" s="10">
        <v>425963360</v>
      </c>
      <c r="G82" s="10">
        <v>558589888</v>
      </c>
      <c r="H82" s="10">
        <v>684268288</v>
      </c>
      <c r="I82" s="10">
        <v>694552384</v>
      </c>
      <c r="J82" s="10">
        <v>719533120</v>
      </c>
      <c r="K82" s="10">
        <v>829239488</v>
      </c>
      <c r="L82" s="10">
        <v>1019743936</v>
      </c>
      <c r="M82" s="10">
        <v>1202567296</v>
      </c>
      <c r="N82" s="10">
        <v>1235899776</v>
      </c>
      <c r="O82" s="10">
        <v>1194015488</v>
      </c>
      <c r="P82" s="10">
        <v>1123107328</v>
      </c>
      <c r="Q82" s="10">
        <v>1177997440</v>
      </c>
      <c r="R82" s="10">
        <v>1141210112</v>
      </c>
      <c r="S82" s="10">
        <v>1290228608</v>
      </c>
      <c r="T82" s="10">
        <v>1177908224</v>
      </c>
      <c r="U82" s="10">
        <v>1109976960</v>
      </c>
      <c r="V82" s="10">
        <v>1182686592</v>
      </c>
      <c r="W82" s="10">
        <v>1337024768</v>
      </c>
      <c r="X82" s="10">
        <v>1383843840</v>
      </c>
      <c r="Y82" s="10">
        <v>1531803008</v>
      </c>
      <c r="Z82" s="10">
        <v>1635426176</v>
      </c>
      <c r="AA82" s="10">
        <v>1825285120</v>
      </c>
      <c r="AB82" s="10">
        <v>1970347776</v>
      </c>
      <c r="AC82" s="10">
        <v>2129266688</v>
      </c>
      <c r="AD82" s="10">
        <v>2093994624</v>
      </c>
      <c r="AE82" s="10">
        <v>1656784768</v>
      </c>
      <c r="AF82" s="10">
        <v>1942171008</v>
      </c>
      <c r="AG82" s="10">
        <v>1684109696</v>
      </c>
      <c r="AH82" s="10">
        <v>1660102400</v>
      </c>
      <c r="AI82" s="10">
        <v>1842691456</v>
      </c>
      <c r="AJ82" s="10">
        <v>2315935744</v>
      </c>
      <c r="AK82" s="10">
        <v>2727507200</v>
      </c>
      <c r="AL82" s="10">
        <v>3006725120</v>
      </c>
      <c r="AM82" s="10">
        <v>3102741504</v>
      </c>
      <c r="AN82" s="10">
        <v>3405050624</v>
      </c>
      <c r="AO82" s="10">
        <v>3523185920</v>
      </c>
      <c r="AP82" s="10">
        <v>2870624512</v>
      </c>
      <c r="AQ82" s="10">
        <v>3140508928</v>
      </c>
      <c r="AR82" s="10">
        <v>3774530560</v>
      </c>
      <c r="AS82" s="10">
        <v>3972012544</v>
      </c>
      <c r="AT82" s="10">
        <v>4190143232</v>
      </c>
      <c r="AU82" s="10">
        <v>4856963072</v>
      </c>
      <c r="AV82" s="10">
        <v>4682546688</v>
      </c>
      <c r="AW82" s="10">
        <v>4930204160</v>
      </c>
      <c r="AX82" s="10">
        <v>5353404416</v>
      </c>
      <c r="AY82" s="10">
        <v>5536759808</v>
      </c>
      <c r="AZ82" s="10">
        <v>5535548928</v>
      </c>
    </row>
    <row r="83" spans="1:52" x14ac:dyDescent="0.45">
      <c r="A83" t="s">
        <v>184</v>
      </c>
      <c r="B83" t="s">
        <v>212</v>
      </c>
      <c r="C83" s="10">
        <v>14295280</v>
      </c>
      <c r="D83" s="10">
        <v>15278632</v>
      </c>
      <c r="E83" s="10">
        <v>18936526</v>
      </c>
      <c r="F83" s="10">
        <v>31710658</v>
      </c>
      <c r="G83" s="10">
        <v>85637176</v>
      </c>
      <c r="H83" s="10">
        <v>55081816</v>
      </c>
      <c r="I83" s="10">
        <v>41109616</v>
      </c>
      <c r="J83" s="10">
        <v>38748060</v>
      </c>
      <c r="K83" s="10">
        <v>45210028</v>
      </c>
      <c r="L83" s="10">
        <v>42620164</v>
      </c>
      <c r="M83" s="10">
        <v>38715556</v>
      </c>
      <c r="N83" s="10">
        <v>41369800</v>
      </c>
      <c r="O83" s="10">
        <v>40572068</v>
      </c>
      <c r="P83" s="10">
        <v>37837836</v>
      </c>
      <c r="Q83" s="10">
        <v>41246160</v>
      </c>
      <c r="R83" s="10">
        <v>32125148</v>
      </c>
      <c r="S83" s="10">
        <v>32085562</v>
      </c>
      <c r="T83" s="10">
        <v>33608740</v>
      </c>
      <c r="U83" s="10">
        <v>42972108</v>
      </c>
      <c r="V83" s="10">
        <v>41119720</v>
      </c>
      <c r="W83" s="10">
        <v>39809540</v>
      </c>
      <c r="X83" s="10">
        <v>47515188</v>
      </c>
      <c r="Y83" s="10">
        <v>47737956</v>
      </c>
      <c r="Z83" s="10">
        <v>46919624</v>
      </c>
      <c r="AA83" s="10">
        <v>54832576</v>
      </c>
      <c r="AB83" s="10">
        <v>56338028</v>
      </c>
      <c r="AC83" s="10">
        <v>66515376</v>
      </c>
      <c r="AD83" s="10">
        <v>67537480</v>
      </c>
      <c r="AE83" s="10">
        <v>65334840</v>
      </c>
      <c r="AF83" s="10">
        <v>69032256</v>
      </c>
      <c r="AG83" s="10">
        <v>67254176</v>
      </c>
      <c r="AH83" s="10">
        <v>63101272</v>
      </c>
      <c r="AI83" s="10">
        <v>72196456</v>
      </c>
      <c r="AJ83" s="10">
        <v>90231856</v>
      </c>
      <c r="AK83" s="10">
        <v>102367040</v>
      </c>
      <c r="AL83" s="10">
        <v>112133944</v>
      </c>
      <c r="AM83" s="10">
        <v>110234936</v>
      </c>
      <c r="AN83" s="10">
        <v>132671744</v>
      </c>
      <c r="AO83" s="10">
        <v>141042608</v>
      </c>
      <c r="AP83" s="10">
        <v>132420056</v>
      </c>
      <c r="AQ83" s="10">
        <v>156120896</v>
      </c>
      <c r="AR83" s="10">
        <v>181705008</v>
      </c>
      <c r="AS83" s="10">
        <v>190243328</v>
      </c>
      <c r="AT83" s="10">
        <v>185113920</v>
      </c>
      <c r="AU83" s="10">
        <v>179703440</v>
      </c>
      <c r="AV83" s="10">
        <v>171117872</v>
      </c>
      <c r="AW83" s="10">
        <v>178328880</v>
      </c>
      <c r="AX83" s="10">
        <v>187276208</v>
      </c>
      <c r="AY83" s="10">
        <v>196737888</v>
      </c>
      <c r="AZ83" s="10">
        <v>194647200</v>
      </c>
    </row>
    <row r="84" spans="1:52" x14ac:dyDescent="0.45">
      <c r="A84" t="s">
        <v>184</v>
      </c>
      <c r="B84" t="s">
        <v>213</v>
      </c>
      <c r="C84" s="10">
        <v>6495605248</v>
      </c>
      <c r="D84" s="10">
        <v>7911136768</v>
      </c>
      <c r="E84" s="10">
        <v>9567331328</v>
      </c>
      <c r="F84" s="10">
        <v>12802281472</v>
      </c>
      <c r="G84" s="10">
        <v>13940981760</v>
      </c>
      <c r="H84" s="10">
        <v>12861983744</v>
      </c>
      <c r="I84" s="10">
        <v>13604832256</v>
      </c>
      <c r="J84" s="10">
        <v>15446824960</v>
      </c>
      <c r="K84" s="10">
        <v>18530519040</v>
      </c>
      <c r="L84" s="10">
        <v>20731242496</v>
      </c>
      <c r="M84" s="10">
        <v>23244548096</v>
      </c>
      <c r="N84" s="10">
        <v>24417617920</v>
      </c>
      <c r="O84" s="10">
        <v>24164603904</v>
      </c>
      <c r="P84" s="10">
        <v>24309278720</v>
      </c>
      <c r="Q84" s="10">
        <v>21665976320</v>
      </c>
      <c r="R84" s="10">
        <v>24679794688</v>
      </c>
      <c r="S84" s="10">
        <v>30604668928</v>
      </c>
      <c r="T84" s="10">
        <v>40376352768</v>
      </c>
      <c r="U84" s="10">
        <v>45176811520</v>
      </c>
      <c r="V84" s="10">
        <v>43920224256</v>
      </c>
      <c r="W84" s="10">
        <v>45495128064</v>
      </c>
      <c r="X84" s="10">
        <v>42745331712</v>
      </c>
      <c r="Y84" s="10">
        <v>41649827840</v>
      </c>
      <c r="Z84" s="10">
        <v>46775619584</v>
      </c>
      <c r="AA84" s="10">
        <v>55314731008</v>
      </c>
      <c r="AB84" s="10">
        <v>63918702592</v>
      </c>
      <c r="AC84" s="10">
        <v>70140837888</v>
      </c>
      <c r="AD84" s="10">
        <v>66075144192</v>
      </c>
      <c r="AE84" s="10">
        <v>56227168256</v>
      </c>
      <c r="AF84" s="10">
        <v>58762260480</v>
      </c>
      <c r="AG84" s="10">
        <v>52623282176</v>
      </c>
      <c r="AH84" s="10">
        <v>53872427008</v>
      </c>
      <c r="AI84" s="10">
        <v>66627727360</v>
      </c>
      <c r="AJ84" s="10">
        <v>88250884096</v>
      </c>
      <c r="AK84" s="10">
        <v>103905206272</v>
      </c>
      <c r="AL84" s="10">
        <v>114720129024</v>
      </c>
      <c r="AM84" s="10">
        <v>111608848384</v>
      </c>
      <c r="AN84" s="10">
        <v>137320497152</v>
      </c>
      <c r="AO84" s="10">
        <v>133290221568</v>
      </c>
      <c r="AP84" s="10">
        <v>121357983744</v>
      </c>
      <c r="AQ84" s="10">
        <v>146619138048</v>
      </c>
      <c r="AR84" s="10">
        <v>168510193664</v>
      </c>
      <c r="AS84" s="10">
        <v>176247980032</v>
      </c>
      <c r="AT84" s="10">
        <v>190845894656</v>
      </c>
      <c r="AU84" s="10">
        <v>200921939968</v>
      </c>
      <c r="AV84" s="10">
        <v>177467523072</v>
      </c>
      <c r="AW84" s="10">
        <v>188223668224</v>
      </c>
      <c r="AX84" s="10">
        <v>205415858176</v>
      </c>
      <c r="AY84" s="10">
        <v>207920611328</v>
      </c>
      <c r="AZ84" s="10">
        <v>206928773120</v>
      </c>
    </row>
    <row r="85" spans="1:52" x14ac:dyDescent="0.45">
      <c r="A85" t="s">
        <v>184</v>
      </c>
      <c r="B85" t="s">
        <v>141</v>
      </c>
      <c r="C85" s="10">
        <v>645537152</v>
      </c>
      <c r="D85" s="10">
        <v>717716160</v>
      </c>
      <c r="E85" s="10">
        <v>858802048</v>
      </c>
      <c r="F85" s="10">
        <v>1299105280</v>
      </c>
      <c r="G85" s="10">
        <v>1467346048</v>
      </c>
      <c r="H85" s="10">
        <v>1356591232</v>
      </c>
      <c r="I85" s="10">
        <v>1511856640</v>
      </c>
      <c r="J85" s="10">
        <v>1640763264</v>
      </c>
      <c r="K85" s="10">
        <v>1947947520</v>
      </c>
      <c r="L85" s="10">
        <v>2293622016</v>
      </c>
      <c r="M85" s="10">
        <v>2545982976</v>
      </c>
      <c r="N85" s="10">
        <v>2498068224</v>
      </c>
      <c r="O85" s="10">
        <v>2368584960</v>
      </c>
      <c r="P85" s="10">
        <v>2562492416</v>
      </c>
      <c r="Q85" s="10">
        <v>2552526336</v>
      </c>
      <c r="R85" s="10">
        <v>2423373056</v>
      </c>
      <c r="S85" s="10">
        <v>2648033792</v>
      </c>
      <c r="T85" s="10">
        <v>3143848448</v>
      </c>
      <c r="U85" s="10">
        <v>3655979776</v>
      </c>
      <c r="V85" s="10">
        <v>3546460160</v>
      </c>
      <c r="W85" s="10">
        <v>3219730432</v>
      </c>
      <c r="X85" s="10">
        <v>3787395072</v>
      </c>
      <c r="Y85" s="10">
        <v>4377980416</v>
      </c>
      <c r="Z85" s="10">
        <v>4974550528</v>
      </c>
      <c r="AA85" s="10">
        <v>5502786048</v>
      </c>
      <c r="AB85" s="10">
        <v>4636057600</v>
      </c>
      <c r="AC85" s="10">
        <v>5155311104</v>
      </c>
      <c r="AD85" s="10">
        <v>4936615424</v>
      </c>
      <c r="AE85" s="10">
        <v>3789443072</v>
      </c>
      <c r="AF85" s="10">
        <v>3477038080</v>
      </c>
      <c r="AG85" s="10">
        <v>3521339648</v>
      </c>
      <c r="AH85" s="10">
        <v>3081024256</v>
      </c>
      <c r="AI85" s="10">
        <v>2999511040</v>
      </c>
      <c r="AJ85" s="10">
        <v>3536411904</v>
      </c>
      <c r="AK85" s="10">
        <v>3927157760</v>
      </c>
      <c r="AL85" s="10">
        <v>4865892864</v>
      </c>
      <c r="AM85" s="10">
        <v>8355006464</v>
      </c>
      <c r="AN85" s="10">
        <v>9545177088</v>
      </c>
      <c r="AO85" s="10">
        <v>11670841344</v>
      </c>
      <c r="AP85" s="10">
        <v>11619638272</v>
      </c>
      <c r="AQ85" s="10">
        <v>14250755072</v>
      </c>
      <c r="AR85" s="10">
        <v>17984911360</v>
      </c>
      <c r="AS85" s="10">
        <v>21295659008</v>
      </c>
      <c r="AT85" s="10">
        <v>21261432832</v>
      </c>
      <c r="AU85" s="10">
        <v>23210682368</v>
      </c>
      <c r="AV85" s="10">
        <v>21723531264</v>
      </c>
      <c r="AW85" s="10">
        <v>20759068672</v>
      </c>
      <c r="AX85" s="10">
        <v>22742614016</v>
      </c>
      <c r="AY85" s="10">
        <v>23412494336</v>
      </c>
      <c r="AZ85" s="10">
        <v>24969611264</v>
      </c>
    </row>
    <row r="86" spans="1:52" x14ac:dyDescent="0.45">
      <c r="A86" t="s">
        <v>190</v>
      </c>
      <c r="B86" t="s">
        <v>102</v>
      </c>
      <c r="C86" s="10">
        <v>8992721920</v>
      </c>
      <c r="D86" s="10">
        <v>8751843328</v>
      </c>
      <c r="E86" s="10">
        <v>6288245760</v>
      </c>
      <c r="F86" s="10">
        <v>8086725632</v>
      </c>
      <c r="G86" s="10">
        <v>12512460800</v>
      </c>
      <c r="H86" s="10">
        <v>19448348672</v>
      </c>
      <c r="I86" s="10">
        <v>10117112832</v>
      </c>
      <c r="J86" s="10">
        <v>9651148800</v>
      </c>
      <c r="K86" s="10">
        <v>13281767424</v>
      </c>
      <c r="L86" s="10">
        <v>15565479936</v>
      </c>
      <c r="M86" s="10">
        <v>18138048512</v>
      </c>
      <c r="N86" s="10">
        <v>20249694208</v>
      </c>
      <c r="O86" s="10">
        <v>18525399040</v>
      </c>
      <c r="P86" s="10">
        <v>17609048064</v>
      </c>
      <c r="Q86" s="10">
        <v>18920839168</v>
      </c>
      <c r="R86" s="10">
        <v>22278422528</v>
      </c>
      <c r="S86" s="10">
        <v>21774032896</v>
      </c>
      <c r="T86" s="10">
        <v>24298033152</v>
      </c>
      <c r="U86" s="10">
        <v>26579005440</v>
      </c>
      <c r="V86" s="10">
        <v>28781715456</v>
      </c>
      <c r="W86" s="10">
        <v>31598342144</v>
      </c>
      <c r="X86" s="10">
        <v>30957484032</v>
      </c>
      <c r="Y86" s="10">
        <v>31708874752</v>
      </c>
      <c r="Z86" s="10">
        <v>33166520320</v>
      </c>
      <c r="AA86" s="10">
        <v>33768660992</v>
      </c>
      <c r="AB86" s="10">
        <v>37939748864</v>
      </c>
      <c r="AC86" s="10">
        <v>46438486016</v>
      </c>
      <c r="AD86" s="10">
        <v>48244310016</v>
      </c>
      <c r="AE86" s="10">
        <v>49984561152</v>
      </c>
      <c r="AF86" s="10">
        <v>51270569984</v>
      </c>
      <c r="AG86" s="10">
        <v>53369786368</v>
      </c>
      <c r="AH86" s="10">
        <v>53991288832</v>
      </c>
      <c r="AI86" s="10">
        <v>54724079616</v>
      </c>
      <c r="AJ86" s="10">
        <v>60158930944</v>
      </c>
      <c r="AK86" s="10">
        <v>65108545536</v>
      </c>
      <c r="AL86" s="10">
        <v>69442945024</v>
      </c>
      <c r="AM86" s="10">
        <v>71819083776</v>
      </c>
      <c r="AN86" s="10">
        <v>79611887616</v>
      </c>
      <c r="AO86" s="10">
        <v>91631280128</v>
      </c>
      <c r="AP86" s="10">
        <v>102477791232</v>
      </c>
      <c r="AQ86" s="10">
        <v>115279077376</v>
      </c>
      <c r="AR86" s="10">
        <v>128637935616</v>
      </c>
      <c r="AS86" s="10">
        <v>133355749376</v>
      </c>
      <c r="AT86" s="10">
        <v>149990457344</v>
      </c>
      <c r="AU86" s="10">
        <v>172885458944</v>
      </c>
      <c r="AV86" s="10">
        <v>195078684672</v>
      </c>
      <c r="AW86" s="10">
        <v>221415161856</v>
      </c>
      <c r="AX86" s="10">
        <v>249711050752</v>
      </c>
      <c r="AY86" s="10">
        <v>274039095296</v>
      </c>
      <c r="AZ86" s="10">
        <v>302571257856</v>
      </c>
    </row>
    <row r="87" spans="1:52" x14ac:dyDescent="0.45">
      <c r="A87" t="s">
        <v>190</v>
      </c>
      <c r="B87" t="s">
        <v>128</v>
      </c>
      <c r="C87" s="10">
        <v>62422482944</v>
      </c>
      <c r="D87" s="10">
        <v>67350986752</v>
      </c>
      <c r="E87" s="10">
        <v>71463190528</v>
      </c>
      <c r="F87" s="10">
        <v>85515272192</v>
      </c>
      <c r="G87" s="10">
        <v>99525902336</v>
      </c>
      <c r="H87" s="10">
        <v>98472796160</v>
      </c>
      <c r="I87" s="10">
        <v>102717161472</v>
      </c>
      <c r="J87" s="10">
        <v>121487319040</v>
      </c>
      <c r="K87" s="10">
        <v>137300295680</v>
      </c>
      <c r="L87" s="10">
        <v>152991645696</v>
      </c>
      <c r="M87" s="10">
        <v>186325352448</v>
      </c>
      <c r="N87" s="10">
        <v>193490616320</v>
      </c>
      <c r="O87" s="10">
        <v>200715141120</v>
      </c>
      <c r="P87" s="10">
        <v>218262274048</v>
      </c>
      <c r="Q87" s="10">
        <v>212158234624</v>
      </c>
      <c r="R87" s="10">
        <v>232511881216</v>
      </c>
      <c r="S87" s="10">
        <v>248985993216</v>
      </c>
      <c r="T87" s="10">
        <v>279033577472</v>
      </c>
      <c r="U87" s="10">
        <v>296589000704</v>
      </c>
      <c r="V87" s="10">
        <v>296042364928</v>
      </c>
      <c r="W87" s="10">
        <v>320979042304</v>
      </c>
      <c r="X87" s="10">
        <v>270105346048</v>
      </c>
      <c r="Y87" s="10">
        <v>288208420864</v>
      </c>
      <c r="Z87" s="10">
        <v>279296016384</v>
      </c>
      <c r="AA87" s="10">
        <v>327275577344</v>
      </c>
      <c r="AB87" s="10">
        <v>360281964544</v>
      </c>
      <c r="AC87" s="10">
        <v>392897069056</v>
      </c>
      <c r="AD87" s="10">
        <v>415867764736</v>
      </c>
      <c r="AE87" s="10">
        <v>421351489536</v>
      </c>
      <c r="AF87" s="10">
        <v>458820419584</v>
      </c>
      <c r="AG87" s="10">
        <v>468394934272</v>
      </c>
      <c r="AH87" s="10">
        <v>485441011712</v>
      </c>
      <c r="AI87" s="10">
        <v>514937946112</v>
      </c>
      <c r="AJ87" s="10">
        <v>607699271680</v>
      </c>
      <c r="AK87" s="10">
        <v>709148540928</v>
      </c>
      <c r="AL87" s="10">
        <v>820381614080</v>
      </c>
      <c r="AM87" s="10">
        <v>940259868672</v>
      </c>
      <c r="AN87" s="10">
        <v>1216735477760</v>
      </c>
      <c r="AO87" s="10">
        <v>1198895529984</v>
      </c>
      <c r="AP87" s="10">
        <v>1341886562304</v>
      </c>
      <c r="AQ87" s="10">
        <v>1675615272960</v>
      </c>
      <c r="AR87" s="10">
        <v>1823050432512</v>
      </c>
      <c r="AS87" s="10">
        <v>1827637821440</v>
      </c>
      <c r="AT87" s="10">
        <v>1856722173952</v>
      </c>
      <c r="AU87" s="10">
        <v>2039127474176</v>
      </c>
      <c r="AV87" s="10">
        <v>2103587766272</v>
      </c>
      <c r="AW87" s="10">
        <v>2294798090240</v>
      </c>
      <c r="AX87" s="10">
        <v>2652754673664</v>
      </c>
      <c r="AY87" s="10">
        <v>2713164972032</v>
      </c>
      <c r="AZ87" s="10">
        <v>2875142438912</v>
      </c>
    </row>
    <row r="88" spans="1:52" x14ac:dyDescent="0.45">
      <c r="A88" t="s">
        <v>190</v>
      </c>
      <c r="B88" t="s">
        <v>135</v>
      </c>
      <c r="C88" s="10">
        <v>865975296</v>
      </c>
      <c r="D88" s="10">
        <v>882765440</v>
      </c>
      <c r="E88" s="10">
        <v>1024098816</v>
      </c>
      <c r="F88" s="10">
        <v>972101696</v>
      </c>
      <c r="G88" s="10">
        <v>1217953536</v>
      </c>
      <c r="H88" s="10">
        <v>1575789312</v>
      </c>
      <c r="I88" s="10">
        <v>1452792960</v>
      </c>
      <c r="J88" s="10">
        <v>1382400000</v>
      </c>
      <c r="K88" s="10">
        <v>1604162560</v>
      </c>
      <c r="L88" s="10">
        <v>1851250048</v>
      </c>
      <c r="M88" s="10">
        <v>1945916544</v>
      </c>
      <c r="N88" s="10">
        <v>2275583232</v>
      </c>
      <c r="O88" s="10">
        <v>2395429888</v>
      </c>
      <c r="P88" s="10">
        <v>2447174912</v>
      </c>
      <c r="Q88" s="10">
        <v>2581207296</v>
      </c>
      <c r="R88" s="10">
        <v>2619913984</v>
      </c>
      <c r="S88" s="10">
        <v>2850784512</v>
      </c>
      <c r="T88" s="10">
        <v>2957255424</v>
      </c>
      <c r="U88" s="10">
        <v>3487009792</v>
      </c>
      <c r="V88" s="10">
        <v>3525228032</v>
      </c>
      <c r="W88" s="10">
        <v>3627562496</v>
      </c>
      <c r="X88" s="10">
        <v>3921476096</v>
      </c>
      <c r="Y88" s="10">
        <v>3401211648</v>
      </c>
      <c r="Z88" s="10">
        <v>3660041728</v>
      </c>
      <c r="AA88" s="10">
        <v>4066775552</v>
      </c>
      <c r="AB88" s="10">
        <v>4401104384</v>
      </c>
      <c r="AC88" s="10">
        <v>4521580544</v>
      </c>
      <c r="AD88" s="10">
        <v>4918691840</v>
      </c>
      <c r="AE88" s="10">
        <v>4856254976</v>
      </c>
      <c r="AF88" s="10">
        <v>5033642496</v>
      </c>
      <c r="AG88" s="10">
        <v>5494252032</v>
      </c>
      <c r="AH88" s="10">
        <v>6007054848</v>
      </c>
      <c r="AI88" s="10">
        <v>6050875904</v>
      </c>
      <c r="AJ88" s="10">
        <v>6330472960</v>
      </c>
      <c r="AK88" s="10">
        <v>7273938432</v>
      </c>
      <c r="AL88" s="10">
        <v>8130257920</v>
      </c>
      <c r="AM88" s="10">
        <v>9043715072</v>
      </c>
      <c r="AN88" s="10">
        <v>10325617664</v>
      </c>
      <c r="AO88" s="10">
        <v>12545438720</v>
      </c>
      <c r="AP88" s="10">
        <v>12854985728</v>
      </c>
      <c r="AQ88" s="10">
        <v>16002656256</v>
      </c>
      <c r="AR88" s="10">
        <v>18913574912</v>
      </c>
      <c r="AS88" s="10">
        <v>18851514368</v>
      </c>
      <c r="AT88" s="10">
        <v>19271168000</v>
      </c>
      <c r="AU88" s="10">
        <v>20002969600</v>
      </c>
      <c r="AV88" s="10">
        <v>21410840576</v>
      </c>
      <c r="AW88" s="10">
        <v>21185923072</v>
      </c>
      <c r="AX88" s="10">
        <v>25180583936</v>
      </c>
      <c r="AY88" s="10">
        <v>29173514240</v>
      </c>
      <c r="AZ88" s="10">
        <v>30641381376</v>
      </c>
    </row>
    <row r="89" spans="1:52" x14ac:dyDescent="0.45">
      <c r="A89" t="s">
        <v>190</v>
      </c>
      <c r="B89" t="s">
        <v>139</v>
      </c>
      <c r="C89" s="10">
        <v>10027509760</v>
      </c>
      <c r="D89" s="10">
        <v>10665896960</v>
      </c>
      <c r="E89" s="10">
        <v>9415016448</v>
      </c>
      <c r="F89" s="10">
        <v>6383429632</v>
      </c>
      <c r="G89" s="10">
        <v>8899191808</v>
      </c>
      <c r="H89" s="10">
        <v>11230606336</v>
      </c>
      <c r="I89" s="10">
        <v>13168080896</v>
      </c>
      <c r="J89" s="10">
        <v>15126061056</v>
      </c>
      <c r="K89" s="10">
        <v>17811515392</v>
      </c>
      <c r="L89" s="10">
        <v>19688384512</v>
      </c>
      <c r="M89" s="10">
        <v>23654445056</v>
      </c>
      <c r="N89" s="10">
        <v>28100605952</v>
      </c>
      <c r="O89" s="10">
        <v>30725971968</v>
      </c>
      <c r="P89" s="10">
        <v>28691890176</v>
      </c>
      <c r="Q89" s="10">
        <v>31151824896</v>
      </c>
      <c r="R89" s="10">
        <v>31144921088</v>
      </c>
      <c r="S89" s="10">
        <v>31899070464</v>
      </c>
      <c r="T89" s="10">
        <v>33351528448</v>
      </c>
      <c r="U89" s="10">
        <v>38472740864</v>
      </c>
      <c r="V89" s="10">
        <v>40171016192</v>
      </c>
      <c r="W89" s="10">
        <v>40010424320</v>
      </c>
      <c r="X89" s="10">
        <v>45625233408</v>
      </c>
      <c r="Y89" s="10">
        <v>48884604928</v>
      </c>
      <c r="Z89" s="10">
        <v>51809947648</v>
      </c>
      <c r="AA89" s="10">
        <v>52293455872</v>
      </c>
      <c r="AB89" s="10">
        <v>60636020736</v>
      </c>
      <c r="AC89" s="10">
        <v>63320121344</v>
      </c>
      <c r="AD89" s="10">
        <v>62433300480</v>
      </c>
      <c r="AE89" s="10">
        <v>62191955968</v>
      </c>
      <c r="AF89" s="10">
        <v>62973853696</v>
      </c>
      <c r="AG89" s="10">
        <v>82017746944</v>
      </c>
      <c r="AH89" s="10">
        <v>79484403712</v>
      </c>
      <c r="AI89" s="10">
        <v>79904989184</v>
      </c>
      <c r="AJ89" s="10">
        <v>91760541696</v>
      </c>
      <c r="AK89" s="10">
        <v>107759681536</v>
      </c>
      <c r="AL89" s="10">
        <v>120055291904</v>
      </c>
      <c r="AM89" s="10">
        <v>137264062464</v>
      </c>
      <c r="AN89" s="10">
        <v>152385716224</v>
      </c>
      <c r="AO89" s="10">
        <v>170077814784</v>
      </c>
      <c r="AP89" s="10">
        <v>168152776704</v>
      </c>
      <c r="AQ89" s="10">
        <v>177165631488</v>
      </c>
      <c r="AR89" s="10">
        <v>213587410944</v>
      </c>
      <c r="AS89" s="10">
        <v>224383614976</v>
      </c>
      <c r="AT89" s="10">
        <v>231218561024</v>
      </c>
      <c r="AU89" s="10">
        <v>244360888320</v>
      </c>
      <c r="AV89" s="10">
        <v>270556135424</v>
      </c>
      <c r="AW89" s="10">
        <v>278654648320</v>
      </c>
      <c r="AX89" s="10">
        <v>304567255040</v>
      </c>
      <c r="AY89" s="10">
        <v>314567557120</v>
      </c>
      <c r="AZ89" s="10">
        <v>278221914112</v>
      </c>
    </row>
    <row r="90" spans="1:52" x14ac:dyDescent="0.45">
      <c r="A90" t="s">
        <v>190</v>
      </c>
      <c r="B90" t="s">
        <v>214</v>
      </c>
      <c r="C90" s="10">
        <v>2296470528</v>
      </c>
      <c r="D90" s="10">
        <v>2369308672</v>
      </c>
      <c r="E90" s="10">
        <v>2553936384</v>
      </c>
      <c r="F90" s="10">
        <v>2875624960</v>
      </c>
      <c r="G90" s="10">
        <v>3574586368</v>
      </c>
      <c r="H90" s="10">
        <v>3791298048</v>
      </c>
      <c r="I90" s="10">
        <v>3591319808</v>
      </c>
      <c r="J90" s="10">
        <v>4104509696</v>
      </c>
      <c r="K90" s="10">
        <v>2733183744</v>
      </c>
      <c r="L90" s="10">
        <v>3364611328</v>
      </c>
      <c r="M90" s="10">
        <v>4024621824</v>
      </c>
      <c r="N90" s="10">
        <v>4415844352</v>
      </c>
      <c r="O90" s="10">
        <v>4768764928</v>
      </c>
      <c r="P90" s="10">
        <v>5167913472</v>
      </c>
      <c r="Q90" s="10">
        <v>6043474944</v>
      </c>
      <c r="R90" s="10">
        <v>5978461184</v>
      </c>
      <c r="S90" s="10">
        <v>6405210624</v>
      </c>
      <c r="T90" s="10">
        <v>6682167296</v>
      </c>
      <c r="U90" s="10">
        <v>6978371584</v>
      </c>
      <c r="V90" s="10">
        <v>6987267584</v>
      </c>
      <c r="W90" s="10">
        <v>8032551424</v>
      </c>
      <c r="X90" s="10">
        <v>9000363008</v>
      </c>
      <c r="Y90" s="10">
        <v>9703011328</v>
      </c>
      <c r="Z90" s="10">
        <v>10338679808</v>
      </c>
      <c r="AA90" s="10">
        <v>11717604352</v>
      </c>
      <c r="AB90" s="10">
        <v>13029697536</v>
      </c>
      <c r="AC90" s="10">
        <v>13897738240</v>
      </c>
      <c r="AD90" s="10">
        <v>15091913728</v>
      </c>
      <c r="AE90" s="10">
        <v>15794972672</v>
      </c>
      <c r="AF90" s="10">
        <v>15656328192</v>
      </c>
      <c r="AG90" s="10">
        <v>16330814464</v>
      </c>
      <c r="AH90" s="10">
        <v>15749753856</v>
      </c>
      <c r="AI90" s="10">
        <v>16536536064</v>
      </c>
      <c r="AJ90" s="10">
        <v>18881765376</v>
      </c>
      <c r="AK90" s="10">
        <v>20662525952</v>
      </c>
      <c r="AL90" s="10">
        <v>24405790720</v>
      </c>
      <c r="AM90" s="10">
        <v>28279814144</v>
      </c>
      <c r="AN90" s="10">
        <v>32350248960</v>
      </c>
      <c r="AO90" s="10">
        <v>40713814016</v>
      </c>
      <c r="AP90" s="10">
        <v>42066219008</v>
      </c>
      <c r="AQ90" s="10">
        <v>56725749760</v>
      </c>
      <c r="AR90" s="10">
        <v>65292754944</v>
      </c>
      <c r="AS90" s="10">
        <v>68434407424</v>
      </c>
      <c r="AT90" s="10">
        <v>74317807616</v>
      </c>
      <c r="AU90" s="10">
        <v>79356452864</v>
      </c>
      <c r="AV90" s="10">
        <v>80604078080</v>
      </c>
      <c r="AW90" s="10">
        <v>82401042432</v>
      </c>
      <c r="AX90" s="10">
        <v>87428128768</v>
      </c>
      <c r="AY90" s="10">
        <v>88425889792</v>
      </c>
      <c r="AZ90" s="10">
        <v>84008779776</v>
      </c>
    </row>
    <row r="91" spans="1:52" x14ac:dyDescent="0.45">
      <c r="A91" t="s">
        <v>191</v>
      </c>
      <c r="B91" t="s">
        <v>104</v>
      </c>
      <c r="C91" s="10">
        <v>333627744</v>
      </c>
      <c r="D91" s="10">
        <v>335072960</v>
      </c>
      <c r="E91" s="10">
        <v>410331904</v>
      </c>
      <c r="F91" s="10">
        <v>504376032</v>
      </c>
      <c r="G91" s="10">
        <v>554654784</v>
      </c>
      <c r="H91" s="10">
        <v>676870144</v>
      </c>
      <c r="I91" s="10">
        <v>698408256</v>
      </c>
      <c r="J91" s="10">
        <v>750049728</v>
      </c>
      <c r="K91" s="10">
        <v>928843328</v>
      </c>
      <c r="L91" s="10">
        <v>1186231296</v>
      </c>
      <c r="M91" s="10">
        <v>1405251584</v>
      </c>
      <c r="N91" s="10">
        <v>1291120000</v>
      </c>
      <c r="O91" s="10">
        <v>1267778432</v>
      </c>
      <c r="P91" s="10">
        <v>1095348352</v>
      </c>
      <c r="Q91" s="10">
        <v>1051133952</v>
      </c>
      <c r="R91" s="10">
        <v>1045712704</v>
      </c>
      <c r="S91" s="10">
        <v>1336102016</v>
      </c>
      <c r="T91" s="10">
        <v>1562412032</v>
      </c>
      <c r="U91" s="10">
        <v>1620246144</v>
      </c>
      <c r="V91" s="10">
        <v>1502294400</v>
      </c>
      <c r="W91" s="10">
        <v>1959965184</v>
      </c>
      <c r="X91" s="10">
        <v>1986437888</v>
      </c>
      <c r="Y91" s="10">
        <v>1695315328</v>
      </c>
      <c r="Z91" s="10">
        <v>2274557952</v>
      </c>
      <c r="AA91" s="10">
        <v>1598075904</v>
      </c>
      <c r="AB91" s="10">
        <v>2169627136</v>
      </c>
      <c r="AC91" s="10">
        <v>2361116672</v>
      </c>
      <c r="AD91" s="10">
        <v>2268301568</v>
      </c>
      <c r="AE91" s="10">
        <v>2455092480</v>
      </c>
      <c r="AF91" s="10">
        <v>3676045568</v>
      </c>
      <c r="AG91" s="10">
        <v>3511248896</v>
      </c>
      <c r="AH91" s="10">
        <v>3663017728</v>
      </c>
      <c r="AI91" s="10">
        <v>4174634496</v>
      </c>
      <c r="AJ91" s="10">
        <v>5337266688</v>
      </c>
      <c r="AK91" s="10">
        <v>6179176448</v>
      </c>
      <c r="AL91" s="10">
        <v>6565043712</v>
      </c>
      <c r="AM91" s="10">
        <v>7027863040</v>
      </c>
      <c r="AN91" s="10">
        <v>8158257664</v>
      </c>
      <c r="AO91" s="10">
        <v>9748277248</v>
      </c>
      <c r="AP91" s="10">
        <v>9699587072</v>
      </c>
      <c r="AQ91" s="10">
        <v>9535344640</v>
      </c>
      <c r="AR91" s="10">
        <v>10693321728</v>
      </c>
      <c r="AS91" s="10">
        <v>11141358592</v>
      </c>
      <c r="AT91" s="10">
        <v>12517846016</v>
      </c>
      <c r="AU91" s="10">
        <v>13284529152</v>
      </c>
      <c r="AV91" s="10">
        <v>11388161024</v>
      </c>
      <c r="AW91" s="10">
        <v>11821066240</v>
      </c>
      <c r="AX91" s="10">
        <v>12701657088</v>
      </c>
      <c r="AY91" s="10">
        <v>14250985472</v>
      </c>
      <c r="AZ91" s="10">
        <v>14390709248</v>
      </c>
    </row>
    <row r="92" spans="1:52" x14ac:dyDescent="0.45">
      <c r="A92" t="s">
        <v>191</v>
      </c>
      <c r="B92" t="s">
        <v>106</v>
      </c>
      <c r="C92" s="10">
        <v>96245112</v>
      </c>
      <c r="D92" s="10">
        <v>126957496</v>
      </c>
      <c r="E92" s="10">
        <v>165258096</v>
      </c>
      <c r="F92" s="10">
        <v>244129088</v>
      </c>
      <c r="G92" s="10">
        <v>306033856</v>
      </c>
      <c r="H92" s="10">
        <v>355172416</v>
      </c>
      <c r="I92" s="10">
        <v>372010112</v>
      </c>
      <c r="J92" s="10">
        <v>451603328</v>
      </c>
      <c r="K92" s="10">
        <v>590376704</v>
      </c>
      <c r="L92" s="10">
        <v>819877312</v>
      </c>
      <c r="M92" s="10">
        <v>1060923840</v>
      </c>
      <c r="N92" s="10">
        <v>1073861632</v>
      </c>
      <c r="O92" s="10">
        <v>1014907264</v>
      </c>
      <c r="P92" s="10">
        <v>1172258176</v>
      </c>
      <c r="Q92" s="10">
        <v>1240796416</v>
      </c>
      <c r="R92" s="10">
        <v>1114764032</v>
      </c>
      <c r="S92" s="10">
        <v>1392634752</v>
      </c>
      <c r="T92" s="10">
        <v>1965274880</v>
      </c>
      <c r="U92" s="10">
        <v>2644536832</v>
      </c>
      <c r="V92" s="10">
        <v>3083800576</v>
      </c>
      <c r="W92" s="10">
        <v>3790567168</v>
      </c>
      <c r="X92" s="10">
        <v>3942792960</v>
      </c>
      <c r="Y92" s="10">
        <v>4146513664</v>
      </c>
      <c r="Z92" s="10">
        <v>4160086272</v>
      </c>
      <c r="AA92" s="10">
        <v>4259331072</v>
      </c>
      <c r="AB92" s="10">
        <v>4730611200</v>
      </c>
      <c r="AC92" s="10">
        <v>4847752704</v>
      </c>
      <c r="AD92" s="10">
        <v>5020214784</v>
      </c>
      <c r="AE92" s="10">
        <v>4790458880</v>
      </c>
      <c r="AF92" s="10">
        <v>5484257280</v>
      </c>
      <c r="AG92" s="10">
        <v>5788329472</v>
      </c>
      <c r="AH92" s="10">
        <v>5489608192</v>
      </c>
      <c r="AI92" s="10">
        <v>5438857216</v>
      </c>
      <c r="AJ92" s="10">
        <v>7511582208</v>
      </c>
      <c r="AK92" s="10">
        <v>8957467648</v>
      </c>
      <c r="AL92" s="10">
        <v>9931134976</v>
      </c>
      <c r="AM92" s="10">
        <v>10126940160</v>
      </c>
      <c r="AN92" s="10">
        <v>10939053056</v>
      </c>
      <c r="AO92" s="10">
        <v>10945070080</v>
      </c>
      <c r="AP92" s="10">
        <v>10267132928</v>
      </c>
      <c r="AQ92" s="10">
        <v>12786654208</v>
      </c>
      <c r="AR92" s="10">
        <v>15351971840</v>
      </c>
      <c r="AS92" s="10">
        <v>14420393984</v>
      </c>
      <c r="AT92" s="10">
        <v>14901750784</v>
      </c>
      <c r="AU92" s="10">
        <v>16250749952</v>
      </c>
      <c r="AV92" s="10">
        <v>14420603904</v>
      </c>
      <c r="AW92" s="10">
        <v>15646316544</v>
      </c>
      <c r="AX92" s="10">
        <v>17405538304</v>
      </c>
      <c r="AY92" s="10">
        <v>18663264256</v>
      </c>
      <c r="AZ92" s="10">
        <v>18340511744</v>
      </c>
    </row>
    <row r="93" spans="1:52" x14ac:dyDescent="0.45">
      <c r="A93" t="s">
        <v>191</v>
      </c>
      <c r="B93" t="s">
        <v>108</v>
      </c>
      <c r="C93" s="10">
        <v>458404320</v>
      </c>
      <c r="D93" s="10">
        <v>482411264</v>
      </c>
      <c r="E93" s="10">
        <v>578595584</v>
      </c>
      <c r="F93" s="10">
        <v>674773824</v>
      </c>
      <c r="G93" s="10">
        <v>751133632</v>
      </c>
      <c r="H93" s="10">
        <v>939972672</v>
      </c>
      <c r="I93" s="10">
        <v>976547584</v>
      </c>
      <c r="J93" s="10">
        <v>1131225216</v>
      </c>
      <c r="K93" s="10">
        <v>1475584000</v>
      </c>
      <c r="L93" s="10">
        <v>1748481024</v>
      </c>
      <c r="M93" s="10">
        <v>1928720384</v>
      </c>
      <c r="N93" s="10">
        <v>1775842688</v>
      </c>
      <c r="O93" s="10">
        <v>1754450432</v>
      </c>
      <c r="P93" s="10">
        <v>1600278784</v>
      </c>
      <c r="Q93" s="10">
        <v>1459880320</v>
      </c>
      <c r="R93" s="10">
        <v>1552493440</v>
      </c>
      <c r="S93" s="10">
        <v>2036303360</v>
      </c>
      <c r="T93" s="10">
        <v>2369835520</v>
      </c>
      <c r="U93" s="10">
        <v>2616040704</v>
      </c>
      <c r="V93" s="10">
        <v>2615588608</v>
      </c>
      <c r="W93" s="10">
        <v>3101301760</v>
      </c>
      <c r="X93" s="10">
        <v>3135045632</v>
      </c>
      <c r="Y93" s="10">
        <v>2240264704</v>
      </c>
      <c r="Z93" s="10">
        <v>2332017920</v>
      </c>
      <c r="AA93" s="10">
        <v>1895291008</v>
      </c>
      <c r="AB93" s="10">
        <v>2379518208</v>
      </c>
      <c r="AC93" s="10">
        <v>2586550784</v>
      </c>
      <c r="AD93" s="10">
        <v>2447669504</v>
      </c>
      <c r="AE93" s="10">
        <v>2804902656</v>
      </c>
      <c r="AF93" s="10">
        <v>3364819200</v>
      </c>
      <c r="AG93" s="10">
        <v>2956746240</v>
      </c>
      <c r="AH93" s="10">
        <v>3187582208</v>
      </c>
      <c r="AI93" s="10">
        <v>3605329664</v>
      </c>
      <c r="AJ93" s="10">
        <v>4730140672</v>
      </c>
      <c r="AK93" s="10">
        <v>5441918464</v>
      </c>
      <c r="AL93" s="10">
        <v>6143909376</v>
      </c>
      <c r="AM93" s="10">
        <v>6541603840</v>
      </c>
      <c r="AN93" s="10">
        <v>7615651328</v>
      </c>
      <c r="AO93" s="10">
        <v>9413336064</v>
      </c>
      <c r="AP93" s="10">
        <v>9412813824</v>
      </c>
      <c r="AQ93" s="10">
        <v>10109619200</v>
      </c>
      <c r="AR93" s="10">
        <v>12080296960</v>
      </c>
      <c r="AS93" s="10">
        <v>12561015808</v>
      </c>
      <c r="AT93" s="10">
        <v>13444300800</v>
      </c>
      <c r="AU93" s="10">
        <v>13943016448</v>
      </c>
      <c r="AV93" s="10">
        <v>11832159232</v>
      </c>
      <c r="AW93" s="10">
        <v>12822557696</v>
      </c>
      <c r="AX93" s="10">
        <v>14169905152</v>
      </c>
      <c r="AY93" s="10">
        <v>16199434240</v>
      </c>
      <c r="AZ93" s="10">
        <v>15745810432</v>
      </c>
    </row>
    <row r="94" spans="1:52" x14ac:dyDescent="0.45">
      <c r="A94" t="s">
        <v>191</v>
      </c>
      <c r="B94" t="s">
        <v>109</v>
      </c>
      <c r="C94" s="10">
        <v>242732576</v>
      </c>
      <c r="D94" s="10">
        <v>252842288</v>
      </c>
      <c r="E94" s="10">
        <v>246804576</v>
      </c>
      <c r="F94" s="10">
        <v>304339840</v>
      </c>
      <c r="G94" s="10">
        <v>345263488</v>
      </c>
      <c r="H94" s="10">
        <v>420986656</v>
      </c>
      <c r="I94" s="10">
        <v>448412768</v>
      </c>
      <c r="J94" s="10">
        <v>547535552</v>
      </c>
      <c r="K94" s="10">
        <v>610225536</v>
      </c>
      <c r="L94" s="10">
        <v>782496640</v>
      </c>
      <c r="M94" s="10">
        <v>919726656</v>
      </c>
      <c r="N94" s="10">
        <v>969046656</v>
      </c>
      <c r="O94" s="10">
        <v>1013222208</v>
      </c>
      <c r="P94" s="10">
        <v>1082926336</v>
      </c>
      <c r="Q94" s="10">
        <v>987143936</v>
      </c>
      <c r="R94" s="10">
        <v>1149979264</v>
      </c>
      <c r="S94" s="10">
        <v>1201725440</v>
      </c>
      <c r="T94" s="10">
        <v>1131466496</v>
      </c>
      <c r="U94" s="10">
        <v>1082403200</v>
      </c>
      <c r="V94" s="10">
        <v>1113924096</v>
      </c>
      <c r="W94" s="10">
        <v>1132101248</v>
      </c>
      <c r="X94" s="10">
        <v>1167398528</v>
      </c>
      <c r="Y94" s="10">
        <v>1083037696</v>
      </c>
      <c r="Z94" s="10">
        <v>938632640</v>
      </c>
      <c r="AA94" s="10">
        <v>925030592</v>
      </c>
      <c r="AB94" s="10">
        <v>1000428416</v>
      </c>
      <c r="AC94" s="10">
        <v>869033856</v>
      </c>
      <c r="AD94" s="10">
        <v>972896256</v>
      </c>
      <c r="AE94" s="10">
        <v>893770816</v>
      </c>
      <c r="AF94" s="10">
        <v>808077248</v>
      </c>
      <c r="AG94" s="10">
        <v>870486080</v>
      </c>
      <c r="AH94" s="10">
        <v>876794752</v>
      </c>
      <c r="AI94" s="10">
        <v>825394496</v>
      </c>
      <c r="AJ94" s="10">
        <v>784654400</v>
      </c>
      <c r="AK94" s="10">
        <v>915257344</v>
      </c>
      <c r="AL94" s="10">
        <v>1117113088</v>
      </c>
      <c r="AM94" s="10">
        <v>1273374976</v>
      </c>
      <c r="AN94" s="10">
        <v>1356199424</v>
      </c>
      <c r="AO94" s="10">
        <v>1611835904</v>
      </c>
      <c r="AP94" s="10">
        <v>1781455104</v>
      </c>
      <c r="AQ94" s="10">
        <v>2032135296</v>
      </c>
      <c r="AR94" s="10">
        <v>2235820800</v>
      </c>
      <c r="AS94" s="10">
        <v>2333308160</v>
      </c>
      <c r="AT94" s="10">
        <v>2451625216</v>
      </c>
      <c r="AU94" s="10">
        <v>2705783296</v>
      </c>
      <c r="AV94" s="10">
        <v>3104394752</v>
      </c>
      <c r="AW94" s="10">
        <v>2959641088</v>
      </c>
      <c r="AX94" s="10">
        <v>3172292352</v>
      </c>
      <c r="AY94" s="10">
        <v>3036931840</v>
      </c>
      <c r="AZ94" s="10">
        <v>3012334848</v>
      </c>
    </row>
    <row r="95" spans="1:52" x14ac:dyDescent="0.45">
      <c r="A95" t="s">
        <v>191</v>
      </c>
      <c r="B95" t="s">
        <v>110</v>
      </c>
      <c r="C95" s="10">
        <v>1160002304</v>
      </c>
      <c r="D95" s="10">
        <v>1233991040</v>
      </c>
      <c r="E95" s="10">
        <v>1430951296</v>
      </c>
      <c r="F95" s="10">
        <v>1758727424</v>
      </c>
      <c r="G95" s="10">
        <v>2255496960</v>
      </c>
      <c r="H95" s="10">
        <v>2752771072</v>
      </c>
      <c r="I95" s="10">
        <v>3076592384</v>
      </c>
      <c r="J95" s="10">
        <v>3366368768</v>
      </c>
      <c r="K95" s="10">
        <v>4409920512</v>
      </c>
      <c r="L95" s="10">
        <v>5811444736</v>
      </c>
      <c r="M95" s="10">
        <v>6740756480</v>
      </c>
      <c r="N95" s="10">
        <v>7636345856</v>
      </c>
      <c r="O95" s="10">
        <v>7322914816</v>
      </c>
      <c r="P95" s="10">
        <v>7381854720</v>
      </c>
      <c r="Q95" s="10">
        <v>7801859072</v>
      </c>
      <c r="R95" s="10">
        <v>8148223488</v>
      </c>
      <c r="S95" s="10">
        <v>10621158400</v>
      </c>
      <c r="T95" s="10">
        <v>12302471168</v>
      </c>
      <c r="U95" s="10">
        <v>12493286400</v>
      </c>
      <c r="V95" s="10">
        <v>11140055040</v>
      </c>
      <c r="W95" s="10">
        <v>11151578112</v>
      </c>
      <c r="X95" s="10">
        <v>12434369536</v>
      </c>
      <c r="Y95" s="10">
        <v>11396311040</v>
      </c>
      <c r="Z95" s="10">
        <v>15498179584</v>
      </c>
      <c r="AA95" s="10">
        <v>10600157184</v>
      </c>
      <c r="AB95" s="10">
        <v>9643953152</v>
      </c>
      <c r="AC95" s="10">
        <v>10513387520</v>
      </c>
      <c r="AD95" s="10">
        <v>10833497088</v>
      </c>
      <c r="AE95" s="10">
        <v>10612847616</v>
      </c>
      <c r="AF95" s="10">
        <v>11198379008</v>
      </c>
      <c r="AG95" s="10">
        <v>10083937280</v>
      </c>
      <c r="AH95" s="10">
        <v>10371328000</v>
      </c>
      <c r="AI95" s="10">
        <v>11579342848</v>
      </c>
      <c r="AJ95" s="10">
        <v>14548845568</v>
      </c>
      <c r="AK95" s="10">
        <v>17430933504</v>
      </c>
      <c r="AL95" s="10">
        <v>17944084480</v>
      </c>
      <c r="AM95" s="10">
        <v>19356045312</v>
      </c>
      <c r="AN95" s="10">
        <v>22365265920</v>
      </c>
      <c r="AO95" s="10">
        <v>26409781248</v>
      </c>
      <c r="AP95" s="10">
        <v>26017925120</v>
      </c>
      <c r="AQ95" s="10">
        <v>26169323520</v>
      </c>
      <c r="AR95" s="10">
        <v>29375449088</v>
      </c>
      <c r="AS95" s="10">
        <v>29102772224</v>
      </c>
      <c r="AT95" s="10">
        <v>32357345280</v>
      </c>
      <c r="AU95" s="10">
        <v>34989494272</v>
      </c>
      <c r="AV95" s="10">
        <v>30928654336</v>
      </c>
      <c r="AW95" s="10">
        <v>32643696640</v>
      </c>
      <c r="AX95" s="10">
        <v>35009261568</v>
      </c>
      <c r="AY95" s="10">
        <v>38694096896</v>
      </c>
      <c r="AZ95" s="10">
        <v>38760468480</v>
      </c>
    </row>
    <row r="96" spans="1:52" x14ac:dyDescent="0.45">
      <c r="A96" t="s">
        <v>191</v>
      </c>
      <c r="B96" t="s">
        <v>111</v>
      </c>
      <c r="C96" s="10">
        <v>189106560</v>
      </c>
      <c r="D96" s="10">
        <v>201450768</v>
      </c>
      <c r="E96" s="10">
        <v>230317904</v>
      </c>
      <c r="F96" s="10">
        <v>271183072</v>
      </c>
      <c r="G96" s="10">
        <v>281398656</v>
      </c>
      <c r="H96" s="10">
        <v>378660032</v>
      </c>
      <c r="I96" s="10">
        <v>451152448</v>
      </c>
      <c r="J96" s="10">
        <v>507298112</v>
      </c>
      <c r="K96" s="10">
        <v>610578496</v>
      </c>
      <c r="L96" s="10">
        <v>700764864</v>
      </c>
      <c r="M96" s="10">
        <v>797048000</v>
      </c>
      <c r="N96" s="10">
        <v>694803520</v>
      </c>
      <c r="O96" s="10">
        <v>748312256</v>
      </c>
      <c r="P96" s="10">
        <v>658679424</v>
      </c>
      <c r="Q96" s="10">
        <v>637820608</v>
      </c>
      <c r="R96" s="10">
        <v>864849792</v>
      </c>
      <c r="S96" s="10">
        <v>1122265088</v>
      </c>
      <c r="T96" s="10">
        <v>1200991872</v>
      </c>
      <c r="U96" s="10">
        <v>1264899328</v>
      </c>
      <c r="V96" s="10">
        <v>1233930240</v>
      </c>
      <c r="W96" s="10">
        <v>1440711424</v>
      </c>
      <c r="X96" s="10">
        <v>1377374976</v>
      </c>
      <c r="Y96" s="10">
        <v>1411917568</v>
      </c>
      <c r="Z96" s="10">
        <v>1278781184</v>
      </c>
      <c r="AA96" s="10">
        <v>851174336</v>
      </c>
      <c r="AB96" s="10">
        <v>1115389696</v>
      </c>
      <c r="AC96" s="10">
        <v>1007791168</v>
      </c>
      <c r="AD96" s="10">
        <v>937741440</v>
      </c>
      <c r="AE96" s="10">
        <v>967338368</v>
      </c>
      <c r="AF96" s="10">
        <v>999477504</v>
      </c>
      <c r="AG96" s="10">
        <v>914500288</v>
      </c>
      <c r="AH96" s="10">
        <v>931833280</v>
      </c>
      <c r="AI96" s="10">
        <v>991387840</v>
      </c>
      <c r="AJ96" s="10">
        <v>1139754752</v>
      </c>
      <c r="AK96" s="10">
        <v>1270080256</v>
      </c>
      <c r="AL96" s="10">
        <v>1337362432</v>
      </c>
      <c r="AM96" s="10">
        <v>1460561152</v>
      </c>
      <c r="AN96" s="10">
        <v>1697565952</v>
      </c>
      <c r="AO96" s="10">
        <v>1985240960</v>
      </c>
      <c r="AP96" s="10">
        <v>2059094016</v>
      </c>
      <c r="AQ96" s="10">
        <v>2142591360</v>
      </c>
      <c r="AR96" s="10">
        <v>2437982720</v>
      </c>
      <c r="AS96" s="10">
        <v>2510126592</v>
      </c>
      <c r="AT96" s="10">
        <v>1691544192</v>
      </c>
      <c r="AU96" s="10">
        <v>1894813568</v>
      </c>
      <c r="AV96" s="10">
        <v>1695825664</v>
      </c>
      <c r="AW96" s="10">
        <v>1825018240</v>
      </c>
      <c r="AX96" s="10">
        <v>2072350208</v>
      </c>
      <c r="AY96" s="10">
        <v>2220978944</v>
      </c>
      <c r="AZ96" s="10">
        <v>2220307456</v>
      </c>
    </row>
    <row r="97" spans="1:52" x14ac:dyDescent="0.45">
      <c r="A97" t="s">
        <v>191</v>
      </c>
      <c r="B97" t="s">
        <v>112</v>
      </c>
      <c r="C97" s="10">
        <v>469266752</v>
      </c>
      <c r="D97" s="10">
        <v>501866720</v>
      </c>
      <c r="E97" s="10">
        <v>585427520</v>
      </c>
      <c r="F97" s="10">
        <v>647199488</v>
      </c>
      <c r="G97" s="10">
        <v>652532800</v>
      </c>
      <c r="H97" s="10">
        <v>864602112</v>
      </c>
      <c r="I97" s="10">
        <v>866044992</v>
      </c>
      <c r="J97" s="10">
        <v>935360448</v>
      </c>
      <c r="K97" s="10">
        <v>1113920128</v>
      </c>
      <c r="L97" s="10">
        <v>1004316480</v>
      </c>
      <c r="M97" s="10">
        <v>1033002432</v>
      </c>
      <c r="N97" s="10">
        <v>876937536</v>
      </c>
      <c r="O97" s="10">
        <v>834369856</v>
      </c>
      <c r="P97" s="10">
        <v>832415808</v>
      </c>
      <c r="Q97" s="10">
        <v>919103744</v>
      </c>
      <c r="R97" s="10">
        <v>1033069696</v>
      </c>
      <c r="S97" s="10">
        <v>1067828224</v>
      </c>
      <c r="T97" s="10">
        <v>1163426816</v>
      </c>
      <c r="U97" s="10">
        <v>1482597248</v>
      </c>
      <c r="V97" s="10">
        <v>1433686272</v>
      </c>
      <c r="W97" s="10">
        <v>1738605568</v>
      </c>
      <c r="X97" s="10">
        <v>1877138048</v>
      </c>
      <c r="Y97" s="10">
        <v>1881847680</v>
      </c>
      <c r="Z97" s="10">
        <v>1463251072</v>
      </c>
      <c r="AA97" s="10">
        <v>1179837952</v>
      </c>
      <c r="AB97" s="10">
        <v>1445920000</v>
      </c>
      <c r="AC97" s="10">
        <v>1607345408</v>
      </c>
      <c r="AD97" s="10">
        <v>1544689536</v>
      </c>
      <c r="AE97" s="10">
        <v>1744794496</v>
      </c>
      <c r="AF97" s="10">
        <v>1534673536</v>
      </c>
      <c r="AG97" s="10">
        <v>1385058176</v>
      </c>
      <c r="AH97" s="10">
        <v>1709347840</v>
      </c>
      <c r="AI97" s="10">
        <v>1987622272</v>
      </c>
      <c r="AJ97" s="10">
        <v>2736666624</v>
      </c>
      <c r="AK97" s="10">
        <v>4414929408</v>
      </c>
      <c r="AL97" s="10">
        <v>6646663680</v>
      </c>
      <c r="AM97" s="10">
        <v>7422102528</v>
      </c>
      <c r="AN97" s="10">
        <v>8638711808</v>
      </c>
      <c r="AO97" s="10">
        <v>10351932416</v>
      </c>
      <c r="AP97" s="10">
        <v>9253484544</v>
      </c>
      <c r="AQ97" s="10">
        <v>10668102656</v>
      </c>
      <c r="AR97" s="10">
        <v>12172309504</v>
      </c>
      <c r="AS97" s="10">
        <v>12367364096</v>
      </c>
      <c r="AT97" s="10">
        <v>12953535488</v>
      </c>
      <c r="AU97" s="10">
        <v>13940767744</v>
      </c>
      <c r="AV97" s="10">
        <v>10950391808</v>
      </c>
      <c r="AW97" s="10">
        <v>10097778688</v>
      </c>
      <c r="AX97" s="10">
        <v>10000395264</v>
      </c>
      <c r="AY97" s="10">
        <v>11239166976</v>
      </c>
      <c r="AZ97" s="10">
        <v>11314951168</v>
      </c>
    </row>
    <row r="98" spans="1:52" x14ac:dyDescent="0.45">
      <c r="A98" t="s">
        <v>191</v>
      </c>
      <c r="B98" t="s">
        <v>115</v>
      </c>
      <c r="C98" s="10">
        <v>4877684736</v>
      </c>
      <c r="D98" s="10">
        <v>5594770432</v>
      </c>
      <c r="E98" s="10">
        <v>6173712896</v>
      </c>
      <c r="F98" s="10">
        <v>7870239232</v>
      </c>
      <c r="G98" s="10">
        <v>9596959744</v>
      </c>
      <c r="H98" s="10">
        <v>10237342720</v>
      </c>
      <c r="I98" s="10">
        <v>9648583680</v>
      </c>
      <c r="J98" s="10">
        <v>12344424448</v>
      </c>
      <c r="K98" s="10">
        <v>15372608512</v>
      </c>
      <c r="L98" s="10">
        <v>15068422144</v>
      </c>
      <c r="M98" s="10">
        <v>14394927104</v>
      </c>
      <c r="N98" s="10">
        <v>12537821184</v>
      </c>
      <c r="O98" s="10">
        <v>13651666944</v>
      </c>
      <c r="P98" s="10">
        <v>11006712832</v>
      </c>
      <c r="Q98" s="10">
        <v>7857729024</v>
      </c>
      <c r="R98" s="10">
        <v>7195042816</v>
      </c>
      <c r="S98" s="10">
        <v>8095367168</v>
      </c>
      <c r="T98" s="10">
        <v>7661625344</v>
      </c>
      <c r="U98" s="10">
        <v>8861299712</v>
      </c>
      <c r="V98" s="10">
        <v>9021862912</v>
      </c>
      <c r="W98" s="10">
        <v>9349764096</v>
      </c>
      <c r="X98" s="10">
        <v>9625437184</v>
      </c>
      <c r="Y98" s="10">
        <v>8227343872</v>
      </c>
      <c r="Z98" s="10">
        <v>10706259968</v>
      </c>
      <c r="AA98" s="10">
        <v>5820382208</v>
      </c>
      <c r="AB98" s="10">
        <v>5643439616</v>
      </c>
      <c r="AC98" s="10">
        <v>5771454976</v>
      </c>
      <c r="AD98" s="10">
        <v>6090840576</v>
      </c>
      <c r="AE98" s="10">
        <v>6215591424</v>
      </c>
      <c r="AF98" s="10">
        <v>4711259648</v>
      </c>
      <c r="AG98" s="10">
        <v>19088046080</v>
      </c>
      <c r="AH98" s="10">
        <v>7438189056</v>
      </c>
      <c r="AI98" s="10">
        <v>8728038400</v>
      </c>
      <c r="AJ98" s="10">
        <v>8937567232</v>
      </c>
      <c r="AK98" s="10">
        <v>10297483264</v>
      </c>
      <c r="AL98" s="10">
        <v>11964484608</v>
      </c>
      <c r="AM98" s="10">
        <v>14451902464</v>
      </c>
      <c r="AN98" s="10">
        <v>16737072128</v>
      </c>
      <c r="AO98" s="10">
        <v>19788515328</v>
      </c>
      <c r="AP98" s="10">
        <v>18648373248</v>
      </c>
      <c r="AQ98" s="10">
        <v>21565720576</v>
      </c>
      <c r="AR98" s="10">
        <v>25839749120</v>
      </c>
      <c r="AS98" s="10">
        <v>29306234880</v>
      </c>
      <c r="AT98" s="10">
        <v>32679745536</v>
      </c>
      <c r="AU98" s="10">
        <v>35909042176</v>
      </c>
      <c r="AV98" s="10">
        <v>37917704192</v>
      </c>
      <c r="AW98" s="10">
        <v>37134798848</v>
      </c>
      <c r="AX98" s="10">
        <v>38019264512</v>
      </c>
      <c r="AY98" s="10">
        <v>46831341568</v>
      </c>
      <c r="AZ98" s="10">
        <v>47319625728</v>
      </c>
    </row>
    <row r="99" spans="1:52" x14ac:dyDescent="0.45">
      <c r="A99" t="s">
        <v>191</v>
      </c>
      <c r="B99" t="s">
        <v>116</v>
      </c>
      <c r="C99" s="10">
        <v>274960704</v>
      </c>
      <c r="D99" s="10">
        <v>322128032</v>
      </c>
      <c r="E99" s="10">
        <v>410669248</v>
      </c>
      <c r="F99" s="10">
        <v>541973376</v>
      </c>
      <c r="G99" s="10">
        <v>585364608</v>
      </c>
      <c r="H99" s="10">
        <v>767102656</v>
      </c>
      <c r="I99" s="10">
        <v>754549632</v>
      </c>
      <c r="J99" s="10">
        <v>765224000</v>
      </c>
      <c r="K99" s="10">
        <v>878771776</v>
      </c>
      <c r="L99" s="10">
        <v>1198749696</v>
      </c>
      <c r="M99" s="10">
        <v>1705796864</v>
      </c>
      <c r="N99" s="10">
        <v>1993512320</v>
      </c>
      <c r="O99" s="10">
        <v>2160640512</v>
      </c>
      <c r="P99" s="10">
        <v>2097274240</v>
      </c>
      <c r="Q99" s="10">
        <v>2193581312</v>
      </c>
      <c r="R99" s="10">
        <v>2160872448</v>
      </c>
      <c r="S99" s="10">
        <v>1849268224</v>
      </c>
      <c r="T99" s="10">
        <v>2297753600</v>
      </c>
      <c r="U99" s="10">
        <v>2212536320</v>
      </c>
      <c r="V99" s="10">
        <v>2389593088</v>
      </c>
      <c r="W99" s="10">
        <v>2798746112</v>
      </c>
      <c r="X99" s="10">
        <v>2724853504</v>
      </c>
      <c r="Y99" s="10">
        <v>2933222656</v>
      </c>
      <c r="Z99" s="10">
        <v>1918969984</v>
      </c>
      <c r="AA99" s="10">
        <v>1769365376</v>
      </c>
      <c r="AB99" s="10">
        <v>2116003968</v>
      </c>
      <c r="AC99" s="10">
        <v>2540697600</v>
      </c>
      <c r="AD99" s="10">
        <v>2322718976</v>
      </c>
      <c r="AE99" s="10">
        <v>1949481344</v>
      </c>
      <c r="AF99" s="10">
        <v>2353909504</v>
      </c>
      <c r="AG99" s="10">
        <v>3219910656</v>
      </c>
      <c r="AH99" s="10">
        <v>2794259712</v>
      </c>
      <c r="AI99" s="10">
        <v>3019993856</v>
      </c>
      <c r="AJ99" s="10">
        <v>3495868928</v>
      </c>
      <c r="AK99" s="10">
        <v>4648628736</v>
      </c>
      <c r="AL99" s="10">
        <v>6087003136</v>
      </c>
      <c r="AM99" s="10">
        <v>7731261440</v>
      </c>
      <c r="AN99" s="10">
        <v>8394688512</v>
      </c>
      <c r="AO99" s="10">
        <v>11859013632</v>
      </c>
      <c r="AP99" s="10">
        <v>9593537536</v>
      </c>
      <c r="AQ99" s="10">
        <v>12019595264</v>
      </c>
      <c r="AR99" s="10">
        <v>14444510208</v>
      </c>
      <c r="AS99" s="10">
        <v>13677148160</v>
      </c>
      <c r="AT99" s="10">
        <v>14089856000</v>
      </c>
      <c r="AU99" s="10">
        <v>14196322304</v>
      </c>
      <c r="AV99" s="10">
        <v>8556594688</v>
      </c>
      <c r="AW99" s="10">
        <v>9041986560</v>
      </c>
      <c r="AX99" s="10">
        <v>9035182080</v>
      </c>
      <c r="AY99" s="10">
        <v>11662700544</v>
      </c>
      <c r="AZ99" s="10">
        <v>10820591616</v>
      </c>
    </row>
    <row r="100" spans="1:52" x14ac:dyDescent="0.45">
      <c r="A100" t="s">
        <v>191</v>
      </c>
      <c r="B100" t="s">
        <v>118</v>
      </c>
      <c r="C100" s="10">
        <v>1455483008</v>
      </c>
      <c r="D100" s="10">
        <v>1584128256</v>
      </c>
      <c r="E100" s="10">
        <v>1849400576</v>
      </c>
      <c r="F100" s="10">
        <v>2508421120</v>
      </c>
      <c r="G100" s="10">
        <v>3070151936</v>
      </c>
      <c r="H100" s="10">
        <v>3893839104</v>
      </c>
      <c r="I100" s="10">
        <v>4662053888</v>
      </c>
      <c r="J100" s="10">
        <v>6265068032</v>
      </c>
      <c r="K100" s="10">
        <v>7900525056</v>
      </c>
      <c r="L100" s="10">
        <v>9142935552</v>
      </c>
      <c r="M100" s="10">
        <v>10175614976</v>
      </c>
      <c r="N100" s="10">
        <v>8432588288</v>
      </c>
      <c r="O100" s="10">
        <v>7567109632</v>
      </c>
      <c r="P100" s="10">
        <v>6838185472</v>
      </c>
      <c r="Q100" s="10">
        <v>6841638912</v>
      </c>
      <c r="R100" s="10">
        <v>6977650176</v>
      </c>
      <c r="S100" s="10">
        <v>9158301696</v>
      </c>
      <c r="T100" s="10">
        <v>10087653376</v>
      </c>
      <c r="U100" s="10">
        <v>10255170560</v>
      </c>
      <c r="V100" s="10">
        <v>9757410304</v>
      </c>
      <c r="W100" s="10">
        <v>10795849728</v>
      </c>
      <c r="X100" s="10">
        <v>10492628992</v>
      </c>
      <c r="Y100" s="10">
        <v>11152971776</v>
      </c>
      <c r="Z100" s="10">
        <v>11045758976</v>
      </c>
      <c r="AA100" s="10">
        <v>8313557504</v>
      </c>
      <c r="AB100" s="10">
        <v>11000146944</v>
      </c>
      <c r="AC100" s="10">
        <v>12139235328</v>
      </c>
      <c r="AD100" s="10">
        <v>11722142720</v>
      </c>
      <c r="AE100" s="10">
        <v>12612033536</v>
      </c>
      <c r="AF100" s="10">
        <v>12376639488</v>
      </c>
      <c r="AG100" s="10">
        <v>10717022208</v>
      </c>
      <c r="AH100" s="10">
        <v>11192560640</v>
      </c>
      <c r="AI100" s="10">
        <v>12346918912</v>
      </c>
      <c r="AJ100" s="10">
        <v>15306602496</v>
      </c>
      <c r="AK100" s="10">
        <v>16554441728</v>
      </c>
      <c r="AL100" s="10">
        <v>17084929024</v>
      </c>
      <c r="AM100" s="10">
        <v>17800888320</v>
      </c>
      <c r="AN100" s="10">
        <v>20343635968</v>
      </c>
      <c r="AO100" s="10">
        <v>24224903168</v>
      </c>
      <c r="AP100" s="10">
        <v>24277493760</v>
      </c>
      <c r="AQ100" s="10">
        <v>24908781568</v>
      </c>
      <c r="AR100" s="10">
        <v>25414875136</v>
      </c>
      <c r="AS100" s="10">
        <v>26789048320</v>
      </c>
      <c r="AT100" s="10">
        <v>31273074688</v>
      </c>
      <c r="AU100" s="10">
        <v>35363532800</v>
      </c>
      <c r="AV100" s="10">
        <v>45814636544</v>
      </c>
      <c r="AW100" s="10">
        <v>47964233728</v>
      </c>
      <c r="AX100" s="10">
        <v>51588157440</v>
      </c>
      <c r="AY100" s="10">
        <v>57724731392</v>
      </c>
      <c r="AZ100" s="10">
        <v>58792206336</v>
      </c>
    </row>
    <row r="101" spans="1:52" x14ac:dyDescent="0.45">
      <c r="A101" t="s">
        <v>191</v>
      </c>
      <c r="B101" t="s">
        <v>122</v>
      </c>
      <c r="C101" s="10">
        <v>323802464</v>
      </c>
      <c r="D101" s="10">
        <v>381687072</v>
      </c>
      <c r="E101" s="10">
        <v>430508352</v>
      </c>
      <c r="F101" s="10">
        <v>722780672</v>
      </c>
      <c r="G101" s="10">
        <v>1544216064</v>
      </c>
      <c r="H101" s="10">
        <v>2157592832</v>
      </c>
      <c r="I101" s="10">
        <v>3009410048</v>
      </c>
      <c r="J101" s="10">
        <v>2809349120</v>
      </c>
      <c r="K101" s="10">
        <v>2389479168</v>
      </c>
      <c r="L101" s="10">
        <v>3030251008</v>
      </c>
      <c r="M101" s="10">
        <v>4279638016</v>
      </c>
      <c r="N101" s="10">
        <v>3862269184</v>
      </c>
      <c r="O101" s="10">
        <v>3618007808</v>
      </c>
      <c r="P101" s="10">
        <v>3391275776</v>
      </c>
      <c r="Q101" s="10">
        <v>3561451520</v>
      </c>
      <c r="R101" s="10">
        <v>3339914752</v>
      </c>
      <c r="S101" s="10">
        <v>3403638272</v>
      </c>
      <c r="T101" s="10">
        <v>3281797120</v>
      </c>
      <c r="U101" s="10">
        <v>3834503424</v>
      </c>
      <c r="V101" s="10">
        <v>4186411520</v>
      </c>
      <c r="W101" s="10">
        <v>5952293888</v>
      </c>
      <c r="X101" s="10">
        <v>5402919936</v>
      </c>
      <c r="Y101" s="10">
        <v>5592390656</v>
      </c>
      <c r="Z101" s="10">
        <v>4378644992</v>
      </c>
      <c r="AA101" s="10">
        <v>4190819328</v>
      </c>
      <c r="AB101" s="10">
        <v>4958845952</v>
      </c>
      <c r="AC101" s="10">
        <v>5694040576</v>
      </c>
      <c r="AD101" s="10">
        <v>5326816768</v>
      </c>
      <c r="AE101" s="10">
        <v>4483417088</v>
      </c>
      <c r="AF101" s="10">
        <v>4662991872</v>
      </c>
      <c r="AG101" s="10">
        <v>5067865088</v>
      </c>
      <c r="AH101" s="10">
        <v>5018874368</v>
      </c>
      <c r="AI101" s="10">
        <v>5310381056</v>
      </c>
      <c r="AJ101" s="10">
        <v>6497305600</v>
      </c>
      <c r="AK101" s="10">
        <v>7756293632</v>
      </c>
      <c r="AL101" s="10">
        <v>9578973184</v>
      </c>
      <c r="AM101" s="10">
        <v>10318424064</v>
      </c>
      <c r="AN101" s="10">
        <v>12438957056</v>
      </c>
      <c r="AO101" s="10">
        <v>15508575232</v>
      </c>
      <c r="AP101" s="10">
        <v>12065138688</v>
      </c>
      <c r="AQ101" s="10">
        <v>14372591616</v>
      </c>
      <c r="AR101" s="10">
        <v>18210308096</v>
      </c>
      <c r="AS101" s="10">
        <v>17170465792</v>
      </c>
      <c r="AT101" s="10">
        <v>17595746304</v>
      </c>
      <c r="AU101" s="10">
        <v>18203967488</v>
      </c>
      <c r="AV101" s="10">
        <v>14383108096</v>
      </c>
      <c r="AW101" s="10">
        <v>14023890944</v>
      </c>
      <c r="AX101" s="10">
        <v>14929488896</v>
      </c>
      <c r="AY101" s="10">
        <v>16862282752</v>
      </c>
      <c r="AZ101" s="10">
        <v>16657959936</v>
      </c>
    </row>
    <row r="102" spans="1:52" x14ac:dyDescent="0.45">
      <c r="A102" t="s">
        <v>191</v>
      </c>
      <c r="B102" t="s">
        <v>215</v>
      </c>
      <c r="C102" s="10">
        <v>52296836</v>
      </c>
      <c r="D102" s="10">
        <v>55728608</v>
      </c>
      <c r="E102" s="10">
        <v>59161544</v>
      </c>
      <c r="F102" s="10">
        <v>75187968</v>
      </c>
      <c r="G102" s="10">
        <v>95797536</v>
      </c>
      <c r="H102" s="10">
        <v>115182520</v>
      </c>
      <c r="I102" s="10">
        <v>112189472</v>
      </c>
      <c r="J102" s="10">
        <v>138094240</v>
      </c>
      <c r="K102" s="10">
        <v>171836800</v>
      </c>
      <c r="L102" s="10">
        <v>207114384</v>
      </c>
      <c r="M102" s="10">
        <v>241080704</v>
      </c>
      <c r="N102" s="10">
        <v>218764448</v>
      </c>
      <c r="O102" s="10">
        <v>216051488</v>
      </c>
      <c r="P102" s="10">
        <v>213446560</v>
      </c>
      <c r="Q102" s="10">
        <v>177338800</v>
      </c>
      <c r="R102" s="10">
        <v>225724848</v>
      </c>
      <c r="S102" s="10">
        <v>185646208</v>
      </c>
      <c r="T102" s="10">
        <v>220626480</v>
      </c>
      <c r="U102" s="10">
        <v>266673120</v>
      </c>
      <c r="V102" s="10">
        <v>284119680</v>
      </c>
      <c r="W102" s="10">
        <v>317083360</v>
      </c>
      <c r="X102" s="10">
        <v>690314304</v>
      </c>
      <c r="Y102" s="10">
        <v>714255488</v>
      </c>
      <c r="Z102" s="10">
        <v>755042560</v>
      </c>
      <c r="AA102" s="10">
        <v>746491712</v>
      </c>
      <c r="AB102" s="10">
        <v>785996992</v>
      </c>
      <c r="AC102" s="10">
        <v>848237120</v>
      </c>
      <c r="AD102" s="10">
        <v>803630720</v>
      </c>
      <c r="AE102" s="10">
        <v>840285248</v>
      </c>
      <c r="AF102" s="10">
        <v>814723456</v>
      </c>
      <c r="AG102" s="10">
        <v>782915392</v>
      </c>
      <c r="AH102" s="10">
        <v>687408832</v>
      </c>
      <c r="AI102" s="10">
        <v>578236032</v>
      </c>
      <c r="AJ102" s="10">
        <v>487038816</v>
      </c>
      <c r="AK102" s="10">
        <v>961900096</v>
      </c>
      <c r="AL102" s="10">
        <v>1027702272</v>
      </c>
      <c r="AM102" s="10">
        <v>1054113408</v>
      </c>
      <c r="AN102" s="10">
        <v>1279704704</v>
      </c>
      <c r="AO102" s="10">
        <v>1561763456</v>
      </c>
      <c r="AP102" s="10">
        <v>1450140416</v>
      </c>
      <c r="AQ102" s="10">
        <v>1543292416</v>
      </c>
      <c r="AR102" s="10">
        <v>1409694592</v>
      </c>
      <c r="AS102" s="10">
        <v>1415006208</v>
      </c>
      <c r="AT102" s="10">
        <v>1375608960</v>
      </c>
      <c r="AU102" s="10">
        <v>1229460608</v>
      </c>
      <c r="AV102" s="10">
        <v>1354788608</v>
      </c>
      <c r="AW102" s="10">
        <v>1470006016</v>
      </c>
      <c r="AX102" s="10">
        <v>1498044544</v>
      </c>
      <c r="AY102" s="10">
        <v>1624600832</v>
      </c>
      <c r="AZ102" s="10">
        <v>1763819008</v>
      </c>
    </row>
    <row r="103" spans="1:52" x14ac:dyDescent="0.45">
      <c r="A103" t="s">
        <v>191</v>
      </c>
      <c r="B103" t="s">
        <v>123</v>
      </c>
      <c r="C103" s="10">
        <v>2215029504</v>
      </c>
      <c r="D103" s="10">
        <v>2417107712</v>
      </c>
      <c r="E103" s="10">
        <v>2112292992</v>
      </c>
      <c r="F103" s="10">
        <v>2465492992</v>
      </c>
      <c r="G103" s="10">
        <v>2894409984</v>
      </c>
      <c r="H103" s="10">
        <v>2810106368</v>
      </c>
      <c r="I103" s="10">
        <v>2765254144</v>
      </c>
      <c r="J103" s="10">
        <v>3189428480</v>
      </c>
      <c r="K103" s="10">
        <v>3662478080</v>
      </c>
      <c r="L103" s="10">
        <v>4020227840</v>
      </c>
      <c r="M103" s="10">
        <v>4445228032</v>
      </c>
      <c r="N103" s="10">
        <v>4222441728</v>
      </c>
      <c r="O103" s="10">
        <v>4035994368</v>
      </c>
      <c r="P103" s="10">
        <v>4057275136</v>
      </c>
      <c r="Q103" s="10">
        <v>4412279808</v>
      </c>
      <c r="R103" s="10">
        <v>4504342016</v>
      </c>
      <c r="S103" s="10">
        <v>5727602688</v>
      </c>
      <c r="T103" s="10">
        <v>5074829824</v>
      </c>
      <c r="U103" s="10">
        <v>5197840896</v>
      </c>
      <c r="V103" s="10">
        <v>5251764224</v>
      </c>
      <c r="W103" s="10">
        <v>5889175040</v>
      </c>
      <c r="X103" s="10">
        <v>6596546048</v>
      </c>
      <c r="Y103" s="10">
        <v>6413901824</v>
      </c>
      <c r="Z103" s="10">
        <v>5966255616</v>
      </c>
      <c r="AA103" s="10">
        <v>5444560896</v>
      </c>
      <c r="AB103" s="10">
        <v>6465137664</v>
      </c>
      <c r="AC103" s="10">
        <v>6934984704</v>
      </c>
      <c r="AD103" s="10">
        <v>6891308544</v>
      </c>
      <c r="AE103" s="10">
        <v>7480968704</v>
      </c>
      <c r="AF103" s="10">
        <v>7719354880</v>
      </c>
      <c r="AG103" s="10">
        <v>4983024640</v>
      </c>
      <c r="AH103" s="10">
        <v>5314910208</v>
      </c>
      <c r="AI103" s="10">
        <v>6166330368</v>
      </c>
      <c r="AJ103" s="10">
        <v>7632406528</v>
      </c>
      <c r="AK103" s="10">
        <v>8881368064</v>
      </c>
      <c r="AL103" s="10">
        <v>10731633664</v>
      </c>
      <c r="AM103" s="10">
        <v>20409667584</v>
      </c>
      <c r="AN103" s="10">
        <v>24758818816</v>
      </c>
      <c r="AO103" s="10">
        <v>28526891008</v>
      </c>
      <c r="AP103" s="10">
        <v>25977847808</v>
      </c>
      <c r="AQ103" s="10">
        <v>32197273600</v>
      </c>
      <c r="AR103" s="10">
        <v>39337316352</v>
      </c>
      <c r="AS103" s="10">
        <v>41270956032</v>
      </c>
      <c r="AT103" s="10">
        <v>62405373952</v>
      </c>
      <c r="AU103" s="10">
        <v>53660340224</v>
      </c>
      <c r="AV103" s="10">
        <v>48564862976</v>
      </c>
      <c r="AW103" s="10">
        <v>55009730560</v>
      </c>
      <c r="AX103" s="10">
        <v>58998132736</v>
      </c>
      <c r="AY103" s="10">
        <v>65556463616</v>
      </c>
      <c r="AZ103" s="10">
        <v>66983632896</v>
      </c>
    </row>
    <row r="104" spans="1:52" x14ac:dyDescent="0.45">
      <c r="A104" t="s">
        <v>191</v>
      </c>
      <c r="B104" t="s">
        <v>216</v>
      </c>
      <c r="C104" s="10">
        <v>78733592</v>
      </c>
      <c r="D104" s="10">
        <v>78540056</v>
      </c>
      <c r="E104" s="10">
        <v>87702832</v>
      </c>
      <c r="F104" s="10">
        <v>89374240</v>
      </c>
      <c r="G104" s="10">
        <v>98775328</v>
      </c>
      <c r="H104" s="10">
        <v>108985744</v>
      </c>
      <c r="I104" s="10">
        <v>112386488</v>
      </c>
      <c r="J104" s="10">
        <v>114971208</v>
      </c>
      <c r="K104" s="10">
        <v>122666856</v>
      </c>
      <c r="L104" s="10">
        <v>118537872</v>
      </c>
      <c r="M104" s="10">
        <v>110653832</v>
      </c>
      <c r="N104" s="10">
        <v>154731968</v>
      </c>
      <c r="O104" s="10">
        <v>165523632</v>
      </c>
      <c r="P104" s="10">
        <v>163577536</v>
      </c>
      <c r="Q104" s="10">
        <v>138478896</v>
      </c>
      <c r="R104" s="10">
        <v>143856256</v>
      </c>
      <c r="S104" s="10">
        <v>130225016</v>
      </c>
      <c r="T104" s="10">
        <v>173836368</v>
      </c>
      <c r="U104" s="10">
        <v>164458128</v>
      </c>
      <c r="V104" s="10">
        <v>213143024</v>
      </c>
      <c r="W104" s="10">
        <v>243962000</v>
      </c>
      <c r="X104" s="10">
        <v>257150368</v>
      </c>
      <c r="Y104" s="10">
        <v>226313440</v>
      </c>
      <c r="Z104" s="10">
        <v>236880816</v>
      </c>
      <c r="AA104" s="10">
        <v>235620048</v>
      </c>
      <c r="AB104" s="10">
        <v>253966928</v>
      </c>
      <c r="AC104" s="10">
        <v>270419776</v>
      </c>
      <c r="AD104" s="10">
        <v>268551008</v>
      </c>
      <c r="AE104" s="10">
        <v>206457552</v>
      </c>
      <c r="AF104" s="10">
        <v>224446656</v>
      </c>
      <c r="AG104" s="10">
        <v>370173824</v>
      </c>
      <c r="AH104" s="10">
        <v>392278176</v>
      </c>
      <c r="AI104" s="10">
        <v>415843488</v>
      </c>
      <c r="AJ104" s="10">
        <v>476388256</v>
      </c>
      <c r="AK104" s="10">
        <v>531109344</v>
      </c>
      <c r="AL104" s="10">
        <v>586795648</v>
      </c>
      <c r="AM104" s="10">
        <v>591839488</v>
      </c>
      <c r="AN104" s="10">
        <v>695990208</v>
      </c>
      <c r="AO104" s="10">
        <v>864654784</v>
      </c>
      <c r="AP104" s="10">
        <v>826798656</v>
      </c>
      <c r="AQ104" s="10">
        <v>849050112</v>
      </c>
      <c r="AR104" s="10">
        <v>1098379392</v>
      </c>
      <c r="AS104" s="10">
        <v>989327808</v>
      </c>
      <c r="AT104" s="10">
        <v>1045790144</v>
      </c>
      <c r="AU104" s="10">
        <v>1053512320</v>
      </c>
      <c r="AV104" s="10">
        <v>1047808192</v>
      </c>
      <c r="AW104" s="10">
        <v>1178204544</v>
      </c>
      <c r="AX104" s="10">
        <v>1346841856</v>
      </c>
      <c r="AY104" s="10">
        <v>1458156032</v>
      </c>
      <c r="AZ104" s="10">
        <v>1340389376</v>
      </c>
    </row>
    <row r="105" spans="1:52" x14ac:dyDescent="0.45">
      <c r="A105" t="s">
        <v>191</v>
      </c>
      <c r="B105" t="s">
        <v>129</v>
      </c>
      <c r="C105" s="10">
        <v>1603447296</v>
      </c>
      <c r="D105" s="10">
        <v>1778391296</v>
      </c>
      <c r="E105" s="10">
        <v>2107279104</v>
      </c>
      <c r="F105" s="10">
        <v>2502142464</v>
      </c>
      <c r="G105" s="10">
        <v>2973309184</v>
      </c>
      <c r="H105" s="10">
        <v>3259344896</v>
      </c>
      <c r="I105" s="10">
        <v>3474542336</v>
      </c>
      <c r="J105" s="10">
        <v>4494379008</v>
      </c>
      <c r="K105" s="10">
        <v>5303734784</v>
      </c>
      <c r="L105" s="10">
        <v>6234391040</v>
      </c>
      <c r="M105" s="10">
        <v>7265315328</v>
      </c>
      <c r="N105" s="10">
        <v>6854491648</v>
      </c>
      <c r="O105" s="10">
        <v>6431579136</v>
      </c>
      <c r="P105" s="10">
        <v>5979198464</v>
      </c>
      <c r="Q105" s="10">
        <v>6191437312</v>
      </c>
      <c r="R105" s="10">
        <v>6135034368</v>
      </c>
      <c r="S105" s="10">
        <v>7239126528</v>
      </c>
      <c r="T105" s="10">
        <v>7970820608</v>
      </c>
      <c r="U105" s="10">
        <v>8355380736</v>
      </c>
      <c r="V105" s="10">
        <v>8283114496</v>
      </c>
      <c r="W105" s="10">
        <v>8572359168</v>
      </c>
      <c r="X105" s="10">
        <v>8151478784</v>
      </c>
      <c r="Y105" s="10">
        <v>8209128960</v>
      </c>
      <c r="Z105" s="10">
        <v>5751790080</v>
      </c>
      <c r="AA105" s="10">
        <v>7148145152</v>
      </c>
      <c r="AB105" s="10">
        <v>9046326272</v>
      </c>
      <c r="AC105" s="10">
        <v>12045858816</v>
      </c>
      <c r="AD105" s="10">
        <v>13115773952</v>
      </c>
      <c r="AE105" s="10">
        <v>14093999104</v>
      </c>
      <c r="AF105" s="10">
        <v>12896013312</v>
      </c>
      <c r="AG105" s="10">
        <v>12705356800</v>
      </c>
      <c r="AH105" s="10">
        <v>12986007552</v>
      </c>
      <c r="AI105" s="10">
        <v>13147744256</v>
      </c>
      <c r="AJ105" s="10">
        <v>14904517632</v>
      </c>
      <c r="AK105" s="10">
        <v>16095337472</v>
      </c>
      <c r="AL105" s="10">
        <v>18737897472</v>
      </c>
      <c r="AM105" s="10">
        <v>25825525760</v>
      </c>
      <c r="AN105" s="10">
        <v>31958194176</v>
      </c>
      <c r="AO105" s="10">
        <v>35895152640</v>
      </c>
      <c r="AP105" s="10">
        <v>37021511680</v>
      </c>
      <c r="AQ105" s="10">
        <v>40000090112</v>
      </c>
      <c r="AR105" s="10">
        <v>41953431552</v>
      </c>
      <c r="AS105" s="10">
        <v>50412752896</v>
      </c>
      <c r="AT105" s="10">
        <v>55096729600</v>
      </c>
      <c r="AU105" s="10">
        <v>61448048640</v>
      </c>
      <c r="AV105" s="10">
        <v>64007749632</v>
      </c>
      <c r="AW105" s="10">
        <v>69188755456</v>
      </c>
      <c r="AX105" s="10">
        <v>78965006336</v>
      </c>
      <c r="AY105" s="10">
        <v>87778582528</v>
      </c>
      <c r="AZ105" s="10">
        <v>95503089664</v>
      </c>
    </row>
    <row r="106" spans="1:52" x14ac:dyDescent="0.45">
      <c r="A106" t="s">
        <v>191</v>
      </c>
      <c r="B106" t="s">
        <v>130</v>
      </c>
      <c r="C106" s="10">
        <v>68738624</v>
      </c>
      <c r="D106" s="10">
        <v>76482104</v>
      </c>
      <c r="E106" s="10">
        <v>80915832</v>
      </c>
      <c r="F106" s="10">
        <v>121181560</v>
      </c>
      <c r="G106" s="10">
        <v>150846208</v>
      </c>
      <c r="H106" s="10">
        <v>149560512</v>
      </c>
      <c r="I106" s="10">
        <v>147654096</v>
      </c>
      <c r="J106" s="10">
        <v>193307264</v>
      </c>
      <c r="K106" s="10">
        <v>266559344</v>
      </c>
      <c r="L106" s="10">
        <v>290142528</v>
      </c>
      <c r="M106" s="10">
        <v>431561376</v>
      </c>
      <c r="N106" s="10">
        <v>434188032</v>
      </c>
      <c r="O106" s="10">
        <v>348746816</v>
      </c>
      <c r="P106" s="10">
        <v>386699296</v>
      </c>
      <c r="Q106" s="10">
        <v>333158464</v>
      </c>
      <c r="R106" s="10">
        <v>268626912</v>
      </c>
      <c r="S106" s="10">
        <v>318862880</v>
      </c>
      <c r="T106" s="10">
        <v>402774848</v>
      </c>
      <c r="U106" s="10">
        <v>470389184</v>
      </c>
      <c r="V106" s="10">
        <v>495404896</v>
      </c>
      <c r="W106" s="10">
        <v>596415104</v>
      </c>
      <c r="X106" s="10">
        <v>704329216</v>
      </c>
      <c r="Y106" s="10">
        <v>831033920</v>
      </c>
      <c r="Z106" s="10">
        <v>835592832</v>
      </c>
      <c r="AA106" s="10">
        <v>878250432</v>
      </c>
      <c r="AB106" s="10">
        <v>1001889856</v>
      </c>
      <c r="AC106" s="10">
        <v>946123264</v>
      </c>
      <c r="AD106" s="10">
        <v>997996032</v>
      </c>
      <c r="AE106" s="10">
        <v>928458176</v>
      </c>
      <c r="AF106" s="10">
        <v>912771264</v>
      </c>
      <c r="AG106" s="10">
        <v>887295296</v>
      </c>
      <c r="AH106" s="10">
        <v>825706944</v>
      </c>
      <c r="AI106" s="10">
        <v>775780672</v>
      </c>
      <c r="AJ106" s="10">
        <v>1157832960</v>
      </c>
      <c r="AK106" s="10">
        <v>1511236608</v>
      </c>
      <c r="AL106" s="10">
        <v>1682350976</v>
      </c>
      <c r="AM106" s="10">
        <v>1800105600</v>
      </c>
      <c r="AN106" s="10">
        <v>1716262784</v>
      </c>
      <c r="AO106" s="10">
        <v>1758535040</v>
      </c>
      <c r="AP106" s="10">
        <v>1773199488</v>
      </c>
      <c r="AQ106" s="10">
        <v>2269525760</v>
      </c>
      <c r="AR106" s="10">
        <v>2622336256</v>
      </c>
      <c r="AS106" s="10">
        <v>2526185216</v>
      </c>
      <c r="AT106" s="10">
        <v>2421469952</v>
      </c>
      <c r="AU106" s="10">
        <v>2499803904</v>
      </c>
      <c r="AV106" s="10">
        <v>2372280064</v>
      </c>
      <c r="AW106" s="10">
        <v>2165408256</v>
      </c>
      <c r="AX106" s="10">
        <v>2405289472</v>
      </c>
      <c r="AY106" s="10">
        <v>2575892224</v>
      </c>
      <c r="AZ106" s="10">
        <v>2460072448</v>
      </c>
    </row>
    <row r="107" spans="1:52" x14ac:dyDescent="0.45">
      <c r="A107" t="s">
        <v>191</v>
      </c>
      <c r="B107" t="s">
        <v>131</v>
      </c>
      <c r="C107" s="10">
        <v>1111859584</v>
      </c>
      <c r="D107" s="10">
        <v>1199507584</v>
      </c>
      <c r="E107" s="10">
        <v>1341590656</v>
      </c>
      <c r="F107" s="10">
        <v>1653062400</v>
      </c>
      <c r="G107" s="10">
        <v>1917508224</v>
      </c>
      <c r="H107" s="10">
        <v>2283049216</v>
      </c>
      <c r="I107" s="10">
        <v>2181844224</v>
      </c>
      <c r="J107" s="10">
        <v>2358930432</v>
      </c>
      <c r="K107" s="10">
        <v>2669755136</v>
      </c>
      <c r="L107" s="10">
        <v>3463565824</v>
      </c>
      <c r="M107" s="10">
        <v>5201818112</v>
      </c>
      <c r="N107" s="10">
        <v>4759333888</v>
      </c>
      <c r="O107" s="10">
        <v>4784977408</v>
      </c>
      <c r="P107" s="10">
        <v>4686456832</v>
      </c>
      <c r="Q107" s="10">
        <v>3905938432</v>
      </c>
      <c r="R107" s="10">
        <v>3802557952</v>
      </c>
      <c r="S107" s="10">
        <v>4347990016</v>
      </c>
      <c r="T107" s="10">
        <v>3212900608</v>
      </c>
      <c r="U107" s="10">
        <v>3189456896</v>
      </c>
      <c r="V107" s="10">
        <v>3175638272</v>
      </c>
      <c r="W107" s="10">
        <v>3931334912</v>
      </c>
      <c r="X107" s="10">
        <v>3254713088</v>
      </c>
      <c r="Y107" s="10">
        <v>3714967040</v>
      </c>
      <c r="Z107" s="10">
        <v>4063298816</v>
      </c>
      <c r="AA107" s="10">
        <v>3522226944</v>
      </c>
      <c r="AB107" s="10">
        <v>3838100992</v>
      </c>
      <c r="AC107" s="10">
        <v>4931860992</v>
      </c>
      <c r="AD107" s="10">
        <v>4262965248</v>
      </c>
      <c r="AE107" s="10">
        <v>4401967616</v>
      </c>
      <c r="AF107" s="10">
        <v>4277903872</v>
      </c>
      <c r="AG107" s="10">
        <v>4629246976</v>
      </c>
      <c r="AH107" s="10">
        <v>5438332928</v>
      </c>
      <c r="AI107" s="10">
        <v>5351701504</v>
      </c>
      <c r="AJ107" s="10">
        <v>6372498944</v>
      </c>
      <c r="AK107" s="10">
        <v>5064732672</v>
      </c>
      <c r="AL107" s="10">
        <v>5859269632</v>
      </c>
      <c r="AM107" s="10">
        <v>6395712512</v>
      </c>
      <c r="AN107" s="10">
        <v>8524620800</v>
      </c>
      <c r="AO107" s="10">
        <v>10725137408</v>
      </c>
      <c r="AP107" s="10">
        <v>9616879616</v>
      </c>
      <c r="AQ107" s="10">
        <v>9982710784</v>
      </c>
      <c r="AR107" s="10">
        <v>11551820800</v>
      </c>
      <c r="AS107" s="10">
        <v>11578978304</v>
      </c>
      <c r="AT107" s="10">
        <v>12423558144</v>
      </c>
      <c r="AU107" s="10">
        <v>12522958848</v>
      </c>
      <c r="AV107" s="10">
        <v>11323023360</v>
      </c>
      <c r="AW107" s="10">
        <v>11848614912</v>
      </c>
      <c r="AX107" s="10">
        <v>13176312832</v>
      </c>
      <c r="AY107" s="10">
        <v>13853433856</v>
      </c>
      <c r="AZ107" s="10">
        <v>14083906560</v>
      </c>
    </row>
    <row r="108" spans="1:52" x14ac:dyDescent="0.45">
      <c r="A108" t="s">
        <v>191</v>
      </c>
      <c r="B108" t="s">
        <v>132</v>
      </c>
      <c r="C108" s="10">
        <v>290531616</v>
      </c>
      <c r="D108" s="10">
        <v>365386944</v>
      </c>
      <c r="E108" s="10">
        <v>406062880</v>
      </c>
      <c r="F108" s="10">
        <v>444281696</v>
      </c>
      <c r="G108" s="10">
        <v>548620992</v>
      </c>
      <c r="H108" s="10">
        <v>613220672</v>
      </c>
      <c r="I108" s="10">
        <v>670317632</v>
      </c>
      <c r="J108" s="10">
        <v>806290816</v>
      </c>
      <c r="K108" s="10">
        <v>949034048</v>
      </c>
      <c r="L108" s="10">
        <v>1058269056</v>
      </c>
      <c r="M108" s="10">
        <v>1237655424</v>
      </c>
      <c r="N108" s="10">
        <v>1237685632</v>
      </c>
      <c r="O108" s="10">
        <v>1180104192</v>
      </c>
      <c r="P108" s="10">
        <v>1223186816</v>
      </c>
      <c r="Q108" s="10">
        <v>1208008960</v>
      </c>
      <c r="R108" s="10">
        <v>1131347840</v>
      </c>
      <c r="S108" s="10">
        <v>1183654784</v>
      </c>
      <c r="T108" s="10">
        <v>1183094144</v>
      </c>
      <c r="U108" s="10">
        <v>1379924224</v>
      </c>
      <c r="V108" s="10">
        <v>1590215552</v>
      </c>
      <c r="W108" s="10">
        <v>1880771584</v>
      </c>
      <c r="X108" s="10">
        <v>2203545856</v>
      </c>
      <c r="Y108" s="10">
        <v>1799517056</v>
      </c>
      <c r="Z108" s="10">
        <v>2070636928</v>
      </c>
      <c r="AA108" s="10">
        <v>1181802624</v>
      </c>
      <c r="AB108" s="10">
        <v>1397457920</v>
      </c>
      <c r="AC108" s="10">
        <v>2281034240</v>
      </c>
      <c r="AD108" s="10">
        <v>2663234816</v>
      </c>
      <c r="AE108" s="10">
        <v>1750584320</v>
      </c>
      <c r="AF108" s="10">
        <v>1775921664</v>
      </c>
      <c r="AG108" s="10">
        <v>1743506560</v>
      </c>
      <c r="AH108" s="10">
        <v>1716502912</v>
      </c>
      <c r="AI108" s="10">
        <v>3495748352</v>
      </c>
      <c r="AJ108" s="10">
        <v>3208837120</v>
      </c>
      <c r="AK108" s="10">
        <v>3476094464</v>
      </c>
      <c r="AL108" s="10">
        <v>3655909632</v>
      </c>
      <c r="AM108" s="10">
        <v>3998020096</v>
      </c>
      <c r="AN108" s="10">
        <v>4432936960</v>
      </c>
      <c r="AO108" s="10">
        <v>5321012224</v>
      </c>
      <c r="AP108" s="10">
        <v>6191127552</v>
      </c>
      <c r="AQ108" s="10">
        <v>6959655424</v>
      </c>
      <c r="AR108" s="10">
        <v>8004000768</v>
      </c>
      <c r="AS108" s="10">
        <v>6028487680</v>
      </c>
      <c r="AT108" s="10">
        <v>5518880768</v>
      </c>
      <c r="AU108" s="10">
        <v>6047813632</v>
      </c>
      <c r="AV108" s="10">
        <v>6373212672</v>
      </c>
      <c r="AW108" s="10">
        <v>5433040384</v>
      </c>
      <c r="AX108" s="10">
        <v>6303292416</v>
      </c>
      <c r="AY108" s="10">
        <v>6917301760</v>
      </c>
      <c r="AZ108" s="10">
        <v>7666704384</v>
      </c>
    </row>
    <row r="109" spans="1:52" x14ac:dyDescent="0.45">
      <c r="A109" t="s">
        <v>191</v>
      </c>
      <c r="B109" t="s">
        <v>217</v>
      </c>
      <c r="C109" s="10">
        <v>359772352</v>
      </c>
      <c r="D109" s="10">
        <v>430096736</v>
      </c>
      <c r="E109" s="10">
        <v>486617344</v>
      </c>
      <c r="F109" s="10">
        <v>563683648</v>
      </c>
      <c r="G109" s="10">
        <v>538747264</v>
      </c>
      <c r="H109" s="10">
        <v>830710592</v>
      </c>
      <c r="I109" s="10">
        <v>939227968</v>
      </c>
      <c r="J109" s="10">
        <v>1049838464</v>
      </c>
      <c r="K109" s="10">
        <v>1222702336</v>
      </c>
      <c r="L109" s="10">
        <v>1595423232</v>
      </c>
      <c r="M109" s="10">
        <v>1759690752</v>
      </c>
      <c r="N109" s="10">
        <v>1538972160</v>
      </c>
      <c r="O109" s="10">
        <v>1333753984</v>
      </c>
      <c r="P109" s="10">
        <v>1297765504</v>
      </c>
      <c r="Q109" s="10">
        <v>1232931968</v>
      </c>
      <c r="R109" s="10">
        <v>1392195968</v>
      </c>
      <c r="S109" s="10">
        <v>1852163456</v>
      </c>
      <c r="T109" s="10">
        <v>2090629760</v>
      </c>
      <c r="U109" s="10">
        <v>2169040640</v>
      </c>
      <c r="V109" s="10">
        <v>2181821952</v>
      </c>
      <c r="W109" s="10">
        <v>2681912064</v>
      </c>
      <c r="X109" s="10">
        <v>2724131584</v>
      </c>
      <c r="Y109" s="10">
        <v>2830673408</v>
      </c>
      <c r="Z109" s="10">
        <v>2818280960</v>
      </c>
      <c r="AA109" s="10">
        <v>2081846528</v>
      </c>
      <c r="AB109" s="10">
        <v>2706425344</v>
      </c>
      <c r="AC109" s="10">
        <v>2780422144</v>
      </c>
      <c r="AD109" s="10">
        <v>2697105664</v>
      </c>
      <c r="AE109" s="10">
        <v>2920358656</v>
      </c>
      <c r="AF109" s="10">
        <v>3439463168</v>
      </c>
      <c r="AG109" s="10">
        <v>2954129664</v>
      </c>
      <c r="AH109" s="10">
        <v>3465306112</v>
      </c>
      <c r="AI109" s="10">
        <v>3889757952</v>
      </c>
      <c r="AJ109" s="10">
        <v>4703504384</v>
      </c>
      <c r="AK109" s="10">
        <v>5444474368</v>
      </c>
      <c r="AL109" s="10">
        <v>6247496704</v>
      </c>
      <c r="AM109" s="10">
        <v>6905876480</v>
      </c>
      <c r="AN109" s="10">
        <v>8145694720</v>
      </c>
      <c r="AO109" s="10">
        <v>9798740992</v>
      </c>
      <c r="AP109" s="10">
        <v>10190945280</v>
      </c>
      <c r="AQ109" s="10">
        <v>10689167360</v>
      </c>
      <c r="AR109" s="10">
        <v>12995075072</v>
      </c>
      <c r="AS109" s="10">
        <v>12441946112</v>
      </c>
      <c r="AT109" s="10">
        <v>13242680320</v>
      </c>
      <c r="AU109" s="10">
        <v>14365345792</v>
      </c>
      <c r="AV109" s="10">
        <v>13104869376</v>
      </c>
      <c r="AW109" s="10">
        <v>14020002816</v>
      </c>
      <c r="AX109" s="10">
        <v>15375605760</v>
      </c>
      <c r="AY109" s="10">
        <v>17172022272</v>
      </c>
      <c r="AZ109" s="10">
        <v>17510141952</v>
      </c>
    </row>
    <row r="110" spans="1:52" x14ac:dyDescent="0.45">
      <c r="A110" t="s">
        <v>191</v>
      </c>
      <c r="B110" t="s">
        <v>218</v>
      </c>
      <c r="C110" s="10">
        <v>309405312</v>
      </c>
      <c r="D110" s="10">
        <v>335569088</v>
      </c>
      <c r="E110" s="10">
        <v>391669440</v>
      </c>
      <c r="F110" s="10">
        <v>493237536</v>
      </c>
      <c r="G110" s="10">
        <v>613010944</v>
      </c>
      <c r="H110" s="10">
        <v>703378624</v>
      </c>
      <c r="I110" s="10">
        <v>775046400</v>
      </c>
      <c r="J110" s="10">
        <v>799029696</v>
      </c>
      <c r="K110" s="10">
        <v>804629888</v>
      </c>
      <c r="L110" s="10">
        <v>951900928</v>
      </c>
      <c r="M110" s="10">
        <v>1047924672</v>
      </c>
      <c r="N110" s="10">
        <v>1105495424</v>
      </c>
      <c r="O110" s="10">
        <v>1108776064</v>
      </c>
      <c r="P110" s="10">
        <v>1165170688</v>
      </c>
      <c r="Q110" s="10">
        <v>1074373760</v>
      </c>
      <c r="R110" s="10">
        <v>1009723328</v>
      </c>
      <c r="S110" s="10">
        <v>1186628736</v>
      </c>
      <c r="T110" s="10">
        <v>1344665216</v>
      </c>
      <c r="U110" s="10">
        <v>1414951808</v>
      </c>
      <c r="V110" s="10">
        <v>1450647040</v>
      </c>
      <c r="W110" s="10">
        <v>1506914432</v>
      </c>
      <c r="X110" s="10">
        <v>2133693440</v>
      </c>
      <c r="Y110" s="10">
        <v>2164292096</v>
      </c>
      <c r="Z110" s="10">
        <v>1847350656</v>
      </c>
      <c r="AA110" s="10">
        <v>1944876800</v>
      </c>
      <c r="AB110" s="10">
        <v>2091731456</v>
      </c>
      <c r="AC110" s="10">
        <v>2132081920</v>
      </c>
      <c r="AD110" s="10">
        <v>2072001024</v>
      </c>
      <c r="AE110" s="10">
        <v>2032345856</v>
      </c>
      <c r="AF110" s="10">
        <v>1985924352</v>
      </c>
      <c r="AG110" s="10">
        <v>1779521152</v>
      </c>
      <c r="AH110" s="10">
        <v>1746064768</v>
      </c>
      <c r="AI110" s="10">
        <v>1777058560</v>
      </c>
      <c r="AJ110" s="10">
        <v>2051147648</v>
      </c>
      <c r="AK110" s="10">
        <v>2362501120</v>
      </c>
      <c r="AL110" s="10">
        <v>2936019456</v>
      </c>
      <c r="AM110" s="10">
        <v>4008583936</v>
      </c>
      <c r="AN110" s="10">
        <v>4328063488</v>
      </c>
      <c r="AO110" s="10">
        <v>5138471424</v>
      </c>
      <c r="AP110" s="10">
        <v>4725200384</v>
      </c>
      <c r="AQ110" s="10">
        <v>5628882432</v>
      </c>
      <c r="AR110" s="10">
        <v>6764635648</v>
      </c>
      <c r="AS110" s="10">
        <v>6728208896</v>
      </c>
      <c r="AT110" s="10">
        <v>7223063040</v>
      </c>
      <c r="AU110" s="10">
        <v>6592537600</v>
      </c>
      <c r="AV110" s="10">
        <v>6166857728</v>
      </c>
      <c r="AW110" s="10">
        <v>6398744576</v>
      </c>
      <c r="AX110" s="10">
        <v>6758390784</v>
      </c>
      <c r="AY110" s="10">
        <v>7049169920</v>
      </c>
      <c r="AZ110" s="10">
        <v>7593752576</v>
      </c>
    </row>
    <row r="111" spans="1:52" x14ac:dyDescent="0.45">
      <c r="A111" t="s">
        <v>191</v>
      </c>
      <c r="B111" t="s">
        <v>137</v>
      </c>
      <c r="C111" s="10">
        <v>649916736</v>
      </c>
      <c r="D111" s="10">
        <v>693573568</v>
      </c>
      <c r="E111" s="10">
        <v>742779712</v>
      </c>
      <c r="F111" s="10">
        <v>946385024</v>
      </c>
      <c r="G111" s="10">
        <v>1026136960</v>
      </c>
      <c r="H111" s="10">
        <v>1048690944</v>
      </c>
      <c r="I111" s="10">
        <v>1064517568</v>
      </c>
      <c r="J111" s="10">
        <v>1291457920</v>
      </c>
      <c r="K111" s="10">
        <v>1774365312</v>
      </c>
      <c r="L111" s="10">
        <v>2109278080</v>
      </c>
      <c r="M111" s="10">
        <v>2508524288</v>
      </c>
      <c r="N111" s="10">
        <v>2170893056</v>
      </c>
      <c r="O111" s="10">
        <v>2017611904</v>
      </c>
      <c r="P111" s="10">
        <v>1803099776</v>
      </c>
      <c r="Q111" s="10">
        <v>1461243264</v>
      </c>
      <c r="R111" s="10">
        <v>1440581504</v>
      </c>
      <c r="S111" s="10">
        <v>1904097024</v>
      </c>
      <c r="T111" s="10">
        <v>2233005824</v>
      </c>
      <c r="U111" s="10">
        <v>2280356352</v>
      </c>
      <c r="V111" s="10">
        <v>2179567104</v>
      </c>
      <c r="W111" s="10">
        <v>3536335104</v>
      </c>
      <c r="X111" s="10">
        <v>3309124352</v>
      </c>
      <c r="Y111" s="10">
        <v>3411197184</v>
      </c>
      <c r="Z111" s="10">
        <v>2225270528</v>
      </c>
      <c r="AA111" s="10">
        <v>1947256704</v>
      </c>
      <c r="AB111" s="10">
        <v>2313555968</v>
      </c>
      <c r="AC111" s="10">
        <v>2417146624</v>
      </c>
      <c r="AD111" s="10">
        <v>2297228032</v>
      </c>
      <c r="AE111" s="10">
        <v>2625049600</v>
      </c>
      <c r="AF111" s="10">
        <v>2520868608</v>
      </c>
      <c r="AG111" s="10">
        <v>2238259712</v>
      </c>
      <c r="AH111" s="10">
        <v>2445079040</v>
      </c>
      <c r="AI111" s="10">
        <v>2768787456</v>
      </c>
      <c r="AJ111" s="10">
        <v>3387804160</v>
      </c>
      <c r="AK111" s="10">
        <v>3742134272</v>
      </c>
      <c r="AL111" s="10">
        <v>4374678016</v>
      </c>
      <c r="AM111" s="10">
        <v>4743059456</v>
      </c>
      <c r="AN111" s="10">
        <v>5694716928</v>
      </c>
      <c r="AO111" s="10">
        <v>7220003840</v>
      </c>
      <c r="AP111" s="10">
        <v>7278718464</v>
      </c>
      <c r="AQ111" s="10">
        <v>7792420864</v>
      </c>
      <c r="AR111" s="10">
        <v>8701085696</v>
      </c>
      <c r="AS111" s="10">
        <v>9366515712</v>
      </c>
      <c r="AT111" s="10">
        <v>10156855296</v>
      </c>
      <c r="AU111" s="10">
        <v>10815312896</v>
      </c>
      <c r="AV111" s="10">
        <v>9667589120</v>
      </c>
      <c r="AW111" s="10">
        <v>10284626944</v>
      </c>
      <c r="AX111" s="10">
        <v>11166063616</v>
      </c>
      <c r="AY111" s="10">
        <v>12826750976</v>
      </c>
      <c r="AZ111" s="10">
        <v>12928145408</v>
      </c>
    </row>
    <row r="112" spans="1:52" x14ac:dyDescent="0.45">
      <c r="A112" t="s">
        <v>191</v>
      </c>
      <c r="B112" t="s">
        <v>138</v>
      </c>
      <c r="C112" s="10">
        <v>12545849344</v>
      </c>
      <c r="D112" s="10">
        <v>9181769728</v>
      </c>
      <c r="E112" s="10">
        <v>12274415616</v>
      </c>
      <c r="F112" s="10">
        <v>15162870784</v>
      </c>
      <c r="G112" s="10">
        <v>24846641152</v>
      </c>
      <c r="H112" s="10">
        <v>27778934784</v>
      </c>
      <c r="I112" s="10">
        <v>36308881408</v>
      </c>
      <c r="J112" s="10">
        <v>36035407872</v>
      </c>
      <c r="K112" s="10">
        <v>36527861760</v>
      </c>
      <c r="L112" s="10">
        <v>47259910144</v>
      </c>
      <c r="M112" s="10">
        <v>64201789440</v>
      </c>
      <c r="N112" s="10">
        <v>164475207680</v>
      </c>
      <c r="O112" s="10">
        <v>142769356800</v>
      </c>
      <c r="P112" s="10">
        <v>97094909952</v>
      </c>
      <c r="Q112" s="10">
        <v>73484361728</v>
      </c>
      <c r="R112" s="10">
        <v>73745817600</v>
      </c>
      <c r="S112" s="10">
        <v>54805852160</v>
      </c>
      <c r="T112" s="10">
        <v>52676042752</v>
      </c>
      <c r="U112" s="10">
        <v>49648472064</v>
      </c>
      <c r="V112" s="10">
        <v>44003061760</v>
      </c>
      <c r="W112" s="10">
        <v>54035795968</v>
      </c>
      <c r="X112" s="10">
        <v>49118433280</v>
      </c>
      <c r="Y112" s="10">
        <v>47794925568</v>
      </c>
      <c r="Z112" s="10">
        <v>27752204288</v>
      </c>
      <c r="AA112" s="10">
        <v>33833043968</v>
      </c>
      <c r="AB112" s="10">
        <v>44062466048</v>
      </c>
      <c r="AC112" s="10">
        <v>51075813376</v>
      </c>
      <c r="AD112" s="10">
        <v>54457835520</v>
      </c>
      <c r="AE112" s="10">
        <v>54604050432</v>
      </c>
      <c r="AF112" s="10">
        <v>59372613632</v>
      </c>
      <c r="AG112" s="10">
        <v>69448753152</v>
      </c>
      <c r="AH112" s="10">
        <v>74030366720</v>
      </c>
      <c r="AI112" s="10">
        <v>95385821184</v>
      </c>
      <c r="AJ112" s="10">
        <v>104911945728</v>
      </c>
      <c r="AK112" s="10">
        <v>136385978368</v>
      </c>
      <c r="AL112" s="10">
        <v>176134094848</v>
      </c>
      <c r="AM112" s="10">
        <v>236103974912</v>
      </c>
      <c r="AN112" s="10">
        <v>275625672704</v>
      </c>
      <c r="AO112" s="10">
        <v>337035526144</v>
      </c>
      <c r="AP112" s="10">
        <v>291880206336</v>
      </c>
      <c r="AQ112" s="10">
        <v>363359895552</v>
      </c>
      <c r="AR112" s="10">
        <v>410334593024</v>
      </c>
      <c r="AS112" s="10">
        <v>459376033792</v>
      </c>
      <c r="AT112" s="10">
        <v>514966290432</v>
      </c>
      <c r="AU112" s="10">
        <v>568498913280</v>
      </c>
      <c r="AV112" s="10">
        <v>494583185408</v>
      </c>
      <c r="AW112" s="10">
        <v>404649541632</v>
      </c>
      <c r="AX112" s="10">
        <v>375745478656</v>
      </c>
      <c r="AY112" s="10">
        <v>398160396288</v>
      </c>
      <c r="AZ112" s="10">
        <v>448120422400</v>
      </c>
    </row>
    <row r="113" spans="1:52" x14ac:dyDescent="0.45">
      <c r="A113" t="s">
        <v>191</v>
      </c>
      <c r="B113" t="s">
        <v>145</v>
      </c>
      <c r="C113" s="10">
        <v>219900000</v>
      </c>
      <c r="D113" s="10">
        <v>222952576</v>
      </c>
      <c r="E113" s="10">
        <v>246457840</v>
      </c>
      <c r="F113" s="10">
        <v>290746144</v>
      </c>
      <c r="G113" s="10">
        <v>308458432</v>
      </c>
      <c r="H113" s="10">
        <v>571863296</v>
      </c>
      <c r="I113" s="10">
        <v>637754176</v>
      </c>
      <c r="J113" s="10">
        <v>746650560</v>
      </c>
      <c r="K113" s="10">
        <v>905709120</v>
      </c>
      <c r="L113" s="10">
        <v>1109346176</v>
      </c>
      <c r="M113" s="10">
        <v>1254765312</v>
      </c>
      <c r="N113" s="10">
        <v>1407062656</v>
      </c>
      <c r="O113" s="10">
        <v>1407242624</v>
      </c>
      <c r="P113" s="10">
        <v>1479688064</v>
      </c>
      <c r="Q113" s="10">
        <v>1587412992</v>
      </c>
      <c r="R113" s="10">
        <v>1715625856</v>
      </c>
      <c r="S113" s="10">
        <v>1944711040</v>
      </c>
      <c r="T113" s="10">
        <v>2157434112</v>
      </c>
      <c r="U113" s="10">
        <v>2395493888</v>
      </c>
      <c r="V113" s="10">
        <v>2405021952</v>
      </c>
      <c r="W113" s="10">
        <v>2550185728</v>
      </c>
      <c r="X113" s="10">
        <v>1911601024</v>
      </c>
      <c r="Y113" s="10">
        <v>2029026688</v>
      </c>
      <c r="Z113" s="10">
        <v>1971526016</v>
      </c>
      <c r="AA113" s="10">
        <v>753636352</v>
      </c>
      <c r="AB113" s="10">
        <v>1293534976</v>
      </c>
      <c r="AC113" s="10">
        <v>1382334848</v>
      </c>
      <c r="AD113" s="10">
        <v>1851558272</v>
      </c>
      <c r="AE113" s="10">
        <v>1989343488</v>
      </c>
      <c r="AF113" s="10">
        <v>1817654528</v>
      </c>
      <c r="AG113" s="10">
        <v>1734938624</v>
      </c>
      <c r="AH113" s="10">
        <v>1674685312</v>
      </c>
      <c r="AI113" s="10">
        <v>1677552384</v>
      </c>
      <c r="AJ113" s="10">
        <v>1846198784</v>
      </c>
      <c r="AK113" s="10">
        <v>2088961920</v>
      </c>
      <c r="AL113" s="10">
        <v>2581313536</v>
      </c>
      <c r="AM113" s="10">
        <v>3330198784</v>
      </c>
      <c r="AN113" s="10">
        <v>4083515136</v>
      </c>
      <c r="AO113" s="10">
        <v>5198063104</v>
      </c>
      <c r="AP113" s="10">
        <v>5694132224</v>
      </c>
      <c r="AQ113" s="10">
        <v>6147525120</v>
      </c>
      <c r="AR113" s="10">
        <v>6912074240</v>
      </c>
      <c r="AS113" s="10">
        <v>7687521792</v>
      </c>
      <c r="AT113" s="10">
        <v>7851127808</v>
      </c>
      <c r="AU113" s="10">
        <v>8279480832</v>
      </c>
      <c r="AV113" s="10">
        <v>8582588928</v>
      </c>
      <c r="AW113" s="10">
        <v>8734161920</v>
      </c>
      <c r="AX113" s="10">
        <v>9253098496</v>
      </c>
      <c r="AY113" s="10">
        <v>9627720704</v>
      </c>
      <c r="AZ113" s="10">
        <v>10122472448</v>
      </c>
    </row>
    <row r="114" spans="1:52" x14ac:dyDescent="0.45">
      <c r="A114" t="s">
        <v>191</v>
      </c>
      <c r="B114" t="s">
        <v>146</v>
      </c>
      <c r="C114" s="10">
        <v>1297407872</v>
      </c>
      <c r="D114" s="10">
        <v>1339548800</v>
      </c>
      <c r="E114" s="10">
        <v>1620857216</v>
      </c>
      <c r="F114" s="10">
        <v>1863398400</v>
      </c>
      <c r="G114" s="10">
        <v>2099324928</v>
      </c>
      <c r="H114" s="10">
        <v>2830388480</v>
      </c>
      <c r="I114" s="10">
        <v>2869777920</v>
      </c>
      <c r="J114" s="10">
        <v>2938046208</v>
      </c>
      <c r="K114" s="10">
        <v>3280354304</v>
      </c>
      <c r="L114" s="10">
        <v>4084878592</v>
      </c>
      <c r="M114" s="10">
        <v>4435050496</v>
      </c>
      <c r="N114" s="10">
        <v>4021697280</v>
      </c>
      <c r="O114" s="10">
        <v>3936758784</v>
      </c>
      <c r="P114" s="10">
        <v>3512053248</v>
      </c>
      <c r="Q114" s="10">
        <v>3425127424</v>
      </c>
      <c r="R114" s="10">
        <v>3750056448</v>
      </c>
      <c r="S114" s="10">
        <v>5304238080</v>
      </c>
      <c r="T114" s="10">
        <v>6381385728</v>
      </c>
      <c r="U114" s="10">
        <v>6311054848</v>
      </c>
      <c r="V114" s="10">
        <v>6219793408</v>
      </c>
      <c r="W114" s="10">
        <v>7237100544</v>
      </c>
      <c r="X114" s="10">
        <v>7111252992</v>
      </c>
      <c r="Y114" s="10">
        <v>7602005504</v>
      </c>
      <c r="Z114" s="10">
        <v>7189226496</v>
      </c>
      <c r="AA114" s="10">
        <v>4908415488</v>
      </c>
      <c r="AB114" s="10">
        <v>6176312320</v>
      </c>
      <c r="AC114" s="10">
        <v>6413189632</v>
      </c>
      <c r="AD114" s="10">
        <v>5915250176</v>
      </c>
      <c r="AE114" s="10">
        <v>6368265216</v>
      </c>
      <c r="AF114" s="10">
        <v>6512207872</v>
      </c>
      <c r="AG114" s="10">
        <v>5924239872</v>
      </c>
      <c r="AH114" s="10">
        <v>6174898176</v>
      </c>
      <c r="AI114" s="10">
        <v>6752510464</v>
      </c>
      <c r="AJ114" s="10">
        <v>8683229184</v>
      </c>
      <c r="AK114" s="10">
        <v>10167441408</v>
      </c>
      <c r="AL114" s="10">
        <v>11022821376</v>
      </c>
      <c r="AM114" s="10">
        <v>11847847936</v>
      </c>
      <c r="AN114" s="10">
        <v>14285970432</v>
      </c>
      <c r="AO114" s="10">
        <v>16949789696</v>
      </c>
      <c r="AP114" s="10">
        <v>16248212480</v>
      </c>
      <c r="AQ114" s="10">
        <v>16230888448</v>
      </c>
      <c r="AR114" s="10">
        <v>17902206976</v>
      </c>
      <c r="AS114" s="10">
        <v>17824399360</v>
      </c>
      <c r="AT114" s="10">
        <v>18965571584</v>
      </c>
      <c r="AU114" s="10">
        <v>19797254144</v>
      </c>
      <c r="AV114" s="10">
        <v>17774766080</v>
      </c>
      <c r="AW114" s="10">
        <v>19040313344</v>
      </c>
      <c r="AX114" s="10">
        <v>20996564992</v>
      </c>
      <c r="AY114" s="10">
        <v>23236007936</v>
      </c>
      <c r="AZ114" s="10">
        <v>23578083328</v>
      </c>
    </row>
    <row r="115" spans="1:52" x14ac:dyDescent="0.45">
      <c r="A115" t="s">
        <v>191</v>
      </c>
      <c r="B115" t="s">
        <v>147</v>
      </c>
      <c r="C115" s="10">
        <v>18432032</v>
      </c>
      <c r="D115" s="10">
        <v>21965952</v>
      </c>
      <c r="E115" s="10">
        <v>30645120</v>
      </c>
      <c r="F115" s="10">
        <v>36896280</v>
      </c>
      <c r="G115" s="10">
        <v>43134500</v>
      </c>
      <c r="H115" s="10">
        <v>47803144</v>
      </c>
      <c r="I115" s="10">
        <v>49278980</v>
      </c>
      <c r="J115" s="10">
        <v>64526400</v>
      </c>
      <c r="K115" s="10">
        <v>85552368</v>
      </c>
      <c r="L115" s="10">
        <v>127261096</v>
      </c>
      <c r="M115" s="10">
        <v>147357216</v>
      </c>
      <c r="N115" s="10">
        <v>154902864</v>
      </c>
      <c r="O115" s="10">
        <v>147912064</v>
      </c>
      <c r="P115" s="10">
        <v>146712848</v>
      </c>
      <c r="Q115" s="10">
        <v>151313248</v>
      </c>
      <c r="R115" s="10">
        <v>168887536</v>
      </c>
      <c r="S115" s="10">
        <v>207850624</v>
      </c>
      <c r="T115" s="10">
        <v>249267040</v>
      </c>
      <c r="U115" s="10">
        <v>283828768</v>
      </c>
      <c r="V115" s="10">
        <v>304832864</v>
      </c>
      <c r="W115" s="10">
        <v>368584768</v>
      </c>
      <c r="X115" s="10">
        <v>374359552</v>
      </c>
      <c r="Y115" s="10">
        <v>433667200</v>
      </c>
      <c r="Z115" s="10">
        <v>473916832</v>
      </c>
      <c r="AA115" s="10">
        <v>486451200</v>
      </c>
      <c r="AB115" s="10">
        <v>508221504</v>
      </c>
      <c r="AC115" s="10">
        <v>503068480</v>
      </c>
      <c r="AD115" s="10">
        <v>562958848</v>
      </c>
      <c r="AE115" s="10">
        <v>608369280</v>
      </c>
      <c r="AF115" s="10">
        <v>622985472</v>
      </c>
      <c r="AG115" s="10">
        <v>614879744</v>
      </c>
      <c r="AH115" s="10">
        <v>622262080</v>
      </c>
      <c r="AI115" s="10">
        <v>697518272</v>
      </c>
      <c r="AJ115" s="10">
        <v>705704832</v>
      </c>
      <c r="AK115" s="10">
        <v>839319936</v>
      </c>
      <c r="AL115" s="10">
        <v>919103232</v>
      </c>
      <c r="AM115" s="10">
        <v>1016418240</v>
      </c>
      <c r="AN115" s="10">
        <v>1033561664</v>
      </c>
      <c r="AO115" s="10">
        <v>967199616</v>
      </c>
      <c r="AP115" s="10">
        <v>847397824</v>
      </c>
      <c r="AQ115" s="10">
        <v>969936512</v>
      </c>
      <c r="AR115" s="10">
        <v>1065826688</v>
      </c>
      <c r="AS115" s="10">
        <v>1060226112</v>
      </c>
      <c r="AT115" s="10">
        <v>1328157568</v>
      </c>
      <c r="AU115" s="10">
        <v>1343007872</v>
      </c>
      <c r="AV115" s="10">
        <v>1377495040</v>
      </c>
      <c r="AW115" s="10">
        <v>1426651776</v>
      </c>
      <c r="AX115" s="10">
        <v>1524486784</v>
      </c>
      <c r="AY115" s="10">
        <v>1586008960</v>
      </c>
      <c r="AZ115" s="10">
        <v>1698843008</v>
      </c>
    </row>
    <row r="116" spans="1:52" x14ac:dyDescent="0.45">
      <c r="A116" t="s">
        <v>191</v>
      </c>
      <c r="B116" t="s">
        <v>148</v>
      </c>
      <c r="C116" s="10">
        <v>434410368</v>
      </c>
      <c r="D116" s="10">
        <v>419549440</v>
      </c>
      <c r="E116" s="10">
        <v>465381088</v>
      </c>
      <c r="F116" s="10">
        <v>575230208</v>
      </c>
      <c r="G116" s="10">
        <v>648590656</v>
      </c>
      <c r="H116" s="10">
        <v>679335872</v>
      </c>
      <c r="I116" s="10">
        <v>594895680</v>
      </c>
      <c r="J116" s="10">
        <v>691777728</v>
      </c>
      <c r="K116" s="10">
        <v>960728320</v>
      </c>
      <c r="L116" s="10">
        <v>1109374720</v>
      </c>
      <c r="M116" s="10">
        <v>1100685824</v>
      </c>
      <c r="N116" s="10">
        <v>1114830464</v>
      </c>
      <c r="O116" s="10">
        <v>1295361920</v>
      </c>
      <c r="P116" s="10">
        <v>995104320</v>
      </c>
      <c r="Q116" s="10">
        <v>1087471872</v>
      </c>
      <c r="R116" s="10">
        <v>856890496</v>
      </c>
      <c r="S116" s="10">
        <v>490181472</v>
      </c>
      <c r="T116" s="10">
        <v>701307584</v>
      </c>
      <c r="U116" s="10">
        <v>1055083968</v>
      </c>
      <c r="V116" s="10">
        <v>932974400</v>
      </c>
      <c r="W116" s="10">
        <v>649644800</v>
      </c>
      <c r="X116" s="10">
        <v>779981440</v>
      </c>
      <c r="Y116" s="10">
        <v>679998016</v>
      </c>
      <c r="Z116" s="10">
        <v>768812352</v>
      </c>
      <c r="AA116" s="10">
        <v>911915968</v>
      </c>
      <c r="AB116" s="10">
        <v>870758720</v>
      </c>
      <c r="AC116" s="10">
        <v>941742144</v>
      </c>
      <c r="AD116" s="10">
        <v>850218048</v>
      </c>
      <c r="AE116" s="10">
        <v>672375936</v>
      </c>
      <c r="AF116" s="10">
        <v>669384768</v>
      </c>
      <c r="AG116" s="10">
        <v>635873984</v>
      </c>
      <c r="AH116" s="10">
        <v>1090467712</v>
      </c>
      <c r="AI116" s="10">
        <v>1253340544</v>
      </c>
      <c r="AJ116" s="10">
        <v>1385810048</v>
      </c>
      <c r="AK116" s="10">
        <v>1448536576</v>
      </c>
      <c r="AL116" s="10">
        <v>1650494336</v>
      </c>
      <c r="AM116" s="10">
        <v>1885112192</v>
      </c>
      <c r="AN116" s="10">
        <v>2158496768</v>
      </c>
      <c r="AO116" s="10">
        <v>2505458688</v>
      </c>
      <c r="AP116" s="10">
        <v>2453899776</v>
      </c>
      <c r="AQ116" s="10">
        <v>2578026240</v>
      </c>
      <c r="AR116" s="10">
        <v>2942546688</v>
      </c>
      <c r="AS116" s="10">
        <v>3801862656</v>
      </c>
      <c r="AT116" s="10">
        <v>4920343040</v>
      </c>
      <c r="AU116" s="10">
        <v>5015157760</v>
      </c>
      <c r="AV116" s="10">
        <v>4218723840</v>
      </c>
      <c r="AW116" s="10">
        <v>3674794496</v>
      </c>
      <c r="AX116" s="10">
        <v>3739577856</v>
      </c>
      <c r="AY116" s="10">
        <v>4085114880</v>
      </c>
      <c r="AZ116" s="10">
        <v>3941474304</v>
      </c>
    </row>
    <row r="117" spans="1:52" x14ac:dyDescent="0.45">
      <c r="A117" t="s">
        <v>191</v>
      </c>
      <c r="B117" t="s">
        <v>149</v>
      </c>
      <c r="C117" s="10">
        <v>18418393088</v>
      </c>
      <c r="D117" s="10">
        <v>20333690880</v>
      </c>
      <c r="E117" s="10">
        <v>21357436928</v>
      </c>
      <c r="F117" s="10">
        <v>29295675392</v>
      </c>
      <c r="G117" s="10">
        <v>36807720960</v>
      </c>
      <c r="H117" s="10">
        <v>38114541568</v>
      </c>
      <c r="I117" s="10">
        <v>36603351040</v>
      </c>
      <c r="J117" s="10">
        <v>40651350016</v>
      </c>
      <c r="K117" s="10">
        <v>46739451904</v>
      </c>
      <c r="L117" s="10">
        <v>57645719552</v>
      </c>
      <c r="M117" s="10">
        <v>82980487168</v>
      </c>
      <c r="N117" s="10">
        <v>85454422016</v>
      </c>
      <c r="O117" s="10">
        <v>78423056384</v>
      </c>
      <c r="P117" s="10">
        <v>87415848960</v>
      </c>
      <c r="Q117" s="10">
        <v>77344096256</v>
      </c>
      <c r="R117" s="10">
        <v>59082637312</v>
      </c>
      <c r="S117" s="10">
        <v>67521601536</v>
      </c>
      <c r="T117" s="10">
        <v>88573698048</v>
      </c>
      <c r="U117" s="10">
        <v>95176638464</v>
      </c>
      <c r="V117" s="10">
        <v>99030859776</v>
      </c>
      <c r="W117" s="10">
        <v>115552346112</v>
      </c>
      <c r="X117" s="10">
        <v>123942756352</v>
      </c>
      <c r="Y117" s="10">
        <v>134544564224</v>
      </c>
      <c r="Z117" s="10">
        <v>134308052992</v>
      </c>
      <c r="AA117" s="10">
        <v>139752521728</v>
      </c>
      <c r="AB117" s="10">
        <v>155460927488</v>
      </c>
      <c r="AC117" s="10">
        <v>147606290432</v>
      </c>
      <c r="AD117" s="10">
        <v>152587419648</v>
      </c>
      <c r="AE117" s="10">
        <v>137774759936</v>
      </c>
      <c r="AF117" s="10">
        <v>136632320000</v>
      </c>
      <c r="AG117" s="10">
        <v>136361295872</v>
      </c>
      <c r="AH117" s="10">
        <v>121514655744</v>
      </c>
      <c r="AI117" s="10">
        <v>115482370048</v>
      </c>
      <c r="AJ117" s="10">
        <v>175256911872</v>
      </c>
      <c r="AK117" s="10">
        <v>228590026752</v>
      </c>
      <c r="AL117" s="10">
        <v>257772716032</v>
      </c>
      <c r="AM117" s="10">
        <v>271638478848</v>
      </c>
      <c r="AN117" s="10">
        <v>299415502848</v>
      </c>
      <c r="AO117" s="10">
        <v>286769840128</v>
      </c>
      <c r="AP117" s="10">
        <v>295936491520</v>
      </c>
      <c r="AQ117" s="10">
        <v>375349444608</v>
      </c>
      <c r="AR117" s="10">
        <v>416418889728</v>
      </c>
      <c r="AS117" s="10">
        <v>396332695552</v>
      </c>
      <c r="AT117" s="10">
        <v>366829404160</v>
      </c>
      <c r="AU117" s="10">
        <v>350904582144</v>
      </c>
      <c r="AV117" s="10">
        <v>317620518912</v>
      </c>
      <c r="AW117" s="10">
        <v>296357298176</v>
      </c>
      <c r="AX117" s="10">
        <v>349554114560</v>
      </c>
      <c r="AY117" s="10">
        <v>368288923648</v>
      </c>
      <c r="AZ117" s="10">
        <v>351431655424</v>
      </c>
    </row>
    <row r="118" spans="1:52" x14ac:dyDescent="0.45">
      <c r="A118" t="s">
        <v>191</v>
      </c>
      <c r="B118" t="s">
        <v>150</v>
      </c>
      <c r="C118" s="10">
        <v>2437666560</v>
      </c>
      <c r="D118" s="10">
        <v>2656000000</v>
      </c>
      <c r="E118" s="10">
        <v>2881999872</v>
      </c>
      <c r="F118" s="10">
        <v>3571666688</v>
      </c>
      <c r="G118" s="10">
        <v>4594999808</v>
      </c>
      <c r="H118" s="10">
        <v>5598000128</v>
      </c>
      <c r="I118" s="10">
        <v>6979333120</v>
      </c>
      <c r="J118" s="10">
        <v>8704000000</v>
      </c>
      <c r="K118" s="10">
        <v>7670499840</v>
      </c>
      <c r="L118" s="10">
        <v>9032250368</v>
      </c>
      <c r="M118" s="10">
        <v>7459833344</v>
      </c>
      <c r="N118" s="10">
        <v>10016499712</v>
      </c>
      <c r="O118" s="10">
        <v>9240000512</v>
      </c>
      <c r="P118" s="10">
        <v>8230153728</v>
      </c>
      <c r="Q118" s="10">
        <v>9701357568</v>
      </c>
      <c r="R118" s="10">
        <v>12403733504</v>
      </c>
      <c r="S118" s="10">
        <v>15769062400</v>
      </c>
      <c r="T118" s="10">
        <v>20155555840</v>
      </c>
      <c r="U118" s="10">
        <v>15399166976</v>
      </c>
      <c r="V118" s="10">
        <v>15291507712</v>
      </c>
      <c r="W118" s="10">
        <v>12408647680</v>
      </c>
      <c r="X118" s="10">
        <v>11379222528</v>
      </c>
      <c r="Y118" s="10">
        <v>7034219520</v>
      </c>
      <c r="Z118" s="10">
        <v>8881785856</v>
      </c>
      <c r="AA118" s="10">
        <v>12794191872</v>
      </c>
      <c r="AB118" s="10">
        <v>13829744640</v>
      </c>
      <c r="AC118" s="10">
        <v>9018243072</v>
      </c>
      <c r="AD118" s="10">
        <v>11681495040</v>
      </c>
      <c r="AE118" s="10">
        <v>11250327552</v>
      </c>
      <c r="AF118" s="10">
        <v>10682045440</v>
      </c>
      <c r="AG118" s="10">
        <v>12257418240</v>
      </c>
      <c r="AH118" s="10">
        <v>13182980096</v>
      </c>
      <c r="AI118" s="10">
        <v>14803188736</v>
      </c>
      <c r="AJ118" s="10">
        <v>17646503936</v>
      </c>
      <c r="AK118" s="10">
        <v>21457469440</v>
      </c>
      <c r="AL118" s="10">
        <v>26524538880</v>
      </c>
      <c r="AM118" s="10">
        <v>35822407680</v>
      </c>
      <c r="AN118" s="10">
        <v>45898948608</v>
      </c>
      <c r="AO118" s="10">
        <v>54526578688</v>
      </c>
      <c r="AP118" s="10">
        <v>49957203968</v>
      </c>
      <c r="AQ118" s="10">
        <v>61739814912</v>
      </c>
      <c r="AR118" s="10">
        <v>57891983360</v>
      </c>
      <c r="AS118" s="10">
        <v>52766720000</v>
      </c>
      <c r="AT118" s="10">
        <v>57730424832</v>
      </c>
      <c r="AU118" s="10">
        <v>64941776896</v>
      </c>
      <c r="AV118" s="10">
        <v>74294468608</v>
      </c>
      <c r="AW118" s="10">
        <v>51772231680</v>
      </c>
      <c r="AX118" s="10">
        <v>45379129344</v>
      </c>
      <c r="AY118" s="10">
        <v>26078607360</v>
      </c>
      <c r="AZ118" s="10">
        <v>18902284288</v>
      </c>
    </row>
    <row r="119" spans="1:52" x14ac:dyDescent="0.45">
      <c r="A119" t="s">
        <v>191</v>
      </c>
      <c r="B119" t="s">
        <v>219</v>
      </c>
      <c r="C119" s="10">
        <v>112137760</v>
      </c>
      <c r="D119" s="10">
        <v>136465328</v>
      </c>
      <c r="E119" s="10">
        <v>146741248</v>
      </c>
      <c r="F119" s="10">
        <v>221902016</v>
      </c>
      <c r="G119" s="10">
        <v>264312000</v>
      </c>
      <c r="H119" s="10">
        <v>288302912</v>
      </c>
      <c r="I119" s="10">
        <v>272539104</v>
      </c>
      <c r="J119" s="10">
        <v>304047840</v>
      </c>
      <c r="K119" s="10">
        <v>340616384</v>
      </c>
      <c r="L119" s="10">
        <v>412093120</v>
      </c>
      <c r="M119" s="10">
        <v>542000512</v>
      </c>
      <c r="N119" s="10">
        <v>571542656</v>
      </c>
      <c r="O119" s="10">
        <v>537576000</v>
      </c>
      <c r="P119" s="10">
        <v>555336128</v>
      </c>
      <c r="Q119" s="10">
        <v>494475712</v>
      </c>
      <c r="R119" s="10">
        <v>361014880</v>
      </c>
      <c r="S119" s="10">
        <v>449146624</v>
      </c>
      <c r="T119" s="10">
        <v>584135552</v>
      </c>
      <c r="U119" s="10">
        <v>692016704</v>
      </c>
      <c r="V119" s="10">
        <v>696915456</v>
      </c>
      <c r="W119" s="10">
        <v>1114703104</v>
      </c>
      <c r="X119" s="10">
        <v>1156141952</v>
      </c>
      <c r="Y119" s="10">
        <v>1284766208</v>
      </c>
      <c r="Z119" s="10">
        <v>1357207040</v>
      </c>
      <c r="AA119" s="10">
        <v>1419293440</v>
      </c>
      <c r="AB119" s="10">
        <v>1698982400</v>
      </c>
      <c r="AC119" s="10">
        <v>1602760064</v>
      </c>
      <c r="AD119" s="10">
        <v>1716699904</v>
      </c>
      <c r="AE119" s="10">
        <v>1576904320</v>
      </c>
      <c r="AF119" s="10">
        <v>1547884416</v>
      </c>
      <c r="AG119" s="10">
        <v>1738100864</v>
      </c>
      <c r="AH119" s="10">
        <v>1542477312</v>
      </c>
      <c r="AI119" s="10">
        <v>1432228224</v>
      </c>
      <c r="AJ119" s="10">
        <v>2197612800</v>
      </c>
      <c r="AK119" s="10">
        <v>2770082816</v>
      </c>
      <c r="AL119" s="10">
        <v>3178126592</v>
      </c>
      <c r="AM119" s="10">
        <v>3291353856</v>
      </c>
      <c r="AN119" s="10">
        <v>3469363968</v>
      </c>
      <c r="AO119" s="10">
        <v>3294093312</v>
      </c>
      <c r="AP119" s="10">
        <v>3580417280</v>
      </c>
      <c r="AQ119" s="10">
        <v>4438778368</v>
      </c>
      <c r="AR119" s="10">
        <v>4820499456</v>
      </c>
      <c r="AS119" s="10">
        <v>4886658560</v>
      </c>
      <c r="AT119" s="10">
        <v>4597702656</v>
      </c>
      <c r="AU119" s="10">
        <v>4422304768</v>
      </c>
      <c r="AV119" s="10">
        <v>4073391104</v>
      </c>
      <c r="AW119" s="10">
        <v>3840677888</v>
      </c>
      <c r="AX119" s="10">
        <v>4446248448</v>
      </c>
      <c r="AY119" s="10">
        <v>4710618624</v>
      </c>
      <c r="AZ119" s="10">
        <v>4405405696</v>
      </c>
    </row>
    <row r="120" spans="1:52" x14ac:dyDescent="0.45">
      <c r="A120" t="s">
        <v>191</v>
      </c>
      <c r="B120" t="s">
        <v>153</v>
      </c>
      <c r="C120" s="10">
        <v>253976624</v>
      </c>
      <c r="D120" s="10">
        <v>286537536</v>
      </c>
      <c r="E120" s="10">
        <v>335677632</v>
      </c>
      <c r="F120" s="10">
        <v>406479904</v>
      </c>
      <c r="G120" s="10">
        <v>560437760</v>
      </c>
      <c r="H120" s="10">
        <v>617321664</v>
      </c>
      <c r="I120" s="10">
        <v>619375104</v>
      </c>
      <c r="J120" s="10">
        <v>777435008</v>
      </c>
      <c r="K120" s="10">
        <v>824263872</v>
      </c>
      <c r="L120" s="10">
        <v>891775936</v>
      </c>
      <c r="M120" s="10">
        <v>1136408832</v>
      </c>
      <c r="N120" s="10">
        <v>962347008</v>
      </c>
      <c r="O120" s="10">
        <v>821651904</v>
      </c>
      <c r="P120" s="10">
        <v>765746560</v>
      </c>
      <c r="Q120" s="10">
        <v>718148928</v>
      </c>
      <c r="R120" s="10">
        <v>762359744</v>
      </c>
      <c r="S120" s="10">
        <v>1060911744</v>
      </c>
      <c r="T120" s="10">
        <v>1249099136</v>
      </c>
      <c r="U120" s="10">
        <v>1378847488</v>
      </c>
      <c r="V120" s="10">
        <v>1352949632</v>
      </c>
      <c r="W120" s="10">
        <v>1628427520</v>
      </c>
      <c r="X120" s="10">
        <v>1602299904</v>
      </c>
      <c r="Y120" s="10">
        <v>1692959104</v>
      </c>
      <c r="Z120" s="10">
        <v>1233496832</v>
      </c>
      <c r="AA120" s="10">
        <v>982624320</v>
      </c>
      <c r="AB120" s="10">
        <v>1309382912</v>
      </c>
      <c r="AC120" s="10">
        <v>1465448320</v>
      </c>
      <c r="AD120" s="10">
        <v>1498950912</v>
      </c>
      <c r="AE120" s="10">
        <v>1587345920</v>
      </c>
      <c r="AF120" s="10">
        <v>1576094592</v>
      </c>
      <c r="AG120" s="10">
        <v>1488185728</v>
      </c>
      <c r="AH120" s="10">
        <v>1481141888</v>
      </c>
      <c r="AI120" s="10">
        <v>1698678656</v>
      </c>
      <c r="AJ120" s="10">
        <v>2111093248</v>
      </c>
      <c r="AK120" s="10">
        <v>2255942144</v>
      </c>
      <c r="AL120" s="10">
        <v>2280575744</v>
      </c>
      <c r="AM120" s="10">
        <v>2349495552</v>
      </c>
      <c r="AN120" s="10">
        <v>2659095040</v>
      </c>
      <c r="AO120" s="10">
        <v>3310277888</v>
      </c>
      <c r="AP120" s="10">
        <v>3365711872</v>
      </c>
      <c r="AQ120" s="10">
        <v>3429461504</v>
      </c>
      <c r="AR120" s="10">
        <v>3872459264</v>
      </c>
      <c r="AS120" s="10">
        <v>3873308416</v>
      </c>
      <c r="AT120" s="10">
        <v>4321655808</v>
      </c>
      <c r="AU120" s="10">
        <v>4574986752</v>
      </c>
      <c r="AV120" s="10">
        <v>4180866304</v>
      </c>
      <c r="AW120" s="10">
        <v>4486979072</v>
      </c>
      <c r="AX120" s="10">
        <v>4819950080</v>
      </c>
      <c r="AY120" s="10">
        <v>5356344832</v>
      </c>
      <c r="AZ120" s="10">
        <v>5459979264</v>
      </c>
    </row>
    <row r="121" spans="1:52" x14ac:dyDescent="0.45">
      <c r="A121" t="s">
        <v>191</v>
      </c>
      <c r="B121" t="s">
        <v>157</v>
      </c>
      <c r="C121" s="10">
        <v>1825285760</v>
      </c>
      <c r="D121" s="10">
        <v>1687000064</v>
      </c>
      <c r="E121" s="10">
        <v>1910714240</v>
      </c>
      <c r="F121" s="10">
        <v>2268714240</v>
      </c>
      <c r="G121" s="10">
        <v>3121833216</v>
      </c>
      <c r="H121" s="10">
        <v>2618666752</v>
      </c>
      <c r="I121" s="10">
        <v>2746714368</v>
      </c>
      <c r="J121" s="10">
        <v>2483000064</v>
      </c>
      <c r="K121" s="10">
        <v>2813374976</v>
      </c>
      <c r="L121" s="10">
        <v>3325499904</v>
      </c>
      <c r="M121" s="10">
        <v>3829499904</v>
      </c>
      <c r="N121" s="10">
        <v>3872666624</v>
      </c>
      <c r="O121" s="10">
        <v>3994777856</v>
      </c>
      <c r="P121" s="10">
        <v>3216307712</v>
      </c>
      <c r="Q121" s="10">
        <v>2739444480</v>
      </c>
      <c r="R121" s="10">
        <v>2281257984</v>
      </c>
      <c r="S121" s="10">
        <v>1661948672</v>
      </c>
      <c r="T121" s="10">
        <v>2269894656</v>
      </c>
      <c r="U121" s="10">
        <v>3713614336</v>
      </c>
      <c r="V121" s="10">
        <v>3998637568</v>
      </c>
      <c r="W121" s="10">
        <v>3285217280</v>
      </c>
      <c r="X121" s="10">
        <v>3378882304</v>
      </c>
      <c r="Y121" s="10">
        <v>3181921792</v>
      </c>
      <c r="Z121" s="10">
        <v>3273237760</v>
      </c>
      <c r="AA121" s="10">
        <v>3656647680</v>
      </c>
      <c r="AB121" s="10">
        <v>3807067136</v>
      </c>
      <c r="AC121" s="10">
        <v>3597220864</v>
      </c>
      <c r="AD121" s="10">
        <v>4303282176</v>
      </c>
      <c r="AE121" s="10">
        <v>3537682944</v>
      </c>
      <c r="AF121" s="10">
        <v>3404312064</v>
      </c>
      <c r="AG121" s="10">
        <v>3600683008</v>
      </c>
      <c r="AH121" s="10">
        <v>4094480896</v>
      </c>
      <c r="AI121" s="10">
        <v>4193845760</v>
      </c>
      <c r="AJ121" s="10">
        <v>4901839872</v>
      </c>
      <c r="AK121" s="10">
        <v>6221077504</v>
      </c>
      <c r="AL121" s="10">
        <v>8331870208</v>
      </c>
      <c r="AM121" s="10">
        <v>12756858880</v>
      </c>
      <c r="AN121" s="10">
        <v>14056957952</v>
      </c>
      <c r="AO121" s="10">
        <v>17910857728</v>
      </c>
      <c r="AP121" s="10">
        <v>15328342016</v>
      </c>
      <c r="AQ121" s="10">
        <v>20265560064</v>
      </c>
      <c r="AR121" s="10">
        <v>23459514368</v>
      </c>
      <c r="AS121" s="10">
        <v>25503059968</v>
      </c>
      <c r="AT121" s="10">
        <v>28045512704</v>
      </c>
      <c r="AU121" s="10">
        <v>27150647296</v>
      </c>
      <c r="AV121" s="10">
        <v>21243346944</v>
      </c>
      <c r="AW121" s="10">
        <v>20954761216</v>
      </c>
      <c r="AX121" s="10">
        <v>25868142592</v>
      </c>
      <c r="AY121" s="10">
        <v>27005239296</v>
      </c>
      <c r="AZ121" s="10">
        <v>23064723456</v>
      </c>
    </row>
    <row r="122" spans="1:52" x14ac:dyDescent="0.45">
      <c r="A122" t="s">
        <v>191</v>
      </c>
      <c r="B122" t="s">
        <v>158</v>
      </c>
      <c r="C122" s="10">
        <v>1884206336</v>
      </c>
      <c r="D122" s="10">
        <v>2178716416</v>
      </c>
      <c r="E122" s="10">
        <v>2677729280</v>
      </c>
      <c r="F122" s="10">
        <v>3309353472</v>
      </c>
      <c r="G122" s="10">
        <v>3982161408</v>
      </c>
      <c r="H122" s="10">
        <v>4371300864</v>
      </c>
      <c r="I122" s="10">
        <v>4318371840</v>
      </c>
      <c r="J122" s="10">
        <v>4364382208</v>
      </c>
      <c r="K122" s="10">
        <v>4351600640</v>
      </c>
      <c r="L122" s="10">
        <v>5177459200</v>
      </c>
      <c r="M122" s="10">
        <v>6678867968</v>
      </c>
      <c r="N122" s="10">
        <v>8011373568</v>
      </c>
      <c r="O122" s="10">
        <v>8539700736</v>
      </c>
      <c r="P122" s="10">
        <v>7764066816</v>
      </c>
      <c r="Q122" s="10">
        <v>6352125952</v>
      </c>
      <c r="R122" s="10">
        <v>5637259264</v>
      </c>
      <c r="S122" s="10">
        <v>6217523712</v>
      </c>
      <c r="T122" s="10">
        <v>6741215232</v>
      </c>
      <c r="U122" s="10">
        <v>7814784000</v>
      </c>
      <c r="V122" s="10">
        <v>8286322688</v>
      </c>
      <c r="W122" s="10">
        <v>8783816704</v>
      </c>
      <c r="X122" s="10">
        <v>8641481728</v>
      </c>
      <c r="Y122" s="10">
        <v>6751472128</v>
      </c>
      <c r="Z122" s="10">
        <v>6563813376</v>
      </c>
      <c r="AA122" s="10">
        <v>6890675200</v>
      </c>
      <c r="AB122" s="10">
        <v>7111270912</v>
      </c>
      <c r="AC122" s="10">
        <v>8553146368</v>
      </c>
      <c r="AD122" s="10">
        <v>8529571840</v>
      </c>
      <c r="AE122" s="10">
        <v>6401968128</v>
      </c>
      <c r="AF122" s="10">
        <v>6858013184</v>
      </c>
      <c r="AG122" s="10">
        <v>6689957376</v>
      </c>
      <c r="AH122" s="10">
        <v>6777384448</v>
      </c>
      <c r="AI122" s="10">
        <v>6342116352</v>
      </c>
      <c r="AJ122" s="10">
        <v>5727591936</v>
      </c>
      <c r="AK122" s="10">
        <v>5805598208</v>
      </c>
      <c r="AL122" s="10">
        <v>5755215360</v>
      </c>
      <c r="AM122" s="10">
        <v>5443896320</v>
      </c>
      <c r="AN122" s="10">
        <v>5291950080</v>
      </c>
      <c r="AO122" s="10">
        <v>4415703040</v>
      </c>
      <c r="AP122" s="10">
        <v>9665793024</v>
      </c>
      <c r="AQ122" s="10">
        <v>12041655296</v>
      </c>
      <c r="AR122" s="10">
        <v>14101920768</v>
      </c>
      <c r="AS122" s="10">
        <v>17114850304</v>
      </c>
      <c r="AT122" s="10">
        <v>19091019776</v>
      </c>
      <c r="AU122" s="10">
        <v>19495520256</v>
      </c>
      <c r="AV122" s="10">
        <v>19963119616</v>
      </c>
      <c r="AW122" s="10">
        <v>20548677632</v>
      </c>
      <c r="AX122" s="10">
        <v>22040901632</v>
      </c>
      <c r="AY122" s="10">
        <v>24311560192</v>
      </c>
      <c r="AZ122" s="10">
        <v>21440759808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183EB-A44F-4F40-830A-296B566B3DFF}">
  <sheetPr codeName="Sheet4"/>
  <dimension ref="A1:BR125"/>
  <sheetViews>
    <sheetView tabSelected="1" workbookViewId="0">
      <pane xSplit="2" ySplit="1" topLeftCell="AP107" activePane="bottomRight" state="frozen"/>
      <selection pane="topRight" activeCell="C1" sqref="C1"/>
      <selection pane="bottomLeft" activeCell="A2" sqref="A2"/>
      <selection pane="bottomRight" activeCell="B82" sqref="B82"/>
    </sheetView>
  </sheetViews>
  <sheetFormatPr defaultRowHeight="14.25" x14ac:dyDescent="0.45"/>
  <cols>
    <col min="1" max="1" width="21.3984375" bestFit="1" customWidth="1"/>
    <col min="2" max="2" width="23.73046875" bestFit="1" customWidth="1"/>
    <col min="3" max="3" width="19.3984375" bestFit="1" customWidth="1"/>
    <col min="4" max="28" width="16.9296875" bestFit="1" customWidth="1"/>
    <col min="29" max="62" width="17.9296875" bestFit="1" customWidth="1"/>
  </cols>
  <sheetData>
    <row r="1" spans="1:70" x14ac:dyDescent="0.45">
      <c r="C1" t="str">
        <f>GDP!C18</f>
        <v>1970</v>
      </c>
      <c r="D1" t="str">
        <f>GDP!D18</f>
        <v>1971</v>
      </c>
      <c r="E1" t="str">
        <f>GDP!E18</f>
        <v>1972</v>
      </c>
      <c r="F1" t="str">
        <f>GDP!F18</f>
        <v>1973</v>
      </c>
      <c r="G1" t="str">
        <f>GDP!G18</f>
        <v>1974</v>
      </c>
      <c r="H1" t="str">
        <f>GDP!H18</f>
        <v>1975</v>
      </c>
      <c r="I1" t="str">
        <f>GDP!I18</f>
        <v>1976</v>
      </c>
      <c r="J1" t="str">
        <f>GDP!J18</f>
        <v>1977</v>
      </c>
      <c r="K1" t="str">
        <f>GDP!K18</f>
        <v>1978</v>
      </c>
      <c r="L1" t="str">
        <f>GDP!L18</f>
        <v>1979</v>
      </c>
      <c r="M1" t="str">
        <f>GDP!M18</f>
        <v>1980</v>
      </c>
      <c r="N1" t="str">
        <f>GDP!N18</f>
        <v>1981</v>
      </c>
      <c r="O1" t="str">
        <f>GDP!O18</f>
        <v>1982</v>
      </c>
      <c r="P1" t="str">
        <f>GDP!P18</f>
        <v>1983</v>
      </c>
      <c r="Q1" t="str">
        <f>GDP!Q18</f>
        <v>1984</v>
      </c>
      <c r="R1" t="str">
        <f>GDP!R18</f>
        <v>1985</v>
      </c>
      <c r="S1" t="str">
        <f>GDP!S18</f>
        <v>1986</v>
      </c>
      <c r="T1" t="str">
        <f>GDP!T18</f>
        <v>1987</v>
      </c>
      <c r="U1" t="str">
        <f>GDP!U18</f>
        <v>1988</v>
      </c>
      <c r="V1" t="str">
        <f>GDP!V18</f>
        <v>1989</v>
      </c>
      <c r="W1" t="str">
        <f>GDP!W18</f>
        <v>1990</v>
      </c>
      <c r="X1" t="str">
        <f>GDP!X18</f>
        <v>1991</v>
      </c>
      <c r="Y1" t="str">
        <f>GDP!Y18</f>
        <v>1992</v>
      </c>
      <c r="Z1" t="str">
        <f>GDP!Z18</f>
        <v>1993</v>
      </c>
      <c r="AA1" t="str">
        <f>GDP!AA18</f>
        <v>1994</v>
      </c>
      <c r="AB1" t="str">
        <f>GDP!AB18</f>
        <v>1995</v>
      </c>
      <c r="AC1" t="str">
        <f>GDP!AC18</f>
        <v>1996</v>
      </c>
      <c r="AD1" t="str">
        <f>GDP!AD18</f>
        <v>1997</v>
      </c>
      <c r="AE1" t="str">
        <f>GDP!AE18</f>
        <v>1998</v>
      </c>
      <c r="AF1" t="str">
        <f>GDP!AF18</f>
        <v>1999</v>
      </c>
      <c r="AG1" t="str">
        <f>GDP!AG18</f>
        <v>2000</v>
      </c>
      <c r="AH1" t="str">
        <f>GDP!AH18</f>
        <v>2001</v>
      </c>
      <c r="AI1" t="str">
        <f>GDP!AI18</f>
        <v>2002</v>
      </c>
      <c r="AJ1" t="str">
        <f>GDP!AJ18</f>
        <v>2003</v>
      </c>
      <c r="AK1" t="str">
        <f>GDP!AK18</f>
        <v>2004</v>
      </c>
      <c r="AL1" t="str">
        <f>GDP!AL18</f>
        <v>2005</v>
      </c>
      <c r="AM1" t="str">
        <f>GDP!AM18</f>
        <v>2006</v>
      </c>
      <c r="AN1" t="str">
        <f>GDP!AN18</f>
        <v>2007</v>
      </c>
      <c r="AO1" t="str">
        <f>GDP!AO18</f>
        <v>2008</v>
      </c>
      <c r="AP1" t="str">
        <f>GDP!AP18</f>
        <v>2009</v>
      </c>
      <c r="AQ1" t="str">
        <f>GDP!AQ18</f>
        <v>2010</v>
      </c>
      <c r="AR1" t="str">
        <f>GDP!AR18</f>
        <v>2011</v>
      </c>
      <c r="AS1" t="str">
        <f>GDP!AS18</f>
        <v>2012</v>
      </c>
      <c r="AT1" t="str">
        <f>GDP!AT18</f>
        <v>2013</v>
      </c>
      <c r="AU1" t="str">
        <f>GDP!AU18</f>
        <v>2014</v>
      </c>
      <c r="AV1" t="str">
        <f>GDP!AV18</f>
        <v>2015</v>
      </c>
      <c r="AW1" t="str">
        <f>GDP!AW18</f>
        <v>2016</v>
      </c>
      <c r="AX1" t="str">
        <f>GDP!AX18</f>
        <v>2017</v>
      </c>
      <c r="AY1" t="str">
        <f>GDP!AY18</f>
        <v>2018</v>
      </c>
      <c r="AZ1" t="str">
        <f>GDP!AZ18</f>
        <v>2019</v>
      </c>
    </row>
    <row r="2" spans="1:70" x14ac:dyDescent="0.45">
      <c r="B2" t="str">
        <f>Population!B1</f>
        <v>China</v>
      </c>
    </row>
    <row r="3" spans="1:70" x14ac:dyDescent="0.45">
      <c r="B3" t="str">
        <f>Population!B2</f>
        <v>East Asia</v>
      </c>
      <c r="C3" cm="1">
        <f t="array" ref="C3">[4]!TheilT2(Population!C20:C26,GDP!C20:C26)</f>
        <v>0.37973881110452479</v>
      </c>
      <c r="D3" cm="1">
        <f t="array" ref="D3">[4]!TheilT2(Population!D20:D26,GDP!D20:D26)</f>
        <v>0.39302063773113383</v>
      </c>
      <c r="E3" cm="1">
        <f t="array" ref="E3">[4]!TheilT2(Population!E20:E26,GDP!E20:E26)</f>
        <v>0.43433228113559696</v>
      </c>
      <c r="F3" cm="1">
        <f t="array" ref="F3">[4]!TheilT2(Population!F20:F26,GDP!F20:F26)</f>
        <v>0.44774096344890929</v>
      </c>
      <c r="G3" cm="1">
        <f t="array" ref="G3">[4]!TheilT2(Population!G20:G26,GDP!G20:G26)</f>
        <v>0.41259888784343335</v>
      </c>
      <c r="H3" cm="1">
        <f t="array" ref="H3">[4]!TheilT2(Population!H20:H26,GDP!H20:H26)</f>
        <v>0.41759589645221801</v>
      </c>
      <c r="I3" cm="1">
        <f t="array" ref="I3">[4]!TheilT2(Population!I20:I26,GDP!I20:I26)</f>
        <v>0.4065807808213478</v>
      </c>
      <c r="J3" cm="1">
        <f t="array" ref="J3">[4]!TheilT2(Population!J20:J26,GDP!J20:J26)</f>
        <v>0.41785686110542525</v>
      </c>
      <c r="K3" cm="1">
        <f t="array" ref="K3">[4]!TheilT2(Population!K20:K26,GDP!K20:K26)</f>
        <v>0.45055834942279072</v>
      </c>
      <c r="L3" cm="1">
        <f t="array" ref="L3">[4]!TheilT2(Population!L20:L26,GDP!L20:L26)</f>
        <v>0.42027779403579879</v>
      </c>
      <c r="M3" cm="1">
        <f t="array" ref="M3">[4]!TheilT2(Population!M20:M26,GDP!M20:M26)</f>
        <v>0.41319157705542392</v>
      </c>
      <c r="N3" cm="1">
        <f t="array" ref="N3">[4]!TheilT2(Population!N20:N26,GDP!N20:N26)</f>
        <v>0.42200843488064838</v>
      </c>
      <c r="O3" cm="1">
        <f t="array" ref="O3">[4]!TheilT2(Population!O20:O26,GDP!O20:O26)</f>
        <v>0.39863718162405781</v>
      </c>
      <c r="P3" cm="1">
        <f t="array" ref="P3">[4]!TheilT2(Population!P20:P26,GDP!P20:P26)</f>
        <v>0.415240684351046</v>
      </c>
      <c r="Q3" cm="1">
        <f t="array" ref="Q3">[4]!TheilT2(Population!Q20:Q26,GDP!Q20:Q26)</f>
        <v>0.42308432171617755</v>
      </c>
      <c r="R3" cm="1">
        <f t="array" ref="R3">[4]!TheilT2(Population!R20:R26,GDP!R20:R26)</f>
        <v>0.44728451789358792</v>
      </c>
      <c r="S3" cm="1">
        <f t="array" ref="S3">[4]!TheilT2(Population!S20:S26,GDP!S20:S26)</f>
        <v>0.5269021254990478</v>
      </c>
      <c r="T3" cm="1">
        <f t="array" ref="T3">[4]!TheilT2(Population!T20:T26,GDP!T20:T26)</f>
        <v>0.53848530828545882</v>
      </c>
      <c r="U3" cm="1">
        <f t="array" ref="U3">[4]!TheilT2(Population!U20:U26,GDP!U20:U26)</f>
        <v>0.54238846196184343</v>
      </c>
      <c r="V3" cm="1">
        <f t="array" ref="V3">[4]!TheilT2(Population!V20:V26,GDP!V20:V26)</f>
        <v>0.51369264100166279</v>
      </c>
      <c r="W3" cm="1">
        <f t="array" ref="W3">[4]!TheilT2(Population!W20:W26,GDP!W20:W26)</f>
        <v>0.49914084168661904</v>
      </c>
      <c r="X3" cm="1">
        <f t="array" ref="X3">[4]!TheilT2(Population!X20:X26,GDP!X20:X26)</f>
        <v>0.50840781995795825</v>
      </c>
      <c r="Y3" cm="1">
        <f t="array" ref="Y3">[4]!TheilT2(Population!Y20:Y26,GDP!Y20:Y26)</f>
        <v>0.50830623101306915</v>
      </c>
      <c r="Z3" cm="1">
        <f t="array" ref="Z3">[4]!TheilT2(Population!Z20:Z26,GDP!Z20:Z26)</f>
        <v>0.52063128963618144</v>
      </c>
      <c r="AA3" cm="1">
        <f t="array" ref="AA3">[4]!TheilT2(Population!AA20:AA26,GDP!AA20:AA26)</f>
        <v>0.51557525035397478</v>
      </c>
      <c r="AB3" cm="1">
        <f t="array" ref="AB3">[4]!TheilT2(Population!AB20:AB26,GDP!AB20:AB26)</f>
        <v>0.50777207913929179</v>
      </c>
      <c r="AC3" cm="1">
        <f t="array" ref="AC3">[4]!TheilT2(Population!AC20:AC26,GDP!AC20:AC26)</f>
        <v>0.46696967065934564</v>
      </c>
      <c r="AD3" cm="1">
        <f t="array" ref="AD3">[4]!TheilT2(Population!AD20:AD26,GDP!AD20:AD26)</f>
        <v>0.47209088669188576</v>
      </c>
      <c r="AE3" cm="1">
        <f t="array" ref="AE3">[4]!TheilT2(Population!AE20:AE26,GDP!AE20:AE26)</f>
        <v>0.52423791838331657</v>
      </c>
      <c r="AF3" cm="1">
        <f t="array" ref="AF3">[4]!TheilT2(Population!AF20:AF26,GDP!AF20:AF26)</f>
        <v>0.52108782412458265</v>
      </c>
      <c r="AG3" cm="1">
        <f t="array" ref="AG3">[4]!TheilT2(Population!AG20:AG26,GDP!AG20:AG26)</f>
        <v>0.52527783489327762</v>
      </c>
      <c r="AH3" cm="1">
        <f t="array" ref="AH3">[4]!TheilT2(Population!AH20:AH26,GDP!AH20:AH26)</f>
        <v>0.51335608117323783</v>
      </c>
      <c r="AI3" cm="1">
        <f t="array" ref="AI3">[4]!TheilT2(Population!AI20:AI26,GDP!AI20:AI26)</f>
        <v>0.4862643479601183</v>
      </c>
      <c r="AJ3" cm="1">
        <f t="array" ref="AJ3">[4]!TheilT2(Population!AJ20:AJ26,GDP!AJ20:AJ26)</f>
        <v>0.48846634984676257</v>
      </c>
      <c r="AK3" cm="1">
        <f t="array" ref="AK3">[4]!TheilT2(Population!AK20:AK26,GDP!AK20:AK26)</f>
        <v>0.48678801327630994</v>
      </c>
      <c r="AL3" cm="1">
        <f t="array" ref="AL3">[4]!TheilT2(Population!AL20:AL26,GDP!AL20:AL26)</f>
        <v>0.46263236833582122</v>
      </c>
      <c r="AM3" cm="1">
        <f t="array" ref="AM3">[4]!TheilT2(Population!AM20:AM26,GDP!AM20:AM26)</f>
        <v>0.42807210458416178</v>
      </c>
      <c r="AN3" cm="1">
        <f t="array" ref="AN3">[4]!TheilT2(Population!AN20:AN26,GDP!AN20:AN26)</f>
        <v>0.39925199390591898</v>
      </c>
      <c r="AO3" cm="1">
        <f t="array" ref="AO3">[4]!TheilT2(Population!AO20:AO26,GDP!AO20:AO26)</f>
        <v>0.40514169685243312</v>
      </c>
      <c r="AP3" cm="1">
        <f t="array" ref="AP3">[4]!TheilT2(Population!AP20:AP26,GDP!AP20:AP26)</f>
        <v>0.43310119870323904</v>
      </c>
      <c r="AQ3" cm="1">
        <f t="array" ref="AQ3">[4]!TheilT2(Population!AQ20:AQ26,GDP!AQ20:AQ26)</f>
        <v>0.41384597052971639</v>
      </c>
      <c r="AR3" cm="1">
        <f t="array" ref="AR3">[4]!TheilT2(Population!AR20:AR26,GDP!AR20:AR26)</f>
        <v>0.41292976353385707</v>
      </c>
      <c r="AS3" cm="1">
        <f t="array" ref="AS3">[4]!TheilT2(Population!AS20:AS26,GDP!AS20:AS26)</f>
        <v>0.40370070669303726</v>
      </c>
      <c r="AT3" cm="1">
        <f t="array" ref="AT3">[4]!TheilT2(Population!AT20:AT26,GDP!AT20:AT26)</f>
        <v>0.35713243314431853</v>
      </c>
      <c r="AU3" cm="1">
        <f t="array" ref="AU3">[4]!TheilT2(Population!AU20:AU26,GDP!AU20:AU26)</f>
        <v>0.34801977339938339</v>
      </c>
      <c r="AV3" cm="1">
        <f t="array" ref="AV3">[4]!TheilT2(Population!AV20:AV26,GDP!AV20:AV26)</f>
        <v>0.33966749643000904</v>
      </c>
      <c r="AW3" cm="1">
        <f t="array" ref="AW3">[4]!TheilT2(Population!AW20:AW26,GDP!AW20:AW26)</f>
        <v>0.35766207161502761</v>
      </c>
      <c r="AX3" cm="1">
        <f t="array" ref="AX3">[4]!TheilT2(Population!AX20:AX26,GDP!AX20:AX26)</f>
        <v>0.35050656896217025</v>
      </c>
      <c r="AY3" cm="1">
        <f t="array" ref="AY3">[4]!TheilT2(Population!AY20:AY26,GDP!AY20:AY26)</f>
        <v>0.34348498307753089</v>
      </c>
      <c r="AZ3" cm="1">
        <f t="array" ref="AZ3">[4]!TheilT2(Population!AZ20:AZ26,GDP!AZ20:AZ26)</f>
        <v>0.33644921894609237</v>
      </c>
    </row>
    <row r="4" spans="1:70" x14ac:dyDescent="0.45">
      <c r="B4" t="str">
        <f>Population!B3</f>
        <v>Europe</v>
      </c>
      <c r="C4" cm="1">
        <f t="array" ref="C4">[4]!TheilT2(Population!C27:C46,GDP!C27:C46)</f>
        <v>4.3504985986388897E-2</v>
      </c>
      <c r="D4" cm="1">
        <f t="array" ref="D4">[4]!TheilT2(Population!D27:D46,GDP!D27:D46)</f>
        <v>4.4450933050328156E-2</v>
      </c>
      <c r="E4" cm="1">
        <f t="array" ref="E4">[4]!TheilT2(Population!E27:E46,GDP!E27:E46)</f>
        <v>4.4796219048865493E-2</v>
      </c>
      <c r="F4" cm="1">
        <f t="array" ref="F4">[4]!TheilT2(Population!F27:F46,GDP!F27:F46)</f>
        <v>4.9839439714860684E-2</v>
      </c>
      <c r="G4" cm="1">
        <f t="array" ref="G4">[4]!TheilT2(Population!G27:G46,GDP!G27:G46)</f>
        <v>4.8773455263821479E-2</v>
      </c>
      <c r="H4" cm="1">
        <f t="array" ref="H4">[4]!TheilT2(Population!H27:H46,GDP!H27:H46)</f>
        <v>5.2085725780894987E-2</v>
      </c>
      <c r="I4" cm="1">
        <f t="array" ref="I4">[4]!TheilT2(Population!I27:I46,GDP!I27:I46)</f>
        <v>6.1148784541976399E-2</v>
      </c>
      <c r="J4" cm="1">
        <f t="array" ref="J4">[4]!TheilT2(Population!J27:J46,GDP!J27:J46)</f>
        <v>6.007950920476559E-2</v>
      </c>
      <c r="K4" cm="1">
        <f t="array" ref="K4">[4]!TheilT2(Population!K27:K46,GDP!K27:K46)</f>
        <v>6.0863017934698962E-2</v>
      </c>
      <c r="L4" cm="1">
        <f t="array" ref="L4">[4]!TheilT2(Population!L27:L46,GDP!L27:L46)</f>
        <v>5.0168245482546059E-2</v>
      </c>
      <c r="M4" cm="1">
        <f t="array" ref="M4">[4]!TheilT2(Population!M27:M46,GDP!M27:M46)</f>
        <v>4.330439634364612E-2</v>
      </c>
      <c r="N4" cm="1">
        <f t="array" ref="N4">[4]!TheilT2(Population!N27:N46,GDP!N27:N46)</f>
        <v>4.1451458171128927E-2</v>
      </c>
      <c r="O4" cm="1">
        <f t="array" ref="O4">[4]!TheilT2(Population!O27:O46,GDP!O27:O46)</f>
        <v>3.9712225626617685E-2</v>
      </c>
      <c r="P4" cm="1">
        <f t="array" ref="P4">[4]!TheilT2(Population!P27:P46,GDP!P27:P46)</f>
        <v>4.4064893973594171E-2</v>
      </c>
      <c r="Q4" cm="1">
        <f t="array" ref="Q4">[4]!TheilT2(Population!Q27:Q46,GDP!Q27:Q46)</f>
        <v>4.3322808386116296E-2</v>
      </c>
      <c r="R4" cm="1">
        <f t="array" ref="R4">[4]!TheilT2(Population!R27:R46,GDP!R27:R46)</f>
        <v>4.2326868116251692E-2</v>
      </c>
      <c r="S4" cm="1">
        <f t="array" ref="S4">[4]!TheilT2(Population!S27:S46,GDP!S27:S46)</f>
        <v>4.4080867643448811E-2</v>
      </c>
      <c r="T4" cm="1">
        <f t="array" ref="T4">[4]!TheilT2(Population!T27:T46,GDP!T27:T46)</f>
        <v>4.3098328007942985E-2</v>
      </c>
      <c r="U4" cm="1">
        <f t="array" ref="U4">[4]!TheilT2(Population!U27:U46,GDP!U27:U46)</f>
        <v>3.6926366849294741E-2</v>
      </c>
      <c r="V4" cm="1">
        <f t="array" ref="V4">[4]!TheilT2(Population!V27:V46,GDP!V27:V46)</f>
        <v>3.2047522019770312E-2</v>
      </c>
      <c r="W4" cm="1">
        <f t="array" ref="W4">[4]!TheilT2(Population!W27:W46,GDP!W27:W46)</f>
        <v>3.0139856278996881E-2</v>
      </c>
      <c r="X4" cm="1">
        <f t="array" ref="X4">[4]!TheilT2(Population!X27:X46,GDP!X27:X46)</f>
        <v>2.6659986802037346E-2</v>
      </c>
      <c r="Y4" cm="1">
        <f t="array" ref="Y4">[4]!TheilT2(Population!Y27:Y46,GDP!Y27:Y46)</f>
        <v>2.546893509064789E-2</v>
      </c>
      <c r="Z4" cm="1">
        <f t="array" ref="Z4">[4]!TheilT2(Population!Z27:Z46,GDP!Z27:Z46)</f>
        <v>3.2489416089572398E-2</v>
      </c>
      <c r="AA4" cm="1">
        <f t="array" ref="AA4">[4]!TheilT2(Population!AA27:AA46,GDP!AA27:AA46)</f>
        <v>3.5296273840133542E-2</v>
      </c>
      <c r="AB4" cm="1">
        <f t="array" ref="AB4">[4]!TheilT2(Population!AB27:AB46,GDP!AB27:AB46)</f>
        <v>3.772643481532055E-2</v>
      </c>
      <c r="AC4" cm="1">
        <f t="array" ref="AC4">[4]!TheilT2(Population!AC27:AC46,GDP!AC27:AC46)</f>
        <v>3.021272984059965E-2</v>
      </c>
      <c r="AD4" cm="1">
        <f t="array" ref="AD4">[4]!TheilT2(Population!AD27:AD46,GDP!AD27:AD46)</f>
        <v>2.6986473612685448E-2</v>
      </c>
      <c r="AE4" cm="1">
        <f t="array" ref="AE4">[4]!TheilT2(Population!AE27:AE46,GDP!AE27:AE46)</f>
        <v>2.6054806281907001E-2</v>
      </c>
      <c r="AF4" cm="1">
        <f t="array" ref="AF4">[4]!TheilT2(Population!AF27:AF46,GDP!AF27:AF46)</f>
        <v>2.5861569411864488E-2</v>
      </c>
      <c r="AG4" cm="1">
        <f t="array" ref="AG4">[4]!TheilT2(Population!AG27:AG46,GDP!AG27:AG46)</f>
        <v>2.8753815685620528E-2</v>
      </c>
      <c r="AH4" cm="1">
        <f t="array" ref="AH4">[4]!TheilT2(Population!AH27:AH46,GDP!AH27:AH46)</f>
        <v>2.6231754718382811E-2</v>
      </c>
      <c r="AI4" cm="1">
        <f t="array" ref="AI4">[4]!TheilT2(Population!AI27:AI46,GDP!AI27:AI46)</f>
        <v>2.5561377047815685E-2</v>
      </c>
      <c r="AJ4" cm="1">
        <f t="array" ref="AJ4">[4]!TheilT2(Population!AJ27:AJ46,GDP!AJ27:AJ46)</f>
        <v>2.1424416258611294E-2</v>
      </c>
      <c r="AK4" cm="1">
        <f t="array" ref="AK4">[4]!TheilT2(Population!AK27:AK46,GDP!AK27:AK46)</f>
        <v>2.1210908647077115E-2</v>
      </c>
      <c r="AL4" cm="1">
        <f t="array" ref="AL4">[4]!TheilT2(Population!AL27:AL46,GDP!AL27:AL46)</f>
        <v>2.2620119176195684E-2</v>
      </c>
      <c r="AM4" cm="1">
        <f t="array" ref="AM4">[4]!TheilT2(Population!AM27:AM46,GDP!AM27:AM46)</f>
        <v>2.3297799067011384E-2</v>
      </c>
      <c r="AN4" cm="1">
        <f t="array" ref="AN4">[4]!TheilT2(Population!AN27:AN46,GDP!AN27:AN46)</f>
        <v>2.2932709302477754E-2</v>
      </c>
      <c r="AO4" cm="1">
        <f t="array" ref="AO4">[4]!TheilT2(Population!AO27:AO46,GDP!AO27:AO46)</f>
        <v>2.1876804690641728E-2</v>
      </c>
      <c r="AP4" cm="1">
        <f t="array" ref="AP4">[4]!TheilT2(Population!AP27:AP46,GDP!AP27:AP46)</f>
        <v>2.0791775411998607E-2</v>
      </c>
      <c r="AQ4" cm="1">
        <f t="array" ref="AQ4">[4]!TheilT2(Population!AQ27:AQ46,GDP!AQ27:AQ46)</f>
        <v>2.6158071647974401E-2</v>
      </c>
      <c r="AR4" cm="1">
        <f t="array" ref="AR4">[4]!TheilT2(Population!AR27:AR46,GDP!AR27:AR46)</f>
        <v>3.296850070325294E-2</v>
      </c>
      <c r="AS4" cm="1">
        <f t="array" ref="AS4">[4]!TheilT2(Population!AS27:AS46,GDP!AS27:AS46)</f>
        <v>3.8076999881884226E-2</v>
      </c>
      <c r="AT4" cm="1">
        <f t="array" ref="AT4">[4]!TheilT2(Population!AT27:AT46,GDP!AT27:AT46)</f>
        <v>3.885129570493745E-2</v>
      </c>
      <c r="AU4" cm="1">
        <f t="array" ref="AU4">[4]!TheilT2(Population!AU27:AU46,GDP!AU27:AU46)</f>
        <v>3.8074207801832551E-2</v>
      </c>
      <c r="AV4" cm="1">
        <f t="array" ref="AV4">[4]!TheilT2(Population!AV27:AV46,GDP!AV27:AV46)</f>
        <v>4.1096793259844444E-2</v>
      </c>
      <c r="AW4" cm="1">
        <f t="array" ref="AW4">[4]!TheilT2(Population!AW27:AW46,GDP!AW27:AW46)</f>
        <v>3.737048421917568E-2</v>
      </c>
      <c r="AX4" cm="1">
        <f t="array" ref="AX4">[4]!TheilT2(Population!AX27:AX46,GDP!AX27:AX46)</f>
        <v>3.6496268796089158E-2</v>
      </c>
      <c r="AY4" cm="1">
        <f t="array" ref="AY4">[4]!TheilT2(Population!AY27:AY46,GDP!AY27:AY46)</f>
        <v>3.5937876761107101E-2</v>
      </c>
      <c r="AZ4" cm="1">
        <f t="array" ref="AZ4">[4]!TheilT2(Population!AZ27:AZ46,GDP!AZ27:AZ46)</f>
        <v>3.621810851444765E-2</v>
      </c>
    </row>
    <row r="5" spans="1:70" x14ac:dyDescent="0.45">
      <c r="B5" t="str">
        <f>Population!B4</f>
        <v>Latin America and Caribbean</v>
      </c>
      <c r="C5" cm="1">
        <f t="array" ref="C5">[4]!TheilT2(Population!C47:C71,GDP!C47:C71)</f>
        <v>0.12620113592093307</v>
      </c>
      <c r="D5" cm="1">
        <f t="array" ref="D5">[4]!TheilT2(Population!D47:D71,GDP!D47:D71)</f>
        <v>0.12139925196831713</v>
      </c>
      <c r="E5" cm="1">
        <f t="array" ref="E5">[4]!TheilT2(Population!E47:E71,GDP!E47:E71)</f>
        <v>0.10811158359187481</v>
      </c>
      <c r="F5" cm="1">
        <f t="array" ref="F5">[4]!TheilT2(Population!F47:F71,GDP!F47:F71)</f>
        <v>0.13074161649777166</v>
      </c>
      <c r="G5" cm="1">
        <f t="array" ref="G5">[4]!TheilT2(Population!G47:G71,GDP!G47:G71)</f>
        <v>0.13112389661019427</v>
      </c>
      <c r="H5" cm="1">
        <f t="array" ref="H5">[4]!TheilT2(Population!H47:H71,GDP!H47:H71)</f>
        <v>8.1827966882086114E-2</v>
      </c>
      <c r="I5" cm="1">
        <f t="array" ref="I5">[4]!TheilT2(Population!I47:I71,GDP!I47:I71)</f>
        <v>6.5224208723530547E-2</v>
      </c>
      <c r="J5" cm="1">
        <f t="array" ref="J5">[4]!TheilT2(Population!J47:J71,GDP!J47:J71)</f>
        <v>6.1737937629627072E-2</v>
      </c>
      <c r="K5" cm="1">
        <f t="array" ref="K5">[4]!TheilT2(Population!K47:K71,GDP!K47:K71)</f>
        <v>6.0316148570834102E-2</v>
      </c>
      <c r="L5" cm="1">
        <f t="array" ref="L5">[4]!TheilT2(Population!L47:L71,GDP!L47:L71)</f>
        <v>6.2540662769227331E-2</v>
      </c>
      <c r="M5" cm="1">
        <f t="array" ref="M5">[4]!TheilT2(Population!M47:M71,GDP!M47:M71)</f>
        <v>7.9738074501818842E-2</v>
      </c>
      <c r="N5" cm="1">
        <f t="array" ref="N5">[4]!TheilT2(Population!N47:N71,GDP!N47:N71)</f>
        <v>9.4896820258247139E-2</v>
      </c>
      <c r="O5" cm="1">
        <f t="array" ref="O5">[4]!TheilT2(Population!O47:O71,GDP!O47:O71)</f>
        <v>6.5193490487963135E-2</v>
      </c>
      <c r="P5" cm="1">
        <f t="array" ref="P5">[4]!TheilT2(Population!P47:P71,GDP!P47:P71)</f>
        <v>8.898395199694803E-2</v>
      </c>
      <c r="Q5" cm="1">
        <f t="array" ref="Q5">[4]!TheilT2(Population!Q47:Q71,GDP!Q47:Q71)</f>
        <v>7.9083711621874594E-2</v>
      </c>
      <c r="R5" cm="1">
        <f t="array" ref="R5">[4]!TheilT2(Population!R47:R71,GDP!R47:R71)</f>
        <v>9.6498191364394581E-2</v>
      </c>
      <c r="S5" cm="1">
        <f t="array" ref="S5">[4]!TheilT2(Population!S47:S71,GDP!S47:S71)</f>
        <v>0.10174585451991799</v>
      </c>
      <c r="T5" cm="1">
        <f t="array" ref="T5">[4]!TheilT2(Population!T47:T71,GDP!T47:T71)</f>
        <v>9.4254569190153667E-2</v>
      </c>
      <c r="U5" cm="1">
        <f t="array" ref="U5">[4]!TheilT2(Population!U47:U71,GDP!U47:U71)</f>
        <v>0.10792611240710392</v>
      </c>
      <c r="V5" cm="1">
        <f t="array" ref="V5">[4]!TheilT2(Population!V47:V71,GDP!V47:V71)</f>
        <v>9.5132417583455198E-2</v>
      </c>
      <c r="W5" cm="1">
        <f t="array" ref="W5">[4]!TheilT2(Population!W47:W71,GDP!W47:W71)</f>
        <v>0.1044653174851265</v>
      </c>
      <c r="X5" cm="1">
        <f t="array" ref="X5">[4]!TheilT2(Population!X47:X71,GDP!X47:X71)</f>
        <v>0.11597293691821432</v>
      </c>
      <c r="Y5" cm="1">
        <f t="array" ref="Y5">[4]!TheilT2(Population!Y47:Y71,GDP!Y47:Y71)</f>
        <v>0.14249449990570434</v>
      </c>
      <c r="Z5" cm="1">
        <f t="array" ref="Z5">[4]!TheilT2(Population!Z47:Z71,GDP!Z47:Z71)</f>
        <v>0.15938040635211237</v>
      </c>
      <c r="AA5" cm="1">
        <f t="array" ref="AA5">[4]!TheilT2(Population!AA47:AA71,GDP!AA47:AA71)</f>
        <v>0.13080241343619758</v>
      </c>
      <c r="AB5" cm="1">
        <f t="array" ref="AB5">[4]!TheilT2(Population!AB47:AB71,GDP!AB47:AB71)</f>
        <v>0.10145952431548627</v>
      </c>
      <c r="AC5" cm="1">
        <f t="array" ref="AC5">[4]!TheilT2(Population!AC47:AC71,GDP!AC47:AC71)</f>
        <v>0.10261392607696744</v>
      </c>
      <c r="AD5" cm="1">
        <f t="array" ref="AD5">[4]!TheilT2(Population!AD47:AD71,GDP!AD47:AD71)</f>
        <v>0.10252080145250871</v>
      </c>
      <c r="AE5" cm="1">
        <f t="array" ref="AE5">[4]!TheilT2(Population!AE47:AE71,GDP!AE47:AE71)</f>
        <v>0.10861742675198895</v>
      </c>
      <c r="AF5" cm="1">
        <f t="array" ref="AF5">[4]!TheilT2(Population!AF47:AF71,GDP!AF47:AF71)</f>
        <v>0.14295309973633855</v>
      </c>
      <c r="AG5" cm="1">
        <f t="array" ref="AG5">[4]!TheilT2(Population!AG47:AG71,GDP!AG47:AG71)</f>
        <v>0.14789076869619544</v>
      </c>
      <c r="AH5" cm="1">
        <f t="array" ref="AH5">[4]!TheilT2(Population!AH47:AH71,GDP!AH47:AH71)</f>
        <v>0.1738850733649043</v>
      </c>
      <c r="AI5" cm="1">
        <f t="array" ref="AI5">[4]!TheilT2(Population!AI47:AI71,GDP!AI47:AI71)</f>
        <v>0.1898174326247116</v>
      </c>
      <c r="AJ5" cm="1">
        <f t="array" ref="AJ5">[4]!TheilT2(Population!AJ47:AJ71,GDP!AJ47:AJ71)</f>
        <v>0.16343511860752563</v>
      </c>
      <c r="AK5" cm="1">
        <f t="array" ref="AK5">[4]!TheilT2(Population!AK47:AK71,GDP!AK47:AK71)</f>
        <v>0.14334588363793024</v>
      </c>
      <c r="AL5" cm="1">
        <f t="array" ref="AL5">[4]!TheilT2(Population!AL47:AL71,GDP!AL47:AL71)</f>
        <v>0.12181768096370094</v>
      </c>
      <c r="AM5" cm="1">
        <f t="array" ref="AM5">[4]!TheilT2(Population!AM47:AM71,GDP!AM47:AM71)</f>
        <v>0.11313337336273967</v>
      </c>
      <c r="AN5" cm="1">
        <f t="array" ref="AN5">[4]!TheilT2(Population!AN47:AN71,GDP!AN47:AN71)</f>
        <v>9.8421503648556855E-2</v>
      </c>
      <c r="AO5" cm="1">
        <f t="array" ref="AO5">[4]!TheilT2(Population!AO47:AO71,GDP!AO47:AO71)</f>
        <v>8.8470076545910895E-2</v>
      </c>
      <c r="AP5" cm="1">
        <f t="array" ref="AP5">[4]!TheilT2(Population!AP47:AP71,GDP!AP47:AP71)</f>
        <v>8.3069838058410256E-2</v>
      </c>
      <c r="AQ5" cm="1">
        <f t="array" ref="AQ5">[4]!TheilT2(Population!AQ47:AQ71,GDP!AQ47:AQ71)</f>
        <v>8.9886492201076237E-2</v>
      </c>
      <c r="AR5" cm="1">
        <f t="array" ref="AR5">[4]!TheilT2(Population!AR47:AR71,GDP!AR47:AR71)</f>
        <v>9.1525735944896228E-2</v>
      </c>
      <c r="AS5" cm="1">
        <f t="array" ref="AS5">[4]!TheilT2(Population!AS47:AS71,GDP!AS47:AS71)</f>
        <v>8.1452795369406833E-2</v>
      </c>
      <c r="AT5" cm="1">
        <f t="array" ref="AT5">[4]!TheilT2(Population!AT47:AT71,GDP!AT47:AT71)</f>
        <v>7.8375327126163394E-2</v>
      </c>
      <c r="AU5" cm="1">
        <f t="array" ref="AU5">[4]!TheilT2(Population!AU47:AU71,GDP!AU47:AU71)</f>
        <v>7.3827865485121061E-2</v>
      </c>
      <c r="AV5" cm="1">
        <f t="array" ref="AV5">[4]!TheilT2(Population!AV47:AV71,GDP!AV47:AV71)</f>
        <v>7.8270913203799669E-2</v>
      </c>
      <c r="AW5" cm="1">
        <f t="array" ref="AW5">[4]!TheilT2(Population!AW47:AW71,GDP!AW47:AW71)</f>
        <v>7.6669344893261979E-2</v>
      </c>
      <c r="AX5" cm="1">
        <f t="array" ref="AX5">[4]!TheilT2(Population!AX47:AX71,GDP!AX47:AX71)</f>
        <v>7.851130177910301E-2</v>
      </c>
      <c r="AY5" cm="1">
        <f t="array" ref="AY5">[4]!TheilT2(Population!AY47:AY71,GDP!AY47:AY71)</f>
        <v>7.0263702446747539E-2</v>
      </c>
      <c r="AZ5" cm="1">
        <f t="array" ref="AZ5">[4]!TheilT2(Population!AZ47:AZ71,GDP!AZ47:AZ71)</f>
        <v>6.8889464600544056E-2</v>
      </c>
    </row>
    <row r="6" spans="1:70" x14ac:dyDescent="0.45">
      <c r="B6" t="str">
        <f>Population!B5</f>
        <v>Middle East and North Africa</v>
      </c>
      <c r="C6" cm="1">
        <f t="array" ref="C6">[4]!TheilT2(Population!C72:C78,GDP!C72:C78)</f>
        <v>0.2056743808840403</v>
      </c>
      <c r="D6" cm="1">
        <f t="array" ref="D6">[4]!TheilT2(Population!D72:D78,GDP!D72:D78)</f>
        <v>0.20455853870776181</v>
      </c>
      <c r="E6" cm="1">
        <f t="array" ref="E6">[4]!TheilT2(Population!E72:E78,GDP!E72:E78)</f>
        <v>0.21906395366138079</v>
      </c>
      <c r="F6" cm="1">
        <f t="array" ref="F6">[4]!TheilT2(Population!F72:F78,GDP!F72:F78)</f>
        <v>0.248594754348059</v>
      </c>
      <c r="G6" cm="1">
        <f t="array" ref="G6">[4]!TheilT2(Population!G72:G78,GDP!G72:G78)</f>
        <v>0.4659612578216441</v>
      </c>
      <c r="H6" cm="1">
        <f t="array" ref="H6">[4]!TheilT2(Population!H72:H78,GDP!H72:H78)</f>
        <v>0.37243841584122811</v>
      </c>
      <c r="I6" cm="1">
        <f t="array" ref="I6">[4]!TheilT2(Population!I72:I78,GDP!I72:I78)</f>
        <v>0.43600883519053346</v>
      </c>
      <c r="J6" cm="1">
        <f t="array" ref="J6">[4]!TheilT2(Population!J72:J78,GDP!J72:J78)</f>
        <v>0.42952777027051553</v>
      </c>
      <c r="K6" cm="1">
        <f t="array" ref="K6">[4]!TheilT2(Population!K72:K78,GDP!K72:K78)</f>
        <v>0.38434001965954406</v>
      </c>
      <c r="L6" cm="1">
        <f t="array" ref="L6">[4]!TheilT2(Population!L72:L78,GDP!L72:L78)</f>
        <v>0.40453762365899937</v>
      </c>
      <c r="M6" cm="1">
        <f t="array" ref="M6">[4]!TheilT2(Population!M72:M78,GDP!M72:M78)</f>
        <v>0.5800390796506627</v>
      </c>
      <c r="N6" cm="1">
        <f t="array" ref="N6">[4]!TheilT2(Population!N72:N78,GDP!N72:N78)</f>
        <v>0.63264442577955549</v>
      </c>
      <c r="O6" cm="1">
        <f t="array" ref="O6">[4]!TheilT2(Population!O72:O78,GDP!O72:O78)</f>
        <v>0.54966015835928284</v>
      </c>
      <c r="P6" cm="1">
        <f t="array" ref="P6">[4]!TheilT2(Population!P72:P78,GDP!P72:P78)</f>
        <v>0.47606650887978258</v>
      </c>
      <c r="Q6" cm="1">
        <f t="array" ref="Q6">[4]!TheilT2(Population!Q72:Q78,GDP!Q72:Q78)</f>
        <v>0.43934491735634301</v>
      </c>
      <c r="R6" cm="1">
        <f t="array" ref="R6">[4]!TheilT2(Population!R72:R78,GDP!R72:R78)</f>
        <v>0.34946339090330092</v>
      </c>
      <c r="S6" cm="1">
        <f t="array" ref="S6">[4]!TheilT2(Population!S72:S78,GDP!S72:S78)</f>
        <v>0.25899917029037867</v>
      </c>
      <c r="T6" cm="1">
        <f t="array" ref="T6">[4]!TheilT2(Population!T72:T78,GDP!T72:T78)</f>
        <v>0.23702876740462814</v>
      </c>
      <c r="U6" cm="1">
        <f t="array" ref="U6">[4]!TheilT2(Population!U72:U78,GDP!U72:U78)</f>
        <v>0.2539180286056571</v>
      </c>
      <c r="V6" cm="1">
        <f t="array" ref="V6">[4]!TheilT2(Population!V72:V78,GDP!V72:V78)</f>
        <v>0.2379115033685863</v>
      </c>
      <c r="W6" cm="1">
        <f t="array" ref="W6">[4]!TheilT2(Population!W72:W78,GDP!W72:W78)</f>
        <v>0.22240032957763844</v>
      </c>
      <c r="X6" cm="1">
        <f t="array" ref="X6">[4]!TheilT2(Population!X72:X78,GDP!X72:X78)</f>
        <v>0.27566299905822439</v>
      </c>
      <c r="Y6" cm="1">
        <f t="array" ref="Y6">[4]!TheilT2(Population!Y72:Y78,GDP!Y72:Y78)</f>
        <v>0.2775938797526265</v>
      </c>
      <c r="Z6" cm="1">
        <f t="array" ref="Z6">[4]!TheilT2(Population!Z72:Z78,GDP!Z72:Z78)</f>
        <v>0.25732524546918906</v>
      </c>
      <c r="AA6" cm="1">
        <f t="array" ref="AA6">[4]!TheilT2(Population!AA72:AA78,GDP!AA72:AA78)</f>
        <v>0.33786049505290583</v>
      </c>
      <c r="AB6" cm="1">
        <f t="array" ref="AB6">[4]!TheilT2(Population!AB72:AB78,GDP!AB72:AB78)</f>
        <v>0.32439517922195571</v>
      </c>
      <c r="AC6" cm="1">
        <f t="array" ref="AC6">[4]!TheilT2(Population!AC72:AC78,GDP!AC72:AC78)</f>
        <v>0.32430003279242314</v>
      </c>
      <c r="AD6" cm="1">
        <f t="array" ref="AD6">[4]!TheilT2(Population!AD72:AD78,GDP!AD72:AD78)</f>
        <v>0.33546594398155466</v>
      </c>
      <c r="AE6" cm="1">
        <f t="array" ref="AE6">[4]!TheilT2(Population!AE72:AE78,GDP!AE72:AE78)</f>
        <v>0.26770636224530092</v>
      </c>
      <c r="AF6" cm="1">
        <f t="array" ref="AF6">[4]!TheilT2(Population!AF72:AF78,GDP!AF72:AF78)</f>
        <v>0.28094418326477549</v>
      </c>
      <c r="AG6" cm="1">
        <f t="array" ref="AG6">[4]!TheilT2(Population!AG72:AG78,GDP!AG72:AG78)</f>
        <v>0.31061802812950212</v>
      </c>
      <c r="AH6" cm="1">
        <f t="array" ref="AH6">[4]!TheilT2(Population!AH72:AH78,GDP!AH72:AH78)</f>
        <v>0.3474908319259189</v>
      </c>
      <c r="AI6" cm="1">
        <f t="array" ref="AI6">[4]!TheilT2(Population!AI72:AI78,GDP!AI72:AI78)</f>
        <v>0.29115630271877418</v>
      </c>
      <c r="AJ6" cm="1">
        <f t="array" ref="AJ6">[4]!TheilT2(Population!AJ72:AJ78,GDP!AJ72:AJ78)</f>
        <v>0.24218363997076858</v>
      </c>
      <c r="AK6" cm="1">
        <f t="array" ref="AK6">[4]!TheilT2(Population!AK72:AK78,GDP!AK72:AK78)</f>
        <v>0.21457620661569599</v>
      </c>
      <c r="AL6" cm="1">
        <f t="array" ref="AL6">[4]!TheilT2(Population!AL72:AL78,GDP!AL72:AL78)</f>
        <v>0.21464704129939</v>
      </c>
      <c r="AM6" cm="1">
        <f t="array" ref="AM6">[4]!TheilT2(Population!AM72:AM78,GDP!AM72:AM78)</f>
        <v>0.2147644847241279</v>
      </c>
      <c r="AN6" cm="1">
        <f t="array" ref="AN6">[4]!TheilT2(Population!AN72:AN78,GDP!AN72:AN78)</f>
        <v>0.20468940320315449</v>
      </c>
      <c r="AO6" cm="1">
        <f t="array" ref="AO6">[4]!TheilT2(Population!AO72:AO78,GDP!AO72:AO78)</f>
        <v>0.21172854813953268</v>
      </c>
      <c r="AP6" cm="1">
        <f t="array" ref="AP6">[4]!TheilT2(Population!AP72:AP78,GDP!AP72:AP78)</f>
        <v>0.20733444430922818</v>
      </c>
      <c r="AQ6" cm="1">
        <f t="array" ref="AQ6">[4]!TheilT2(Population!AQ72:AQ78,GDP!AQ72:AQ78)</f>
        <v>0.21944344786163189</v>
      </c>
      <c r="AR6" cm="1">
        <f t="array" ref="AR6">[4]!TheilT2(Population!AR72:AR78,GDP!AR72:AR78)</f>
        <v>0.23218695586304378</v>
      </c>
      <c r="AS6" cm="1">
        <f t="array" ref="AS6">[4]!TheilT2(Population!AS72:AS78,GDP!AS72:AS78)</f>
        <v>0.23793475472542236</v>
      </c>
      <c r="AT6" cm="1">
        <f t="array" ref="AT6">[4]!TheilT2(Population!AT72:AT78,GDP!AT72:AT78)</f>
        <v>0.23566096010709175</v>
      </c>
      <c r="AU6" cm="1">
        <f t="array" ref="AU6">[4]!TheilT2(Population!AU72:AU78,GDP!AU72:AU78)</f>
        <v>0.23800129843666634</v>
      </c>
      <c r="AV6" cm="1">
        <f t="array" ref="AV6">[4]!TheilT2(Population!AV72:AV78,GDP!AV72:AV78)</f>
        <v>0.24850556694551135</v>
      </c>
      <c r="AW6" cm="1">
        <f t="array" ref="AW6">[4]!TheilT2(Population!AW72:AW78,GDP!AW72:AW78)</f>
        <v>0.2558914161425746</v>
      </c>
      <c r="AX6" cm="1">
        <f t="array" ref="AX6">[4]!TheilT2(Population!AX72:AX78,GDP!AX72:AX78)</f>
        <v>0.27284985606637585</v>
      </c>
      <c r="AY6" cm="1">
        <f t="array" ref="AY6">[4]!TheilT2(Population!AY72:AY78,GDP!AY72:AY78)</f>
        <v>0.30282592548356246</v>
      </c>
      <c r="AZ6" cm="1">
        <f t="array" ref="AZ6">[4]!TheilT2(Population!AZ72:AZ78,GDP!AZ72:AZ78)</f>
        <v>0.31978237878839505</v>
      </c>
    </row>
    <row r="7" spans="1:70" x14ac:dyDescent="0.45">
      <c r="B7" t="str">
        <f>Population!B6</f>
        <v>North America</v>
      </c>
      <c r="C7" cm="1">
        <f t="array" ref="C7">[4]!TheilT2(Population!C79:C80,GDP!C79:C80)</f>
        <v>2.1372271872945985E-3</v>
      </c>
      <c r="D7" cm="1">
        <f t="array" ref="D7">[4]!TheilT2(Population!D79:D80,GDP!D79:D80)</f>
        <v>1.7924472725920106E-3</v>
      </c>
      <c r="E7" cm="1">
        <f t="array" ref="E7">[4]!TheilT2(Population!E79:E80,GDP!E79:E80)</f>
        <v>1.2731564624519891E-3</v>
      </c>
      <c r="F7" cm="1">
        <f t="array" ref="F7">[4]!TheilT2(Population!F79:F80,GDP!F79:F80)</f>
        <v>8.0467775049868767E-4</v>
      </c>
      <c r="G7" cm="1">
        <f t="array" ref="G7">[4]!TheilT2(Population!G79:G80,GDP!G79:G80)</f>
        <v>3.1348489932264516E-5</v>
      </c>
      <c r="H7" cm="1">
        <f t="array" ref="H7">[4]!TheilT2(Population!H79:H80,GDP!H79:H80)</f>
        <v>6.1560535585362518E-5</v>
      </c>
      <c r="I7" cm="1">
        <f t="array" ref="I7">[4]!TheilT2(Population!I79:I80,GDP!I79:I80)</f>
        <v>2.7641713519449378E-5</v>
      </c>
      <c r="J7" cm="1">
        <f t="array" ref="J7">[4]!TheilT2(Population!J79:J80,GDP!J79:J80)</f>
        <v>1.4359998450328478E-4</v>
      </c>
      <c r="K7" cm="1">
        <f t="array" ref="K7">[4]!TheilT2(Population!K79:K80,GDP!K79:K80)</f>
        <v>8.7185139379497394E-4</v>
      </c>
      <c r="L7" cm="1">
        <f t="array" ref="L7">[4]!TheilT2(Population!L79:L80,GDP!L79:L80)</f>
        <v>9.1452506528565992E-4</v>
      </c>
      <c r="M7" cm="1">
        <f t="array" ref="M7">[4]!TheilT2(Population!M79:M80,GDP!M79:M80)</f>
        <v>5.7809792701919889E-4</v>
      </c>
      <c r="N7" cm="1">
        <f t="array" ref="N7">[4]!TheilT2(Population!N79:N80,GDP!N79:N80)</f>
        <v>6.403479334141822E-4</v>
      </c>
      <c r="O7" cm="1">
        <f t="array" ref="O7">[4]!TheilT2(Population!O79:O80,GDP!O79:O80)</f>
        <v>8.6120951812583731E-4</v>
      </c>
      <c r="P7" cm="1">
        <f t="array" ref="P7">[4]!TheilT2(Population!P79:P80,GDP!P79:P80)</f>
        <v>8.7598329082363112E-4</v>
      </c>
      <c r="Q7" cm="1">
        <f t="array" ref="Q7">[4]!TheilT2(Population!Q79:Q80,GDP!Q79:Q80)</f>
        <v>1.7393382588876231E-3</v>
      </c>
      <c r="R7" cm="1">
        <f t="array" ref="R7">[4]!TheilT2(Population!R79:R80,GDP!R79:R80)</f>
        <v>2.5248153335897736E-3</v>
      </c>
      <c r="S7" cm="1">
        <f t="array" ref="S7">[4]!TheilT2(Population!S79:S80,GDP!S79:S80)</f>
        <v>2.9138964378395728E-3</v>
      </c>
      <c r="T7" cm="1">
        <f t="array" ref="T7">[4]!TheilT2(Population!T79:T80,GDP!T79:T80)</f>
        <v>1.683726802196233E-3</v>
      </c>
      <c r="U7" cm="1">
        <f t="array" ref="U7">[4]!TheilT2(Population!U79:U80,GDP!U79:U80)</f>
        <v>6.3084611786872261E-4</v>
      </c>
      <c r="V7" cm="1">
        <f t="array" ref="V7">[4]!TheilT2(Population!V79:V80,GDP!V79:V80)</f>
        <v>4.1133033777742203E-4</v>
      </c>
      <c r="W7" cm="1">
        <f t="array" ref="W7">[4]!TheilT2(Population!W79:W80,GDP!W79:W80)</f>
        <v>4.9250937029918229E-4</v>
      </c>
      <c r="X7" cm="1">
        <f t="array" ref="X7">[4]!TheilT2(Population!X79:X80,GDP!X79:X80)</f>
        <v>5.2824884040162529E-4</v>
      </c>
      <c r="Y7" cm="1">
        <f t="array" ref="Y7">[4]!TheilT2(Population!Y79:Y80,GDP!Y79:Y80)</f>
        <v>1.5605075871660198E-3</v>
      </c>
      <c r="Z7" cm="1">
        <f t="array" ref="Z7">[4]!TheilT2(Population!Z79:Z80,GDP!Z79:Z80)</f>
        <v>2.8413342541970428E-3</v>
      </c>
      <c r="AA7" cm="1">
        <f t="array" ref="AA7">[4]!TheilT2(Population!AA79:AA80,GDP!AA79:AA80)</f>
        <v>4.0439673024979667E-3</v>
      </c>
      <c r="AB7" cm="1">
        <f t="array" ref="AB7">[4]!TheilT2(Population!AB79:AB80,GDP!AB79:AB80)</f>
        <v>4.0805558351553091E-3</v>
      </c>
      <c r="AC7" cm="1">
        <f t="array" ref="AC7">[4]!TheilT2(Population!AC79:AC80,GDP!AC79:AC80)</f>
        <v>4.4001118194283984E-3</v>
      </c>
      <c r="AD7" cm="1">
        <f t="array" ref="AD7">[4]!TheilT2(Population!AD79:AD80,GDP!AD79:AD80)</f>
        <v>4.8776374258342227E-3</v>
      </c>
      <c r="AE7" cm="1">
        <f t="array" ref="AE7">[4]!TheilT2(Population!AE79:AE80,GDP!AE79:AE80)</f>
        <v>7.035356049203273E-3</v>
      </c>
      <c r="AF7" cm="1">
        <f t="array" ref="AF7">[4]!TheilT2(Population!AF79:AF80,GDP!AF79:AF80)</f>
        <v>6.735720274249974E-3</v>
      </c>
      <c r="AG7" cm="1">
        <f t="array" ref="AG7">[4]!TheilT2(Population!AG79:AG80,GDP!AG79:AG80)</f>
        <v>5.8668155333921161E-3</v>
      </c>
      <c r="AH7" cm="1">
        <f t="array" ref="AH7">[4]!TheilT2(Population!AH79:AH80,GDP!AH79:AH80)</f>
        <v>6.9449294639328425E-3</v>
      </c>
      <c r="AI7" cm="1">
        <f t="array" ref="AI7">[4]!TheilT2(Population!AI79:AI80,GDP!AI79:AI80)</f>
        <v>7.1098848825250083E-3</v>
      </c>
      <c r="AJ7" cm="1">
        <f t="array" ref="AJ7">[4]!TheilT2(Population!AJ79:AJ80,GDP!AJ79:AJ80)</f>
        <v>4.1906401133652814E-3</v>
      </c>
      <c r="AK7" cm="1">
        <f t="array" ref="AK7">[4]!TheilT2(Population!AK79:AK80,GDP!AK79:AK80)</f>
        <v>2.6787371905244266E-3</v>
      </c>
      <c r="AL7" cm="1">
        <f t="array" ref="AL7">[4]!TheilT2(Population!AL79:AL80,GDP!AL79:AL80)</f>
        <v>1.531214138271236E-3</v>
      </c>
      <c r="AM7" cm="1">
        <f t="array" ref="AM7">[4]!TheilT2(Population!AM79:AM80,GDP!AM79:AM80)</f>
        <v>7.6947628944350199E-4</v>
      </c>
      <c r="AN7" cm="1">
        <f t="array" ref="AN7">[4]!TheilT2(Population!AN79:AN80,GDP!AN79:AN80)</f>
        <v>2.3502613477267235E-4</v>
      </c>
      <c r="AO7" cm="1">
        <f t="array" ref="AO7">[4]!TheilT2(Population!AO79:AO80,GDP!AO79:AO80)</f>
        <v>6.1735998606132943E-5</v>
      </c>
      <c r="AP7" cm="1">
        <f t="array" ref="AP7">[4]!TheilT2(Population!AP79:AP80,GDP!AP79:AP80)</f>
        <v>8.5707919502739545E-4</v>
      </c>
      <c r="AQ7" cm="1">
        <f t="array" ref="AQ7">[4]!TheilT2(Population!AQ79:AQ80,GDP!AQ79:AQ80)</f>
        <v>1.9936837091474391E-5</v>
      </c>
      <c r="AR7" cm="1">
        <f t="array" ref="AR7">[4]!TheilT2(Population!AR79:AR80,GDP!AR79:AR80)</f>
        <v>8.5252978429037514E-5</v>
      </c>
      <c r="AS7" cm="1">
        <f t="array" ref="AS7">[4]!TheilT2(Population!AS79:AS80,GDP!AS79:AS80)</f>
        <v>1.900961096149901E-5</v>
      </c>
      <c r="AT7" cm="1">
        <f t="array" ref="AT7">[4]!TheilT2(Population!AT79:AT80,GDP!AT79:AT80)</f>
        <v>3.4615880718266538E-6</v>
      </c>
      <c r="AU7" cm="1">
        <f t="array" ref="AU7">[4]!TheilT2(Population!AU79:AU80,GDP!AU79:AU80)</f>
        <v>2.6609580381304655E-4</v>
      </c>
      <c r="AV7" cm="1">
        <f t="array" ref="AV7">[4]!TheilT2(Population!AV79:AV80,GDP!AV79:AV80)</f>
        <v>2.7480063379656389E-3</v>
      </c>
      <c r="AW7" cm="1">
        <f t="array" ref="AW7">[4]!TheilT2(Population!AW79:AW80,GDP!AW79:AW80)</f>
        <v>3.7612680251225133E-3</v>
      </c>
      <c r="AX7" cm="1">
        <f t="array" ref="AX7">[4]!TheilT2(Population!AX79:AX80,GDP!AX79:AX80)</f>
        <v>3.138070549525418E-3</v>
      </c>
      <c r="AY7" cm="1">
        <f t="array" ref="AY7">[4]!TheilT2(Population!AY79:AY80,GDP!AY79:AY80)</f>
        <v>3.6153369679628004E-3</v>
      </c>
      <c r="AZ7" cm="1">
        <f t="array" ref="AZ7">[4]!TheilT2(Population!AZ79:AZ80,GDP!AZ79:AZ80)</f>
        <v>4.5178871106004541E-3</v>
      </c>
    </row>
    <row r="8" spans="1:70" x14ac:dyDescent="0.45">
      <c r="B8" t="str">
        <f>Population!B7</f>
        <v>Pacific</v>
      </c>
      <c r="C8" cm="1">
        <f t="array" ref="C8">[4]!TheilT2(Population!C81:C85,GDP!C81:C85)</f>
        <v>0.14353926187202354</v>
      </c>
      <c r="D8" cm="1">
        <f t="array" ref="D8">[4]!TheilT2(Population!D81:D85,GDP!D81:D85)</f>
        <v>0.13774324304986901</v>
      </c>
      <c r="E8" cm="1">
        <f t="array" ref="E8">[4]!TheilT2(Population!E81:E85,GDP!E81:E85)</f>
        <v>0.13524308935343451</v>
      </c>
      <c r="F8" cm="1">
        <f t="array" ref="F8">[4]!TheilT2(Population!F81:F85,GDP!F81:F85)</f>
        <v>0.12678679194909001</v>
      </c>
      <c r="G8" cm="1">
        <f t="array" ref="G8">[4]!TheilT2(Population!G81:G85,GDP!G81:G85)</f>
        <v>0.13910078151139865</v>
      </c>
      <c r="H8" cm="1">
        <f t="array" ref="H8">[4]!TheilT2(Population!H81:H85,GDP!H81:H85)</f>
        <v>0.1531351481780627</v>
      </c>
      <c r="I8" cm="1">
        <f t="array" ref="I8">[4]!TheilT2(Population!I81:I85,GDP!I81:I85)</f>
        <v>0.15628612163578529</v>
      </c>
      <c r="J8" cm="1">
        <f t="array" ref="J8">[4]!TheilT2(Population!J81:J85,GDP!J81:J85)</f>
        <v>0.15378066533353138</v>
      </c>
      <c r="K8" cm="1">
        <f t="array" ref="K8">[4]!TheilT2(Population!K81:K85,GDP!K81:K85)</f>
        <v>0.14737526057460978</v>
      </c>
      <c r="L8" cm="1">
        <f t="array" ref="L8">[4]!TheilT2(Population!L81:L85,GDP!L81:L85)</f>
        <v>0.14825308087164876</v>
      </c>
      <c r="M8" cm="1">
        <f t="array" ref="M8">[4]!TheilT2(Population!M81:M85,GDP!M81:M85)</f>
        <v>0.14973627044625754</v>
      </c>
      <c r="N8" cm="1">
        <f t="array" ref="N8">[4]!TheilT2(Population!N81:N85,GDP!N81:N85)</f>
        <v>0.16328677270536535</v>
      </c>
      <c r="O8" cm="1">
        <f t="array" ref="O8">[4]!TheilT2(Population!O81:O85,GDP!O81:O85)</f>
        <v>0.17528223442644503</v>
      </c>
      <c r="P8" cm="1">
        <f t="array" ref="P8">[4]!TheilT2(Population!P81:P85,GDP!P81:P85)</f>
        <v>0.16800455739075557</v>
      </c>
      <c r="Q8" cm="1">
        <f t="array" ref="Q8">[4]!TheilT2(Population!Q81:Q85,GDP!Q81:Q85)</f>
        <v>0.18313500061939147</v>
      </c>
      <c r="R8" cm="1">
        <f t="array" ref="R8">[4]!TheilT2(Population!R81:R85,GDP!R81:R85)</f>
        <v>0.17521314864758783</v>
      </c>
      <c r="S8" cm="1">
        <f t="array" ref="S8">[4]!TheilT2(Population!S81:S85,GDP!S81:S85)</f>
        <v>0.16701019466697525</v>
      </c>
      <c r="T8" cm="1">
        <f t="array" ref="T8">[4]!TheilT2(Population!T81:T85,GDP!T81:T85)</f>
        <v>0.16490920099906275</v>
      </c>
      <c r="U8" cm="1">
        <f t="array" ref="U8">[4]!TheilT2(Population!U81:U85,GDP!U81:U85)</f>
        <v>0.17037929792199624</v>
      </c>
      <c r="V8" cm="1">
        <f t="array" ref="V8">[4]!TheilT2(Population!V81:V85,GDP!V81:V85)</f>
        <v>0.18543244635534312</v>
      </c>
      <c r="W8" cm="1">
        <f t="array" ref="W8">[4]!TheilT2(Population!W81:W85,GDP!W81:W85)</f>
        <v>0.19013313767654472</v>
      </c>
      <c r="X8" cm="1">
        <f t="array" ref="X8">[4]!TheilT2(Population!X81:X85,GDP!X81:X85)</f>
        <v>0.19241675538024344</v>
      </c>
      <c r="Y8" cm="1">
        <f t="array" ref="Y8">[4]!TheilT2(Population!Y81:Y85,GDP!Y81:Y85)</f>
        <v>0.18957841390473604</v>
      </c>
      <c r="Z8" cm="1">
        <f t="array" ref="Z8">[4]!TheilT2(Population!Z81:Z85,GDP!Z81:Z85)</f>
        <v>0.17952687326708922</v>
      </c>
      <c r="AA8" cm="1">
        <f t="array" ref="AA8">[4]!TheilT2(Population!AA81:AA85,GDP!AA81:AA85)</f>
        <v>0.17569695414439826</v>
      </c>
      <c r="AB8" cm="1">
        <f t="array" ref="AB8">[4]!TheilT2(Population!AB81:AB85,GDP!AB81:AB85)</f>
        <v>0.18883853011043295</v>
      </c>
      <c r="AC8" cm="1">
        <f t="array" ref="AC8">[4]!TheilT2(Population!AC81:AC85,GDP!AC81:AC85)</f>
        <v>0.19003693291683701</v>
      </c>
      <c r="AD8" cm="1">
        <f t="array" ref="AD8">[4]!TheilT2(Population!AD81:AD85,GDP!AD81:AD85)</f>
        <v>0.20025181685539517</v>
      </c>
      <c r="AE8" cm="1">
        <f t="array" ref="AE8">[4]!TheilT2(Population!AE81:AE85,GDP!AE81:AE85)</f>
        <v>0.21165138095316433</v>
      </c>
      <c r="AF8" cm="1">
        <f t="array" ref="AF8">[4]!TheilT2(Population!AF81:AF85,GDP!AF81:AF85)</f>
        <v>0.21162730386020515</v>
      </c>
      <c r="AG8" cm="1">
        <f t="array" ref="AG8">[4]!TheilT2(Population!AG81:AG85,GDP!AG81:AG85)</f>
        <v>0.22294401613813458</v>
      </c>
      <c r="AH8" cm="1">
        <f t="array" ref="AH8">[4]!TheilT2(Population!AH81:AH85,GDP!AH81:AH85)</f>
        <v>0.22019602089448398</v>
      </c>
      <c r="AI8" cm="1">
        <f t="array" ref="AI8">[4]!TheilT2(Population!AI81:AI85,GDP!AI81:AI85)</f>
        <v>0.21841586949352387</v>
      </c>
      <c r="AJ8" cm="1">
        <f t="array" ref="AJ8">[4]!TheilT2(Population!AJ81:AJ85,GDP!AJ81:AJ85)</f>
        <v>0.21788246341002129</v>
      </c>
      <c r="AK8" cm="1">
        <f t="array" ref="AK8">[4]!TheilT2(Population!AK81:AK85,GDP!AK81:AK85)</f>
        <v>0.22528804438969477</v>
      </c>
      <c r="AL8" cm="1">
        <f t="array" ref="AL8">[4]!TheilT2(Population!AL81:AL85,GDP!AL81:AL85)</f>
        <v>0.22560664136370656</v>
      </c>
      <c r="AM8" cm="1">
        <f t="array" ref="AM8">[4]!TheilT2(Population!AM81:AM85,GDP!AM81:AM85)</f>
        <v>0.21746308095459432</v>
      </c>
      <c r="AN8" cm="1">
        <f t="array" ref="AN8">[4]!TheilT2(Population!AN81:AN85,GDP!AN81:AN85)</f>
        <v>0.21955491012798023</v>
      </c>
      <c r="AO8" cm="1">
        <f t="array" ref="AO8">[4]!TheilT2(Population!AO81:AO85,GDP!AO81:AO85)</f>
        <v>0.22957196417785777</v>
      </c>
      <c r="AP8" cm="1">
        <f t="array" ref="AP8">[4]!TheilT2(Population!AP81:AP85,GDP!AP81:AP85)</f>
        <v>0.2249043936138182</v>
      </c>
      <c r="AQ8" cm="1">
        <f t="array" ref="AQ8">[4]!TheilT2(Population!AQ81:AQ85,GDP!AQ81:AQ85)</f>
        <v>0.2280281828474606</v>
      </c>
      <c r="AR8" cm="1">
        <f t="array" ref="AR8">[4]!TheilT2(Population!AR81:AR85,GDP!AR81:AR85)</f>
        <v>0.23052963588252653</v>
      </c>
      <c r="AS8" cm="1">
        <f t="array" ref="AS8">[4]!TheilT2(Population!AS81:AS85,GDP!AS81:AS85)</f>
        <v>0.23092513014311888</v>
      </c>
      <c r="AT8" cm="1">
        <f t="array" ref="AT8">[4]!TheilT2(Population!AT81:AT85,GDP!AT81:AT85)</f>
        <v>0.22911587260608968</v>
      </c>
      <c r="AU8" cm="1">
        <f t="array" ref="AU8">[4]!TheilT2(Population!AU81:AU85,GDP!AU81:AU85)</f>
        <v>0.21805118323197906</v>
      </c>
      <c r="AV8" cm="1">
        <f t="array" ref="AV8">[4]!TheilT2(Population!AV81:AV85,GDP!AV81:AV85)</f>
        <v>0.2193223400605035</v>
      </c>
      <c r="AW8" cm="1">
        <f t="array" ref="AW8">[4]!TheilT2(Population!AW81:AW85,GDP!AW81:AW85)</f>
        <v>0.21153466422691145</v>
      </c>
      <c r="AX8" cm="1">
        <f t="array" ref="AX8">[4]!TheilT2(Population!AX81:AX85,GDP!AX81:AX85)</f>
        <v>0.21235278094926299</v>
      </c>
      <c r="AY8" cm="1">
        <f t="array" ref="AY8">[4]!TheilT2(Population!AY81:AY85,GDP!AY81:AY85)</f>
        <v>0.21676970872639381</v>
      </c>
      <c r="AZ8" cm="1">
        <f t="array" ref="AZ8">[4]!TheilT2(Population!AZ81:AZ85,GDP!AZ81:AZ85)</f>
        <v>0.21271409928753374</v>
      </c>
    </row>
    <row r="9" spans="1:70" x14ac:dyDescent="0.45">
      <c r="B9" t="str">
        <f>Population!B8</f>
        <v>South Asia</v>
      </c>
      <c r="C9" cm="1">
        <f t="array" ref="C9">[4]!TheilT2(Population!C86:C90,GDP!C86:C90)</f>
        <v>1.3503538253338299E-2</v>
      </c>
      <c r="D9" cm="1">
        <f t="array" ref="D9">[4]!TheilT2(Population!D86:D90,GDP!D86:D90)</f>
        <v>1.1635237439337963E-2</v>
      </c>
      <c r="E9" cm="1">
        <f t="array" ref="E9">[4]!TheilT2(Population!E86:E90,GDP!E86:E90)</f>
        <v>8.7662928076255933E-3</v>
      </c>
      <c r="F9" cm="1">
        <f t="array" ref="F9">[4]!TheilT2(Population!F86:F90,GDP!F86:F90)</f>
        <v>9.3624298133880585E-3</v>
      </c>
      <c r="G9" cm="1">
        <f t="array" ref="G9">[4]!TheilT2(Population!G86:G90,GDP!G86:G90)</f>
        <v>6.4442054467556565E-3</v>
      </c>
      <c r="H9" cm="1">
        <f t="array" ref="H9">[4]!TheilT2(Population!H86:H90,GDP!H86:H90)</f>
        <v>2.0572236311096479E-2</v>
      </c>
      <c r="I9" cm="1">
        <f t="array" ref="I9">[4]!TheilT2(Population!I86:I90,GDP!I86:I90)</f>
        <v>5.7326957103347263E-3</v>
      </c>
      <c r="J9" cm="1">
        <f t="array" ref="J9">[4]!TheilT2(Population!J86:J90,GDP!J86:J90)</f>
        <v>9.6834714259770305E-3</v>
      </c>
      <c r="K9" cm="1">
        <f t="array" ref="K9">[4]!TheilT2(Population!K86:K90,GDP!K86:K90)</f>
        <v>4.5432365147483203E-3</v>
      </c>
      <c r="L9" cm="1">
        <f t="array" ref="L9">[4]!TheilT2(Population!L86:L90,GDP!L86:L90)</f>
        <v>3.5358656498536631E-3</v>
      </c>
      <c r="M9" cm="1">
        <f t="array" ref="M9">[4]!TheilT2(Population!M86:M90,GDP!M86:M90)</f>
        <v>4.5532003338641996E-3</v>
      </c>
      <c r="N9" cm="1">
        <f t="array" ref="N9">[4]!TheilT2(Population!N86:N90,GDP!N86:N90)</f>
        <v>5.6808789697905763E-3</v>
      </c>
      <c r="O9" cm="1">
        <f t="array" ref="O9">[4]!TheilT2(Population!O86:O90,GDP!O86:O90)</f>
        <v>8.618634462751882E-3</v>
      </c>
      <c r="P9" cm="1">
        <f t="array" ref="P9">[4]!TheilT2(Population!P86:P90,GDP!P86:P90)</f>
        <v>7.7802461300799982E-3</v>
      </c>
      <c r="Q9" cm="1">
        <f t="array" ref="Q9">[4]!TheilT2(Population!Q86:Q90,GDP!Q86:Q90)</f>
        <v>8.2776861675581369E-3</v>
      </c>
      <c r="R9" cm="1">
        <f t="array" ref="R9">[4]!TheilT2(Population!R86:R90,GDP!R86:R90)</f>
        <v>5.0650135434352848E-3</v>
      </c>
      <c r="S9" cm="1">
        <f t="array" ref="S9">[4]!TheilT2(Population!S86:S90,GDP!S86:S90)</f>
        <v>5.9743176418859826E-3</v>
      </c>
      <c r="T9" cm="1">
        <f t="array" ref="T9">[4]!TheilT2(Population!T86:T90,GDP!T86:T90)</f>
        <v>5.8776760525853702E-3</v>
      </c>
      <c r="U9" cm="1">
        <f t="array" ref="U9">[4]!TheilT2(Population!U86:U90,GDP!U86:U90)</f>
        <v>5.1946540817521796E-3</v>
      </c>
      <c r="V9" cm="1">
        <f t="array" ref="V9">[4]!TheilT2(Population!V86:V90,GDP!V86:V90)</f>
        <v>4.2924402509596869E-3</v>
      </c>
      <c r="W9" cm="1">
        <f t="array" ref="W9">[4]!TheilT2(Population!W86:W90,GDP!W86:W90)</f>
        <v>4.0971979107640973E-3</v>
      </c>
      <c r="X9" cm="1">
        <f t="array" ref="X9">[4]!TheilT2(Population!X86:X90,GDP!X86:X90)</f>
        <v>8.7750798015778717E-3</v>
      </c>
      <c r="Y9" cm="1">
        <f t="array" ref="Y9">[4]!TheilT2(Population!Y86:Y90,GDP!Y86:Y90)</f>
        <v>1.0422442190206294E-2</v>
      </c>
      <c r="Z9" cm="1">
        <f t="array" ref="Z9">[4]!TheilT2(Population!Z86:Z90,GDP!Z86:Z90)</f>
        <v>1.3945380885455591E-2</v>
      </c>
      <c r="AA9" cm="1">
        <f t="array" ref="AA9">[4]!TheilT2(Population!AA86:AA90,GDP!AA86:AA90)</f>
        <v>9.994667668598415E-3</v>
      </c>
      <c r="AB9" cm="1">
        <f t="array" ref="AB9">[4]!TheilT2(Population!AB86:AB90,GDP!AB86:AB90)</f>
        <v>1.1385916583539282E-2</v>
      </c>
      <c r="AC9" cm="1">
        <f t="array" ref="AC9">[4]!TheilT2(Population!AC86:AC90,GDP!AC86:AC90)</f>
        <v>9.2175146535672138E-3</v>
      </c>
      <c r="AD9" cm="1">
        <f t="array" ref="AD9">[4]!TheilT2(Population!AD86:AD90,GDP!AD86:AD90)</f>
        <v>8.3870538942689664E-3</v>
      </c>
      <c r="AE9" cm="1">
        <f t="array" ref="AE9">[4]!TheilT2(Population!AE86:AE90,GDP!AE86:AE90)</f>
        <v>8.9694149473428953E-3</v>
      </c>
      <c r="AF9" cm="1">
        <f t="array" ref="AF9">[4]!TheilT2(Population!AF86:AF90,GDP!AF86:AF90)</f>
        <v>7.5963051874458846E-3</v>
      </c>
      <c r="AG9" cm="1">
        <f t="array" ref="AG9">[4]!TheilT2(Population!AG86:AG90,GDP!AG86:AG90)</f>
        <v>1.1028857028555057E-2</v>
      </c>
      <c r="AH9" cm="1">
        <f t="array" ref="AH9">[4]!TheilT2(Population!AH86:AH90,GDP!AH86:AH90)</f>
        <v>8.1113725731338446E-3</v>
      </c>
      <c r="AI9" cm="1">
        <f t="array" ref="AI9">[4]!TheilT2(Population!AI86:AI90,GDP!AI86:AI90)</f>
        <v>7.8346711067905032E-3</v>
      </c>
      <c r="AJ9" cm="1">
        <f t="array" ref="AJ9">[4]!TheilT2(Population!AJ86:AJ90,GDP!AJ86:AJ90)</f>
        <v>8.7529483831452187E-3</v>
      </c>
      <c r="AK9" cm="1">
        <f t="array" ref="AK9">[4]!TheilT2(Population!AK86:AK90,GDP!AK86:AK90)</f>
        <v>9.3931048044936273E-3</v>
      </c>
      <c r="AL9" cm="1">
        <f t="array" ref="AL9">[4]!TheilT2(Population!AL86:AL90,GDP!AL86:AL90)</f>
        <v>1.1231347993397351E-2</v>
      </c>
      <c r="AM9" cm="1">
        <f t="array" ref="AM9">[4]!TheilT2(Population!AM86:AM90,GDP!AM86:AM90)</f>
        <v>1.4063618486513264E-2</v>
      </c>
      <c r="AN9" cm="1">
        <f t="array" ref="AN9">[4]!TheilT2(Population!AN86:AN90,GDP!AN86:AN90)</f>
        <v>1.7913840773160671E-2</v>
      </c>
      <c r="AO9" cm="1">
        <f t="array" ref="AO9">[4]!TheilT2(Population!AO86:AO90,GDP!AO86:AO90)</f>
        <v>1.5313536823388875E-2</v>
      </c>
      <c r="AP9" cm="1">
        <f t="array" ref="AP9">[4]!TheilT2(Population!AP86:AP90,GDP!AP86:AP90)</f>
        <v>1.5042018366814999E-2</v>
      </c>
      <c r="AQ9" cm="1">
        <f t="array" ref="AQ9">[4]!TheilT2(Population!AQ86:AQ90,GDP!AQ86:AQ90)</f>
        <v>2.2451696730209247E-2</v>
      </c>
      <c r="AR9" cm="1">
        <f t="array" ref="AR9">[4]!TheilT2(Population!AR86:AR90,GDP!AR86:AR90)</f>
        <v>2.0487643523309732E-2</v>
      </c>
      <c r="AS9" cm="1">
        <f t="array" ref="AS9">[4]!TheilT2(Population!AS86:AS90,GDP!AS86:AS90)</f>
        <v>2.0110236201225311E-2</v>
      </c>
      <c r="AT9" cm="1">
        <f t="array" ref="AT9">[4]!TheilT2(Population!AT86:AT90,GDP!AT86:AT90)</f>
        <v>1.9200022231499407E-2</v>
      </c>
      <c r="AU9" cm="1">
        <f t="array" ref="AU9">[4]!TheilT2(Population!AU86:AU90,GDP!AU86:AU90)</f>
        <v>1.8408543084185904E-2</v>
      </c>
      <c r="AV9" cm="1">
        <f t="array" ref="AV9">[4]!TheilT2(Population!AV86:AV90,GDP!AV86:AV90)</f>
        <v>1.4929438916739871E-2</v>
      </c>
      <c r="AW9" cm="1">
        <f t="array" ref="AW9">[4]!TheilT2(Population!AW86:AW90,GDP!AW86:AW90)</f>
        <v>1.4417958404984426E-2</v>
      </c>
      <c r="AX9" cm="1">
        <f t="array" ref="AX9">[4]!TheilT2(Population!AX86:AX90,GDP!AX86:AX90)</f>
        <v>1.4297914776148037E-2</v>
      </c>
      <c r="AY9" cm="1">
        <f t="array" ref="AY9">[4]!TheilT2(Population!AY86:AY90,GDP!AY86:AY90)</f>
        <v>1.2537233228844757E-2</v>
      </c>
      <c r="AZ9" cm="1">
        <f t="array" ref="AZ9">[4]!TheilT2(Population!AZ86:AZ90,GDP!AZ86:AZ90)</f>
        <v>1.6335958318443686E-2</v>
      </c>
    </row>
    <row r="10" spans="1:70" x14ac:dyDescent="0.45">
      <c r="B10" t="str">
        <f>Population!B9</f>
        <v>Sub-Saharan Africa</v>
      </c>
      <c r="C10" cm="1">
        <f t="array" ref="C10">[4]!TheilT2(Population!C91:C122,GDP!C91:C122)</f>
        <v>0.23575081798388559</v>
      </c>
      <c r="D10" cm="1">
        <f t="array" ref="D10">[4]!TheilT2(Population!D91:D122,GDP!D91:D122)</f>
        <v>0.2824598049172703</v>
      </c>
      <c r="E10" cm="1">
        <f t="array" ref="E10">[4]!TheilT2(Population!E91:E122,GDP!E91:E122)</f>
        <v>0.24202292903808781</v>
      </c>
      <c r="F10" cm="1">
        <f t="array" ref="F10">[4]!TheilT2(Population!F91:F122,GDP!F91:F122)</f>
        <v>0.28031910362635959</v>
      </c>
      <c r="G10" cm="1">
        <f t="array" ref="G10">[4]!TheilT2(Population!G91:G122,GDP!G91:G122)</f>
        <v>0.27442598934326357</v>
      </c>
      <c r="H10" cm="1">
        <f t="array" ref="H10">[4]!TheilT2(Population!H91:H122,GDP!H91:H122)</f>
        <v>0.24755427385154238</v>
      </c>
      <c r="I10" cm="1">
        <f t="array" ref="I10">[4]!TheilT2(Population!I91:I122,GDP!I91:I122)</f>
        <v>0.2243004830874398</v>
      </c>
      <c r="J10" cm="1">
        <f t="array" ref="J10">[4]!TheilT2(Population!J91:J122,GDP!J91:J122)</f>
        <v>0.21354313044837905</v>
      </c>
      <c r="K10" cm="1">
        <f t="array" ref="K10">[4]!TheilT2(Population!K91:K122,GDP!K91:K122)</f>
        <v>0.20934610621865482</v>
      </c>
      <c r="L10" cm="1">
        <f t="array" ref="L10">[4]!TheilT2(Population!L91:L122,GDP!L91:L122)</f>
        <v>0.2195179082507504</v>
      </c>
      <c r="M10" cm="1">
        <f t="array" ref="M10">[4]!TheilT2(Population!M91:M122,GDP!M91:M122)</f>
        <v>0.28742819835389394</v>
      </c>
      <c r="N10" cm="1">
        <f t="array" ref="N10">[4]!TheilT2(Population!N91:N122,GDP!N91:N122)</f>
        <v>0.31510952023643851</v>
      </c>
      <c r="O10" cm="1">
        <f t="array" ref="O10">[4]!TheilT2(Population!O91:O122,GDP!O91:O122)</f>
        <v>0.29011546420086826</v>
      </c>
      <c r="P10" cm="1">
        <f t="array" ref="P10">[4]!TheilT2(Population!P91:P122,GDP!P91:P122)</f>
        <v>0.31632670521972589</v>
      </c>
      <c r="Q10" cm="1">
        <f t="array" ref="Q10">[4]!TheilT2(Population!Q91:Q122,GDP!Q91:Q122)</f>
        <v>0.30876985475691876</v>
      </c>
      <c r="R10" cm="1">
        <f t="array" ref="R10">[4]!TheilT2(Population!R91:R122,GDP!R91:R122)</f>
        <v>0.24053284540658662</v>
      </c>
      <c r="S10" cm="1">
        <f t="array" ref="S10">[4]!TheilT2(Population!S91:S122,GDP!S91:S122)</f>
        <v>0.25547905596558929</v>
      </c>
      <c r="T10" cm="1">
        <f t="array" ref="T10">[4]!TheilT2(Population!T91:T122,GDP!T91:T122)</f>
        <v>0.33259226878023124</v>
      </c>
      <c r="U10" cm="1">
        <f t="array" ref="U10">[4]!TheilT2(Population!U91:U122,GDP!U91:U122)</f>
        <v>0.34697711251692559</v>
      </c>
      <c r="V10" cm="1">
        <f t="array" ref="V10">[4]!TheilT2(Population!V91:V122,GDP!V91:V122)</f>
        <v>0.38058767293900075</v>
      </c>
      <c r="W10" cm="1">
        <f t="array" ref="W10">[4]!TheilT2(Population!W91:W122,GDP!W91:W122)</f>
        <v>0.40449157889947474</v>
      </c>
      <c r="X10" cm="1">
        <f t="array" ref="X10">[4]!TheilT2(Population!X91:X122,GDP!X91:X122)</f>
        <v>0.44521679025983302</v>
      </c>
      <c r="Y10" cm="1">
        <f t="array" ref="Y10">[4]!TheilT2(Population!Y91:Y122,GDP!Y91:Y122)</f>
        <v>0.52017981279670089</v>
      </c>
      <c r="Z10" cm="1">
        <f t="array" ref="Z10">[4]!TheilT2(Population!Z91:Z122,GDP!Z91:Z122)</f>
        <v>0.59815841717218798</v>
      </c>
      <c r="AA10" cm="1">
        <f t="array" ref="AA10">[4]!TheilT2(Population!AA91:AA122,GDP!AA91:AA122)</f>
        <v>0.64425676409012023</v>
      </c>
      <c r="AB10" cm="1">
        <f t="array" ref="AB10">[4]!TheilT2(Population!AB91:AB122,GDP!AB91:AB122)</f>
        <v>0.60962228943357399</v>
      </c>
      <c r="AC10" cm="1">
        <f t="array" ref="AC10">[4]!TheilT2(Population!AC91:AC122,GDP!AC91:AC122)</f>
        <v>0.54561059162765824</v>
      </c>
      <c r="AD10" cm="1">
        <f t="array" ref="AD10">[4]!TheilT2(Population!AD91:AD122,GDP!AD91:AD122)</f>
        <v>0.53850912567829823</v>
      </c>
      <c r="AE10" cm="1">
        <f t="array" ref="AE10">[4]!TheilT2(Population!AE91:AE122,GDP!AE91:AE122)</f>
        <v>0.49137370309236544</v>
      </c>
      <c r="AF10" cm="1">
        <f t="array" ref="AF10">[4]!TheilT2(Population!AF91:AF122,GDP!AF91:AF122)</f>
        <v>0.49083833857147513</v>
      </c>
      <c r="AG10" cm="1">
        <f t="array" ref="AG10">[4]!TheilT2(Population!AG91:AG122,GDP!AG91:AG122)</f>
        <v>0.42335813157264512</v>
      </c>
      <c r="AH10" cm="1">
        <f t="array" ref="AH10">[4]!TheilT2(Population!AH91:AH122,GDP!AH91:AH122)</f>
        <v>0.40208301122523765</v>
      </c>
      <c r="AI10" cm="1">
        <f t="array" ref="AI10">[4]!TheilT2(Population!AI91:AI122,GDP!AI91:AI122)</f>
        <v>0.33358624061642883</v>
      </c>
      <c r="AJ10" cm="1">
        <f t="array" ref="AJ10">[4]!TheilT2(Population!AJ91:AJ122,GDP!AJ91:AJ122)</f>
        <v>0.44820569438299396</v>
      </c>
      <c r="AK10" cm="1">
        <f t="array" ref="AK10">[4]!TheilT2(Population!AK91:AK122,GDP!AK91:AK122)</f>
        <v>0.49669183960641744</v>
      </c>
      <c r="AL10" cm="1">
        <f t="array" ref="AL10">[4]!TheilT2(Population!AL91:AL122,GDP!AL91:AL122)</f>
        <v>0.4787230300858108</v>
      </c>
      <c r="AM10" cm="1">
        <f t="array" ref="AM10">[4]!TheilT2(Population!AM91:AM122,GDP!AM91:AM122)</f>
        <v>0.41406683347658663</v>
      </c>
      <c r="AN10" cm="1">
        <f t="array" ref="AN10">[4]!TheilT2(Population!AN91:AN122,GDP!AN91:AN122)</f>
        <v>0.39446894421529977</v>
      </c>
      <c r="AO10" cm="1">
        <f t="array" ref="AO10">[4]!TheilT2(Population!AO91:AO122,GDP!AO91:AO122)</f>
        <v>0.3342955703201968</v>
      </c>
      <c r="AP10" cm="1">
        <f t="array" ref="AP10">[4]!TheilT2(Population!AP91:AP122,GDP!AP91:AP122)</f>
        <v>0.34473484779740937</v>
      </c>
      <c r="AQ10" cm="1">
        <f t="array" ref="AQ10">[4]!TheilT2(Population!AQ91:AQ122,GDP!AQ91:AQ122)</f>
        <v>0.38711941793426563</v>
      </c>
      <c r="AR10" cm="1">
        <f t="array" ref="AR10">[4]!TheilT2(Population!AR91:AR122,GDP!AR91:AR122)</f>
        <v>0.39028493106917622</v>
      </c>
      <c r="AS10" cm="1">
        <f t="array" ref="AS10">[4]!TheilT2(Population!AS91:AS122,GDP!AS91:AS122)</f>
        <v>0.35790541390312341</v>
      </c>
      <c r="AT10" cm="1">
        <f t="array" ref="AT10">[4]!TheilT2(Population!AT91:AT122,GDP!AT91:AT122)</f>
        <v>0.31328359032903824</v>
      </c>
      <c r="AU10" cm="1">
        <f t="array" ref="AU10">[4]!TheilT2(Population!AU91:AU122,GDP!AU91:AU122)</f>
        <v>0.29354606926400156</v>
      </c>
      <c r="AV10" cm="1">
        <f t="array" ref="AV10">[4]!TheilT2(Population!AV91:AV122,GDP!AV91:AV122)</f>
        <v>0.27276359898347774</v>
      </c>
      <c r="AW10" cm="1">
        <f t="array" ref="AW10">[4]!TheilT2(Population!AW91:AW122,GDP!AW91:AW122)</f>
        <v>0.25969725472826305</v>
      </c>
      <c r="AX10" cm="1">
        <f t="array" ref="AX10">[4]!TheilT2(Population!AX91:AX122,GDP!AX91:AX122)</f>
        <v>0.29315276000609736</v>
      </c>
      <c r="AY10" cm="1">
        <f t="array" ref="AY10">[4]!TheilT2(Population!AY91:AY122,GDP!AY91:AY122)</f>
        <v>0.29863192186592274</v>
      </c>
      <c r="AZ10" cm="1">
        <f t="array" ref="AZ10">[4]!TheilT2(Population!AZ91:AZ122,GDP!AZ91:AZ122)</f>
        <v>0.29165116876996117</v>
      </c>
    </row>
    <row r="11" spans="1:70" x14ac:dyDescent="0.45">
      <c r="B11" t="s">
        <v>165</v>
      </c>
      <c r="C11" cm="1">
        <f t="array" ref="C11">[4]!TheilT2(Population!C1:C9,GDP!C1:C9)</f>
        <v>0.8435249967665841</v>
      </c>
      <c r="D11" cm="1">
        <f t="array" ref="D11">[4]!TheilT2(Population!D1:D9,GDP!D1:D9)</f>
        <v>0.85601245831565387</v>
      </c>
      <c r="E11" cm="1">
        <f t="array" ref="E11">[4]!TheilT2(Population!E1:E9,GDP!E1:E9)</f>
        <v>0.85670418066492926</v>
      </c>
      <c r="F11" cm="1">
        <f t="array" ref="F11">[4]!TheilT2(Population!F1:F9,GDP!F1:F9)</f>
        <v>0.83261271774625345</v>
      </c>
      <c r="G11" cm="1">
        <f t="array" ref="G11">[4]!TheilT2(Population!G1:G9,GDP!G1:G9)</f>
        <v>0.80842713668985156</v>
      </c>
      <c r="H11" cm="1">
        <f t="array" ref="H11">[4]!TheilT2(Population!H1:H9,GDP!H1:H9)</f>
        <v>0.82318642331472625</v>
      </c>
      <c r="I11" cm="1">
        <f t="array" ref="I11">[4]!TheilT2(Population!I1:I9,GDP!I1:I9)</f>
        <v>0.8469008546905642</v>
      </c>
      <c r="J11" cm="1">
        <f t="array" ref="J11">[4]!TheilT2(Population!J1:J9,GDP!J1:J9)</f>
        <v>0.84395154674176931</v>
      </c>
      <c r="K11" cm="1">
        <f t="array" ref="K11">[4]!TheilT2(Population!K1:K9,GDP!K1:K9)</f>
        <v>0.87140790615480723</v>
      </c>
      <c r="L11" cm="1">
        <f t="array" ref="L11">[4]!TheilT2(Population!L1:L9,GDP!L1:L9)</f>
        <v>0.87284374297049916</v>
      </c>
      <c r="M11" cm="1">
        <f t="array" ref="M11">[4]!TheilT2(Population!M1:M9,GDP!M1:M9)</f>
        <v>0.86357349042525655</v>
      </c>
      <c r="N11" cm="1">
        <f t="array" ref="N11">[4]!TheilT2(Population!N1:N9,GDP!N1:N9)</f>
        <v>0.83623163853652427</v>
      </c>
      <c r="O11" cm="1">
        <f t="array" ref="O11">[4]!TheilT2(Population!O1:O9,GDP!O1:O9)</f>
        <v>0.86088984068784735</v>
      </c>
      <c r="P11" cm="1">
        <f t="array" ref="P11">[4]!TheilT2(Population!P1:P9,GDP!P1:P9)</f>
        <v>0.89384344023642748</v>
      </c>
      <c r="Q11" cm="1">
        <f t="array" ref="Q11">[4]!TheilT2(Population!Q1:Q9,GDP!Q1:Q9)</f>
        <v>0.92568118506637653</v>
      </c>
      <c r="R11" cm="1">
        <f t="array" ref="R11">[4]!TheilT2(Population!R1:R9,GDP!R1:R9)</f>
        <v>0.93435676094134357</v>
      </c>
      <c r="S11" cm="1">
        <f t="array" ref="S11">[4]!TheilT2(Population!S1:S9,GDP!S1:S9)</f>
        <v>0.95826189865527422</v>
      </c>
      <c r="T11" cm="1">
        <f t="array" ref="T11">[4]!TheilT2(Population!T1:T9,GDP!T1:T9)</f>
        <v>0.98183916716402586</v>
      </c>
      <c r="U11" cm="1">
        <f t="array" ref="U11">[4]!TheilT2(Population!U1:U9,GDP!U1:U9)</f>
        <v>0.98983109502989708</v>
      </c>
      <c r="V11" cm="1">
        <f t="array" ref="V11">[4]!TheilT2(Population!V1:V9,GDP!V1:V9)</f>
        <v>0.99541358211762332</v>
      </c>
      <c r="W11" cm="1">
        <f t="array" ref="W11">[4]!TheilT2(Population!W1:W9,GDP!W1:W9)</f>
        <v>1.0050189904869367</v>
      </c>
      <c r="X11" cm="1">
        <f t="array" ref="X11">[4]!TheilT2(Population!X1:X9,GDP!X1:X9)</f>
        <v>1.0023371985908305</v>
      </c>
      <c r="Y11" cm="1">
        <f t="array" ref="Y11">[4]!TheilT2(Population!Y1:Y9,GDP!Y1:Y9)</f>
        <v>1.0194314450264421</v>
      </c>
      <c r="Z11" cm="1">
        <f t="array" ref="Z11">[4]!TheilT2(Population!Z1:Z9,GDP!Z1:Z9)</f>
        <v>1.0062467725375674</v>
      </c>
      <c r="AA11" cm="1">
        <f t="array" ref="AA11">[4]!TheilT2(Population!AA1:AA9,GDP!AA1:AA9)</f>
        <v>0.99460938917531261</v>
      </c>
      <c r="AB11" cm="1">
        <f t="array" ref="AB11">[4]!TheilT2(Population!AB1:AB9,GDP!AB1:AB9)</f>
        <v>0.98647955475939453</v>
      </c>
      <c r="AC11" cm="1">
        <f t="array" ref="AC11">[4]!TheilT2(Population!AC1:AC9,GDP!AC1:AC9)</f>
        <v>0.96893656836644104</v>
      </c>
      <c r="AD11" cm="1">
        <f t="array" ref="AD11">[4]!TheilT2(Population!AD1:AD9,GDP!AD1:AD9)</f>
        <v>0.95197239968497571</v>
      </c>
      <c r="AE11" cm="1">
        <f t="array" ref="AE11">[4]!TheilT2(Population!AE1:AE9,GDP!AE1:AE9)</f>
        <v>0.96241331216379544</v>
      </c>
      <c r="AF11" cm="1">
        <f t="array" ref="AF11">[4]!TheilT2(Population!AF1:AF9,GDP!AF1:AF9)</f>
        <v>0.9778392004250791</v>
      </c>
      <c r="AG11" cm="1">
        <f t="array" ref="AG11">[4]!TheilT2(Population!AG1:AG9,GDP!AG1:AG9)</f>
        <v>0.96167265817761316</v>
      </c>
      <c r="AH11" cm="1">
        <f t="array" ref="AH11">[4]!TheilT2(Population!AH1:AH9,GDP!AH1:AH9)</f>
        <v>0.96956410777481106</v>
      </c>
      <c r="AI11" cm="1">
        <f t="array" ref="AI11">[4]!TheilT2(Population!AI1:AI9,GDP!AI1:AI9)</f>
        <v>0.98096707516346893</v>
      </c>
      <c r="AJ11" cm="1">
        <f t="array" ref="AJ11">[4]!TheilT2(Population!AJ1:AJ9,GDP!AJ1:AJ9)</f>
        <v>0.9783582254261427</v>
      </c>
      <c r="AK11" cm="1">
        <f t="array" ref="AK11">[4]!TheilT2(Population!AK1:AK9,GDP!AK1:AK9)</f>
        <v>0.95957702397866451</v>
      </c>
      <c r="AL11" cm="1">
        <f t="array" ref="AL11">[4]!TheilT2(Population!AL1:AL9,GDP!AL1:AL9)</f>
        <v>0.92596442162334314</v>
      </c>
      <c r="AM11" cm="1">
        <f t="array" ref="AM11">[4]!TheilT2(Population!AM1:AM9,GDP!AM1:AM9)</f>
        <v>0.89515090147565257</v>
      </c>
      <c r="AN11" cm="1">
        <f t="array" ref="AN11">[4]!TheilT2(Population!AN1:AN9,GDP!AN1:AN9)</f>
        <v>0.85444932468561285</v>
      </c>
      <c r="AO11" cm="1">
        <f t="array" ref="AO11">[4]!TheilT2(Population!AO1:AO9,GDP!AO1:AO9)</f>
        <v>0.81279035278556322</v>
      </c>
      <c r="AP11" cm="1">
        <f t="array" ref="AP11">[4]!TheilT2(Population!AP1:AP9,GDP!AP1:AP9)</f>
        <v>0.7743882865670858</v>
      </c>
      <c r="AQ11" cm="1">
        <f t="array" ref="AQ11">[4]!TheilT2(Population!AQ1:AQ9,GDP!AQ1:AQ9)</f>
        <v>0.71056403102490806</v>
      </c>
      <c r="AR11" cm="1">
        <f t="array" ref="AR11">[4]!TheilT2(Population!AR1:AR9,GDP!AR1:AR9)</f>
        <v>0.67679360460139648</v>
      </c>
      <c r="AS11" cm="1">
        <f t="array" ref="AS11">[4]!TheilT2(Population!AS1:AS9,GDP!AS1:AS9)</f>
        <v>0.6573715209386688</v>
      </c>
      <c r="AT11" cm="1">
        <f t="array" ref="AT11">[4]!TheilT2(Population!AT1:AT9,GDP!AT1:AT9)</f>
        <v>0.64795153941162853</v>
      </c>
      <c r="AU11" cm="1">
        <f t="array" ref="AU11">[4]!TheilT2(Population!AU1:AU9,GDP!AU1:AU9)</f>
        <v>0.63794057433854101</v>
      </c>
      <c r="AV11" cm="1">
        <f t="array" ref="AV11">[4]!TheilT2(Population!AV1:AV9,GDP!AV1:AV9)</f>
        <v>0.63169054425433857</v>
      </c>
      <c r="AW11" cm="1">
        <f t="array" ref="AW11">[4]!TheilT2(Population!AW1:AW9,GDP!AW1:AW9)</f>
        <v>0.63449402232536944</v>
      </c>
      <c r="AX11" cm="1">
        <f t="array" ref="AX11">[4]!TheilT2(Population!AX1:AX9,GDP!AX1:AX9)</f>
        <v>0.61671029060071236</v>
      </c>
      <c r="AY11" cm="1">
        <f t="array" ref="AY11">[4]!TheilT2(Population!AY1:AY9,GDP!AY1:AY9)</f>
        <v>0.62096028207367782</v>
      </c>
      <c r="AZ11" cm="1">
        <f t="array" ref="AZ11">[4]!TheilT2(Population!AZ1:AZ9,GDP!AZ1:AZ9)</f>
        <v>0.62212731088921414</v>
      </c>
    </row>
    <row r="12" spans="1:70" x14ac:dyDescent="0.45">
      <c r="A12" s="12" t="s">
        <v>180</v>
      </c>
    </row>
    <row r="13" spans="1:70" x14ac:dyDescent="0.45">
      <c r="C13" t="str">
        <f>Population!C18</f>
        <v>1970</v>
      </c>
      <c r="D13" t="str">
        <f>Population!D18</f>
        <v>1971</v>
      </c>
      <c r="E13" t="str">
        <f>Population!E18</f>
        <v>1972</v>
      </c>
      <c r="F13" t="str">
        <f>Population!F18</f>
        <v>1973</v>
      </c>
      <c r="G13" t="str">
        <f>Population!G18</f>
        <v>1974</v>
      </c>
      <c r="H13" t="str">
        <f>Population!H18</f>
        <v>1975</v>
      </c>
      <c r="I13" t="str">
        <f>Population!I18</f>
        <v>1976</v>
      </c>
      <c r="J13" t="str">
        <f>Population!J18</f>
        <v>1977</v>
      </c>
      <c r="K13" t="str">
        <f>Population!K18</f>
        <v>1978</v>
      </c>
      <c r="L13" t="str">
        <f>Population!L18</f>
        <v>1979</v>
      </c>
      <c r="M13" t="str">
        <f>Population!M18</f>
        <v>1980</v>
      </c>
      <c r="N13" t="str">
        <f>Population!N18</f>
        <v>1981</v>
      </c>
      <c r="O13" t="str">
        <f>Population!O18</f>
        <v>1982</v>
      </c>
      <c r="P13" t="str">
        <f>Population!P18</f>
        <v>1983</v>
      </c>
      <c r="Q13" t="str">
        <f>Population!Q18</f>
        <v>1984</v>
      </c>
      <c r="R13" t="str">
        <f>Population!R18</f>
        <v>1985</v>
      </c>
      <c r="S13" t="str">
        <f>Population!S18</f>
        <v>1986</v>
      </c>
      <c r="T13" t="str">
        <f>Population!T18</f>
        <v>1987</v>
      </c>
      <c r="U13" t="str">
        <f>Population!U18</f>
        <v>1988</v>
      </c>
      <c r="V13" t="str">
        <f>Population!V18</f>
        <v>1989</v>
      </c>
      <c r="W13" t="str">
        <f>Population!W18</f>
        <v>1990</v>
      </c>
      <c r="X13" t="str">
        <f>Population!X18</f>
        <v>1991</v>
      </c>
      <c r="Y13" t="str">
        <f>Population!Y18</f>
        <v>1992</v>
      </c>
      <c r="Z13" t="str">
        <f>Population!Z18</f>
        <v>1993</v>
      </c>
      <c r="AA13" t="str">
        <f>Population!AA18</f>
        <v>1994</v>
      </c>
      <c r="AB13" t="str">
        <f>Population!AB18</f>
        <v>1995</v>
      </c>
      <c r="AC13" t="str">
        <f>Population!AC18</f>
        <v>1996</v>
      </c>
      <c r="AD13" t="str">
        <f>Population!AD18</f>
        <v>1997</v>
      </c>
      <c r="AE13" t="str">
        <f>Population!AE18</f>
        <v>1998</v>
      </c>
      <c r="AF13" t="str">
        <f>Population!AF18</f>
        <v>1999</v>
      </c>
      <c r="AG13" t="str">
        <f>Population!AG18</f>
        <v>2000</v>
      </c>
      <c r="AH13" t="str">
        <f>Population!AH18</f>
        <v>2001</v>
      </c>
      <c r="AI13" t="str">
        <f>Population!AI18</f>
        <v>2002</v>
      </c>
      <c r="AJ13" t="str">
        <f>Population!AJ18</f>
        <v>2003</v>
      </c>
      <c r="AK13" t="str">
        <f>Population!AK18</f>
        <v>2004</v>
      </c>
      <c r="AL13" t="str">
        <f>Population!AL18</f>
        <v>2005</v>
      </c>
      <c r="AM13" t="str">
        <f>Population!AM18</f>
        <v>2006</v>
      </c>
      <c r="AN13" t="str">
        <f>Population!AN18</f>
        <v>2007</v>
      </c>
      <c r="AO13" t="str">
        <f>Population!AO18</f>
        <v>2008</v>
      </c>
      <c r="AP13" t="str">
        <f>Population!AP18</f>
        <v>2009</v>
      </c>
      <c r="AQ13" t="str">
        <f>Population!AQ18</f>
        <v>2010</v>
      </c>
      <c r="AR13" t="str">
        <f>Population!AR18</f>
        <v>2011</v>
      </c>
      <c r="AS13" t="str">
        <f>Population!AS18</f>
        <v>2012</v>
      </c>
      <c r="AT13" t="str">
        <f>Population!AT18</f>
        <v>2013</v>
      </c>
      <c r="AU13" t="str">
        <f>Population!AU18</f>
        <v>2014</v>
      </c>
      <c r="AV13" t="str">
        <f>Population!AV18</f>
        <v>2015</v>
      </c>
      <c r="AW13" t="str">
        <f>Population!AW18</f>
        <v>2016</v>
      </c>
      <c r="AX13" t="str">
        <f>Population!AX18</f>
        <v>2017</v>
      </c>
      <c r="AY13" t="str">
        <f>Population!AY18</f>
        <v>2018</v>
      </c>
      <c r="AZ13" t="str">
        <f>Population!AZ18</f>
        <v>2019</v>
      </c>
    </row>
    <row r="14" spans="1:70" x14ac:dyDescent="0.45">
      <c r="A14" t="s">
        <v>176</v>
      </c>
      <c r="B14" t="str">
        <f>GDP!B1</f>
        <v>China</v>
      </c>
      <c r="C14" s="11">
        <f>GDP!C1</f>
        <v>92602974208</v>
      </c>
      <c r="D14" s="11">
        <f>GDP!D1</f>
        <v>99800956928</v>
      </c>
      <c r="E14" s="11">
        <f>GDP!E1</f>
        <v>113687584768</v>
      </c>
      <c r="F14" s="11">
        <f>GDP!F1</f>
        <v>138544283648</v>
      </c>
      <c r="G14" s="11">
        <f>GDP!G1</f>
        <v>144182132736</v>
      </c>
      <c r="H14" s="11">
        <f>GDP!H1</f>
        <v>163431546880</v>
      </c>
      <c r="I14" s="11">
        <f>GDP!I1</f>
        <v>153940459520</v>
      </c>
      <c r="J14" s="11">
        <f>GDP!J1</f>
        <v>174938095616</v>
      </c>
      <c r="K14" s="11">
        <f>GDP!K1</f>
        <v>149540749312</v>
      </c>
      <c r="L14" s="11">
        <f>GDP!L1</f>
        <v>178280595456</v>
      </c>
      <c r="M14" s="11">
        <f>GDP!M1</f>
        <v>191149211648</v>
      </c>
      <c r="N14" s="11">
        <f>GDP!N1</f>
        <v>195866378240</v>
      </c>
      <c r="O14" s="11">
        <f>GDP!O1</f>
        <v>205089701888</v>
      </c>
      <c r="P14" s="11">
        <f>GDP!P1</f>
        <v>230686752768</v>
      </c>
      <c r="Q14" s="11">
        <f>GDP!Q1</f>
        <v>259946512384</v>
      </c>
      <c r="R14" s="11">
        <f>GDP!R1</f>
        <v>309488025600</v>
      </c>
      <c r="S14" s="11">
        <f>GDP!S1</f>
        <v>300758106112</v>
      </c>
      <c r="T14" s="11">
        <f>GDP!T1</f>
        <v>272972972032</v>
      </c>
      <c r="U14" s="11">
        <f>GDP!U1</f>
        <v>312353619968</v>
      </c>
      <c r="V14" s="11">
        <f>GDP!V1</f>
        <v>347768061952</v>
      </c>
      <c r="W14" s="11">
        <f>GDP!W1</f>
        <v>360857927680</v>
      </c>
      <c r="X14" s="11">
        <f>GDP!X1</f>
        <v>383373312000</v>
      </c>
      <c r="Y14" s="11">
        <f>GDP!Y1</f>
        <v>426915725312</v>
      </c>
      <c r="Z14" s="11">
        <f>GDP!Z1</f>
        <v>444731293696</v>
      </c>
      <c r="AA14" s="11">
        <f>GDP!AA1</f>
        <v>564324663296</v>
      </c>
      <c r="AB14" s="11">
        <f>GDP!AB1</f>
        <v>734547869696</v>
      </c>
      <c r="AC14" s="11">
        <f>GDP!AC1</f>
        <v>863746719744</v>
      </c>
      <c r="AD14" s="11">
        <f>GDP!AD1</f>
        <v>961603960832</v>
      </c>
      <c r="AE14" s="11">
        <f>GDP!AE1</f>
        <v>1029043126272</v>
      </c>
      <c r="AF14" s="11">
        <f>GDP!AF1</f>
        <v>1093997297664</v>
      </c>
      <c r="AG14" s="11">
        <f>GDP!AG1</f>
        <v>1211346845696</v>
      </c>
      <c r="AH14" s="11">
        <f>GDP!AH1</f>
        <v>1339395670016</v>
      </c>
      <c r="AI14" s="11">
        <f>GDP!AI1</f>
        <v>1470549983232</v>
      </c>
      <c r="AJ14" s="11">
        <f>GDP!AJ1</f>
        <v>1660287975424</v>
      </c>
      <c r="AK14" s="11">
        <f>GDP!AK1</f>
        <v>1955347038208</v>
      </c>
      <c r="AL14" s="11">
        <f>GDP!AL1</f>
        <v>2285965934592</v>
      </c>
      <c r="AM14" s="11">
        <f>GDP!AM1</f>
        <v>2752131891200</v>
      </c>
      <c r="AN14" s="11">
        <f>GDP!AN1</f>
        <v>3550342545408</v>
      </c>
      <c r="AO14" s="11">
        <f>GDP!AO1</f>
        <v>4594306908160</v>
      </c>
      <c r="AP14" s="11">
        <f>GDP!AP1</f>
        <v>5101702348800</v>
      </c>
      <c r="AQ14" s="11">
        <f>GDP!AQ1</f>
        <v>6087164559360</v>
      </c>
      <c r="AR14" s="11">
        <f>GDP!AR1</f>
        <v>7551500419072</v>
      </c>
      <c r="AS14" s="11">
        <f>GDP!AS1</f>
        <v>8532230930432</v>
      </c>
      <c r="AT14" s="11">
        <f>GDP!AT1</f>
        <v>9570405580800</v>
      </c>
      <c r="AU14" s="11">
        <f>GDP!AU1</f>
        <v>10475683184640</v>
      </c>
      <c r="AV14" s="11">
        <f>GDP!AV1</f>
        <v>11061553004544</v>
      </c>
      <c r="AW14" s="11">
        <f>GDP!AW1</f>
        <v>11233277247488</v>
      </c>
      <c r="AX14" s="11">
        <f>GDP!AX1</f>
        <v>12310409117696</v>
      </c>
      <c r="AY14" s="11">
        <f>GDP!AY1</f>
        <v>13894816890880</v>
      </c>
      <c r="AZ14" s="11">
        <f>GDP!AZ1</f>
        <v>14342902775808</v>
      </c>
      <c r="BA14" s="11"/>
      <c r="BB14" s="11"/>
      <c r="BC14" s="11"/>
      <c r="BD14" s="11"/>
      <c r="BE14" s="11"/>
      <c r="BF14" s="11"/>
      <c r="BG14" s="11"/>
      <c r="BH14" s="11"/>
      <c r="BI14" s="11"/>
      <c r="BJ14" s="11"/>
      <c r="BK14" s="11"/>
      <c r="BL14" s="11"/>
      <c r="BM14" s="11"/>
      <c r="BN14" s="11"/>
      <c r="BO14" s="11"/>
      <c r="BP14" s="11"/>
      <c r="BQ14" s="11"/>
      <c r="BR14" s="11"/>
    </row>
    <row r="15" spans="1:70" x14ac:dyDescent="0.45">
      <c r="B15" t="str">
        <f>GDP!B2</f>
        <v>East Asia</v>
      </c>
      <c r="C15" s="11">
        <f>GDP!C2</f>
        <v>244973478400</v>
      </c>
      <c r="D15" s="11">
        <f>GDP!D2</f>
        <v>275822739456</v>
      </c>
      <c r="E15" s="11">
        <f>GDP!E2</f>
        <v>358563797248</v>
      </c>
      <c r="F15" s="11">
        <f>GDP!F2</f>
        <v>486270013696</v>
      </c>
      <c r="G15" s="11">
        <f>GDP!G2</f>
        <v>550760510464</v>
      </c>
      <c r="H15" s="11">
        <f>GDP!H2</f>
        <v>598083422720</v>
      </c>
      <c r="I15" s="11">
        <f>GDP!I2</f>
        <v>680400671744</v>
      </c>
      <c r="J15" s="11">
        <f>GDP!J2</f>
        <v>834763096064</v>
      </c>
      <c r="K15" s="11">
        <f>GDP!K2</f>
        <v>1154487545344</v>
      </c>
      <c r="L15" s="11">
        <f>GDP!L2</f>
        <v>1229869489152</v>
      </c>
      <c r="M15" s="11">
        <f>GDP!M2</f>
        <v>1300834689024</v>
      </c>
      <c r="N15" s="11">
        <f>GDP!N2</f>
        <v>1432650073088</v>
      </c>
      <c r="O15" s="11">
        <f>GDP!O2</f>
        <v>1361786730496</v>
      </c>
      <c r="P15" s="11">
        <f>GDP!P2</f>
        <v>1482376929280</v>
      </c>
      <c r="Q15" s="11">
        <f>GDP!Q2</f>
        <v>1576302252032</v>
      </c>
      <c r="R15" s="11">
        <f>GDP!R2</f>
        <v>1655880232960</v>
      </c>
      <c r="S15" s="11">
        <f>GDP!S2</f>
        <v>2356152076288</v>
      </c>
      <c r="T15" s="11">
        <f>GDP!T2</f>
        <v>2868211703808</v>
      </c>
      <c r="U15" s="11">
        <f>GDP!U2</f>
        <v>3491177277440</v>
      </c>
      <c r="V15" s="11">
        <f>GDP!V2</f>
        <v>3554771898368</v>
      </c>
      <c r="W15" s="11">
        <f>GDP!W2</f>
        <v>3702936670208</v>
      </c>
      <c r="X15" s="11">
        <f>GDP!X2</f>
        <v>4242289668096</v>
      </c>
      <c r="Y15" s="11">
        <f>GDP!Y2</f>
        <v>4644334100480</v>
      </c>
      <c r="Z15" s="11">
        <f>GDP!Z2</f>
        <v>5277919502336</v>
      </c>
      <c r="AA15" s="11">
        <f>GDP!AA2</f>
        <v>5865406078976</v>
      </c>
      <c r="AB15" s="11">
        <f>GDP!AB2</f>
        <v>6580267958272</v>
      </c>
      <c r="AC15" s="11">
        <f>GDP!AC2</f>
        <v>6066633883648</v>
      </c>
      <c r="AD15" s="11">
        <f>GDP!AD2</f>
        <v>5594494730240</v>
      </c>
      <c r="AE15" s="11">
        <f>GDP!AE2</f>
        <v>4928505274368</v>
      </c>
      <c r="AF15" s="11">
        <f>GDP!AF2</f>
        <v>5600456957952</v>
      </c>
      <c r="AG15" s="11">
        <f>GDP!AG2</f>
        <v>6035292651520</v>
      </c>
      <c r="AH15" s="11">
        <f>GDP!AH2</f>
        <v>5402402291712</v>
      </c>
      <c r="AI15" s="11">
        <f>GDP!AI2</f>
        <v>5320703156224</v>
      </c>
      <c r="AJ15" s="11">
        <f>GDP!AJ2</f>
        <v>5756927688704</v>
      </c>
      <c r="AK15" s="11">
        <f>GDP!AK2</f>
        <v>6285106552832</v>
      </c>
      <c r="AL15" s="11">
        <f>GDP!AL2</f>
        <v>6439962025984</v>
      </c>
      <c r="AM15" s="11">
        <f>GDP!AM2</f>
        <v>6437863227392</v>
      </c>
      <c r="AN15" s="11">
        <f>GDP!AN2</f>
        <v>6692888821760</v>
      </c>
      <c r="AO15" s="11">
        <f>GDP!AO2</f>
        <v>7201342963712</v>
      </c>
      <c r="AP15" s="11">
        <f>GDP!AP2</f>
        <v>7243623170048</v>
      </c>
      <c r="AQ15" s="11">
        <f>GDP!AQ2</f>
        <v>8117102280704</v>
      </c>
      <c r="AR15" s="11">
        <f>GDP!AR2</f>
        <v>8841535160320</v>
      </c>
      <c r="AS15" s="11">
        <f>GDP!AS2</f>
        <v>9013279293440</v>
      </c>
      <c r="AT15" s="11">
        <f>GDP!AT2</f>
        <v>8137298706432</v>
      </c>
      <c r="AU15" s="11">
        <f>GDP!AU2</f>
        <v>7983927328768</v>
      </c>
      <c r="AV15" s="11">
        <f>GDP!AV2</f>
        <v>7481733251072</v>
      </c>
      <c r="AW15" s="11">
        <f>GDP!AW2</f>
        <v>8095452069888</v>
      </c>
      <c r="AX15" s="11">
        <f>GDP!AX2</f>
        <v>8277606957056</v>
      </c>
      <c r="AY15" s="11">
        <f>GDP!AY2</f>
        <v>8622233747456</v>
      </c>
      <c r="AZ15" s="11">
        <f>GDP!AZ2</f>
        <v>8747391811584</v>
      </c>
      <c r="BA15" s="11"/>
      <c r="BB15" s="11"/>
      <c r="BC15" s="11"/>
      <c r="BD15" s="11"/>
      <c r="BE15" s="11"/>
      <c r="BF15" s="11"/>
      <c r="BG15" s="11"/>
      <c r="BH15" s="11"/>
      <c r="BI15" s="11"/>
      <c r="BJ15" s="11"/>
      <c r="BK15" s="11"/>
      <c r="BL15" s="11"/>
      <c r="BM15" s="11"/>
      <c r="BN15" s="11"/>
      <c r="BO15" s="11"/>
      <c r="BP15" s="11"/>
      <c r="BQ15" s="11"/>
      <c r="BR15" s="11"/>
    </row>
    <row r="16" spans="1:70" x14ac:dyDescent="0.45">
      <c r="B16" t="str">
        <f>GDP!B3</f>
        <v>Europe</v>
      </c>
      <c r="C16" s="11">
        <f>GDP!C3</f>
        <v>861227953896</v>
      </c>
      <c r="D16" s="11">
        <f>GDP!D3</f>
        <v>976044716992</v>
      </c>
      <c r="E16" s="11">
        <f>GDP!E3</f>
        <v>1169362742792</v>
      </c>
      <c r="F16" s="11">
        <f>GDP!F3</f>
        <v>1488113794912</v>
      </c>
      <c r="G16" s="11">
        <f>GDP!G3</f>
        <v>1676055014416</v>
      </c>
      <c r="H16" s="11">
        <f>GDP!H3</f>
        <v>1953671248048</v>
      </c>
      <c r="I16" s="11">
        <f>GDP!I3</f>
        <v>2026300372192</v>
      </c>
      <c r="J16" s="11">
        <f>GDP!J3</f>
        <v>2291462834496</v>
      </c>
      <c r="K16" s="11">
        <f>GDP!K3</f>
        <v>2815705614976</v>
      </c>
      <c r="L16" s="11">
        <f>GDP!L3</f>
        <v>3424912159328</v>
      </c>
      <c r="M16" s="11">
        <f>GDP!M3</f>
        <v>3903718691296</v>
      </c>
      <c r="N16" s="11">
        <f>GDP!N3</f>
        <v>3462184045824</v>
      </c>
      <c r="O16" s="11">
        <f>GDP!O3</f>
        <v>3339805551392</v>
      </c>
      <c r="P16" s="11">
        <f>GDP!P3</f>
        <v>3242896946368</v>
      </c>
      <c r="Q16" s="11">
        <f>GDP!Q3</f>
        <v>3114323082144</v>
      </c>
      <c r="R16" s="11">
        <f>GDP!R3</f>
        <v>3218735002400</v>
      </c>
      <c r="S16" s="11">
        <f>GDP!S3</f>
        <v>4412799659488</v>
      </c>
      <c r="T16" s="11">
        <f>GDP!T3</f>
        <v>5456599470656</v>
      </c>
      <c r="U16" s="11">
        <f>GDP!U3</f>
        <v>6087351854976</v>
      </c>
      <c r="V16" s="11">
        <f>GDP!V3</f>
        <v>6202263324800</v>
      </c>
      <c r="W16" s="11">
        <f>GDP!W3</f>
        <v>7710570793664</v>
      </c>
      <c r="X16" s="11">
        <f>GDP!X3</f>
        <v>8009747858176</v>
      </c>
      <c r="Y16" s="11">
        <f>GDP!Y3</f>
        <v>8716210587392</v>
      </c>
      <c r="Z16" s="11">
        <f>GDP!Z3</f>
        <v>7927238745664</v>
      </c>
      <c r="AA16" s="11">
        <f>GDP!AA3</f>
        <v>8407346927680</v>
      </c>
      <c r="AB16" s="11">
        <f>GDP!AB3</f>
        <v>9737821385472</v>
      </c>
      <c r="AC16" s="11">
        <f>GDP!AC3</f>
        <v>9923735170432</v>
      </c>
      <c r="AD16" s="11">
        <f>GDP!AD3</f>
        <v>9329891608576</v>
      </c>
      <c r="AE16" s="11">
        <f>GDP!AE3</f>
        <v>9619679234048</v>
      </c>
      <c r="AF16" s="11">
        <f>GDP!AF3</f>
        <v>9622898355968</v>
      </c>
      <c r="AG16" s="11">
        <f>GDP!AG3</f>
        <v>8933416148096</v>
      </c>
      <c r="AH16" s="11">
        <f>GDP!AH3</f>
        <v>9011339511424</v>
      </c>
      <c r="AI16" s="11">
        <f>GDP!AI3</f>
        <v>9802875381632</v>
      </c>
      <c r="AJ16" s="11">
        <f>GDP!AJ3</f>
        <v>11912436869120</v>
      </c>
      <c r="AK16" s="11">
        <f>GDP!AK3</f>
        <v>13711964347392</v>
      </c>
      <c r="AL16" s="11">
        <f>GDP!AL3</f>
        <v>14277461034752</v>
      </c>
      <c r="AM16" s="11">
        <f>GDP!AM3</f>
        <v>15192277044480</v>
      </c>
      <c r="AN16" s="11">
        <f>GDP!AN3</f>
        <v>17428666991616</v>
      </c>
      <c r="AO16" s="11">
        <f>GDP!AO3</f>
        <v>18639571877376</v>
      </c>
      <c r="AP16" s="11">
        <f>GDP!AP3</f>
        <v>16750071925760</v>
      </c>
      <c r="AQ16" s="11">
        <f>GDP!AQ3</f>
        <v>16706362723584</v>
      </c>
      <c r="AR16" s="11">
        <f>GDP!AR3</f>
        <v>18143321605376</v>
      </c>
      <c r="AS16" s="11">
        <f>GDP!AS3</f>
        <v>17158723463424</v>
      </c>
      <c r="AT16" s="11">
        <f>GDP!AT3</f>
        <v>17863424574464</v>
      </c>
      <c r="AU16" s="11">
        <f>GDP!AU3</f>
        <v>18436658823424</v>
      </c>
      <c r="AV16" s="11">
        <f>GDP!AV3</f>
        <v>16251461243392</v>
      </c>
      <c r="AW16" s="11">
        <f>GDP!AW3</f>
        <v>16302079530240</v>
      </c>
      <c r="AX16" s="11">
        <f>GDP!AX3</f>
        <v>17026437244928</v>
      </c>
      <c r="AY16" s="11">
        <f>GDP!AY3</f>
        <v>18298777385728</v>
      </c>
      <c r="AZ16" s="11">
        <f>GDP!AZ3</f>
        <v>17872175518464</v>
      </c>
      <c r="BA16" s="11"/>
      <c r="BB16" s="11"/>
      <c r="BC16" s="11"/>
      <c r="BD16" s="11"/>
      <c r="BE16" s="11"/>
      <c r="BF16" s="11"/>
      <c r="BG16" s="11"/>
      <c r="BH16" s="11"/>
      <c r="BI16" s="11"/>
      <c r="BJ16" s="11"/>
      <c r="BK16" s="11"/>
      <c r="BL16" s="11"/>
      <c r="BM16" s="11"/>
      <c r="BN16" s="11"/>
      <c r="BO16" s="11"/>
      <c r="BP16" s="11"/>
      <c r="BQ16" s="11"/>
      <c r="BR16" s="11"/>
    </row>
    <row r="17" spans="1:70" x14ac:dyDescent="0.45">
      <c r="B17" t="str">
        <f>GDP!B4</f>
        <v>Latin America and Caribbean</v>
      </c>
      <c r="C17" s="11">
        <f>GDP!C4</f>
        <v>156884646236</v>
      </c>
      <c r="D17" s="11">
        <f>GDP!D4</f>
        <v>174671344596</v>
      </c>
      <c r="E17" s="11">
        <f>GDP!E4</f>
        <v>196450205316</v>
      </c>
      <c r="F17" s="11">
        <f>GDP!F4</f>
        <v>259248768840</v>
      </c>
      <c r="G17" s="11">
        <f>GDP!G4</f>
        <v>334544929592</v>
      </c>
      <c r="H17" s="11">
        <f>GDP!H4</f>
        <v>349029272408</v>
      </c>
      <c r="I17" s="11">
        <f>GDP!I4</f>
        <v>387549141960</v>
      </c>
      <c r="J17" s="11">
        <f>GDP!J4</f>
        <v>425178876304</v>
      </c>
      <c r="K17" s="11">
        <f>GDP!K4</f>
        <v>482781188960</v>
      </c>
      <c r="L17" s="11">
        <f>GDP!L4</f>
        <v>575824098816</v>
      </c>
      <c r="M17" s="11">
        <f>GDP!M4</f>
        <v>696200197232</v>
      </c>
      <c r="N17" s="11">
        <f>GDP!N4</f>
        <v>807533624896</v>
      </c>
      <c r="O17" s="11">
        <f>GDP!O4</f>
        <v>745123452208</v>
      </c>
      <c r="P17" s="11">
        <f>GDP!P4</f>
        <v>644873174512</v>
      </c>
      <c r="Q17" s="11">
        <f>GDP!Q4</f>
        <v>657544369920</v>
      </c>
      <c r="R17" s="11">
        <f>GDP!R4</f>
        <v>678890046560</v>
      </c>
      <c r="S17" s="11">
        <f>GDP!S4</f>
        <v>684458397296</v>
      </c>
      <c r="T17" s="11">
        <f>GDP!T4</f>
        <v>738428874016</v>
      </c>
      <c r="U17" s="11">
        <f>GDP!U4</f>
        <v>827521151744</v>
      </c>
      <c r="V17" s="11">
        <f>GDP!V4</f>
        <v>928425225920</v>
      </c>
      <c r="W17" s="11">
        <f>GDP!W4</f>
        <v>1092486890784</v>
      </c>
      <c r="X17" s="11">
        <f>GDP!X4</f>
        <v>1361862877792</v>
      </c>
      <c r="Y17" s="11">
        <f>GDP!Y4</f>
        <v>1277850186848</v>
      </c>
      <c r="Z17" s="11">
        <f>GDP!Z4</f>
        <v>1482352375648</v>
      </c>
      <c r="AA17" s="11">
        <f>GDP!AA4</f>
        <v>1701835788992</v>
      </c>
      <c r="AB17" s="11">
        <f>GDP!AB4</f>
        <v>1799628407744</v>
      </c>
      <c r="AC17" s="11">
        <f>GDP!AC4</f>
        <v>1968639318336</v>
      </c>
      <c r="AD17" s="11">
        <f>GDP!AD4</f>
        <v>2151941396416</v>
      </c>
      <c r="AE17" s="11">
        <f>GDP!AE4</f>
        <v>2165989278976</v>
      </c>
      <c r="AF17" s="11">
        <f>GDP!AF4</f>
        <v>1932432376960</v>
      </c>
      <c r="AG17" s="11">
        <f>GDP!AG4</f>
        <v>2123635562496</v>
      </c>
      <c r="AH17" s="11">
        <f>GDP!AH4</f>
        <v>2067431050624</v>
      </c>
      <c r="AI17" s="11">
        <f>GDP!AI4</f>
        <v>1866253315840</v>
      </c>
      <c r="AJ17" s="11">
        <f>GDP!AJ4</f>
        <v>1916031689984</v>
      </c>
      <c r="AK17" s="11">
        <f>GDP!AK4</f>
        <v>2196114252416</v>
      </c>
      <c r="AL17" s="11">
        <f>GDP!AL4</f>
        <v>2650957221696</v>
      </c>
      <c r="AM17" s="11">
        <f>GDP!AM4</f>
        <v>3092360184448</v>
      </c>
      <c r="AN17" s="11">
        <f>GDP!AN4</f>
        <v>3633939524736</v>
      </c>
      <c r="AO17" s="11">
        <f>GDP!AO4</f>
        <v>4185497508992</v>
      </c>
      <c r="AP17" s="11">
        <f>GDP!AP4</f>
        <v>3895121646976</v>
      </c>
      <c r="AQ17" s="11">
        <f>GDP!AQ4</f>
        <v>4863085537408</v>
      </c>
      <c r="AR17" s="11">
        <f>GDP!AR4</f>
        <v>5667406964736</v>
      </c>
      <c r="AS17" s="11">
        <f>GDP!AS4</f>
        <v>5661040272896</v>
      </c>
      <c r="AT17" s="11">
        <f>GDP!AT4</f>
        <v>5818095812608</v>
      </c>
      <c r="AU17" s="11">
        <f>GDP!AU4</f>
        <v>5824946660992</v>
      </c>
      <c r="AV17" s="11">
        <f>GDP!AV4</f>
        <v>4988668102656</v>
      </c>
      <c r="AW17" s="11">
        <f>GDP!AW4</f>
        <v>4863950744192</v>
      </c>
      <c r="AX17" s="11">
        <f>GDP!AX4</f>
        <v>5407643493376</v>
      </c>
      <c r="AY17" s="11">
        <f>GDP!AY4</f>
        <v>5247110892288</v>
      </c>
      <c r="AZ17" s="11">
        <f>GDP!AZ4</f>
        <v>5159082938752</v>
      </c>
      <c r="BA17" s="11"/>
      <c r="BB17" s="11"/>
      <c r="BC17" s="11"/>
      <c r="BD17" s="11"/>
      <c r="BE17" s="11"/>
      <c r="BF17" s="11"/>
      <c r="BG17" s="11"/>
      <c r="BH17" s="11"/>
      <c r="BI17" s="11"/>
      <c r="BJ17" s="11"/>
      <c r="BK17" s="11"/>
      <c r="BL17" s="11"/>
      <c r="BM17" s="11"/>
      <c r="BN17" s="11"/>
      <c r="BO17" s="11"/>
      <c r="BP17" s="11"/>
      <c r="BQ17" s="11"/>
      <c r="BR17" s="11"/>
    </row>
    <row r="18" spans="1:70" x14ac:dyDescent="0.45">
      <c r="B18" t="str">
        <f>GDP!B5</f>
        <v>Middle East and North Africa</v>
      </c>
      <c r="C18" s="11">
        <f>GDP!C5</f>
        <v>40028309984</v>
      </c>
      <c r="D18" s="11">
        <f>GDP!D5</f>
        <v>41573306784</v>
      </c>
      <c r="E18" s="11">
        <f>GDP!E5</f>
        <v>53310741504</v>
      </c>
      <c r="F18" s="11">
        <f>GDP!F5</f>
        <v>70169128512</v>
      </c>
      <c r="G18" s="11">
        <f>GDP!G5</f>
        <v>123430844800</v>
      </c>
      <c r="H18" s="11">
        <f>GDP!H5</f>
        <v>137735307520</v>
      </c>
      <c r="I18" s="11">
        <f>GDP!I5</f>
        <v>164849745408</v>
      </c>
      <c r="J18" s="11">
        <f>GDP!J5</f>
        <v>190110155520</v>
      </c>
      <c r="K18" s="11">
        <f>GDP!K5</f>
        <v>210565508608</v>
      </c>
      <c r="L18" s="11">
        <f>GDP!L5</f>
        <v>282844946176</v>
      </c>
      <c r="M18" s="11">
        <f>GDP!M5</f>
        <v>336295482368</v>
      </c>
      <c r="N18" s="11">
        <f>GDP!N5</f>
        <v>358735526912</v>
      </c>
      <c r="O18" s="11">
        <f>GDP!O5</f>
        <v>324210405376</v>
      </c>
      <c r="P18" s="11">
        <f>GDP!P5</f>
        <v>303277696000</v>
      </c>
      <c r="Q18" s="11">
        <f>GDP!Q5</f>
        <v>294374492160</v>
      </c>
      <c r="R18" s="11">
        <f>GDP!R5</f>
        <v>289982539776</v>
      </c>
      <c r="S18" s="11">
        <f>GDP!S5</f>
        <v>296287927296</v>
      </c>
      <c r="T18" s="11">
        <f>GDP!T5</f>
        <v>319846917632</v>
      </c>
      <c r="U18" s="11">
        <f>GDP!U5</f>
        <v>332485141504</v>
      </c>
      <c r="V18" s="11">
        <f>GDP!V5</f>
        <v>353809726464</v>
      </c>
      <c r="W18" s="11">
        <f>GDP!W5</f>
        <v>443518655488</v>
      </c>
      <c r="X18" s="11">
        <f>GDP!X5</f>
        <v>452226134016</v>
      </c>
      <c r="Y18" s="11">
        <f>GDP!Y5</f>
        <v>480817946624</v>
      </c>
      <c r="Z18" s="11">
        <f>GDP!Z5</f>
        <v>497827523584</v>
      </c>
      <c r="AA18" s="11">
        <f>GDP!AA5</f>
        <v>458905743360</v>
      </c>
      <c r="AB18" s="11">
        <f>GDP!AB5</f>
        <v>525841608704</v>
      </c>
      <c r="AC18" s="11">
        <f>GDP!AC5</f>
        <v>575101828096</v>
      </c>
      <c r="AD18" s="11">
        <f>GDP!AD5</f>
        <v>594400340992</v>
      </c>
      <c r="AE18" s="11">
        <f>GDP!AE5</f>
        <v>664359758848</v>
      </c>
      <c r="AF18" s="11">
        <f>GDP!AF5</f>
        <v>663639267328</v>
      </c>
      <c r="AG18" s="11">
        <f>GDP!AG5</f>
        <v>729463951360</v>
      </c>
      <c r="AH18" s="11">
        <f>GDP!AH5</f>
        <v>650869272576</v>
      </c>
      <c r="AI18" s="11">
        <f>GDP!AI5</f>
        <v>691440416768</v>
      </c>
      <c r="AJ18" s="11">
        <f>GDP!AJ5</f>
        <v>823612450816</v>
      </c>
      <c r="AK18" s="11">
        <f>GDP!AK5</f>
        <v>999903825920</v>
      </c>
      <c r="AL18" s="11">
        <f>GDP!AL5</f>
        <v>1201301215232</v>
      </c>
      <c r="AM18" s="11">
        <f>GDP!AM5</f>
        <v>1340681900032</v>
      </c>
      <c r="AN18" s="11">
        <f>GDP!AN5</f>
        <v>1565705777152</v>
      </c>
      <c r="AO18" s="11">
        <f>GDP!AO5</f>
        <v>1869507465216</v>
      </c>
      <c r="AP18" s="11">
        <f>GDP!AP5</f>
        <v>1603157172224</v>
      </c>
      <c r="AQ18" s="11">
        <f>GDP!AQ5</f>
        <v>1889628147712</v>
      </c>
      <c r="AR18" s="11">
        <f>GDP!AR5</f>
        <v>2180448628736</v>
      </c>
      <c r="AS18" s="11">
        <f>GDP!AS5</f>
        <v>2296123858944</v>
      </c>
      <c r="AT18" s="11">
        <f>GDP!AT5</f>
        <v>2431478591488</v>
      </c>
      <c r="AU18" s="11">
        <f>GDP!AU5</f>
        <v>2452693532672</v>
      </c>
      <c r="AV18" s="11">
        <f>GDP!AV5</f>
        <v>2192612823040</v>
      </c>
      <c r="AW18" s="11">
        <f>GDP!AW5</f>
        <v>2198235594752</v>
      </c>
      <c r="AX18" s="11">
        <f>GDP!AX5</f>
        <v>2282022420480</v>
      </c>
      <c r="AY18" s="11">
        <f>GDP!AY5</f>
        <v>2339185242112</v>
      </c>
      <c r="AZ18" s="11">
        <f>GDP!AZ5</f>
        <v>2346971533312</v>
      </c>
      <c r="BA18" s="11"/>
      <c r="BB18" s="11"/>
      <c r="BC18" s="11"/>
      <c r="BD18" s="11"/>
      <c r="BE18" s="11"/>
      <c r="BF18" s="11"/>
      <c r="BG18" s="11"/>
      <c r="BH18" s="11"/>
      <c r="BI18" s="11"/>
      <c r="BJ18" s="11"/>
      <c r="BK18" s="11"/>
      <c r="BL18" s="11"/>
      <c r="BM18" s="11"/>
      <c r="BN18" s="11"/>
      <c r="BO18" s="11"/>
      <c r="BP18" s="11"/>
      <c r="BQ18" s="11"/>
      <c r="BR18" s="11"/>
    </row>
    <row r="19" spans="1:70" x14ac:dyDescent="0.45">
      <c r="B19" t="str">
        <f>GDP!B6</f>
        <v>North America</v>
      </c>
      <c r="C19" s="11">
        <f>GDP!C6</f>
        <v>1161199091712</v>
      </c>
      <c r="D19" s="11">
        <f>GDP!D6</f>
        <v>1264121929728</v>
      </c>
      <c r="E19" s="11">
        <f>GDP!E6</f>
        <v>1392192839680</v>
      </c>
      <c r="F19" s="11">
        <f>GDP!F6</f>
        <v>1556697874432</v>
      </c>
      <c r="G19" s="11">
        <f>GDP!G6</f>
        <v>1705651634176</v>
      </c>
      <c r="H19" s="11">
        <f>GDP!H6</f>
        <v>1858737979392</v>
      </c>
      <c r="I19" s="11">
        <f>GDP!I6</f>
        <v>2079987531776</v>
      </c>
      <c r="J19" s="11">
        <f>GDP!J6</f>
        <v>2293438169088</v>
      </c>
      <c r="K19" s="11">
        <f>GDP!K6</f>
        <v>2570231791616</v>
      </c>
      <c r="L19" s="11">
        <f>GDP!L6</f>
        <v>2870406152192</v>
      </c>
      <c r="M19" s="11">
        <f>GDP!M6</f>
        <v>3131160772608</v>
      </c>
      <c r="N19" s="11">
        <f>GDP!N6</f>
        <v>3513256771584</v>
      </c>
      <c r="O19" s="11">
        <f>GDP!O6</f>
        <v>3657295593472</v>
      </c>
      <c r="P19" s="11">
        <f>GDP!P6</f>
        <v>3974585745408</v>
      </c>
      <c r="Q19" s="11">
        <f>GDP!Q6</f>
        <v>4392985493504</v>
      </c>
      <c r="R19" s="11">
        <f>GDP!R6</f>
        <v>4703735414784</v>
      </c>
      <c r="S19" s="11">
        <f>GDP!S6</f>
        <v>4957068951552</v>
      </c>
      <c r="T19" s="11">
        <f>GDP!T6</f>
        <v>5286531891200</v>
      </c>
      <c r="U19" s="11">
        <f>GDP!U6</f>
        <v>5743792422912</v>
      </c>
      <c r="V19" s="11">
        <f>GDP!V6</f>
        <v>6206635769856</v>
      </c>
      <c r="W19" s="11">
        <f>GDP!W6</f>
        <v>6557073801216</v>
      </c>
      <c r="X19" s="11">
        <f>GDP!X6</f>
        <v>6768457220096</v>
      </c>
      <c r="Y19" s="11">
        <f>GDP!Y6</f>
        <v>7112714813440</v>
      </c>
      <c r="Z19" s="11">
        <f>GDP!Z6</f>
        <v>7435729698816</v>
      </c>
      <c r="AA19" s="11">
        <f>GDP!AA6</f>
        <v>7865375457280</v>
      </c>
      <c r="AB19" s="11">
        <f>GDP!AB6</f>
        <v>8243780714496</v>
      </c>
      <c r="AC19" s="11">
        <f>GDP!AC6</f>
        <v>8701668294656</v>
      </c>
      <c r="AD19" s="11">
        <f>GDP!AD6</f>
        <v>9230378467328</v>
      </c>
      <c r="AE19" s="11">
        <f>GDP!AE6</f>
        <v>9694631559168</v>
      </c>
      <c r="AF19" s="11">
        <f>GDP!AF6</f>
        <v>10306748088320</v>
      </c>
      <c r="AG19" s="11">
        <f>GDP!AG6</f>
        <v>10994641403904</v>
      </c>
      <c r="AH19" s="11">
        <f>GDP!AH6</f>
        <v>11318200893440</v>
      </c>
      <c r="AI19" s="11">
        <f>GDP!AI6</f>
        <v>11694369800192</v>
      </c>
      <c r="AJ19" s="11">
        <f>GDP!AJ6</f>
        <v>12350626398208</v>
      </c>
      <c r="AK19" s="11">
        <f>GDP!AK6</f>
        <v>13236926152704</v>
      </c>
      <c r="AL19" s="11">
        <f>GDP!AL6</f>
        <v>14205998202880</v>
      </c>
      <c r="AM19" s="11">
        <f>GDP!AM6</f>
        <v>15130026573824</v>
      </c>
      <c r="AN19" s="11">
        <f>GDP!AN6</f>
        <v>15916835405824</v>
      </c>
      <c r="AO19" s="11">
        <f>GDP!AO6</f>
        <v>16261975769088</v>
      </c>
      <c r="AP19" s="11">
        <f>GDP!AP6</f>
        <v>15820085657600</v>
      </c>
      <c r="AQ19" s="11">
        <f>GDP!AQ6</f>
        <v>16605517578240</v>
      </c>
      <c r="AR19" s="11">
        <f>GDP!AR6</f>
        <v>17331228639232</v>
      </c>
      <c r="AS19" s="11">
        <f>GDP!AS6</f>
        <v>18025696722944</v>
      </c>
      <c r="AT19" s="11">
        <f>GDP!AT6</f>
        <v>18632058208256</v>
      </c>
      <c r="AU19" s="11">
        <f>GDP!AU6</f>
        <v>19325280059392</v>
      </c>
      <c r="AV19" s="11">
        <f>GDP!AV6</f>
        <v>19775426920448</v>
      </c>
      <c r="AW19" s="11">
        <f>GDP!AW6</f>
        <v>20235430395904</v>
      </c>
      <c r="AX19" s="11">
        <f>GDP!AX6</f>
        <v>21135272312832</v>
      </c>
      <c r="AY19" s="11">
        <f>GDP!AY6</f>
        <v>22245310857216</v>
      </c>
      <c r="AZ19" s="11">
        <f>GDP!AZ6</f>
        <v>23110844153856</v>
      </c>
      <c r="BA19" s="11"/>
      <c r="BB19" s="11"/>
      <c r="BC19" s="11"/>
      <c r="BD19" s="11"/>
      <c r="BE19" s="11"/>
      <c r="BF19" s="11"/>
      <c r="BG19" s="11"/>
      <c r="BH19" s="11"/>
      <c r="BI19" s="11"/>
      <c r="BJ19" s="11"/>
      <c r="BK19" s="11"/>
      <c r="BL19" s="11"/>
      <c r="BM19" s="11"/>
      <c r="BN19" s="11"/>
      <c r="BO19" s="11"/>
      <c r="BP19" s="11"/>
      <c r="BQ19" s="11"/>
      <c r="BR19" s="11"/>
    </row>
    <row r="20" spans="1:70" x14ac:dyDescent="0.45">
      <c r="B20" t="str">
        <f>GDP!B7</f>
        <v>Pacific</v>
      </c>
      <c r="C20" s="11">
        <f>GDP!C7</f>
        <v>48646456512</v>
      </c>
      <c r="D20" s="11">
        <f>GDP!D7</f>
        <v>54041392568</v>
      </c>
      <c r="E20" s="11">
        <f>GDP!E7</f>
        <v>62729011790</v>
      </c>
      <c r="F20" s="11">
        <f>GDP!F7</f>
        <v>78296408866</v>
      </c>
      <c r="G20" s="11">
        <f>GDP!G7</f>
        <v>104883801208</v>
      </c>
      <c r="H20" s="11">
        <f>GDP!H7</f>
        <v>112128479960</v>
      </c>
      <c r="I20" s="11">
        <f>GDP!I7</f>
        <v>120773569968</v>
      </c>
      <c r="J20" s="11">
        <f>GDP!J7</f>
        <v>128047749980</v>
      </c>
      <c r="K20" s="11">
        <f>GDP!K7</f>
        <v>139691517036</v>
      </c>
      <c r="L20" s="11">
        <f>GDP!L7</f>
        <v>158799261892</v>
      </c>
      <c r="M20" s="11">
        <f>GDP!M7</f>
        <v>176806739748</v>
      </c>
      <c r="N20" s="11">
        <f>GDP!N7</f>
        <v>204835233096</v>
      </c>
      <c r="O20" s="11">
        <f>GDP!O7</f>
        <v>221538051236</v>
      </c>
      <c r="P20" s="11">
        <f>GDP!P7</f>
        <v>205063130636</v>
      </c>
      <c r="Q20" s="11">
        <f>GDP!Q7</f>
        <v>218679915600</v>
      </c>
      <c r="R20" s="11">
        <f>GDP!R7</f>
        <v>208511218140</v>
      </c>
      <c r="S20" s="11">
        <f>GDP!S7</f>
        <v>216611955642</v>
      </c>
      <c r="T20" s="11">
        <f>GDP!T7</f>
        <v>233792068132</v>
      </c>
      <c r="U20" s="11">
        <f>GDP!U7</f>
        <v>285644938828</v>
      </c>
      <c r="V20" s="11">
        <f>GDP!V7</f>
        <v>347958472040</v>
      </c>
      <c r="W20" s="11">
        <f>GDP!W7</f>
        <v>360868909828</v>
      </c>
      <c r="X20" s="11">
        <f>GDP!X7</f>
        <v>373274500660</v>
      </c>
      <c r="Y20" s="11">
        <f>GDP!Y7</f>
        <v>372486209508</v>
      </c>
      <c r="Z20" s="11">
        <f>GDP!Z7</f>
        <v>364976930120</v>
      </c>
      <c r="AA20" s="11">
        <f>GDP!AA7</f>
        <v>384909310912</v>
      </c>
      <c r="AB20" s="11">
        <f>GDP!AB7</f>
        <v>437797807468</v>
      </c>
      <c r="AC20" s="11">
        <f>GDP!AC7</f>
        <v>477794666416</v>
      </c>
      <c r="AD20" s="11">
        <f>GDP!AD7</f>
        <v>507741295304</v>
      </c>
      <c r="AE20" s="11">
        <f>GDP!AE7</f>
        <v>460637881784</v>
      </c>
      <c r="AF20" s="11">
        <f>GDP!AF7</f>
        <v>452858731200</v>
      </c>
      <c r="AG20" s="11">
        <f>GDP!AG7</f>
        <v>473118614048</v>
      </c>
      <c r="AH20" s="11">
        <f>GDP!AH7</f>
        <v>437052748632</v>
      </c>
      <c r="AI20" s="11">
        <f>GDP!AI7</f>
        <v>466191038184</v>
      </c>
      <c r="AJ20" s="11">
        <f>GDP!AJ7</f>
        <v>560681529648</v>
      </c>
      <c r="AK20" s="11">
        <f>GDP!AK7</f>
        <v>723152650304</v>
      </c>
      <c r="AL20" s="11">
        <f>GDP!AL7</f>
        <v>816112657720</v>
      </c>
      <c r="AM20" s="11">
        <f>GDP!AM7</f>
        <v>869231053112</v>
      </c>
      <c r="AN20" s="11">
        <f>GDP!AN7</f>
        <v>1003503006720</v>
      </c>
      <c r="AO20" s="11">
        <f>GDP!AO7</f>
        <v>1202620790960</v>
      </c>
      <c r="AP20" s="11">
        <f>GDP!AP7</f>
        <v>1063785877208</v>
      </c>
      <c r="AQ20" s="11">
        <f>GDP!AQ7</f>
        <v>1310305048640</v>
      </c>
      <c r="AR20" s="11">
        <f>GDP!AR7</f>
        <v>1587101226288</v>
      </c>
      <c r="AS20" s="11">
        <f>GDP!AS7</f>
        <v>1747857683456</v>
      </c>
      <c r="AT20" s="11">
        <f>GDP!AT7</f>
        <v>1792667031616</v>
      </c>
      <c r="AU20" s="11">
        <f>GDP!AU7</f>
        <v>1696652973712</v>
      </c>
      <c r="AV20" s="11">
        <f>GDP!AV7</f>
        <v>1555738743600</v>
      </c>
      <c r="AW20" s="11">
        <f>GDP!AW7</f>
        <v>1422938310448</v>
      </c>
      <c r="AX20" s="11">
        <f>GDP!AX7</f>
        <v>1563834848176</v>
      </c>
      <c r="AY20" s="11">
        <f>GDP!AY7</f>
        <v>1670970952544</v>
      </c>
      <c r="AZ20" s="11">
        <f>GDP!AZ7</f>
        <v>1630309212832</v>
      </c>
      <c r="BA20" s="11"/>
      <c r="BB20" s="11"/>
      <c r="BC20" s="11"/>
      <c r="BD20" s="11"/>
      <c r="BE20" s="11"/>
      <c r="BF20" s="11"/>
      <c r="BG20" s="11"/>
      <c r="BH20" s="11"/>
      <c r="BI20" s="11"/>
      <c r="BJ20" s="11"/>
      <c r="BK20" s="11"/>
      <c r="BL20" s="11"/>
      <c r="BM20" s="11"/>
      <c r="BN20" s="11"/>
      <c r="BO20" s="11"/>
      <c r="BP20" s="11"/>
      <c r="BQ20" s="11"/>
      <c r="BR20" s="11"/>
    </row>
    <row r="21" spans="1:70" x14ac:dyDescent="0.45">
      <c r="B21" t="str">
        <f>GDP!B8</f>
        <v>South Asia</v>
      </c>
      <c r="C21" s="11">
        <f>GDP!C8</f>
        <v>84605160448</v>
      </c>
      <c r="D21" s="11">
        <f>GDP!D8</f>
        <v>90020801152</v>
      </c>
      <c r="E21" s="11">
        <f>GDP!E8</f>
        <v>90744487936</v>
      </c>
      <c r="F21" s="11">
        <f>GDP!F8</f>
        <v>103833154112</v>
      </c>
      <c r="G21" s="11">
        <f>GDP!G8</f>
        <v>125730094848</v>
      </c>
      <c r="H21" s="11">
        <f>GDP!H8</f>
        <v>134518838528</v>
      </c>
      <c r="I21" s="11">
        <f>GDP!I8</f>
        <v>131046467968</v>
      </c>
      <c r="J21" s="11">
        <f>GDP!J8</f>
        <v>151751438592</v>
      </c>
      <c r="K21" s="11">
        <f>GDP!K8</f>
        <v>172730924800</v>
      </c>
      <c r="L21" s="11">
        <f>GDP!L8</f>
        <v>193461371520</v>
      </c>
      <c r="M21" s="11">
        <f>GDP!M8</f>
        <v>234088384384</v>
      </c>
      <c r="N21" s="11">
        <f>GDP!N8</f>
        <v>248532344064</v>
      </c>
      <c r="O21" s="11">
        <f>GDP!O8</f>
        <v>257130706944</v>
      </c>
      <c r="P21" s="11">
        <f>GDP!P8</f>
        <v>272178300672</v>
      </c>
      <c r="Q21" s="11">
        <f>GDP!Q8</f>
        <v>270855580928</v>
      </c>
      <c r="R21" s="11">
        <f>GDP!R8</f>
        <v>294533600000</v>
      </c>
      <c r="S21" s="11">
        <f>GDP!S8</f>
        <v>311915091712</v>
      </c>
      <c r="T21" s="11">
        <f>GDP!T8</f>
        <v>346322561792</v>
      </c>
      <c r="U21" s="11">
        <f>GDP!U8</f>
        <v>372106128384</v>
      </c>
      <c r="V21" s="11">
        <f>GDP!V8</f>
        <v>375507592192</v>
      </c>
      <c r="W21" s="11">
        <f>GDP!W8</f>
        <v>404247922688</v>
      </c>
      <c r="X21" s="11">
        <f>GDP!X8</f>
        <v>359609902592</v>
      </c>
      <c r="Y21" s="11">
        <f>GDP!Y8</f>
        <v>381906123520</v>
      </c>
      <c r="Z21" s="11">
        <f>GDP!Z8</f>
        <v>378271205888</v>
      </c>
      <c r="AA21" s="11">
        <f>GDP!AA8</f>
        <v>429122074112</v>
      </c>
      <c r="AB21" s="11">
        <f>GDP!AB8</f>
        <v>476288536064</v>
      </c>
      <c r="AC21" s="11">
        <f>GDP!AC8</f>
        <v>521074995200</v>
      </c>
      <c r="AD21" s="11">
        <f>GDP!AD8</f>
        <v>546555980800</v>
      </c>
      <c r="AE21" s="11">
        <f>GDP!AE8</f>
        <v>554179234304</v>
      </c>
      <c r="AF21" s="11">
        <f>GDP!AF8</f>
        <v>593754813952</v>
      </c>
      <c r="AG21" s="11">
        <f>GDP!AG8</f>
        <v>625607534080</v>
      </c>
      <c r="AH21" s="11">
        <f>GDP!AH8</f>
        <v>640673512960</v>
      </c>
      <c r="AI21" s="11">
        <f>GDP!AI8</f>
        <v>672154426880</v>
      </c>
      <c r="AJ21" s="11">
        <f>GDP!AJ8</f>
        <v>784830982656</v>
      </c>
      <c r="AK21" s="11">
        <f>GDP!AK8</f>
        <v>909953232384</v>
      </c>
      <c r="AL21" s="11">
        <f>GDP!AL8</f>
        <v>1042415899648</v>
      </c>
      <c r="AM21" s="11">
        <f>GDP!AM8</f>
        <v>1186666544128</v>
      </c>
      <c r="AN21" s="11">
        <f>GDP!AN8</f>
        <v>1491408948224</v>
      </c>
      <c r="AO21" s="11">
        <f>GDP!AO8</f>
        <v>1513863877632</v>
      </c>
      <c r="AP21" s="11">
        <f>GDP!AP8</f>
        <v>1667438334976</v>
      </c>
      <c r="AQ21" s="11">
        <f>GDP!AQ8</f>
        <v>2040788387840</v>
      </c>
      <c r="AR21" s="11">
        <f>GDP!AR8</f>
        <v>2249482108928</v>
      </c>
      <c r="AS21" s="11">
        <f>GDP!AS8</f>
        <v>2272663107584</v>
      </c>
      <c r="AT21" s="11">
        <f>GDP!AT8</f>
        <v>2331520167936</v>
      </c>
      <c r="AU21" s="11">
        <f>GDP!AU8</f>
        <v>2555733243904</v>
      </c>
      <c r="AV21" s="11">
        <f>GDP!AV8</f>
        <v>2671237505024</v>
      </c>
      <c r="AW21" s="11">
        <f>GDP!AW8</f>
        <v>2898454865920</v>
      </c>
      <c r="AX21" s="11">
        <f>GDP!AX8</f>
        <v>3319641692160</v>
      </c>
      <c r="AY21" s="11">
        <f>GDP!AY8</f>
        <v>3419371028480</v>
      </c>
      <c r="AZ21" s="11">
        <f>GDP!AZ8</f>
        <v>3570585772032</v>
      </c>
      <c r="BA21" s="11"/>
      <c r="BB21" s="11"/>
      <c r="BC21" s="11"/>
      <c r="BD21" s="11"/>
      <c r="BE21" s="11"/>
      <c r="BF21" s="11"/>
      <c r="BG21" s="11"/>
      <c r="BH21" s="11"/>
      <c r="BI21" s="11"/>
      <c r="BJ21" s="11"/>
      <c r="BK21" s="11"/>
      <c r="BL21" s="11"/>
      <c r="BM21" s="11"/>
      <c r="BN21" s="11"/>
      <c r="BO21" s="11"/>
      <c r="BP21" s="11"/>
      <c r="BQ21" s="11"/>
      <c r="BR21" s="11"/>
    </row>
    <row r="22" spans="1:70" x14ac:dyDescent="0.45">
      <c r="B22" t="str">
        <f>GDP!B9</f>
        <v>Sub-Saharan Africa</v>
      </c>
      <c r="C22" s="11">
        <f>GDP!C9</f>
        <v>56068713476</v>
      </c>
      <c r="D22" s="11">
        <f>GDP!D9</f>
        <v>56911886744</v>
      </c>
      <c r="E22" s="11">
        <f>GDP!E9</f>
        <v>64276106368</v>
      </c>
      <c r="F22" s="11">
        <f>GDP!F9</f>
        <v>82405106224</v>
      </c>
      <c r="G22" s="11">
        <f>GDP!G9</f>
        <v>108077983972</v>
      </c>
      <c r="H22" s="11">
        <f>GDP!H9</f>
        <v>118883601968</v>
      </c>
      <c r="I22" s="11">
        <f>GDP!I9</f>
        <v>129207018860</v>
      </c>
      <c r="J22" s="11">
        <f>GDP!J9</f>
        <v>142069858184</v>
      </c>
      <c r="K22" s="11">
        <f>GDP!K9</f>
        <v>157728609288</v>
      </c>
      <c r="L22" s="11">
        <f>GDP!L9</f>
        <v>190718390344</v>
      </c>
      <c r="M22" s="11">
        <f>GDP!M9</f>
        <v>242457604872</v>
      </c>
      <c r="N22" s="11">
        <f>GDP!N9</f>
        <v>343903699376</v>
      </c>
      <c r="O22" s="11">
        <f>GDP!O9</f>
        <v>313689894736</v>
      </c>
      <c r="P22" s="11">
        <f>GDP!P9</f>
        <v>269309014864</v>
      </c>
      <c r="Q22" s="11">
        <f>GDP!Q9</f>
        <v>231772664640</v>
      </c>
      <c r="R22" s="11">
        <f>GDP!R9</f>
        <v>215402104224</v>
      </c>
      <c r="S22" s="11">
        <f>GDP!S9</f>
        <v>220793618040</v>
      </c>
      <c r="T22" s="11">
        <f>GDP!T9</f>
        <v>250670927584</v>
      </c>
      <c r="U22" s="11">
        <f>GDP!U9</f>
        <v>257124993360</v>
      </c>
      <c r="V22" s="11">
        <f>GDP!V9</f>
        <v>255106870512</v>
      </c>
      <c r="W22" s="11">
        <f>GDP!W9</f>
        <v>289982217264</v>
      </c>
      <c r="X22" s="11">
        <f>GDP!X9</f>
        <v>293587837280</v>
      </c>
      <c r="Y22" s="11">
        <f>GDP!Y9</f>
        <v>295105943008</v>
      </c>
      <c r="Z22" s="11">
        <f>GDP!Z9</f>
        <v>276338820176</v>
      </c>
      <c r="AA22" s="11">
        <f>GDP!AA9</f>
        <v>272923517520</v>
      </c>
      <c r="AB22" s="11">
        <f>GDP!AB9</f>
        <v>312233142736</v>
      </c>
      <c r="AC22" s="11">
        <f>GDP!AC9</f>
        <v>317685833792</v>
      </c>
      <c r="AD22" s="11">
        <f>GDP!AD9</f>
        <v>329512564640</v>
      </c>
      <c r="AE22" s="11">
        <f>GDP!AE9</f>
        <v>313181596688</v>
      </c>
      <c r="AF22" s="11">
        <f>GDP!AF9</f>
        <v>317433437056</v>
      </c>
      <c r="AG22" s="11">
        <f>GDP!AG9</f>
        <v>337170906944</v>
      </c>
      <c r="AH22" s="11">
        <f>GDP!AH9</f>
        <v>319876793632</v>
      </c>
      <c r="AI22" s="11">
        <f>GDP!AI9</f>
        <v>346094060320</v>
      </c>
      <c r="AJ22" s="11">
        <f>GDP!AJ9</f>
        <v>440782673856</v>
      </c>
      <c r="AK22" s="11">
        <f>GDP!AK9</f>
        <v>549967933984</v>
      </c>
      <c r="AL22" s="11">
        <f>GDP!AL9</f>
        <v>646391325312</v>
      </c>
      <c r="AM22" s="11">
        <f>GDP!AM9</f>
        <v>764729514816</v>
      </c>
      <c r="AN22" s="11">
        <f>GDP!AN9</f>
        <v>878199097600</v>
      </c>
      <c r="AO22" s="11">
        <f>GDP!AO9</f>
        <v>981540232128</v>
      </c>
      <c r="AP22" s="11">
        <f>GDP!AP9</f>
        <v>933086213504</v>
      </c>
      <c r="AQ22" s="11">
        <f>GDP!AQ9</f>
        <v>1130773515392</v>
      </c>
      <c r="AR22" s="11">
        <f>GDP!AR9</f>
        <v>1262416885888</v>
      </c>
      <c r="AS22" s="11">
        <f>GDP!AS9</f>
        <v>1304364937984</v>
      </c>
      <c r="AT22" s="11">
        <f>GDP!AT9</f>
        <v>1385513590848</v>
      </c>
      <c r="AU22" s="11">
        <f>GDP!AU9</f>
        <v>1445340785664</v>
      </c>
      <c r="AV22" s="11">
        <f>GDP!AV9</f>
        <v>1322887746752</v>
      </c>
      <c r="AW22" s="11">
        <f>GDP!AW9</f>
        <v>1208464208512</v>
      </c>
      <c r="AX22" s="11">
        <f>GDP!AX9</f>
        <v>1267464166656</v>
      </c>
      <c r="AY22" s="11">
        <f>GDP!AY9</f>
        <v>1346644831616</v>
      </c>
      <c r="AZ22" s="11">
        <f>GDP!AZ9</f>
        <v>1377375234688</v>
      </c>
      <c r="BA22" s="11"/>
      <c r="BB22" s="11"/>
      <c r="BC22" s="11"/>
      <c r="BD22" s="11"/>
      <c r="BE22" s="11"/>
      <c r="BF22" s="11"/>
      <c r="BG22" s="11"/>
      <c r="BH22" s="11"/>
      <c r="BI22" s="11"/>
      <c r="BJ22" s="11"/>
      <c r="BK22" s="11"/>
      <c r="BL22" s="11"/>
      <c r="BM22" s="11"/>
      <c r="BN22" s="11"/>
      <c r="BO22" s="11"/>
      <c r="BP22" s="11"/>
      <c r="BQ22" s="11"/>
      <c r="BR22" s="11"/>
    </row>
    <row r="23" spans="1:70" x14ac:dyDescent="0.45">
      <c r="B23" t="str">
        <f>GDP!B10</f>
        <v>World</v>
      </c>
      <c r="C23" s="11">
        <f>GDP!C10</f>
        <v>2746236784872</v>
      </c>
      <c r="D23" s="11">
        <f>GDP!D10</f>
        <v>3033009074948</v>
      </c>
      <c r="E23" s="11">
        <f>GDP!E10</f>
        <v>3501317517402</v>
      </c>
      <c r="F23" s="11">
        <f>GDP!F10</f>
        <v>4263578533242</v>
      </c>
      <c r="G23" s="11">
        <f>GDP!G10</f>
        <v>4873316946212</v>
      </c>
      <c r="H23" s="11">
        <f>GDP!H10</f>
        <v>5426219697424</v>
      </c>
      <c r="I23" s="11">
        <f>GDP!I10</f>
        <v>5874054979396</v>
      </c>
      <c r="J23" s="11">
        <f>GDP!J10</f>
        <v>6631760273844</v>
      </c>
      <c r="K23" s="11">
        <f>GDP!K10</f>
        <v>7853463449940</v>
      </c>
      <c r="L23" s="11">
        <f>GDP!L10</f>
        <v>9105116464876</v>
      </c>
      <c r="M23" s="11">
        <f>GDP!M10</f>
        <v>10212711773180</v>
      </c>
      <c r="N23" s="11">
        <f>GDP!N10</f>
        <v>10567497697080</v>
      </c>
      <c r="O23" s="11">
        <f>GDP!O10</f>
        <v>10425670087748</v>
      </c>
      <c r="P23" s="11">
        <f>GDP!P10</f>
        <v>10625247690508</v>
      </c>
      <c r="Q23" s="11">
        <f>GDP!Q10</f>
        <v>11016784363312</v>
      </c>
      <c r="R23" s="11">
        <f>GDP!R10</f>
        <v>11575158184444</v>
      </c>
      <c r="S23" s="11">
        <f>GDP!S10</f>
        <v>13756845783426</v>
      </c>
      <c r="T23" s="11">
        <f>GDP!T10</f>
        <v>15773377386852</v>
      </c>
      <c r="U23" s="11">
        <f>GDP!U10</f>
        <v>17709557529116</v>
      </c>
      <c r="V23" s="11">
        <f>GDP!V10</f>
        <v>18572246942104</v>
      </c>
      <c r="W23" s="11">
        <f>GDP!W10</f>
        <v>20922543788820</v>
      </c>
      <c r="X23" s="11">
        <f>GDP!X10</f>
        <v>22244429310708</v>
      </c>
      <c r="Y23" s="11">
        <f>GDP!Y10</f>
        <v>23708341636132</v>
      </c>
      <c r="Z23" s="11">
        <f>GDP!Z10</f>
        <v>24085386095928</v>
      </c>
      <c r="AA23" s="11">
        <f>GDP!AA10</f>
        <v>25950149562128</v>
      </c>
      <c r="AB23" s="11">
        <f>GDP!AB10</f>
        <v>28848207430652</v>
      </c>
      <c r="AC23" s="11">
        <f>GDP!AC10</f>
        <v>29416080710320</v>
      </c>
      <c r="AD23" s="11">
        <f>GDP!AD10</f>
        <v>29246520345128</v>
      </c>
      <c r="AE23" s="11">
        <f>GDP!AE10</f>
        <v>29430206944456</v>
      </c>
      <c r="AF23" s="11">
        <f>GDP!AF10</f>
        <v>30584219326400</v>
      </c>
      <c r="AG23" s="11">
        <f>GDP!AG10</f>
        <v>31463693618144</v>
      </c>
      <c r="AH23" s="11">
        <f>GDP!AH10</f>
        <v>31187241745016</v>
      </c>
      <c r="AI23" s="11">
        <f>GDP!AI10</f>
        <v>32330631579272</v>
      </c>
      <c r="AJ23" s="11">
        <f>GDP!AJ10</f>
        <v>36206218258416</v>
      </c>
      <c r="AK23" s="11">
        <f>GDP!AK10</f>
        <v>40568435986144</v>
      </c>
      <c r="AL23" s="11">
        <f>GDP!AL10</f>
        <v>43566565517816</v>
      </c>
      <c r="AM23" s="11">
        <f>GDP!AM10</f>
        <v>46765967933432</v>
      </c>
      <c r="AN23" s="11">
        <f>GDP!AN10</f>
        <v>52161490119040</v>
      </c>
      <c r="AO23" s="11">
        <f>GDP!AO10</f>
        <v>56450227393264</v>
      </c>
      <c r="AP23" s="11">
        <f>GDP!AP10</f>
        <v>54078072347096</v>
      </c>
      <c r="AQ23" s="11">
        <f>GDP!AQ10</f>
        <v>58750727778880</v>
      </c>
      <c r="AR23" s="11">
        <f>GDP!AR10</f>
        <v>64814441638576</v>
      </c>
      <c r="AS23" s="11">
        <f>GDP!AS10</f>
        <v>66011980271104</v>
      </c>
      <c r="AT23" s="11">
        <f>GDP!AT10</f>
        <v>67962462264448</v>
      </c>
      <c r="AU23" s="11">
        <f>GDP!AU10</f>
        <v>70196916593168</v>
      </c>
      <c r="AV23" s="11">
        <f>GDP!AV10</f>
        <v>67301319340528</v>
      </c>
      <c r="AW23" s="11">
        <f>GDP!AW10</f>
        <v>68458282967344</v>
      </c>
      <c r="AX23" s="11">
        <f>GDP!AX10</f>
        <v>72590332253360</v>
      </c>
      <c r="AY23" s="11">
        <f>GDP!AY10</f>
        <v>77084421828320</v>
      </c>
      <c r="AZ23" s="11">
        <f>GDP!AZ10</f>
        <v>78157638951328</v>
      </c>
      <c r="BA23" s="11"/>
      <c r="BB23" s="11"/>
      <c r="BC23" s="11"/>
      <c r="BD23" s="11"/>
      <c r="BE23" s="11"/>
      <c r="BF23" s="11"/>
      <c r="BG23" s="11"/>
      <c r="BH23" s="11"/>
      <c r="BI23" s="11"/>
      <c r="BJ23" s="11"/>
      <c r="BK23" s="11"/>
      <c r="BL23" s="11"/>
      <c r="BM23" s="11"/>
      <c r="BN23" s="11"/>
      <c r="BO23" s="11"/>
      <c r="BP23" s="11"/>
      <c r="BQ23" s="11"/>
      <c r="BR23" s="11"/>
    </row>
    <row r="24" spans="1:70" x14ac:dyDescent="0.45">
      <c r="C24" s="11"/>
      <c r="D24" s="11"/>
      <c r="E24" s="11"/>
      <c r="F24" s="11"/>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row>
    <row r="25" spans="1:70" x14ac:dyDescent="0.45">
      <c r="A25" t="s">
        <v>177</v>
      </c>
      <c r="B25" t="str">
        <f>Population!B1</f>
        <v>China</v>
      </c>
      <c r="C25">
        <f>Population!C1</f>
        <v>818315008</v>
      </c>
      <c r="D25">
        <f>Population!D1</f>
        <v>841105024</v>
      </c>
      <c r="E25">
        <f>Population!E1</f>
        <v>862030016</v>
      </c>
      <c r="F25">
        <f>Population!F1</f>
        <v>881939968</v>
      </c>
      <c r="G25">
        <f>Population!G1</f>
        <v>900350016</v>
      </c>
      <c r="H25">
        <f>Population!H1</f>
        <v>916395008</v>
      </c>
      <c r="I25">
        <f>Population!I1</f>
        <v>930684992</v>
      </c>
      <c r="J25">
        <f>Population!J1</f>
        <v>943454976</v>
      </c>
      <c r="K25">
        <f>Population!K1</f>
        <v>956164992</v>
      </c>
      <c r="L25">
        <f>Population!L1</f>
        <v>969004992</v>
      </c>
      <c r="M25">
        <f>Population!M1</f>
        <v>981235008</v>
      </c>
      <c r="N25">
        <f>Population!N1</f>
        <v>993884992</v>
      </c>
      <c r="O25">
        <f>Population!O1</f>
        <v>1008630016</v>
      </c>
      <c r="P25">
        <f>Population!P1</f>
        <v>1023310016</v>
      </c>
      <c r="Q25">
        <f>Population!Q1</f>
        <v>1036825024</v>
      </c>
      <c r="R25">
        <f>Population!R1</f>
        <v>1051040000</v>
      </c>
      <c r="S25">
        <f>Population!S1</f>
        <v>1066790016</v>
      </c>
      <c r="T25">
        <f>Population!T1</f>
        <v>1084034944</v>
      </c>
      <c r="U25">
        <f>Population!U1</f>
        <v>1101629952</v>
      </c>
      <c r="V25">
        <f>Population!V1</f>
        <v>1118649984</v>
      </c>
      <c r="W25">
        <f>Population!W1</f>
        <v>1135185024</v>
      </c>
      <c r="X25">
        <f>Population!X1</f>
        <v>1150780032</v>
      </c>
      <c r="Y25">
        <f>Population!Y1</f>
        <v>1164969984</v>
      </c>
      <c r="Z25">
        <f>Population!Z1</f>
        <v>1178439936</v>
      </c>
      <c r="AA25">
        <f>Population!AA1</f>
        <v>1191835008</v>
      </c>
      <c r="AB25">
        <f>Population!AB1</f>
        <v>1204855040</v>
      </c>
      <c r="AC25">
        <f>Population!AC1</f>
        <v>1217549952</v>
      </c>
      <c r="AD25">
        <f>Population!AD1</f>
        <v>1230075008</v>
      </c>
      <c r="AE25">
        <f>Population!AE1</f>
        <v>1241934976</v>
      </c>
      <c r="AF25">
        <f>Population!AF1</f>
        <v>1252734976</v>
      </c>
      <c r="AG25">
        <f>Population!AG1</f>
        <v>1262644992</v>
      </c>
      <c r="AH25">
        <f>Population!AH1</f>
        <v>1271849984</v>
      </c>
      <c r="AI25">
        <f>Population!AI1</f>
        <v>1280400000</v>
      </c>
      <c r="AJ25">
        <f>Population!AJ1</f>
        <v>1288400000</v>
      </c>
      <c r="AK25">
        <f>Population!AK1</f>
        <v>1296075008</v>
      </c>
      <c r="AL25">
        <f>Population!AL1</f>
        <v>1303719936</v>
      </c>
      <c r="AM25">
        <f>Population!AM1</f>
        <v>1311020032</v>
      </c>
      <c r="AN25">
        <f>Population!AN1</f>
        <v>1317885056</v>
      </c>
      <c r="AO25">
        <f>Population!AO1</f>
        <v>1324654976</v>
      </c>
      <c r="AP25">
        <f>Population!AP1</f>
        <v>1331260032</v>
      </c>
      <c r="AQ25">
        <f>Population!AQ1</f>
        <v>1337704960</v>
      </c>
      <c r="AR25">
        <f>Population!AR1</f>
        <v>1344130048</v>
      </c>
      <c r="AS25">
        <f>Population!AS1</f>
        <v>1350695040</v>
      </c>
      <c r="AT25">
        <f>Population!AT1</f>
        <v>1357379968</v>
      </c>
      <c r="AU25">
        <f>Population!AU1</f>
        <v>1364269952</v>
      </c>
      <c r="AV25">
        <f>Population!AV1</f>
        <v>1371219968</v>
      </c>
      <c r="AW25">
        <f>Population!AW1</f>
        <v>1378664960</v>
      </c>
      <c r="AX25">
        <f>Population!AX1</f>
        <v>1386395008</v>
      </c>
      <c r="AY25">
        <f>Population!AY1</f>
        <v>1392729984</v>
      </c>
      <c r="AZ25">
        <f>Population!AZ1</f>
        <v>1397714944</v>
      </c>
      <c r="BA25" s="11"/>
      <c r="BB25" s="11"/>
      <c r="BC25" s="11"/>
      <c r="BD25" s="11"/>
      <c r="BE25" s="11"/>
      <c r="BF25" s="11"/>
      <c r="BG25" s="11"/>
      <c r="BH25" s="11"/>
      <c r="BI25" s="11"/>
      <c r="BJ25" s="11"/>
      <c r="BK25" s="11"/>
      <c r="BL25" s="11"/>
      <c r="BM25" s="11"/>
      <c r="BN25" s="11"/>
      <c r="BO25" s="11"/>
      <c r="BP25" s="11"/>
      <c r="BQ25" s="11"/>
      <c r="BR25" s="11"/>
    </row>
    <row r="26" spans="1:70" x14ac:dyDescent="0.45">
      <c r="B26" t="str">
        <f>Population!B2</f>
        <v>East Asia</v>
      </c>
      <c r="C26">
        <f>Population!C2</f>
        <v>226111594</v>
      </c>
      <c r="D26">
        <f>Population!D2</f>
        <v>230613293</v>
      </c>
      <c r="E26">
        <f>Population!E2</f>
        <v>235275683</v>
      </c>
      <c r="F26">
        <f>Population!F2</f>
        <v>239391738</v>
      </c>
      <c r="G26">
        <f>Population!G2</f>
        <v>244729540</v>
      </c>
      <c r="H26">
        <f>Population!H2</f>
        <v>249719167</v>
      </c>
      <c r="I26">
        <f>Population!I2</f>
        <v>253723437</v>
      </c>
      <c r="J26">
        <f>Population!J2</f>
        <v>258009424</v>
      </c>
      <c r="K26">
        <f>Population!K2</f>
        <v>262262687</v>
      </c>
      <c r="L26">
        <f>Population!L2</f>
        <v>266659067</v>
      </c>
      <c r="M26">
        <f>Population!M2</f>
        <v>270913122</v>
      </c>
      <c r="N26">
        <f>Population!N2</f>
        <v>275220653</v>
      </c>
      <c r="O26">
        <f>Population!O2</f>
        <v>279436993</v>
      </c>
      <c r="P26">
        <f>Population!P2</f>
        <v>283597825</v>
      </c>
      <c r="Q26">
        <f>Population!Q2</f>
        <v>287668283</v>
      </c>
      <c r="R26">
        <f>Population!R2</f>
        <v>291653552</v>
      </c>
      <c r="S26">
        <f>Population!S2</f>
        <v>295742828</v>
      </c>
      <c r="T26">
        <f>Population!T2</f>
        <v>299799693</v>
      </c>
      <c r="U26">
        <f>Population!U2</f>
        <v>303826940</v>
      </c>
      <c r="V26">
        <f>Population!V2</f>
        <v>307824037</v>
      </c>
      <c r="W26">
        <f>Population!W2</f>
        <v>311641084</v>
      </c>
      <c r="X26">
        <f>Population!X2</f>
        <v>315310971</v>
      </c>
      <c r="Y26">
        <f>Population!Y2</f>
        <v>318841950</v>
      </c>
      <c r="Z26">
        <f>Population!Z2</f>
        <v>322361673</v>
      </c>
      <c r="AA26">
        <f>Population!AA2</f>
        <v>326090612</v>
      </c>
      <c r="AB26">
        <f>Population!AB2</f>
        <v>329951566</v>
      </c>
      <c r="AC26">
        <f>Population!AC2</f>
        <v>333937432</v>
      </c>
      <c r="AD26">
        <f>Population!AD2</f>
        <v>337736174</v>
      </c>
      <c r="AE26">
        <f>Population!AE2</f>
        <v>341529191</v>
      </c>
      <c r="AF26">
        <f>Population!AF2</f>
        <v>345098697</v>
      </c>
      <c r="AG26">
        <f>Population!AG2</f>
        <v>348682647</v>
      </c>
      <c r="AH26">
        <f>Population!AH2</f>
        <v>352292664</v>
      </c>
      <c r="AI26">
        <f>Population!AI2</f>
        <v>355652522</v>
      </c>
      <c r="AJ26">
        <f>Population!AJ2</f>
        <v>358756606</v>
      </c>
      <c r="AK26">
        <f>Population!AK2</f>
        <v>361690180</v>
      </c>
      <c r="AL26">
        <f>Population!AL2</f>
        <v>364469570</v>
      </c>
      <c r="AM26">
        <f>Population!AM2</f>
        <v>367453925</v>
      </c>
      <c r="AN26">
        <f>Population!AN2</f>
        <v>370497457</v>
      </c>
      <c r="AO26">
        <f>Population!AO2</f>
        <v>373583862</v>
      </c>
      <c r="AP26">
        <f>Population!AP2</f>
        <v>376331249</v>
      </c>
      <c r="AQ26">
        <f>Population!AQ2</f>
        <v>379094888</v>
      </c>
      <c r="AR26">
        <f>Population!AR2</f>
        <v>381764316</v>
      </c>
      <c r="AS26">
        <f>Population!AS2</f>
        <v>384408149</v>
      </c>
      <c r="AT26">
        <f>Population!AT2</f>
        <v>386936882</v>
      </c>
      <c r="AU26">
        <f>Population!AU2</f>
        <v>389540308</v>
      </c>
      <c r="AV26">
        <f>Population!AV2</f>
        <v>392080940</v>
      </c>
      <c r="AW26">
        <f>Population!AW2</f>
        <v>394476259</v>
      </c>
      <c r="AX26">
        <f>Population!AX2</f>
        <v>396639813</v>
      </c>
      <c r="AY26">
        <f>Population!AY2</f>
        <v>398834444</v>
      </c>
      <c r="AZ26">
        <f>Population!AZ2</f>
        <v>400876969</v>
      </c>
      <c r="BA26" s="11"/>
      <c r="BB26" s="11"/>
      <c r="BC26" s="11"/>
      <c r="BD26" s="11"/>
      <c r="BE26" s="11"/>
      <c r="BF26" s="11"/>
      <c r="BG26" s="11"/>
      <c r="BH26" s="11"/>
      <c r="BI26" s="11"/>
      <c r="BJ26" s="11"/>
      <c r="BK26" s="11"/>
      <c r="BL26" s="11"/>
      <c r="BM26" s="11"/>
      <c r="BN26" s="11"/>
      <c r="BO26" s="11"/>
      <c r="BP26" s="11"/>
      <c r="BQ26" s="11"/>
      <c r="BR26" s="11"/>
    </row>
    <row r="27" spans="1:70" x14ac:dyDescent="0.45">
      <c r="B27" t="str">
        <f>Population!B3</f>
        <v>Europe</v>
      </c>
      <c r="C27">
        <f>Population!C3</f>
        <v>352523340</v>
      </c>
      <c r="D27">
        <f>Population!D3</f>
        <v>354380167</v>
      </c>
      <c r="E27">
        <f>Population!E3</f>
        <v>356525869</v>
      </c>
      <c r="F27">
        <f>Population!F3</f>
        <v>358479989</v>
      </c>
      <c r="G27">
        <f>Population!G3</f>
        <v>360168508</v>
      </c>
      <c r="H27">
        <f>Population!H3</f>
        <v>361626683</v>
      </c>
      <c r="I27">
        <f>Population!I3</f>
        <v>362832453</v>
      </c>
      <c r="J27">
        <f>Population!J3</f>
        <v>363915529</v>
      </c>
      <c r="K27">
        <f>Population!K3</f>
        <v>365063315</v>
      </c>
      <c r="L27">
        <f>Population!L3</f>
        <v>366297652</v>
      </c>
      <c r="M27">
        <f>Population!M3</f>
        <v>367632581</v>
      </c>
      <c r="N27">
        <f>Population!N3</f>
        <v>368789225</v>
      </c>
      <c r="O27">
        <f>Population!O3</f>
        <v>369566216</v>
      </c>
      <c r="P27">
        <f>Population!P3</f>
        <v>370140396</v>
      </c>
      <c r="Q27">
        <f>Population!Q3</f>
        <v>370681780</v>
      </c>
      <c r="R27">
        <f>Population!R3</f>
        <v>371341667</v>
      </c>
      <c r="S27">
        <f>Population!S3</f>
        <v>372182432</v>
      </c>
      <c r="T27">
        <f>Population!T3</f>
        <v>373110431</v>
      </c>
      <c r="U27">
        <f>Population!U3</f>
        <v>374261202</v>
      </c>
      <c r="V27">
        <f>Population!V3</f>
        <v>375776290</v>
      </c>
      <c r="W27">
        <f>Population!W3</f>
        <v>377482147</v>
      </c>
      <c r="X27">
        <f>Population!X3</f>
        <v>379279008</v>
      </c>
      <c r="Y27">
        <f>Population!Y3</f>
        <v>381113938</v>
      </c>
      <c r="Z27">
        <f>Population!Z3</f>
        <v>382774026</v>
      </c>
      <c r="AA27">
        <f>Population!AA3</f>
        <v>384065274</v>
      </c>
      <c r="AB27">
        <f>Population!AB3</f>
        <v>385233932</v>
      </c>
      <c r="AC27">
        <f>Population!AC3</f>
        <v>386350660</v>
      </c>
      <c r="AD27">
        <f>Population!AD3</f>
        <v>387371322</v>
      </c>
      <c r="AE27">
        <f>Population!AE3</f>
        <v>388329611</v>
      </c>
      <c r="AF27">
        <f>Population!AF3</f>
        <v>389458614</v>
      </c>
      <c r="AG27">
        <f>Population!AG3</f>
        <v>390851830</v>
      </c>
      <c r="AH27">
        <f>Population!AH3</f>
        <v>392490902</v>
      </c>
      <c r="AI27">
        <f>Population!AI3</f>
        <v>394496198</v>
      </c>
      <c r="AJ27">
        <f>Population!AJ3</f>
        <v>396712346</v>
      </c>
      <c r="AK27">
        <f>Population!AK3</f>
        <v>399035868</v>
      </c>
      <c r="AL27">
        <f>Population!AL3</f>
        <v>401349595</v>
      </c>
      <c r="AM27">
        <f>Population!AM3</f>
        <v>403556265</v>
      </c>
      <c r="AN27">
        <f>Population!AN3</f>
        <v>406002921</v>
      </c>
      <c r="AO27">
        <f>Population!AO3</f>
        <v>408417385</v>
      </c>
      <c r="AP27">
        <f>Population!AP3</f>
        <v>410271027</v>
      </c>
      <c r="AQ27">
        <f>Population!AQ3</f>
        <v>411881365</v>
      </c>
      <c r="AR27">
        <f>Population!AR3</f>
        <v>411975159</v>
      </c>
      <c r="AS27">
        <f>Population!AS3</f>
        <v>413444361</v>
      </c>
      <c r="AT27">
        <f>Population!AT3</f>
        <v>415313661</v>
      </c>
      <c r="AU27">
        <f>Population!AU3</f>
        <v>417262970</v>
      </c>
      <c r="AV27">
        <f>Population!AV3</f>
        <v>419120937</v>
      </c>
      <c r="AW27">
        <f>Population!AW3</f>
        <v>420955451</v>
      </c>
      <c r="AX27">
        <f>Population!AX3</f>
        <v>422421007</v>
      </c>
      <c r="AY27">
        <f>Population!AY3</f>
        <v>423767698</v>
      </c>
      <c r="AZ27">
        <f>Population!AZ3</f>
        <v>425130475</v>
      </c>
      <c r="BA27" s="11"/>
      <c r="BB27" s="11"/>
      <c r="BC27" s="11"/>
      <c r="BD27" s="11"/>
      <c r="BE27" s="11"/>
      <c r="BF27" s="11"/>
      <c r="BG27" s="11"/>
      <c r="BH27" s="11"/>
      <c r="BI27" s="11"/>
      <c r="BJ27" s="11"/>
      <c r="BK27" s="11"/>
      <c r="BL27" s="11"/>
      <c r="BM27" s="11"/>
      <c r="BN27" s="11"/>
      <c r="BO27" s="11"/>
      <c r="BP27" s="11"/>
      <c r="BQ27" s="11"/>
      <c r="BR27" s="11"/>
    </row>
    <row r="28" spans="1:70" x14ac:dyDescent="0.45">
      <c r="B28" t="str">
        <f>Population!B4</f>
        <v>Latin America and Caribbean</v>
      </c>
      <c r="C28">
        <f>Population!C4</f>
        <v>264745803</v>
      </c>
      <c r="D28">
        <f>Population!D4</f>
        <v>271271695</v>
      </c>
      <c r="E28">
        <f>Population!E4</f>
        <v>277866946</v>
      </c>
      <c r="F28">
        <f>Population!F4</f>
        <v>284541420</v>
      </c>
      <c r="G28">
        <f>Population!G4</f>
        <v>291307475</v>
      </c>
      <c r="H28">
        <f>Population!H4</f>
        <v>298174333</v>
      </c>
      <c r="I28">
        <f>Population!I4</f>
        <v>305141349</v>
      </c>
      <c r="J28">
        <f>Population!J4</f>
        <v>312204863</v>
      </c>
      <c r="K28">
        <f>Population!K4</f>
        <v>319374750</v>
      </c>
      <c r="L28">
        <f>Population!L4</f>
        <v>326663322</v>
      </c>
      <c r="M28">
        <f>Population!M4</f>
        <v>334074361</v>
      </c>
      <c r="N28">
        <f>Population!N4</f>
        <v>341610429</v>
      </c>
      <c r="O28">
        <f>Population!O4</f>
        <v>349256196</v>
      </c>
      <c r="P28">
        <f>Population!P4</f>
        <v>356970071</v>
      </c>
      <c r="Q28">
        <f>Population!Q4</f>
        <v>364699099</v>
      </c>
      <c r="R28">
        <f>Population!R4</f>
        <v>372403579</v>
      </c>
      <c r="S28">
        <f>Population!S4</f>
        <v>380064152</v>
      </c>
      <c r="T28">
        <f>Population!T4</f>
        <v>387683742</v>
      </c>
      <c r="U28">
        <f>Population!U4</f>
        <v>395271908</v>
      </c>
      <c r="V28">
        <f>Population!V4</f>
        <v>402847964</v>
      </c>
      <c r="W28">
        <f>Population!W4</f>
        <v>410423423</v>
      </c>
      <c r="X28">
        <f>Population!X4</f>
        <v>417985097</v>
      </c>
      <c r="Y28">
        <f>Population!Y4</f>
        <v>425521967</v>
      </c>
      <c r="Z28">
        <f>Population!Z4</f>
        <v>433038145</v>
      </c>
      <c r="AA28">
        <f>Population!AA4</f>
        <v>440526270</v>
      </c>
      <c r="AB28">
        <f>Population!AB4</f>
        <v>447978332</v>
      </c>
      <c r="AC28">
        <f>Population!AC4</f>
        <v>455402618</v>
      </c>
      <c r="AD28">
        <f>Population!AD4</f>
        <v>462775880</v>
      </c>
      <c r="AE28">
        <f>Population!AE4</f>
        <v>470065694</v>
      </c>
      <c r="AF28">
        <f>Population!AF4</f>
        <v>477242705</v>
      </c>
      <c r="AG28">
        <f>Population!AG4</f>
        <v>484280385</v>
      </c>
      <c r="AH28">
        <f>Population!AH4</f>
        <v>491161601</v>
      </c>
      <c r="AI28">
        <f>Population!AI4</f>
        <v>497887352</v>
      </c>
      <c r="AJ28">
        <f>Population!AJ4</f>
        <v>504482138</v>
      </c>
      <c r="AK28">
        <f>Population!AK4</f>
        <v>510992626</v>
      </c>
      <c r="AL28">
        <f>Population!AL4</f>
        <v>517444384</v>
      </c>
      <c r="AM28">
        <f>Population!AM4</f>
        <v>523845809</v>
      </c>
      <c r="AN28">
        <f>Population!AN4</f>
        <v>530198817</v>
      </c>
      <c r="AO28">
        <f>Population!AO4</f>
        <v>536505123</v>
      </c>
      <c r="AP28">
        <f>Population!AP4</f>
        <v>542756119</v>
      </c>
      <c r="AQ28">
        <f>Population!AQ4</f>
        <v>548840666</v>
      </c>
      <c r="AR28">
        <f>Population!AR4</f>
        <v>554978981</v>
      </c>
      <c r="AS28">
        <f>Population!AS4</f>
        <v>561034180</v>
      </c>
      <c r="AT28">
        <f>Population!AT4</f>
        <v>567080741</v>
      </c>
      <c r="AU28">
        <f>Population!AU4</f>
        <v>573188866</v>
      </c>
      <c r="AV28">
        <f>Population!AV4</f>
        <v>579423766</v>
      </c>
      <c r="AW28">
        <f>Population!AW4</f>
        <v>585824021</v>
      </c>
      <c r="AX28">
        <f>Population!AX4</f>
        <v>592328774</v>
      </c>
      <c r="AY28">
        <f>Population!AY4</f>
        <v>598753741</v>
      </c>
      <c r="AZ28">
        <f>Population!AZ4</f>
        <v>605084978</v>
      </c>
      <c r="BA28" s="11"/>
      <c r="BB28" s="11"/>
      <c r="BC28" s="11"/>
      <c r="BD28" s="11"/>
      <c r="BE28" s="11"/>
      <c r="BF28" s="11"/>
      <c r="BG28" s="11"/>
      <c r="BH28" s="11"/>
      <c r="BI28" s="11"/>
      <c r="BJ28" s="11"/>
      <c r="BK28" s="11"/>
      <c r="BL28" s="11"/>
      <c r="BM28" s="11"/>
      <c r="BN28" s="11"/>
      <c r="BO28" s="11"/>
      <c r="BP28" s="11"/>
      <c r="BQ28" s="11"/>
      <c r="BR28" s="11"/>
    </row>
    <row r="29" spans="1:70" x14ac:dyDescent="0.45">
      <c r="B29" t="str">
        <f>Population!B5</f>
        <v>Middle East and North Africa</v>
      </c>
      <c r="C29">
        <f>Population!C5</f>
        <v>79944069</v>
      </c>
      <c r="D29">
        <f>Population!D5</f>
        <v>82038620</v>
      </c>
      <c r="E29">
        <f>Population!E5</f>
        <v>84178829</v>
      </c>
      <c r="F29">
        <f>Population!F5</f>
        <v>86436931</v>
      </c>
      <c r="G29">
        <f>Population!G5</f>
        <v>88736910</v>
      </c>
      <c r="H29">
        <f>Population!H5</f>
        <v>91094581</v>
      </c>
      <c r="I29">
        <f>Population!I5</f>
        <v>93524052</v>
      </c>
      <c r="J29">
        <f>Population!J5</f>
        <v>96029758</v>
      </c>
      <c r="K29">
        <f>Population!K5</f>
        <v>98631823</v>
      </c>
      <c r="L29">
        <f>Population!L5</f>
        <v>101385333</v>
      </c>
      <c r="M29">
        <f>Population!M5</f>
        <v>104285540</v>
      </c>
      <c r="N29">
        <f>Population!N5</f>
        <v>107332023</v>
      </c>
      <c r="O29">
        <f>Population!O5</f>
        <v>110512815</v>
      </c>
      <c r="P29">
        <f>Population!P5</f>
        <v>113774980</v>
      </c>
      <c r="Q29">
        <f>Population!Q5</f>
        <v>117024550</v>
      </c>
      <c r="R29">
        <f>Population!R5</f>
        <v>120244553</v>
      </c>
      <c r="S29">
        <f>Population!S5</f>
        <v>123383472</v>
      </c>
      <c r="T29">
        <f>Population!T5</f>
        <v>126457730</v>
      </c>
      <c r="U29">
        <f>Population!U5</f>
        <v>129471348</v>
      </c>
      <c r="V29">
        <f>Population!V5</f>
        <v>132439961</v>
      </c>
      <c r="W29">
        <f>Population!W5</f>
        <v>135436532</v>
      </c>
      <c r="X29">
        <f>Population!X5</f>
        <v>138544795</v>
      </c>
      <c r="Y29">
        <f>Population!Y5</f>
        <v>141491508</v>
      </c>
      <c r="Z29">
        <f>Population!Z5</f>
        <v>144336858</v>
      </c>
      <c r="AA29">
        <f>Population!AA5</f>
        <v>147092261</v>
      </c>
      <c r="AB29">
        <f>Population!AB5</f>
        <v>149751953</v>
      </c>
      <c r="AC29">
        <f>Population!AC5</f>
        <v>152302994</v>
      </c>
      <c r="AD29">
        <f>Population!AD5</f>
        <v>154758147</v>
      </c>
      <c r="AE29">
        <f>Population!AE5</f>
        <v>157148899</v>
      </c>
      <c r="AF29">
        <f>Population!AF5</f>
        <v>159554330</v>
      </c>
      <c r="AG29">
        <f>Population!AG5</f>
        <v>162005275</v>
      </c>
      <c r="AH29">
        <f>Population!AH5</f>
        <v>164500595</v>
      </c>
      <c r="AI29">
        <f>Population!AI5</f>
        <v>167036665</v>
      </c>
      <c r="AJ29">
        <f>Population!AJ5</f>
        <v>169614231</v>
      </c>
      <c r="AK29">
        <f>Population!AK5</f>
        <v>172227782</v>
      </c>
      <c r="AL29">
        <f>Population!AL5</f>
        <v>174873062</v>
      </c>
      <c r="AM29">
        <f>Population!AM5</f>
        <v>177536474</v>
      </c>
      <c r="AN29">
        <f>Population!AN5</f>
        <v>180239072</v>
      </c>
      <c r="AO29">
        <f>Population!AO5</f>
        <v>183048764</v>
      </c>
      <c r="AP29">
        <f>Population!AP5</f>
        <v>186102152</v>
      </c>
      <c r="AQ29">
        <f>Population!AQ5</f>
        <v>189369574</v>
      </c>
      <c r="AR29">
        <f>Population!AR5</f>
        <v>192913630</v>
      </c>
      <c r="AS29">
        <f>Population!AS5</f>
        <v>196689521</v>
      </c>
      <c r="AT29">
        <f>Population!AT5</f>
        <v>200614158</v>
      </c>
      <c r="AU29">
        <f>Population!AU5</f>
        <v>204571095</v>
      </c>
      <c r="AV29">
        <f>Population!AV5</f>
        <v>208466101</v>
      </c>
      <c r="AW29">
        <f>Population!AW5</f>
        <v>212271165</v>
      </c>
      <c r="AX29">
        <f>Population!AX5</f>
        <v>215984210</v>
      </c>
      <c r="AY29">
        <f>Population!AY5</f>
        <v>219554727</v>
      </c>
      <c r="AZ29">
        <f>Population!AZ5</f>
        <v>222945973</v>
      </c>
      <c r="BA29" s="11"/>
      <c r="BB29" s="11"/>
      <c r="BC29" s="11"/>
      <c r="BD29" s="11"/>
      <c r="BE29" s="11"/>
      <c r="BF29" s="11"/>
      <c r="BG29" s="11"/>
      <c r="BH29" s="11"/>
      <c r="BI29" s="11"/>
      <c r="BJ29" s="11"/>
      <c r="BK29" s="11"/>
      <c r="BL29" s="11"/>
      <c r="BM29" s="11"/>
      <c r="BN29" s="11"/>
      <c r="BO29" s="11"/>
      <c r="BP29" s="11"/>
      <c r="BQ29" s="11"/>
      <c r="BR29" s="11"/>
    </row>
    <row r="30" spans="1:70" x14ac:dyDescent="0.45">
      <c r="B30" t="str">
        <f>Population!B6</f>
        <v>North America</v>
      </c>
      <c r="C30">
        <f>Population!C6</f>
        <v>226376000</v>
      </c>
      <c r="D30">
        <f>Population!D6</f>
        <v>229623024</v>
      </c>
      <c r="E30">
        <f>Population!E6</f>
        <v>232114464</v>
      </c>
      <c r="F30">
        <f>Population!F6</f>
        <v>234400768</v>
      </c>
      <c r="G30">
        <f>Population!G6</f>
        <v>236661968</v>
      </c>
      <c r="H30">
        <f>Population!H6</f>
        <v>239116268</v>
      </c>
      <c r="I30">
        <f>Population!I6</f>
        <v>241484816</v>
      </c>
      <c r="J30">
        <f>Population!J6</f>
        <v>243964852</v>
      </c>
      <c r="K30">
        <f>Population!K6</f>
        <v>246548196</v>
      </c>
      <c r="L30">
        <f>Population!L6</f>
        <v>249256552</v>
      </c>
      <c r="M30">
        <f>Population!M6</f>
        <v>251740660</v>
      </c>
      <c r="N30">
        <f>Population!N6</f>
        <v>254285916</v>
      </c>
      <c r="O30">
        <f>Population!O6</f>
        <v>256780942</v>
      </c>
      <c r="P30">
        <f>Population!P6</f>
        <v>259158452</v>
      </c>
      <c r="Q30">
        <f>Population!Q6</f>
        <v>261432044</v>
      </c>
      <c r="R30">
        <f>Population!R6</f>
        <v>263766116</v>
      </c>
      <c r="S30">
        <f>Population!S6</f>
        <v>266233270</v>
      </c>
      <c r="T30">
        <f>Population!T6</f>
        <v>268735592</v>
      </c>
      <c r="U30">
        <f>Population!U6</f>
        <v>271290756</v>
      </c>
      <c r="V30">
        <f>Population!V6</f>
        <v>274095788</v>
      </c>
      <c r="W30">
        <f>Population!W6</f>
        <v>277314146</v>
      </c>
      <c r="X30">
        <f>Population!X6</f>
        <v>281018412</v>
      </c>
      <c r="Y30">
        <f>Population!Y6</f>
        <v>284885264</v>
      </c>
      <c r="Z30">
        <f>Population!Z6</f>
        <v>288603772</v>
      </c>
      <c r="AA30">
        <f>Population!AA6</f>
        <v>292126664</v>
      </c>
      <c r="AB30">
        <f>Population!AB6</f>
        <v>295580312</v>
      </c>
      <c r="AC30">
        <f>Population!AC6</f>
        <v>299004202</v>
      </c>
      <c r="AD30">
        <f>Population!AD6</f>
        <v>302562940</v>
      </c>
      <c r="AE30">
        <f>Population!AE6</f>
        <v>306009188</v>
      </c>
      <c r="AF30">
        <f>Population!AF6</f>
        <v>309441286</v>
      </c>
      <c r="AG30">
        <f>Population!AG6</f>
        <v>312848130</v>
      </c>
      <c r="AH30">
        <f>Population!AH6</f>
        <v>315989862</v>
      </c>
      <c r="AI30">
        <f>Population!AI6</f>
        <v>318985264</v>
      </c>
      <c r="AJ30">
        <f>Population!AJ6</f>
        <v>321751964</v>
      </c>
      <c r="AK30">
        <f>Population!AK6</f>
        <v>324745968</v>
      </c>
      <c r="AL30">
        <f>Population!AL6</f>
        <v>327760360</v>
      </c>
      <c r="AM30">
        <f>Population!AM6</f>
        <v>330951078</v>
      </c>
      <c r="AN30">
        <f>Population!AN6</f>
        <v>334120224</v>
      </c>
      <c r="AO30">
        <f>Population!AO6</f>
        <v>337341070</v>
      </c>
      <c r="AP30">
        <f>Population!AP6</f>
        <v>340400416</v>
      </c>
      <c r="AQ30">
        <f>Population!AQ6</f>
        <v>343326552</v>
      </c>
      <c r="AR30">
        <f>Population!AR6</f>
        <v>345896192</v>
      </c>
      <c r="AS30">
        <f>Population!AS6</f>
        <v>348545200</v>
      </c>
      <c r="AT30">
        <f>Population!AT6</f>
        <v>351076680</v>
      </c>
      <c r="AU30">
        <f>Population!AU6</f>
        <v>353738428</v>
      </c>
      <c r="AV30">
        <f>Population!AV6</f>
        <v>356338076</v>
      </c>
      <c r="AW30">
        <f>Population!AW6</f>
        <v>359050800</v>
      </c>
      <c r="AX30">
        <f>Population!AX6</f>
        <v>361528856</v>
      </c>
      <c r="AY30">
        <f>Population!AY6</f>
        <v>363745252</v>
      </c>
      <c r="AZ30">
        <f>Population!AZ6</f>
        <v>365828784</v>
      </c>
      <c r="BA30" s="11"/>
      <c r="BB30" s="11"/>
      <c r="BC30" s="11"/>
      <c r="BD30" s="11"/>
      <c r="BE30" s="11"/>
      <c r="BF30" s="11"/>
      <c r="BG30" s="11"/>
      <c r="BH30" s="11"/>
      <c r="BI30" s="11"/>
      <c r="BJ30" s="11"/>
      <c r="BK30" s="11"/>
      <c r="BL30" s="11"/>
      <c r="BM30" s="11"/>
      <c r="BN30" s="11"/>
      <c r="BO30" s="11"/>
      <c r="BP30" s="11"/>
      <c r="BQ30" s="11"/>
      <c r="BR30" s="11"/>
    </row>
    <row r="31" spans="1:70" x14ac:dyDescent="0.45">
      <c r="B31" t="str">
        <f>Population!B7</f>
        <v>Pacific</v>
      </c>
      <c r="C31">
        <f>Population!C7</f>
        <v>18672534</v>
      </c>
      <c r="D31">
        <f>Population!D7</f>
        <v>19223147</v>
      </c>
      <c r="E31">
        <f>Population!E7</f>
        <v>19594663</v>
      </c>
      <c r="F31">
        <f>Population!F7</f>
        <v>19938193</v>
      </c>
      <c r="G31">
        <f>Population!G7</f>
        <v>20429497</v>
      </c>
      <c r="H31">
        <f>Population!H7</f>
        <v>20747785</v>
      </c>
      <c r="I31">
        <f>Population!I7</f>
        <v>21006810</v>
      </c>
      <c r="J31">
        <f>Population!J7</f>
        <v>21269893</v>
      </c>
      <c r="K31">
        <f>Population!K7</f>
        <v>21534819</v>
      </c>
      <c r="L31">
        <f>Population!L7</f>
        <v>21781146</v>
      </c>
      <c r="M31">
        <f>Population!M7</f>
        <v>22070713</v>
      </c>
      <c r="N31">
        <f>Population!N7</f>
        <v>22431129</v>
      </c>
      <c r="O31">
        <f>Population!O7</f>
        <v>22831750</v>
      </c>
      <c r="P31">
        <f>Population!P7</f>
        <v>23187022</v>
      </c>
      <c r="Q31">
        <f>Population!Q7</f>
        <v>23510283</v>
      </c>
      <c r="R31">
        <f>Population!R7</f>
        <v>23861891</v>
      </c>
      <c r="S31">
        <f>Population!S7</f>
        <v>24235343</v>
      </c>
      <c r="T31">
        <f>Population!T7</f>
        <v>24619894</v>
      </c>
      <c r="U31">
        <f>Population!U7</f>
        <v>25006943</v>
      </c>
      <c r="V31">
        <f>Population!V7</f>
        <v>25416038</v>
      </c>
      <c r="W31">
        <f>Population!W7</f>
        <v>25811712</v>
      </c>
      <c r="X31">
        <f>Population!X7</f>
        <v>26313740</v>
      </c>
      <c r="Y31">
        <f>Population!Y7</f>
        <v>26682152</v>
      </c>
      <c r="Z31">
        <f>Population!Z7</f>
        <v>27018930</v>
      </c>
      <c r="AA31">
        <f>Population!AA7</f>
        <v>27382940</v>
      </c>
      <c r="AB31">
        <f>Population!AB7</f>
        <v>27785608</v>
      </c>
      <c r="AC31">
        <f>Population!AC7</f>
        <v>28220537</v>
      </c>
      <c r="AD31">
        <f>Population!AD7</f>
        <v>28617864</v>
      </c>
      <c r="AE31">
        <f>Population!AE7</f>
        <v>28989475</v>
      </c>
      <c r="AF31">
        <f>Population!AF7</f>
        <v>29366536</v>
      </c>
      <c r="AG31">
        <f>Population!AG7</f>
        <v>29753688</v>
      </c>
      <c r="AH31">
        <f>Population!AH7</f>
        <v>30167903</v>
      </c>
      <c r="AI31">
        <f>Population!AI7</f>
        <v>30601083</v>
      </c>
      <c r="AJ31">
        <f>Population!AJ7</f>
        <v>31050888</v>
      </c>
      <c r="AK31">
        <f>Population!AK7</f>
        <v>31477504</v>
      </c>
      <c r="AL31">
        <f>Population!AL7</f>
        <v>31937532</v>
      </c>
      <c r="AM31">
        <f>Population!AM7</f>
        <v>32451608</v>
      </c>
      <c r="AN31">
        <f>Population!AN7</f>
        <v>32792631</v>
      </c>
      <c r="AO31">
        <f>Population!AO7</f>
        <v>33429323</v>
      </c>
      <c r="AP31">
        <f>Population!AP7</f>
        <v>34093643</v>
      </c>
      <c r="AQ31">
        <f>Population!AQ7</f>
        <v>34655702</v>
      </c>
      <c r="AR31">
        <f>Population!AR7</f>
        <v>35164401</v>
      </c>
      <c r="AS31">
        <f>Population!AS7</f>
        <v>35744005</v>
      </c>
      <c r="AT31">
        <f>Population!AT7</f>
        <v>36332105</v>
      </c>
      <c r="AU31">
        <f>Population!AU7</f>
        <v>36907961</v>
      </c>
      <c r="AV31">
        <f>Population!AV7</f>
        <v>37499028</v>
      </c>
      <c r="AW31">
        <f>Population!AW7</f>
        <v>38140791</v>
      </c>
      <c r="AX31">
        <f>Population!AX7</f>
        <v>38825406</v>
      </c>
      <c r="AY31">
        <f>Population!AY7</f>
        <v>39429334</v>
      </c>
      <c r="AZ31">
        <f>Population!AZ7</f>
        <v>40064976</v>
      </c>
      <c r="BA31" s="11"/>
      <c r="BB31" s="11"/>
      <c r="BC31" s="11"/>
      <c r="BD31" s="11"/>
      <c r="BE31" s="11"/>
      <c r="BF31" s="11"/>
      <c r="BG31" s="11"/>
      <c r="BH31" s="11"/>
      <c r="BI31" s="11"/>
      <c r="BJ31" s="11"/>
      <c r="BK31" s="11"/>
      <c r="BL31" s="11"/>
      <c r="BM31" s="11"/>
      <c r="BN31" s="11"/>
      <c r="BO31" s="11"/>
      <c r="BP31" s="11"/>
      <c r="BQ31" s="11"/>
      <c r="BR31" s="11"/>
    </row>
    <row r="32" spans="1:70" x14ac:dyDescent="0.45">
      <c r="B32" t="str">
        <f>Population!B8</f>
        <v>South Asia</v>
      </c>
      <c r="C32">
        <f>Population!C8</f>
        <v>702124666</v>
      </c>
      <c r="D32">
        <f>Population!D8</f>
        <v>718205947</v>
      </c>
      <c r="E32">
        <f>Population!E8</f>
        <v>734680295</v>
      </c>
      <c r="F32">
        <f>Population!F8</f>
        <v>751611290</v>
      </c>
      <c r="G32">
        <f>Population!G8</f>
        <v>769084051</v>
      </c>
      <c r="H32">
        <f>Population!H8</f>
        <v>787161607</v>
      </c>
      <c r="I32">
        <f>Population!I8</f>
        <v>805849162</v>
      </c>
      <c r="J32">
        <f>Population!J8</f>
        <v>825132551</v>
      </c>
      <c r="K32">
        <f>Population!K8</f>
        <v>845028395</v>
      </c>
      <c r="L32">
        <f>Population!L8</f>
        <v>865551295</v>
      </c>
      <c r="M32">
        <f>Population!M8</f>
        <v>886698900</v>
      </c>
      <c r="N32">
        <f>Population!N8</f>
        <v>908473053</v>
      </c>
      <c r="O32">
        <f>Population!O8</f>
        <v>930833862</v>
      </c>
      <c r="P32">
        <f>Population!P8</f>
        <v>953682628</v>
      </c>
      <c r="Q32">
        <f>Population!Q8</f>
        <v>976889592</v>
      </c>
      <c r="R32">
        <f>Population!R8</f>
        <v>1000350286</v>
      </c>
      <c r="S32">
        <f>Population!S8</f>
        <v>1024026739</v>
      </c>
      <c r="T32">
        <f>Population!T8</f>
        <v>1047906668</v>
      </c>
      <c r="U32">
        <f>Population!U8</f>
        <v>1071943820</v>
      </c>
      <c r="V32">
        <f>Population!V8</f>
        <v>1096094812</v>
      </c>
      <c r="W32">
        <f>Population!W8</f>
        <v>1120328946</v>
      </c>
      <c r="X32">
        <f>Population!X8</f>
        <v>1144592224</v>
      </c>
      <c r="Y32">
        <f>Population!Y8</f>
        <v>1168876980</v>
      </c>
      <c r="Z32">
        <f>Population!Z8</f>
        <v>1193255968</v>
      </c>
      <c r="AA32">
        <f>Population!AA8</f>
        <v>1217837676</v>
      </c>
      <c r="AB32">
        <f>Population!AB8</f>
        <v>1242688312</v>
      </c>
      <c r="AC32">
        <f>Population!AC8</f>
        <v>1267822112</v>
      </c>
      <c r="AD32">
        <f>Population!AD8</f>
        <v>1293173700</v>
      </c>
      <c r="AE32">
        <f>Population!AE8</f>
        <v>1318632116</v>
      </c>
      <c r="AF32">
        <f>Population!AF8</f>
        <v>1344045696</v>
      </c>
      <c r="AG32">
        <f>Population!AG8</f>
        <v>1369295702</v>
      </c>
      <c r="AH32">
        <f>Population!AH8</f>
        <v>1394326004</v>
      </c>
      <c r="AI32">
        <f>Population!AI8</f>
        <v>1419133142</v>
      </c>
      <c r="AJ32">
        <f>Population!AJ8</f>
        <v>1443713084</v>
      </c>
      <c r="AK32">
        <f>Population!AK8</f>
        <v>1468081056</v>
      </c>
      <c r="AL32">
        <f>Population!AL8</f>
        <v>1492238976</v>
      </c>
      <c r="AM32">
        <f>Population!AM8</f>
        <v>1516192792</v>
      </c>
      <c r="AN32">
        <f>Population!AN8</f>
        <v>1539902592</v>
      </c>
      <c r="AO32">
        <f>Population!AO8</f>
        <v>1563273536</v>
      </c>
      <c r="AP32">
        <f>Population!AP8</f>
        <v>1586183668</v>
      </c>
      <c r="AQ32">
        <f>Population!AQ8</f>
        <v>1608556228</v>
      </c>
      <c r="AR32">
        <f>Population!AR8</f>
        <v>1630343242</v>
      </c>
      <c r="AS32">
        <f>Population!AS8</f>
        <v>1651486926</v>
      </c>
      <c r="AT32">
        <f>Population!AT8</f>
        <v>1672376570</v>
      </c>
      <c r="AU32">
        <f>Population!AU8</f>
        <v>1693116142</v>
      </c>
      <c r="AV32">
        <f>Population!AV8</f>
        <v>1713820712</v>
      </c>
      <c r="AW32">
        <f>Population!AW8</f>
        <v>1734571828</v>
      </c>
      <c r="AX32">
        <f>Population!AX8</f>
        <v>1755297220</v>
      </c>
      <c r="AY32">
        <f>Population!AY8</f>
        <v>1775946272</v>
      </c>
      <c r="AZ32">
        <f>Population!AZ8</f>
        <v>1796440974</v>
      </c>
      <c r="BA32" s="11"/>
      <c r="BB32" s="11"/>
      <c r="BC32" s="11"/>
      <c r="BD32" s="11"/>
      <c r="BE32" s="11"/>
      <c r="BF32" s="11"/>
      <c r="BG32" s="11"/>
      <c r="BH32" s="11"/>
      <c r="BI32" s="11"/>
      <c r="BJ32" s="11"/>
      <c r="BK32" s="11"/>
      <c r="BL32" s="11"/>
      <c r="BM32" s="11"/>
      <c r="BN32" s="11"/>
      <c r="BO32" s="11"/>
      <c r="BP32" s="11"/>
      <c r="BQ32" s="11"/>
      <c r="BR32" s="11"/>
    </row>
    <row r="33" spans="1:70" x14ac:dyDescent="0.45">
      <c r="B33" t="str">
        <f>Population!B9</f>
        <v>Sub-Saharan Africa</v>
      </c>
      <c r="C33">
        <f>Population!C9</f>
        <v>207931377</v>
      </c>
      <c r="D33">
        <f>Population!D9</f>
        <v>213500479</v>
      </c>
      <c r="E33">
        <f>Population!E9</f>
        <v>219275051</v>
      </c>
      <c r="F33">
        <f>Population!F9</f>
        <v>225277809</v>
      </c>
      <c r="G33">
        <f>Population!G9</f>
        <v>231538918</v>
      </c>
      <c r="H33">
        <f>Population!H9</f>
        <v>238079338</v>
      </c>
      <c r="I33">
        <f>Population!I9</f>
        <v>244911902</v>
      </c>
      <c r="J33">
        <f>Population!J9</f>
        <v>252032162</v>
      </c>
      <c r="K33">
        <f>Population!K9</f>
        <v>259419819</v>
      </c>
      <c r="L33">
        <f>Population!L9</f>
        <v>267046509</v>
      </c>
      <c r="M33">
        <f>Population!M9</f>
        <v>274891687</v>
      </c>
      <c r="N33">
        <f>Population!N9</f>
        <v>282937724</v>
      </c>
      <c r="O33">
        <f>Population!O9</f>
        <v>291191773</v>
      </c>
      <c r="P33">
        <f>Population!P9</f>
        <v>299687983</v>
      </c>
      <c r="Q33">
        <f>Population!Q9</f>
        <v>308476046</v>
      </c>
      <c r="R33">
        <f>Population!R9</f>
        <v>317583834</v>
      </c>
      <c r="S33">
        <f>Population!S9</f>
        <v>327030010</v>
      </c>
      <c r="T33">
        <f>Population!T9</f>
        <v>336786337</v>
      </c>
      <c r="U33">
        <f>Population!U9</f>
        <v>346765664</v>
      </c>
      <c r="V33">
        <f>Population!V9</f>
        <v>356858679</v>
      </c>
      <c r="W33">
        <f>Population!W9</f>
        <v>366985886</v>
      </c>
      <c r="X33">
        <f>Population!X9</f>
        <v>377122686</v>
      </c>
      <c r="Y33">
        <f>Population!Y9</f>
        <v>387295102</v>
      </c>
      <c r="Z33">
        <f>Population!Z9</f>
        <v>397544053</v>
      </c>
      <c r="AA33">
        <f>Population!AA9</f>
        <v>407931153</v>
      </c>
      <c r="AB33">
        <f>Population!AB9</f>
        <v>418505901</v>
      </c>
      <c r="AC33">
        <f>Population!AC9</f>
        <v>429289214</v>
      </c>
      <c r="AD33">
        <f>Population!AD9</f>
        <v>440283861</v>
      </c>
      <c r="AE33">
        <f>Population!AE9</f>
        <v>451506408</v>
      </c>
      <c r="AF33">
        <f>Population!AF9</f>
        <v>462970100</v>
      </c>
      <c r="AG33">
        <f>Population!AG9</f>
        <v>474692339</v>
      </c>
      <c r="AH33">
        <f>Population!AH9</f>
        <v>486685956</v>
      </c>
      <c r="AI33">
        <f>Population!AI9</f>
        <v>498982627</v>
      </c>
      <c r="AJ33">
        <f>Population!AJ9</f>
        <v>511629795</v>
      </c>
      <c r="AK33">
        <f>Population!AK9</f>
        <v>524695911</v>
      </c>
      <c r="AL33">
        <f>Population!AL9</f>
        <v>538230556</v>
      </c>
      <c r="AM33">
        <f>Population!AM9</f>
        <v>552254224</v>
      </c>
      <c r="AN33">
        <f>Population!AN9</f>
        <v>566765082</v>
      </c>
      <c r="AO33">
        <f>Population!AO9</f>
        <v>581770198</v>
      </c>
      <c r="AP33">
        <f>Population!AP9</f>
        <v>597263035</v>
      </c>
      <c r="AQ33">
        <f>Population!AQ9</f>
        <v>613240790</v>
      </c>
      <c r="AR33">
        <f>Population!AR9</f>
        <v>629703046</v>
      </c>
      <c r="AS33">
        <f>Population!AS9</f>
        <v>646651458</v>
      </c>
      <c r="AT33">
        <f>Population!AT9</f>
        <v>664046025</v>
      </c>
      <c r="AU33">
        <f>Population!AU9</f>
        <v>681835202</v>
      </c>
      <c r="AV33">
        <f>Population!AV9</f>
        <v>699980876</v>
      </c>
      <c r="AW33">
        <f>Population!AW9</f>
        <v>718465751</v>
      </c>
      <c r="AX33">
        <f>Population!AX9</f>
        <v>737291295</v>
      </c>
      <c r="AY33">
        <f>Population!AY9</f>
        <v>756454938</v>
      </c>
      <c r="AZ33">
        <f>Population!AZ9</f>
        <v>775969930</v>
      </c>
      <c r="BA33" s="11"/>
      <c r="BB33" s="11"/>
      <c r="BC33" s="11"/>
      <c r="BD33" s="11"/>
      <c r="BE33" s="11"/>
      <c r="BF33" s="11"/>
      <c r="BG33" s="11"/>
      <c r="BH33" s="11"/>
      <c r="BI33" s="11"/>
      <c r="BJ33" s="11"/>
      <c r="BK33" s="11"/>
      <c r="BL33" s="11"/>
      <c r="BM33" s="11"/>
      <c r="BN33" s="11"/>
      <c r="BO33" s="11"/>
      <c r="BP33" s="11"/>
      <c r="BQ33" s="11"/>
      <c r="BR33" s="11"/>
    </row>
    <row r="34" spans="1:70" x14ac:dyDescent="0.45">
      <c r="B34" t="str">
        <f>Population!B10</f>
        <v>World</v>
      </c>
      <c r="C34">
        <f>Population!C10</f>
        <v>2896744391</v>
      </c>
      <c r="D34">
        <f>Population!D10</f>
        <v>2959961396</v>
      </c>
      <c r="E34">
        <f>Population!E10</f>
        <v>3021541816</v>
      </c>
      <c r="F34">
        <f>Population!F10</f>
        <v>3082018106</v>
      </c>
      <c r="G34">
        <f>Population!G10</f>
        <v>3143006883</v>
      </c>
      <c r="H34">
        <f>Population!H10</f>
        <v>3202114770</v>
      </c>
      <c r="I34">
        <f>Population!I10</f>
        <v>3259158973</v>
      </c>
      <c r="J34">
        <f>Population!J10</f>
        <v>3316014008</v>
      </c>
      <c r="K34">
        <f>Population!K10</f>
        <v>3374028796</v>
      </c>
      <c r="L34">
        <f>Population!L10</f>
        <v>3433645868</v>
      </c>
      <c r="M34">
        <f>Population!M10</f>
        <v>3493542572</v>
      </c>
      <c r="N34">
        <f>Population!N10</f>
        <v>3554965144</v>
      </c>
      <c r="O34">
        <f>Population!O10</f>
        <v>3619040563</v>
      </c>
      <c r="P34">
        <f>Population!P10</f>
        <v>3683509373</v>
      </c>
      <c r="Q34">
        <f>Population!Q10</f>
        <v>3747206701</v>
      </c>
      <c r="R34">
        <f>Population!R10</f>
        <v>3812245478</v>
      </c>
      <c r="S34">
        <f>Population!S10</f>
        <v>3879688262</v>
      </c>
      <c r="T34">
        <f>Population!T10</f>
        <v>3949135031</v>
      </c>
      <c r="U34">
        <f>Population!U10</f>
        <v>4019468533</v>
      </c>
      <c r="V34">
        <f>Population!V10</f>
        <v>4090003553</v>
      </c>
      <c r="W34">
        <f>Population!W10</f>
        <v>4160608900</v>
      </c>
      <c r="X34">
        <f>Population!X10</f>
        <v>4230946965</v>
      </c>
      <c r="Y34">
        <f>Population!Y10</f>
        <v>4299678845</v>
      </c>
      <c r="Z34">
        <f>Population!Z10</f>
        <v>4367373361</v>
      </c>
      <c r="AA34">
        <f>Population!AA10</f>
        <v>4434887858</v>
      </c>
      <c r="AB34">
        <f>Population!AB10</f>
        <v>4502330956</v>
      </c>
      <c r="AC34">
        <f>Population!AC10</f>
        <v>4569879721</v>
      </c>
      <c r="AD34">
        <f>Population!AD10</f>
        <v>4637354896</v>
      </c>
      <c r="AE34">
        <f>Population!AE10</f>
        <v>4704145558</v>
      </c>
      <c r="AF34">
        <f>Population!AF10</f>
        <v>4769912940</v>
      </c>
      <c r="AG34">
        <f>Population!AG10</f>
        <v>4835054988</v>
      </c>
      <c r="AH34">
        <f>Population!AH10</f>
        <v>4899465471</v>
      </c>
      <c r="AI34">
        <f>Population!AI10</f>
        <v>4963174853</v>
      </c>
      <c r="AJ34">
        <f>Population!AJ10</f>
        <v>5026111052</v>
      </c>
      <c r="AK34">
        <f>Population!AK10</f>
        <v>5089021903</v>
      </c>
      <c r="AL34">
        <f>Population!AL10</f>
        <v>5152023971</v>
      </c>
      <c r="AM34">
        <f>Population!AM10</f>
        <v>5215262207</v>
      </c>
      <c r="AN34">
        <f>Population!AN10</f>
        <v>5278403852</v>
      </c>
      <c r="AO34">
        <f>Population!AO10</f>
        <v>5342024237</v>
      </c>
      <c r="AP34">
        <f>Population!AP10</f>
        <v>5404661341</v>
      </c>
      <c r="AQ34">
        <f>Population!AQ10</f>
        <v>5466670725</v>
      </c>
      <c r="AR34">
        <f>Population!AR10</f>
        <v>5526869015</v>
      </c>
      <c r="AS34">
        <f>Population!AS10</f>
        <v>5588698840</v>
      </c>
      <c r="AT34">
        <f>Population!AT10</f>
        <v>5651156790</v>
      </c>
      <c r="AU34">
        <f>Population!AU10</f>
        <v>5714430924</v>
      </c>
      <c r="AV34">
        <f>Population!AV10</f>
        <v>5777950404</v>
      </c>
      <c r="AW34">
        <f>Population!AW10</f>
        <v>5842421026</v>
      </c>
      <c r="AX34">
        <f>Population!AX10</f>
        <v>5906711589</v>
      </c>
      <c r="AY34">
        <f>Population!AY10</f>
        <v>5969216390</v>
      </c>
      <c r="AZ34">
        <f>Population!AZ10</f>
        <v>6030058003</v>
      </c>
      <c r="BA34" s="11"/>
      <c r="BB34" s="11"/>
      <c r="BC34" s="11"/>
      <c r="BD34" s="11"/>
      <c r="BE34" s="11"/>
      <c r="BF34" s="11"/>
      <c r="BG34" s="11"/>
      <c r="BH34" s="11"/>
      <c r="BI34" s="11"/>
      <c r="BJ34" s="11"/>
      <c r="BK34" s="11"/>
      <c r="BL34" s="11"/>
      <c r="BM34" s="11"/>
      <c r="BN34" s="11"/>
      <c r="BO34" s="11"/>
      <c r="BP34" s="11"/>
      <c r="BQ34" s="11"/>
      <c r="BR34" s="11"/>
    </row>
    <row r="35" spans="1:70" x14ac:dyDescent="0.45">
      <c r="BA35" s="11"/>
      <c r="BB35" s="11"/>
      <c r="BC35" s="11"/>
      <c r="BD35" s="11"/>
      <c r="BE35" s="11"/>
      <c r="BF35" s="11"/>
      <c r="BG35" s="11"/>
      <c r="BH35" s="11"/>
      <c r="BI35" s="11"/>
      <c r="BJ35" s="11"/>
      <c r="BK35" s="11"/>
      <c r="BL35" s="11"/>
      <c r="BM35" s="11"/>
      <c r="BN35" s="11"/>
      <c r="BO35" s="11"/>
      <c r="BP35" s="11"/>
      <c r="BQ35" s="11"/>
      <c r="BR35" s="11"/>
    </row>
    <row r="36" spans="1:70" x14ac:dyDescent="0.45">
      <c r="BA36" s="11"/>
      <c r="BB36" s="11"/>
      <c r="BC36" s="11"/>
      <c r="BD36" s="11"/>
      <c r="BE36" s="11"/>
      <c r="BF36" s="11"/>
      <c r="BG36" s="11"/>
      <c r="BH36" s="11"/>
      <c r="BI36" s="11"/>
      <c r="BJ36" s="11"/>
      <c r="BK36" s="11"/>
      <c r="BL36" s="11"/>
      <c r="BM36" s="11"/>
      <c r="BN36" s="11"/>
      <c r="BO36" s="11"/>
      <c r="BP36" s="11"/>
      <c r="BQ36" s="11"/>
      <c r="BR36" s="11"/>
    </row>
    <row r="38" spans="1:70" x14ac:dyDescent="0.45">
      <c r="A38" t="s">
        <v>179</v>
      </c>
      <c r="B38" t="str">
        <f>B2</f>
        <v>China</v>
      </c>
      <c r="C38" s="13">
        <f>Theil!C2</f>
        <v>0</v>
      </c>
      <c r="D38" s="13">
        <f>Theil!D2</f>
        <v>0</v>
      </c>
      <c r="E38" s="13">
        <f>Theil!E2</f>
        <v>0</v>
      </c>
      <c r="F38" s="13">
        <f>Theil!F2</f>
        <v>0</v>
      </c>
      <c r="G38" s="13">
        <f>Theil!G2</f>
        <v>0</v>
      </c>
      <c r="H38" s="13">
        <f>Theil!H2</f>
        <v>0</v>
      </c>
      <c r="I38" s="13">
        <f>Theil!I2</f>
        <v>0</v>
      </c>
      <c r="J38" s="13">
        <f>Theil!J2</f>
        <v>0</v>
      </c>
      <c r="K38" s="13">
        <f>Theil!K2</f>
        <v>0</v>
      </c>
      <c r="L38" s="13">
        <f>Theil!L2</f>
        <v>0</v>
      </c>
      <c r="M38" s="13">
        <f>Theil!M2</f>
        <v>0</v>
      </c>
      <c r="N38" s="13">
        <f>Theil!N2</f>
        <v>0</v>
      </c>
      <c r="O38" s="13">
        <f>Theil!O2</f>
        <v>0</v>
      </c>
      <c r="P38" s="13">
        <f>Theil!P2</f>
        <v>0</v>
      </c>
      <c r="Q38" s="13">
        <f>Theil!Q2</f>
        <v>0</v>
      </c>
      <c r="R38" s="13">
        <f>Theil!R2</f>
        <v>0</v>
      </c>
      <c r="S38" s="13">
        <f>Theil!S2</f>
        <v>0</v>
      </c>
      <c r="T38" s="13">
        <f>Theil!T2</f>
        <v>0</v>
      </c>
      <c r="U38" s="13">
        <f>Theil!U2</f>
        <v>0</v>
      </c>
      <c r="V38" s="13">
        <f>Theil!V2</f>
        <v>0</v>
      </c>
      <c r="W38" s="13">
        <f>Theil!W2</f>
        <v>0</v>
      </c>
      <c r="X38" s="13">
        <f>Theil!X2</f>
        <v>0</v>
      </c>
      <c r="Y38" s="13">
        <f>Theil!Y2</f>
        <v>0</v>
      </c>
      <c r="Z38" s="13">
        <f>Theil!Z2</f>
        <v>0</v>
      </c>
      <c r="AA38" s="13">
        <f>Theil!AA2</f>
        <v>0</v>
      </c>
      <c r="AB38" s="13">
        <f>Theil!AB2</f>
        <v>0</v>
      </c>
      <c r="AC38" s="13">
        <f>Theil!AC2</f>
        <v>0</v>
      </c>
      <c r="AD38" s="13">
        <f>Theil!AD2</f>
        <v>0</v>
      </c>
      <c r="AE38" s="13">
        <f>Theil!AE2</f>
        <v>0</v>
      </c>
      <c r="AF38" s="13">
        <f>Theil!AF2</f>
        <v>0</v>
      </c>
      <c r="AG38" s="13">
        <f>Theil!AG2</f>
        <v>0</v>
      </c>
      <c r="AH38" s="13">
        <f>Theil!AH2</f>
        <v>0</v>
      </c>
      <c r="AI38" s="13">
        <f>Theil!AI2</f>
        <v>0</v>
      </c>
      <c r="AJ38" s="13">
        <f>Theil!AJ2</f>
        <v>0</v>
      </c>
      <c r="AK38" s="13">
        <f>Theil!AK2</f>
        <v>0</v>
      </c>
      <c r="AL38" s="13">
        <f>Theil!AL2</f>
        <v>0</v>
      </c>
      <c r="AM38" s="13">
        <f>Theil!AM2</f>
        <v>0</v>
      </c>
      <c r="AN38" s="13">
        <f>Theil!AN2</f>
        <v>0</v>
      </c>
      <c r="AO38" s="13">
        <f>Theil!AO2</f>
        <v>0</v>
      </c>
      <c r="AP38" s="13">
        <f>Theil!AP2</f>
        <v>0</v>
      </c>
      <c r="AQ38" s="13">
        <f>Theil!AQ2</f>
        <v>0</v>
      </c>
      <c r="AR38" s="13">
        <f>Theil!AR2</f>
        <v>0</v>
      </c>
      <c r="AS38" s="13">
        <f>Theil!AS2</f>
        <v>0</v>
      </c>
      <c r="AT38" s="13">
        <f>Theil!AT2</f>
        <v>0</v>
      </c>
      <c r="AU38" s="13">
        <f>Theil!AU2</f>
        <v>0</v>
      </c>
      <c r="AV38" s="13">
        <f>Theil!AV2</f>
        <v>0</v>
      </c>
      <c r="AW38" s="13">
        <f>Theil!AW2</f>
        <v>0</v>
      </c>
      <c r="AX38" s="13">
        <f>Theil!AX2</f>
        <v>0</v>
      </c>
      <c r="AY38" s="13">
        <f>Theil!AY2</f>
        <v>0</v>
      </c>
      <c r="AZ38" s="13">
        <f>Theil!AZ2</f>
        <v>0</v>
      </c>
      <c r="BA38" s="13"/>
      <c r="BB38" s="13"/>
      <c r="BC38" s="13"/>
      <c r="BD38" s="13"/>
      <c r="BE38" s="13"/>
      <c r="BF38" s="13"/>
      <c r="BG38" s="13"/>
      <c r="BH38" s="13"/>
      <c r="BI38" s="13"/>
      <c r="BJ38" s="13"/>
      <c r="BK38" s="13"/>
      <c r="BL38" s="13"/>
      <c r="BM38" s="13"/>
      <c r="BN38" s="13"/>
      <c r="BO38" s="13"/>
      <c r="BP38" s="13"/>
      <c r="BQ38" s="13"/>
      <c r="BR38" s="13"/>
    </row>
    <row r="39" spans="1:70" x14ac:dyDescent="0.45">
      <c r="B39" t="str">
        <f t="shared" ref="B39:C46" si="0">B3</f>
        <v>East Asia</v>
      </c>
      <c r="C39" s="13">
        <f>C3</f>
        <v>0.37973881110452479</v>
      </c>
      <c r="D39" s="13">
        <f t="shared" ref="D39:AZ39" si="1">D3</f>
        <v>0.39302063773113383</v>
      </c>
      <c r="E39" s="13">
        <f t="shared" si="1"/>
        <v>0.43433228113559696</v>
      </c>
      <c r="F39" s="13">
        <f t="shared" si="1"/>
        <v>0.44774096344890929</v>
      </c>
      <c r="G39" s="13">
        <f t="shared" si="1"/>
        <v>0.41259888784343335</v>
      </c>
      <c r="H39" s="13">
        <f t="shared" si="1"/>
        <v>0.41759589645221801</v>
      </c>
      <c r="I39" s="13">
        <f t="shared" si="1"/>
        <v>0.4065807808213478</v>
      </c>
      <c r="J39" s="13">
        <f t="shared" si="1"/>
        <v>0.41785686110542525</v>
      </c>
      <c r="K39" s="13">
        <f t="shared" si="1"/>
        <v>0.45055834942279072</v>
      </c>
      <c r="L39" s="13">
        <f t="shared" si="1"/>
        <v>0.42027779403579879</v>
      </c>
      <c r="M39" s="13">
        <f t="shared" si="1"/>
        <v>0.41319157705542392</v>
      </c>
      <c r="N39" s="13">
        <f t="shared" si="1"/>
        <v>0.42200843488064838</v>
      </c>
      <c r="O39" s="13">
        <f t="shared" si="1"/>
        <v>0.39863718162405781</v>
      </c>
      <c r="P39" s="13">
        <f t="shared" si="1"/>
        <v>0.415240684351046</v>
      </c>
      <c r="Q39" s="13">
        <f t="shared" si="1"/>
        <v>0.42308432171617755</v>
      </c>
      <c r="R39" s="13">
        <f t="shared" si="1"/>
        <v>0.44728451789358792</v>
      </c>
      <c r="S39" s="13">
        <f t="shared" si="1"/>
        <v>0.5269021254990478</v>
      </c>
      <c r="T39" s="13">
        <f t="shared" si="1"/>
        <v>0.53848530828545882</v>
      </c>
      <c r="U39" s="13">
        <f t="shared" si="1"/>
        <v>0.54238846196184343</v>
      </c>
      <c r="V39" s="13">
        <f t="shared" si="1"/>
        <v>0.51369264100166279</v>
      </c>
      <c r="W39" s="13">
        <f t="shared" si="1"/>
        <v>0.49914084168661904</v>
      </c>
      <c r="X39" s="13">
        <f t="shared" si="1"/>
        <v>0.50840781995795825</v>
      </c>
      <c r="Y39" s="13">
        <f t="shared" si="1"/>
        <v>0.50830623101306915</v>
      </c>
      <c r="Z39" s="13">
        <f t="shared" si="1"/>
        <v>0.52063128963618144</v>
      </c>
      <c r="AA39" s="13">
        <f t="shared" si="1"/>
        <v>0.51557525035397478</v>
      </c>
      <c r="AB39" s="13">
        <f t="shared" si="1"/>
        <v>0.50777207913929179</v>
      </c>
      <c r="AC39" s="13">
        <f t="shared" si="1"/>
        <v>0.46696967065934564</v>
      </c>
      <c r="AD39" s="13">
        <f t="shared" si="1"/>
        <v>0.47209088669188576</v>
      </c>
      <c r="AE39" s="13">
        <f t="shared" si="1"/>
        <v>0.52423791838331657</v>
      </c>
      <c r="AF39" s="13">
        <f t="shared" si="1"/>
        <v>0.52108782412458265</v>
      </c>
      <c r="AG39" s="13">
        <f t="shared" si="1"/>
        <v>0.52527783489327762</v>
      </c>
      <c r="AH39" s="13">
        <f t="shared" si="1"/>
        <v>0.51335608117323783</v>
      </c>
      <c r="AI39" s="13">
        <f t="shared" si="1"/>
        <v>0.4862643479601183</v>
      </c>
      <c r="AJ39" s="13">
        <f t="shared" si="1"/>
        <v>0.48846634984676257</v>
      </c>
      <c r="AK39" s="13">
        <f t="shared" si="1"/>
        <v>0.48678801327630994</v>
      </c>
      <c r="AL39" s="13">
        <f t="shared" si="1"/>
        <v>0.46263236833582122</v>
      </c>
      <c r="AM39" s="13">
        <f t="shared" si="1"/>
        <v>0.42807210458416178</v>
      </c>
      <c r="AN39" s="13">
        <f t="shared" si="1"/>
        <v>0.39925199390591898</v>
      </c>
      <c r="AO39" s="13">
        <f t="shared" si="1"/>
        <v>0.40514169685243312</v>
      </c>
      <c r="AP39" s="13">
        <f t="shared" si="1"/>
        <v>0.43310119870323904</v>
      </c>
      <c r="AQ39" s="13">
        <f t="shared" si="1"/>
        <v>0.41384597052971639</v>
      </c>
      <c r="AR39" s="13">
        <f t="shared" si="1"/>
        <v>0.41292976353385707</v>
      </c>
      <c r="AS39" s="13">
        <f t="shared" si="1"/>
        <v>0.40370070669303726</v>
      </c>
      <c r="AT39" s="13">
        <f t="shared" si="1"/>
        <v>0.35713243314431853</v>
      </c>
      <c r="AU39" s="13">
        <f t="shared" si="1"/>
        <v>0.34801977339938339</v>
      </c>
      <c r="AV39" s="13">
        <f t="shared" si="1"/>
        <v>0.33966749643000904</v>
      </c>
      <c r="AW39" s="13">
        <f t="shared" si="1"/>
        <v>0.35766207161502761</v>
      </c>
      <c r="AX39" s="13">
        <f t="shared" si="1"/>
        <v>0.35050656896217025</v>
      </c>
      <c r="AY39" s="13">
        <f t="shared" si="1"/>
        <v>0.34348498307753089</v>
      </c>
      <c r="AZ39" s="13">
        <f t="shared" si="1"/>
        <v>0.33644921894609237</v>
      </c>
      <c r="BA39" s="13"/>
      <c r="BB39" s="13"/>
      <c r="BC39" s="13"/>
      <c r="BD39" s="13"/>
      <c r="BE39" s="13"/>
      <c r="BF39" s="13"/>
      <c r="BG39" s="13"/>
      <c r="BH39" s="13"/>
      <c r="BI39" s="13"/>
      <c r="BJ39" s="13"/>
      <c r="BK39" s="13"/>
      <c r="BL39" s="13"/>
      <c r="BM39" s="13"/>
      <c r="BN39" s="13"/>
      <c r="BO39" s="13"/>
      <c r="BP39" s="13"/>
      <c r="BQ39" s="13"/>
      <c r="BR39" s="13"/>
    </row>
    <row r="40" spans="1:70" x14ac:dyDescent="0.45">
      <c r="B40" t="str">
        <f t="shared" si="0"/>
        <v>Europe</v>
      </c>
      <c r="C40" s="13">
        <f t="shared" si="0"/>
        <v>4.3504985986388897E-2</v>
      </c>
      <c r="D40" s="13">
        <f t="shared" ref="D40:AZ40" si="2">D4</f>
        <v>4.4450933050328156E-2</v>
      </c>
      <c r="E40" s="13">
        <f t="shared" si="2"/>
        <v>4.4796219048865493E-2</v>
      </c>
      <c r="F40" s="13">
        <f t="shared" si="2"/>
        <v>4.9839439714860684E-2</v>
      </c>
      <c r="G40" s="13">
        <f t="shared" si="2"/>
        <v>4.8773455263821479E-2</v>
      </c>
      <c r="H40" s="13">
        <f t="shared" si="2"/>
        <v>5.2085725780894987E-2</v>
      </c>
      <c r="I40" s="13">
        <f t="shared" si="2"/>
        <v>6.1148784541976399E-2</v>
      </c>
      <c r="J40" s="13">
        <f t="shared" si="2"/>
        <v>6.007950920476559E-2</v>
      </c>
      <c r="K40" s="13">
        <f t="shared" si="2"/>
        <v>6.0863017934698962E-2</v>
      </c>
      <c r="L40" s="13">
        <f t="shared" si="2"/>
        <v>5.0168245482546059E-2</v>
      </c>
      <c r="M40" s="13">
        <f t="shared" si="2"/>
        <v>4.330439634364612E-2</v>
      </c>
      <c r="N40" s="13">
        <f t="shared" si="2"/>
        <v>4.1451458171128927E-2</v>
      </c>
      <c r="O40" s="13">
        <f t="shared" si="2"/>
        <v>3.9712225626617685E-2</v>
      </c>
      <c r="P40" s="13">
        <f t="shared" si="2"/>
        <v>4.4064893973594171E-2</v>
      </c>
      <c r="Q40" s="13">
        <f t="shared" si="2"/>
        <v>4.3322808386116296E-2</v>
      </c>
      <c r="R40" s="13">
        <f t="shared" si="2"/>
        <v>4.2326868116251692E-2</v>
      </c>
      <c r="S40" s="13">
        <f t="shared" si="2"/>
        <v>4.4080867643448811E-2</v>
      </c>
      <c r="T40" s="13">
        <f t="shared" si="2"/>
        <v>4.3098328007942985E-2</v>
      </c>
      <c r="U40" s="13">
        <f t="shared" si="2"/>
        <v>3.6926366849294741E-2</v>
      </c>
      <c r="V40" s="13">
        <f t="shared" si="2"/>
        <v>3.2047522019770312E-2</v>
      </c>
      <c r="W40" s="13">
        <f t="shared" si="2"/>
        <v>3.0139856278996881E-2</v>
      </c>
      <c r="X40" s="13">
        <f t="shared" si="2"/>
        <v>2.6659986802037346E-2</v>
      </c>
      <c r="Y40" s="13">
        <f t="shared" si="2"/>
        <v>2.546893509064789E-2</v>
      </c>
      <c r="Z40" s="13">
        <f t="shared" si="2"/>
        <v>3.2489416089572398E-2</v>
      </c>
      <c r="AA40" s="13">
        <f t="shared" si="2"/>
        <v>3.5296273840133542E-2</v>
      </c>
      <c r="AB40" s="13">
        <f t="shared" si="2"/>
        <v>3.772643481532055E-2</v>
      </c>
      <c r="AC40" s="13">
        <f t="shared" si="2"/>
        <v>3.021272984059965E-2</v>
      </c>
      <c r="AD40" s="13">
        <f t="shared" si="2"/>
        <v>2.6986473612685448E-2</v>
      </c>
      <c r="AE40" s="13">
        <f t="shared" si="2"/>
        <v>2.6054806281907001E-2</v>
      </c>
      <c r="AF40" s="13">
        <f t="shared" si="2"/>
        <v>2.5861569411864488E-2</v>
      </c>
      <c r="AG40" s="13">
        <f t="shared" si="2"/>
        <v>2.8753815685620528E-2</v>
      </c>
      <c r="AH40" s="13">
        <f t="shared" si="2"/>
        <v>2.6231754718382811E-2</v>
      </c>
      <c r="AI40" s="13">
        <f t="shared" si="2"/>
        <v>2.5561377047815685E-2</v>
      </c>
      <c r="AJ40" s="13">
        <f t="shared" si="2"/>
        <v>2.1424416258611294E-2</v>
      </c>
      <c r="AK40" s="13">
        <f t="shared" si="2"/>
        <v>2.1210908647077115E-2</v>
      </c>
      <c r="AL40" s="13">
        <f t="shared" si="2"/>
        <v>2.2620119176195684E-2</v>
      </c>
      <c r="AM40" s="13">
        <f t="shared" si="2"/>
        <v>2.3297799067011384E-2</v>
      </c>
      <c r="AN40" s="13">
        <f t="shared" si="2"/>
        <v>2.2932709302477754E-2</v>
      </c>
      <c r="AO40" s="13">
        <f t="shared" si="2"/>
        <v>2.1876804690641728E-2</v>
      </c>
      <c r="AP40" s="13">
        <f t="shared" si="2"/>
        <v>2.0791775411998607E-2</v>
      </c>
      <c r="AQ40" s="13">
        <f t="shared" si="2"/>
        <v>2.6158071647974401E-2</v>
      </c>
      <c r="AR40" s="13">
        <f t="shared" si="2"/>
        <v>3.296850070325294E-2</v>
      </c>
      <c r="AS40" s="13">
        <f t="shared" si="2"/>
        <v>3.8076999881884226E-2</v>
      </c>
      <c r="AT40" s="13">
        <f t="shared" si="2"/>
        <v>3.885129570493745E-2</v>
      </c>
      <c r="AU40" s="13">
        <f t="shared" si="2"/>
        <v>3.8074207801832551E-2</v>
      </c>
      <c r="AV40" s="13">
        <f t="shared" si="2"/>
        <v>4.1096793259844444E-2</v>
      </c>
      <c r="AW40" s="13">
        <f t="shared" si="2"/>
        <v>3.737048421917568E-2</v>
      </c>
      <c r="AX40" s="13">
        <f t="shared" si="2"/>
        <v>3.6496268796089158E-2</v>
      </c>
      <c r="AY40" s="13">
        <f t="shared" si="2"/>
        <v>3.5937876761107101E-2</v>
      </c>
      <c r="AZ40" s="13">
        <f t="shared" si="2"/>
        <v>3.621810851444765E-2</v>
      </c>
      <c r="BA40" s="13"/>
      <c r="BB40" s="13"/>
      <c r="BC40" s="13"/>
      <c r="BD40" s="13"/>
      <c r="BE40" s="13"/>
      <c r="BF40" s="13"/>
      <c r="BG40" s="13"/>
      <c r="BH40" s="13"/>
      <c r="BI40" s="13"/>
      <c r="BJ40" s="13"/>
      <c r="BK40" s="13"/>
      <c r="BL40" s="13"/>
      <c r="BM40" s="13"/>
      <c r="BN40" s="13"/>
      <c r="BO40" s="13"/>
      <c r="BP40" s="13"/>
      <c r="BQ40" s="13"/>
      <c r="BR40" s="13"/>
    </row>
    <row r="41" spans="1:70" x14ac:dyDescent="0.45">
      <c r="B41" t="str">
        <f t="shared" si="0"/>
        <v>Latin America and Caribbean</v>
      </c>
      <c r="C41" s="13">
        <f t="shared" si="0"/>
        <v>0.12620113592093307</v>
      </c>
      <c r="D41" s="13">
        <f t="shared" ref="D41:AZ41" si="3">D5</f>
        <v>0.12139925196831713</v>
      </c>
      <c r="E41" s="13">
        <f t="shared" si="3"/>
        <v>0.10811158359187481</v>
      </c>
      <c r="F41" s="13">
        <f t="shared" si="3"/>
        <v>0.13074161649777166</v>
      </c>
      <c r="G41" s="13">
        <f t="shared" si="3"/>
        <v>0.13112389661019427</v>
      </c>
      <c r="H41" s="13">
        <f t="shared" si="3"/>
        <v>8.1827966882086114E-2</v>
      </c>
      <c r="I41" s="13">
        <f t="shared" si="3"/>
        <v>6.5224208723530547E-2</v>
      </c>
      <c r="J41" s="13">
        <f t="shared" si="3"/>
        <v>6.1737937629627072E-2</v>
      </c>
      <c r="K41" s="13">
        <f t="shared" si="3"/>
        <v>6.0316148570834102E-2</v>
      </c>
      <c r="L41" s="13">
        <f t="shared" si="3"/>
        <v>6.2540662769227331E-2</v>
      </c>
      <c r="M41" s="13">
        <f t="shared" si="3"/>
        <v>7.9738074501818842E-2</v>
      </c>
      <c r="N41" s="13">
        <f t="shared" si="3"/>
        <v>9.4896820258247139E-2</v>
      </c>
      <c r="O41" s="13">
        <f t="shared" si="3"/>
        <v>6.5193490487963135E-2</v>
      </c>
      <c r="P41" s="13">
        <f t="shared" si="3"/>
        <v>8.898395199694803E-2</v>
      </c>
      <c r="Q41" s="13">
        <f t="shared" si="3"/>
        <v>7.9083711621874594E-2</v>
      </c>
      <c r="R41" s="13">
        <f t="shared" si="3"/>
        <v>9.6498191364394581E-2</v>
      </c>
      <c r="S41" s="13">
        <f t="shared" si="3"/>
        <v>0.10174585451991799</v>
      </c>
      <c r="T41" s="13">
        <f t="shared" si="3"/>
        <v>9.4254569190153667E-2</v>
      </c>
      <c r="U41" s="13">
        <f t="shared" si="3"/>
        <v>0.10792611240710392</v>
      </c>
      <c r="V41" s="13">
        <f t="shared" si="3"/>
        <v>9.5132417583455198E-2</v>
      </c>
      <c r="W41" s="13">
        <f t="shared" si="3"/>
        <v>0.1044653174851265</v>
      </c>
      <c r="X41" s="13">
        <f t="shared" si="3"/>
        <v>0.11597293691821432</v>
      </c>
      <c r="Y41" s="13">
        <f t="shared" si="3"/>
        <v>0.14249449990570434</v>
      </c>
      <c r="Z41" s="13">
        <f t="shared" si="3"/>
        <v>0.15938040635211237</v>
      </c>
      <c r="AA41" s="13">
        <f t="shared" si="3"/>
        <v>0.13080241343619758</v>
      </c>
      <c r="AB41" s="13">
        <f t="shared" si="3"/>
        <v>0.10145952431548627</v>
      </c>
      <c r="AC41" s="13">
        <f t="shared" si="3"/>
        <v>0.10261392607696744</v>
      </c>
      <c r="AD41" s="13">
        <f t="shared" si="3"/>
        <v>0.10252080145250871</v>
      </c>
      <c r="AE41" s="13">
        <f t="shared" si="3"/>
        <v>0.10861742675198895</v>
      </c>
      <c r="AF41" s="13">
        <f t="shared" si="3"/>
        <v>0.14295309973633855</v>
      </c>
      <c r="AG41" s="13">
        <f t="shared" si="3"/>
        <v>0.14789076869619544</v>
      </c>
      <c r="AH41" s="13">
        <f t="shared" si="3"/>
        <v>0.1738850733649043</v>
      </c>
      <c r="AI41" s="13">
        <f t="shared" si="3"/>
        <v>0.1898174326247116</v>
      </c>
      <c r="AJ41" s="13">
        <f t="shared" si="3"/>
        <v>0.16343511860752563</v>
      </c>
      <c r="AK41" s="13">
        <f t="shared" si="3"/>
        <v>0.14334588363793024</v>
      </c>
      <c r="AL41" s="13">
        <f t="shared" si="3"/>
        <v>0.12181768096370094</v>
      </c>
      <c r="AM41" s="13">
        <f t="shared" si="3"/>
        <v>0.11313337336273967</v>
      </c>
      <c r="AN41" s="13">
        <f t="shared" si="3"/>
        <v>9.8421503648556855E-2</v>
      </c>
      <c r="AO41" s="13">
        <f t="shared" si="3"/>
        <v>8.8470076545910895E-2</v>
      </c>
      <c r="AP41" s="13">
        <f t="shared" si="3"/>
        <v>8.3069838058410256E-2</v>
      </c>
      <c r="AQ41" s="13">
        <f t="shared" si="3"/>
        <v>8.9886492201076237E-2</v>
      </c>
      <c r="AR41" s="13">
        <f t="shared" si="3"/>
        <v>9.1525735944896228E-2</v>
      </c>
      <c r="AS41" s="13">
        <f t="shared" si="3"/>
        <v>8.1452795369406833E-2</v>
      </c>
      <c r="AT41" s="13">
        <f t="shared" si="3"/>
        <v>7.8375327126163394E-2</v>
      </c>
      <c r="AU41" s="13">
        <f t="shared" si="3"/>
        <v>7.3827865485121061E-2</v>
      </c>
      <c r="AV41" s="13">
        <f t="shared" si="3"/>
        <v>7.8270913203799669E-2</v>
      </c>
      <c r="AW41" s="13">
        <f t="shared" si="3"/>
        <v>7.6669344893261979E-2</v>
      </c>
      <c r="AX41" s="13">
        <f t="shared" si="3"/>
        <v>7.851130177910301E-2</v>
      </c>
      <c r="AY41" s="13">
        <f t="shared" si="3"/>
        <v>7.0263702446747539E-2</v>
      </c>
      <c r="AZ41" s="13">
        <f t="shared" si="3"/>
        <v>6.8889464600544056E-2</v>
      </c>
      <c r="BA41" s="13"/>
      <c r="BB41" s="13"/>
      <c r="BC41" s="13"/>
      <c r="BD41" s="13"/>
      <c r="BE41" s="13"/>
      <c r="BF41" s="13"/>
      <c r="BG41" s="13"/>
      <c r="BH41" s="13"/>
      <c r="BI41" s="13"/>
      <c r="BJ41" s="13"/>
      <c r="BK41" s="13"/>
      <c r="BL41" s="13"/>
      <c r="BM41" s="13"/>
      <c r="BN41" s="13"/>
      <c r="BO41" s="13"/>
      <c r="BP41" s="13"/>
      <c r="BQ41" s="13"/>
      <c r="BR41" s="13"/>
    </row>
    <row r="42" spans="1:70" x14ac:dyDescent="0.45">
      <c r="B42" t="str">
        <f t="shared" si="0"/>
        <v>Middle East and North Africa</v>
      </c>
      <c r="C42" s="13">
        <f t="shared" si="0"/>
        <v>0.2056743808840403</v>
      </c>
      <c r="D42" s="13">
        <f t="shared" ref="D42:AZ42" si="4">D6</f>
        <v>0.20455853870776181</v>
      </c>
      <c r="E42" s="13">
        <f t="shared" si="4"/>
        <v>0.21906395366138079</v>
      </c>
      <c r="F42" s="13">
        <f t="shared" si="4"/>
        <v>0.248594754348059</v>
      </c>
      <c r="G42" s="13">
        <f t="shared" si="4"/>
        <v>0.4659612578216441</v>
      </c>
      <c r="H42" s="13">
        <f t="shared" si="4"/>
        <v>0.37243841584122811</v>
      </c>
      <c r="I42" s="13">
        <f t="shared" si="4"/>
        <v>0.43600883519053346</v>
      </c>
      <c r="J42" s="13">
        <f t="shared" si="4"/>
        <v>0.42952777027051553</v>
      </c>
      <c r="K42" s="13">
        <f t="shared" si="4"/>
        <v>0.38434001965954406</v>
      </c>
      <c r="L42" s="13">
        <f t="shared" si="4"/>
        <v>0.40453762365899937</v>
      </c>
      <c r="M42" s="13">
        <f t="shared" si="4"/>
        <v>0.5800390796506627</v>
      </c>
      <c r="N42" s="13">
        <f t="shared" si="4"/>
        <v>0.63264442577955549</v>
      </c>
      <c r="O42" s="13">
        <f t="shared" si="4"/>
        <v>0.54966015835928284</v>
      </c>
      <c r="P42" s="13">
        <f t="shared" si="4"/>
        <v>0.47606650887978258</v>
      </c>
      <c r="Q42" s="13">
        <f t="shared" si="4"/>
        <v>0.43934491735634301</v>
      </c>
      <c r="R42" s="13">
        <f t="shared" si="4"/>
        <v>0.34946339090330092</v>
      </c>
      <c r="S42" s="13">
        <f t="shared" si="4"/>
        <v>0.25899917029037867</v>
      </c>
      <c r="T42" s="13">
        <f t="shared" si="4"/>
        <v>0.23702876740462814</v>
      </c>
      <c r="U42" s="13">
        <f t="shared" si="4"/>
        <v>0.2539180286056571</v>
      </c>
      <c r="V42" s="13">
        <f t="shared" si="4"/>
        <v>0.2379115033685863</v>
      </c>
      <c r="W42" s="13">
        <f t="shared" si="4"/>
        <v>0.22240032957763844</v>
      </c>
      <c r="X42" s="13">
        <f t="shared" si="4"/>
        <v>0.27566299905822439</v>
      </c>
      <c r="Y42" s="13">
        <f t="shared" si="4"/>
        <v>0.2775938797526265</v>
      </c>
      <c r="Z42" s="13">
        <f t="shared" si="4"/>
        <v>0.25732524546918906</v>
      </c>
      <c r="AA42" s="13">
        <f t="shared" si="4"/>
        <v>0.33786049505290583</v>
      </c>
      <c r="AB42" s="13">
        <f t="shared" si="4"/>
        <v>0.32439517922195571</v>
      </c>
      <c r="AC42" s="13">
        <f t="shared" si="4"/>
        <v>0.32430003279242314</v>
      </c>
      <c r="AD42" s="13">
        <f t="shared" si="4"/>
        <v>0.33546594398155466</v>
      </c>
      <c r="AE42" s="13">
        <f t="shared" si="4"/>
        <v>0.26770636224530092</v>
      </c>
      <c r="AF42" s="13">
        <f t="shared" si="4"/>
        <v>0.28094418326477549</v>
      </c>
      <c r="AG42" s="13">
        <f t="shared" si="4"/>
        <v>0.31061802812950212</v>
      </c>
      <c r="AH42" s="13">
        <f t="shared" si="4"/>
        <v>0.3474908319259189</v>
      </c>
      <c r="AI42" s="13">
        <f t="shared" si="4"/>
        <v>0.29115630271877418</v>
      </c>
      <c r="AJ42" s="13">
        <f t="shared" si="4"/>
        <v>0.24218363997076858</v>
      </c>
      <c r="AK42" s="13">
        <f t="shared" si="4"/>
        <v>0.21457620661569599</v>
      </c>
      <c r="AL42" s="13">
        <f t="shared" si="4"/>
        <v>0.21464704129939</v>
      </c>
      <c r="AM42" s="13">
        <f t="shared" si="4"/>
        <v>0.2147644847241279</v>
      </c>
      <c r="AN42" s="13">
        <f t="shared" si="4"/>
        <v>0.20468940320315449</v>
      </c>
      <c r="AO42" s="13">
        <f t="shared" si="4"/>
        <v>0.21172854813953268</v>
      </c>
      <c r="AP42" s="13">
        <f t="shared" si="4"/>
        <v>0.20733444430922818</v>
      </c>
      <c r="AQ42" s="13">
        <f t="shared" si="4"/>
        <v>0.21944344786163189</v>
      </c>
      <c r="AR42" s="13">
        <f t="shared" si="4"/>
        <v>0.23218695586304378</v>
      </c>
      <c r="AS42" s="13">
        <f t="shared" si="4"/>
        <v>0.23793475472542236</v>
      </c>
      <c r="AT42" s="13">
        <f t="shared" si="4"/>
        <v>0.23566096010709175</v>
      </c>
      <c r="AU42" s="13">
        <f t="shared" si="4"/>
        <v>0.23800129843666634</v>
      </c>
      <c r="AV42" s="13">
        <f t="shared" si="4"/>
        <v>0.24850556694551135</v>
      </c>
      <c r="AW42" s="13">
        <f t="shared" si="4"/>
        <v>0.2558914161425746</v>
      </c>
      <c r="AX42" s="13">
        <f t="shared" si="4"/>
        <v>0.27284985606637585</v>
      </c>
      <c r="AY42" s="13">
        <f t="shared" si="4"/>
        <v>0.30282592548356246</v>
      </c>
      <c r="AZ42" s="13">
        <f t="shared" si="4"/>
        <v>0.31978237878839505</v>
      </c>
      <c r="BA42" s="13"/>
      <c r="BB42" s="13"/>
      <c r="BC42" s="13"/>
      <c r="BD42" s="13"/>
      <c r="BE42" s="13"/>
      <c r="BF42" s="13"/>
      <c r="BG42" s="13"/>
      <c r="BH42" s="13"/>
      <c r="BI42" s="13"/>
      <c r="BJ42" s="13"/>
      <c r="BK42" s="13"/>
      <c r="BL42" s="13"/>
      <c r="BM42" s="13"/>
      <c r="BN42" s="13"/>
      <c r="BO42" s="13"/>
      <c r="BP42" s="13"/>
      <c r="BQ42" s="13"/>
      <c r="BR42" s="13"/>
    </row>
    <row r="43" spans="1:70" x14ac:dyDescent="0.45">
      <c r="B43" t="str">
        <f t="shared" si="0"/>
        <v>North America</v>
      </c>
      <c r="C43" s="13">
        <f t="shared" si="0"/>
        <v>2.1372271872945985E-3</v>
      </c>
      <c r="D43" s="13">
        <f t="shared" ref="D43:AZ43" si="5">D7</f>
        <v>1.7924472725920106E-3</v>
      </c>
      <c r="E43" s="13">
        <f t="shared" si="5"/>
        <v>1.2731564624519891E-3</v>
      </c>
      <c r="F43" s="13">
        <f t="shared" si="5"/>
        <v>8.0467775049868767E-4</v>
      </c>
      <c r="G43" s="13">
        <f t="shared" si="5"/>
        <v>3.1348489932264516E-5</v>
      </c>
      <c r="H43" s="13">
        <f t="shared" si="5"/>
        <v>6.1560535585362518E-5</v>
      </c>
      <c r="I43" s="13">
        <f t="shared" si="5"/>
        <v>2.7641713519449378E-5</v>
      </c>
      <c r="J43" s="13">
        <f t="shared" si="5"/>
        <v>1.4359998450328478E-4</v>
      </c>
      <c r="K43" s="13">
        <f t="shared" si="5"/>
        <v>8.7185139379497394E-4</v>
      </c>
      <c r="L43" s="13">
        <f t="shared" si="5"/>
        <v>9.1452506528565992E-4</v>
      </c>
      <c r="M43" s="13">
        <f t="shared" si="5"/>
        <v>5.7809792701919889E-4</v>
      </c>
      <c r="N43" s="13">
        <f t="shared" si="5"/>
        <v>6.403479334141822E-4</v>
      </c>
      <c r="O43" s="13">
        <f t="shared" si="5"/>
        <v>8.6120951812583731E-4</v>
      </c>
      <c r="P43" s="13">
        <f t="shared" si="5"/>
        <v>8.7598329082363112E-4</v>
      </c>
      <c r="Q43" s="13">
        <f t="shared" si="5"/>
        <v>1.7393382588876231E-3</v>
      </c>
      <c r="R43" s="13">
        <f t="shared" si="5"/>
        <v>2.5248153335897736E-3</v>
      </c>
      <c r="S43" s="13">
        <f t="shared" si="5"/>
        <v>2.9138964378395728E-3</v>
      </c>
      <c r="T43" s="13">
        <f t="shared" si="5"/>
        <v>1.683726802196233E-3</v>
      </c>
      <c r="U43" s="13">
        <f t="shared" si="5"/>
        <v>6.3084611786872261E-4</v>
      </c>
      <c r="V43" s="13">
        <f t="shared" si="5"/>
        <v>4.1133033777742203E-4</v>
      </c>
      <c r="W43" s="13">
        <f t="shared" si="5"/>
        <v>4.9250937029918229E-4</v>
      </c>
      <c r="X43" s="13">
        <f t="shared" si="5"/>
        <v>5.2824884040162529E-4</v>
      </c>
      <c r="Y43" s="13">
        <f t="shared" si="5"/>
        <v>1.5605075871660198E-3</v>
      </c>
      <c r="Z43" s="13">
        <f t="shared" si="5"/>
        <v>2.8413342541970428E-3</v>
      </c>
      <c r="AA43" s="13">
        <f t="shared" si="5"/>
        <v>4.0439673024979667E-3</v>
      </c>
      <c r="AB43" s="13">
        <f t="shared" si="5"/>
        <v>4.0805558351553091E-3</v>
      </c>
      <c r="AC43" s="13">
        <f t="shared" si="5"/>
        <v>4.4001118194283984E-3</v>
      </c>
      <c r="AD43" s="13">
        <f t="shared" si="5"/>
        <v>4.8776374258342227E-3</v>
      </c>
      <c r="AE43" s="13">
        <f t="shared" si="5"/>
        <v>7.035356049203273E-3</v>
      </c>
      <c r="AF43" s="13">
        <f t="shared" si="5"/>
        <v>6.735720274249974E-3</v>
      </c>
      <c r="AG43" s="13">
        <f t="shared" si="5"/>
        <v>5.8668155333921161E-3</v>
      </c>
      <c r="AH43" s="13">
        <f t="shared" si="5"/>
        <v>6.9449294639328425E-3</v>
      </c>
      <c r="AI43" s="13">
        <f t="shared" si="5"/>
        <v>7.1098848825250083E-3</v>
      </c>
      <c r="AJ43" s="13">
        <f t="shared" si="5"/>
        <v>4.1906401133652814E-3</v>
      </c>
      <c r="AK43" s="13">
        <f t="shared" si="5"/>
        <v>2.6787371905244266E-3</v>
      </c>
      <c r="AL43" s="13">
        <f t="shared" si="5"/>
        <v>1.531214138271236E-3</v>
      </c>
      <c r="AM43" s="13">
        <f t="shared" si="5"/>
        <v>7.6947628944350199E-4</v>
      </c>
      <c r="AN43" s="13">
        <f t="shared" si="5"/>
        <v>2.3502613477267235E-4</v>
      </c>
      <c r="AO43" s="13">
        <f t="shared" si="5"/>
        <v>6.1735998606132943E-5</v>
      </c>
      <c r="AP43" s="13">
        <f t="shared" si="5"/>
        <v>8.5707919502739545E-4</v>
      </c>
      <c r="AQ43" s="13">
        <f t="shared" si="5"/>
        <v>1.9936837091474391E-5</v>
      </c>
      <c r="AR43" s="13">
        <f t="shared" si="5"/>
        <v>8.5252978429037514E-5</v>
      </c>
      <c r="AS43" s="13">
        <f t="shared" si="5"/>
        <v>1.900961096149901E-5</v>
      </c>
      <c r="AT43" s="13">
        <f t="shared" si="5"/>
        <v>3.4615880718266538E-6</v>
      </c>
      <c r="AU43" s="13">
        <f t="shared" si="5"/>
        <v>2.6609580381304655E-4</v>
      </c>
      <c r="AV43" s="13">
        <f t="shared" si="5"/>
        <v>2.7480063379656389E-3</v>
      </c>
      <c r="AW43" s="13">
        <f t="shared" si="5"/>
        <v>3.7612680251225133E-3</v>
      </c>
      <c r="AX43" s="13">
        <f t="shared" si="5"/>
        <v>3.138070549525418E-3</v>
      </c>
      <c r="AY43" s="13">
        <f t="shared" si="5"/>
        <v>3.6153369679628004E-3</v>
      </c>
      <c r="AZ43" s="13">
        <f t="shared" si="5"/>
        <v>4.5178871106004541E-3</v>
      </c>
      <c r="BA43" s="13"/>
      <c r="BB43" s="13"/>
      <c r="BC43" s="13"/>
      <c r="BD43" s="13"/>
      <c r="BE43" s="13"/>
      <c r="BF43" s="13"/>
      <c r="BG43" s="13"/>
      <c r="BH43" s="13"/>
      <c r="BI43" s="13"/>
      <c r="BJ43" s="13"/>
      <c r="BK43" s="13"/>
      <c r="BL43" s="13"/>
      <c r="BM43" s="13"/>
      <c r="BN43" s="13"/>
      <c r="BO43" s="13"/>
      <c r="BP43" s="13"/>
      <c r="BQ43" s="13"/>
      <c r="BR43" s="13"/>
    </row>
    <row r="44" spans="1:70" x14ac:dyDescent="0.45">
      <c r="B44" t="str">
        <f t="shared" si="0"/>
        <v>Pacific</v>
      </c>
      <c r="C44" s="13">
        <f t="shared" si="0"/>
        <v>0.14353926187202354</v>
      </c>
      <c r="D44" s="13">
        <f t="shared" ref="D44:AZ44" si="6">D8</f>
        <v>0.13774324304986901</v>
      </c>
      <c r="E44" s="13">
        <f t="shared" si="6"/>
        <v>0.13524308935343451</v>
      </c>
      <c r="F44" s="13">
        <f t="shared" si="6"/>
        <v>0.12678679194909001</v>
      </c>
      <c r="G44" s="13">
        <f t="shared" si="6"/>
        <v>0.13910078151139865</v>
      </c>
      <c r="H44" s="13">
        <f t="shared" si="6"/>
        <v>0.1531351481780627</v>
      </c>
      <c r="I44" s="13">
        <f t="shared" si="6"/>
        <v>0.15628612163578529</v>
      </c>
      <c r="J44" s="13">
        <f t="shared" si="6"/>
        <v>0.15378066533353138</v>
      </c>
      <c r="K44" s="13">
        <f t="shared" si="6"/>
        <v>0.14737526057460978</v>
      </c>
      <c r="L44" s="13">
        <f t="shared" si="6"/>
        <v>0.14825308087164876</v>
      </c>
      <c r="M44" s="13">
        <f t="shared" si="6"/>
        <v>0.14973627044625754</v>
      </c>
      <c r="N44" s="13">
        <f t="shared" si="6"/>
        <v>0.16328677270536535</v>
      </c>
      <c r="O44" s="13">
        <f t="shared" si="6"/>
        <v>0.17528223442644503</v>
      </c>
      <c r="P44" s="13">
        <f t="shared" si="6"/>
        <v>0.16800455739075557</v>
      </c>
      <c r="Q44" s="13">
        <f t="shared" si="6"/>
        <v>0.18313500061939147</v>
      </c>
      <c r="R44" s="13">
        <f t="shared" si="6"/>
        <v>0.17521314864758783</v>
      </c>
      <c r="S44" s="13">
        <f t="shared" si="6"/>
        <v>0.16701019466697525</v>
      </c>
      <c r="T44" s="13">
        <f t="shared" si="6"/>
        <v>0.16490920099906275</v>
      </c>
      <c r="U44" s="13">
        <f t="shared" si="6"/>
        <v>0.17037929792199624</v>
      </c>
      <c r="V44" s="13">
        <f t="shared" si="6"/>
        <v>0.18543244635534312</v>
      </c>
      <c r="W44" s="13">
        <f t="shared" si="6"/>
        <v>0.19013313767654472</v>
      </c>
      <c r="X44" s="13">
        <f t="shared" si="6"/>
        <v>0.19241675538024344</v>
      </c>
      <c r="Y44" s="13">
        <f t="shared" si="6"/>
        <v>0.18957841390473604</v>
      </c>
      <c r="Z44" s="13">
        <f t="shared" si="6"/>
        <v>0.17952687326708922</v>
      </c>
      <c r="AA44" s="13">
        <f t="shared" si="6"/>
        <v>0.17569695414439826</v>
      </c>
      <c r="AB44" s="13">
        <f t="shared" si="6"/>
        <v>0.18883853011043295</v>
      </c>
      <c r="AC44" s="13">
        <f t="shared" si="6"/>
        <v>0.19003693291683701</v>
      </c>
      <c r="AD44" s="13">
        <f t="shared" si="6"/>
        <v>0.20025181685539517</v>
      </c>
      <c r="AE44" s="13">
        <f t="shared" si="6"/>
        <v>0.21165138095316433</v>
      </c>
      <c r="AF44" s="13">
        <f t="shared" si="6"/>
        <v>0.21162730386020515</v>
      </c>
      <c r="AG44" s="13">
        <f t="shared" si="6"/>
        <v>0.22294401613813458</v>
      </c>
      <c r="AH44" s="13">
        <f t="shared" si="6"/>
        <v>0.22019602089448398</v>
      </c>
      <c r="AI44" s="13">
        <f t="shared" si="6"/>
        <v>0.21841586949352387</v>
      </c>
      <c r="AJ44" s="13">
        <f t="shared" si="6"/>
        <v>0.21788246341002129</v>
      </c>
      <c r="AK44" s="13">
        <f t="shared" si="6"/>
        <v>0.22528804438969477</v>
      </c>
      <c r="AL44" s="13">
        <f t="shared" si="6"/>
        <v>0.22560664136370656</v>
      </c>
      <c r="AM44" s="13">
        <f t="shared" si="6"/>
        <v>0.21746308095459432</v>
      </c>
      <c r="AN44" s="13">
        <f t="shared" si="6"/>
        <v>0.21955491012798023</v>
      </c>
      <c r="AO44" s="13">
        <f t="shared" si="6"/>
        <v>0.22957196417785777</v>
      </c>
      <c r="AP44" s="13">
        <f t="shared" si="6"/>
        <v>0.2249043936138182</v>
      </c>
      <c r="AQ44" s="13">
        <f t="shared" si="6"/>
        <v>0.2280281828474606</v>
      </c>
      <c r="AR44" s="13">
        <f t="shared" si="6"/>
        <v>0.23052963588252653</v>
      </c>
      <c r="AS44" s="13">
        <f t="shared" si="6"/>
        <v>0.23092513014311888</v>
      </c>
      <c r="AT44" s="13">
        <f t="shared" si="6"/>
        <v>0.22911587260608968</v>
      </c>
      <c r="AU44" s="13">
        <f t="shared" si="6"/>
        <v>0.21805118323197906</v>
      </c>
      <c r="AV44" s="13">
        <f t="shared" si="6"/>
        <v>0.2193223400605035</v>
      </c>
      <c r="AW44" s="13">
        <f t="shared" si="6"/>
        <v>0.21153466422691145</v>
      </c>
      <c r="AX44" s="13">
        <f t="shared" si="6"/>
        <v>0.21235278094926299</v>
      </c>
      <c r="AY44" s="13">
        <f t="shared" si="6"/>
        <v>0.21676970872639381</v>
      </c>
      <c r="AZ44" s="13">
        <f t="shared" si="6"/>
        <v>0.21271409928753374</v>
      </c>
      <c r="BA44" s="13"/>
      <c r="BB44" s="13"/>
      <c r="BC44" s="13"/>
      <c r="BD44" s="13"/>
      <c r="BE44" s="13"/>
      <c r="BF44" s="13"/>
      <c r="BG44" s="13"/>
      <c r="BH44" s="13"/>
      <c r="BI44" s="13"/>
      <c r="BJ44" s="13"/>
      <c r="BK44" s="13"/>
      <c r="BL44" s="13"/>
      <c r="BM44" s="13"/>
      <c r="BN44" s="13"/>
      <c r="BO44" s="13"/>
      <c r="BP44" s="13"/>
      <c r="BQ44" s="13"/>
      <c r="BR44" s="13"/>
    </row>
    <row r="45" spans="1:70" x14ac:dyDescent="0.45">
      <c r="B45" t="str">
        <f t="shared" si="0"/>
        <v>South Asia</v>
      </c>
      <c r="C45" s="13">
        <f t="shared" si="0"/>
        <v>1.3503538253338299E-2</v>
      </c>
      <c r="D45" s="13">
        <f t="shared" ref="D45:AZ45" si="7">D9</f>
        <v>1.1635237439337963E-2</v>
      </c>
      <c r="E45" s="13">
        <f t="shared" si="7"/>
        <v>8.7662928076255933E-3</v>
      </c>
      <c r="F45" s="13">
        <f t="shared" si="7"/>
        <v>9.3624298133880585E-3</v>
      </c>
      <c r="G45" s="13">
        <f t="shared" si="7"/>
        <v>6.4442054467556565E-3</v>
      </c>
      <c r="H45" s="13">
        <f t="shared" si="7"/>
        <v>2.0572236311096479E-2</v>
      </c>
      <c r="I45" s="13">
        <f t="shared" si="7"/>
        <v>5.7326957103347263E-3</v>
      </c>
      <c r="J45" s="13">
        <f t="shared" si="7"/>
        <v>9.6834714259770305E-3</v>
      </c>
      <c r="K45" s="13">
        <f t="shared" si="7"/>
        <v>4.5432365147483203E-3</v>
      </c>
      <c r="L45" s="13">
        <f t="shared" si="7"/>
        <v>3.5358656498536631E-3</v>
      </c>
      <c r="M45" s="13">
        <f t="shared" si="7"/>
        <v>4.5532003338641996E-3</v>
      </c>
      <c r="N45" s="13">
        <f t="shared" si="7"/>
        <v>5.6808789697905763E-3</v>
      </c>
      <c r="O45" s="13">
        <f t="shared" si="7"/>
        <v>8.618634462751882E-3</v>
      </c>
      <c r="P45" s="13">
        <f t="shared" si="7"/>
        <v>7.7802461300799982E-3</v>
      </c>
      <c r="Q45" s="13">
        <f t="shared" si="7"/>
        <v>8.2776861675581369E-3</v>
      </c>
      <c r="R45" s="13">
        <f t="shared" si="7"/>
        <v>5.0650135434352848E-3</v>
      </c>
      <c r="S45" s="13">
        <f t="shared" si="7"/>
        <v>5.9743176418859826E-3</v>
      </c>
      <c r="T45" s="13">
        <f t="shared" si="7"/>
        <v>5.8776760525853702E-3</v>
      </c>
      <c r="U45" s="13">
        <f t="shared" si="7"/>
        <v>5.1946540817521796E-3</v>
      </c>
      <c r="V45" s="13">
        <f t="shared" si="7"/>
        <v>4.2924402509596869E-3</v>
      </c>
      <c r="W45" s="13">
        <f t="shared" si="7"/>
        <v>4.0971979107640973E-3</v>
      </c>
      <c r="X45" s="13">
        <f t="shared" si="7"/>
        <v>8.7750798015778717E-3</v>
      </c>
      <c r="Y45" s="13">
        <f t="shared" si="7"/>
        <v>1.0422442190206294E-2</v>
      </c>
      <c r="Z45" s="13">
        <f t="shared" si="7"/>
        <v>1.3945380885455591E-2</v>
      </c>
      <c r="AA45" s="13">
        <f t="shared" si="7"/>
        <v>9.994667668598415E-3</v>
      </c>
      <c r="AB45" s="13">
        <f t="shared" si="7"/>
        <v>1.1385916583539282E-2</v>
      </c>
      <c r="AC45" s="13">
        <f t="shared" si="7"/>
        <v>9.2175146535672138E-3</v>
      </c>
      <c r="AD45" s="13">
        <f t="shared" si="7"/>
        <v>8.3870538942689664E-3</v>
      </c>
      <c r="AE45" s="13">
        <f t="shared" si="7"/>
        <v>8.9694149473428953E-3</v>
      </c>
      <c r="AF45" s="13">
        <f t="shared" si="7"/>
        <v>7.5963051874458846E-3</v>
      </c>
      <c r="AG45" s="13">
        <f t="shared" si="7"/>
        <v>1.1028857028555057E-2</v>
      </c>
      <c r="AH45" s="13">
        <f t="shared" si="7"/>
        <v>8.1113725731338446E-3</v>
      </c>
      <c r="AI45" s="13">
        <f t="shared" si="7"/>
        <v>7.8346711067905032E-3</v>
      </c>
      <c r="AJ45" s="13">
        <f t="shared" si="7"/>
        <v>8.7529483831452187E-3</v>
      </c>
      <c r="AK45" s="13">
        <f t="shared" si="7"/>
        <v>9.3931048044936273E-3</v>
      </c>
      <c r="AL45" s="13">
        <f t="shared" si="7"/>
        <v>1.1231347993397351E-2</v>
      </c>
      <c r="AM45" s="13">
        <f t="shared" si="7"/>
        <v>1.4063618486513264E-2</v>
      </c>
      <c r="AN45" s="13">
        <f t="shared" si="7"/>
        <v>1.7913840773160671E-2</v>
      </c>
      <c r="AO45" s="13">
        <f t="shared" si="7"/>
        <v>1.5313536823388875E-2</v>
      </c>
      <c r="AP45" s="13">
        <f t="shared" si="7"/>
        <v>1.5042018366814999E-2</v>
      </c>
      <c r="AQ45" s="13">
        <f t="shared" si="7"/>
        <v>2.2451696730209247E-2</v>
      </c>
      <c r="AR45" s="13">
        <f t="shared" si="7"/>
        <v>2.0487643523309732E-2</v>
      </c>
      <c r="AS45" s="13">
        <f t="shared" si="7"/>
        <v>2.0110236201225311E-2</v>
      </c>
      <c r="AT45" s="13">
        <f t="shared" si="7"/>
        <v>1.9200022231499407E-2</v>
      </c>
      <c r="AU45" s="13">
        <f t="shared" si="7"/>
        <v>1.8408543084185904E-2</v>
      </c>
      <c r="AV45" s="13">
        <f t="shared" si="7"/>
        <v>1.4929438916739871E-2</v>
      </c>
      <c r="AW45" s="13">
        <f t="shared" si="7"/>
        <v>1.4417958404984426E-2</v>
      </c>
      <c r="AX45" s="13">
        <f t="shared" si="7"/>
        <v>1.4297914776148037E-2</v>
      </c>
      <c r="AY45" s="13">
        <f t="shared" si="7"/>
        <v>1.2537233228844757E-2</v>
      </c>
      <c r="AZ45" s="13">
        <f t="shared" si="7"/>
        <v>1.6335958318443686E-2</v>
      </c>
      <c r="BA45" s="13"/>
      <c r="BB45" s="13"/>
      <c r="BC45" s="13"/>
      <c r="BD45" s="13"/>
      <c r="BE45" s="13"/>
      <c r="BF45" s="13"/>
      <c r="BG45" s="13"/>
      <c r="BH45" s="13"/>
      <c r="BI45" s="13"/>
      <c r="BJ45" s="13"/>
      <c r="BK45" s="13"/>
      <c r="BL45" s="13"/>
      <c r="BM45" s="13"/>
      <c r="BN45" s="13"/>
      <c r="BO45" s="13"/>
      <c r="BP45" s="13"/>
      <c r="BQ45" s="13"/>
      <c r="BR45" s="13"/>
    </row>
    <row r="46" spans="1:70" x14ac:dyDescent="0.45">
      <c r="B46" t="str">
        <f t="shared" si="0"/>
        <v>Sub-Saharan Africa</v>
      </c>
      <c r="C46" s="13">
        <f t="shared" si="0"/>
        <v>0.23575081798388559</v>
      </c>
      <c r="D46" s="13">
        <f t="shared" ref="D46:AZ46" si="8">D10</f>
        <v>0.2824598049172703</v>
      </c>
      <c r="E46" s="13">
        <f t="shared" si="8"/>
        <v>0.24202292903808781</v>
      </c>
      <c r="F46" s="13">
        <f t="shared" si="8"/>
        <v>0.28031910362635959</v>
      </c>
      <c r="G46" s="13">
        <f t="shared" si="8"/>
        <v>0.27442598934326357</v>
      </c>
      <c r="H46" s="13">
        <f t="shared" si="8"/>
        <v>0.24755427385154238</v>
      </c>
      <c r="I46" s="13">
        <f t="shared" si="8"/>
        <v>0.2243004830874398</v>
      </c>
      <c r="J46" s="13">
        <f t="shared" si="8"/>
        <v>0.21354313044837905</v>
      </c>
      <c r="K46" s="13">
        <f t="shared" si="8"/>
        <v>0.20934610621865482</v>
      </c>
      <c r="L46" s="13">
        <f t="shared" si="8"/>
        <v>0.2195179082507504</v>
      </c>
      <c r="M46" s="13">
        <f t="shared" si="8"/>
        <v>0.28742819835389394</v>
      </c>
      <c r="N46" s="13">
        <f t="shared" si="8"/>
        <v>0.31510952023643851</v>
      </c>
      <c r="O46" s="13">
        <f t="shared" si="8"/>
        <v>0.29011546420086826</v>
      </c>
      <c r="P46" s="13">
        <f t="shared" si="8"/>
        <v>0.31632670521972589</v>
      </c>
      <c r="Q46" s="13">
        <f t="shared" si="8"/>
        <v>0.30876985475691876</v>
      </c>
      <c r="R46" s="13">
        <f t="shared" si="8"/>
        <v>0.24053284540658662</v>
      </c>
      <c r="S46" s="13">
        <f t="shared" si="8"/>
        <v>0.25547905596558929</v>
      </c>
      <c r="T46" s="13">
        <f t="shared" si="8"/>
        <v>0.33259226878023124</v>
      </c>
      <c r="U46" s="13">
        <f t="shared" si="8"/>
        <v>0.34697711251692559</v>
      </c>
      <c r="V46" s="13">
        <f t="shared" si="8"/>
        <v>0.38058767293900075</v>
      </c>
      <c r="W46" s="13">
        <f t="shared" si="8"/>
        <v>0.40449157889947474</v>
      </c>
      <c r="X46" s="13">
        <f t="shared" si="8"/>
        <v>0.44521679025983302</v>
      </c>
      <c r="Y46" s="13">
        <f t="shared" si="8"/>
        <v>0.52017981279670089</v>
      </c>
      <c r="Z46" s="13">
        <f t="shared" si="8"/>
        <v>0.59815841717218798</v>
      </c>
      <c r="AA46" s="13">
        <f t="shared" si="8"/>
        <v>0.64425676409012023</v>
      </c>
      <c r="AB46" s="13">
        <f t="shared" si="8"/>
        <v>0.60962228943357399</v>
      </c>
      <c r="AC46" s="13">
        <f t="shared" si="8"/>
        <v>0.54561059162765824</v>
      </c>
      <c r="AD46" s="13">
        <f t="shared" si="8"/>
        <v>0.53850912567829823</v>
      </c>
      <c r="AE46" s="13">
        <f t="shared" si="8"/>
        <v>0.49137370309236544</v>
      </c>
      <c r="AF46" s="13">
        <f t="shared" si="8"/>
        <v>0.49083833857147513</v>
      </c>
      <c r="AG46" s="13">
        <f t="shared" si="8"/>
        <v>0.42335813157264512</v>
      </c>
      <c r="AH46" s="13">
        <f t="shared" si="8"/>
        <v>0.40208301122523765</v>
      </c>
      <c r="AI46" s="13">
        <f t="shared" si="8"/>
        <v>0.33358624061642883</v>
      </c>
      <c r="AJ46" s="13">
        <f t="shared" si="8"/>
        <v>0.44820569438299396</v>
      </c>
      <c r="AK46" s="13">
        <f t="shared" si="8"/>
        <v>0.49669183960641744</v>
      </c>
      <c r="AL46" s="13">
        <f t="shared" si="8"/>
        <v>0.4787230300858108</v>
      </c>
      <c r="AM46" s="13">
        <f t="shared" si="8"/>
        <v>0.41406683347658663</v>
      </c>
      <c r="AN46" s="13">
        <f t="shared" si="8"/>
        <v>0.39446894421529977</v>
      </c>
      <c r="AO46" s="13">
        <f t="shared" si="8"/>
        <v>0.3342955703201968</v>
      </c>
      <c r="AP46" s="13">
        <f t="shared" si="8"/>
        <v>0.34473484779740937</v>
      </c>
      <c r="AQ46" s="13">
        <f t="shared" si="8"/>
        <v>0.38711941793426563</v>
      </c>
      <c r="AR46" s="13">
        <f t="shared" si="8"/>
        <v>0.39028493106917622</v>
      </c>
      <c r="AS46" s="13">
        <f t="shared" si="8"/>
        <v>0.35790541390312341</v>
      </c>
      <c r="AT46" s="13">
        <f t="shared" si="8"/>
        <v>0.31328359032903824</v>
      </c>
      <c r="AU46" s="13">
        <f t="shared" si="8"/>
        <v>0.29354606926400156</v>
      </c>
      <c r="AV46" s="13">
        <f t="shared" si="8"/>
        <v>0.27276359898347774</v>
      </c>
      <c r="AW46" s="13">
        <f t="shared" si="8"/>
        <v>0.25969725472826305</v>
      </c>
      <c r="AX46" s="13">
        <f t="shared" si="8"/>
        <v>0.29315276000609736</v>
      </c>
      <c r="AY46" s="13">
        <f t="shared" si="8"/>
        <v>0.29863192186592274</v>
      </c>
      <c r="AZ46" s="13">
        <f t="shared" si="8"/>
        <v>0.29165116876996117</v>
      </c>
      <c r="BA46" s="13"/>
      <c r="BB46" s="13"/>
      <c r="BC46" s="13"/>
      <c r="BD46" s="13"/>
      <c r="BE46" s="13"/>
      <c r="BF46" s="13"/>
      <c r="BG46" s="13"/>
      <c r="BH46" s="13"/>
      <c r="BI46" s="13"/>
      <c r="BJ46" s="13"/>
      <c r="BK46" s="13"/>
      <c r="BL46" s="13"/>
      <c r="BM46" s="13"/>
      <c r="BN46" s="13"/>
      <c r="BO46" s="13"/>
      <c r="BP46" s="13"/>
      <c r="BQ46" s="13"/>
      <c r="BR46" s="13"/>
    </row>
    <row r="47" spans="1:70" x14ac:dyDescent="0.45">
      <c r="B47" t="s">
        <v>221</v>
      </c>
      <c r="C47" s="13" cm="1">
        <f t="array" ref="C47">[4]!TheilT2(C25:C33,C14:C22)</f>
        <v>0.8435249967665841</v>
      </c>
      <c r="D47" s="13" cm="1">
        <f t="array" ref="D47">[4]!TheilT2(D25:D33,D14:D22)</f>
        <v>0.85601245831565387</v>
      </c>
      <c r="E47" s="13" cm="1">
        <f t="array" ref="E47">[4]!TheilT2(E25:E33,E14:E22)</f>
        <v>0.85670418066492926</v>
      </c>
      <c r="F47" s="13" cm="1">
        <f t="array" ref="F47">[4]!TheilT2(F25:F33,F14:F22)</f>
        <v>0.83261271774625345</v>
      </c>
      <c r="G47" s="13" cm="1">
        <f t="array" ref="G47">[4]!TheilT2(G25:G33,G14:G22)</f>
        <v>0.80842713668985156</v>
      </c>
      <c r="H47" s="13" cm="1">
        <f t="array" ref="H47">[4]!TheilT2(H25:H33,H14:H22)</f>
        <v>0.82318642331472625</v>
      </c>
      <c r="I47" s="13" cm="1">
        <f t="array" ref="I47">[4]!TheilT2(I25:I33,I14:I22)</f>
        <v>0.8469008546905642</v>
      </c>
      <c r="J47" s="13" cm="1">
        <f t="array" ref="J47">[4]!TheilT2(J25:J33,J14:J22)</f>
        <v>0.84395154674176931</v>
      </c>
      <c r="K47" s="13" cm="1">
        <f t="array" ref="K47">[4]!TheilT2(K25:K33,K14:K22)</f>
        <v>0.87140790615480723</v>
      </c>
      <c r="L47" s="13" cm="1">
        <f t="array" ref="L47">[4]!TheilT2(L25:L33,L14:L22)</f>
        <v>0.87284374297049916</v>
      </c>
      <c r="M47" s="13" cm="1">
        <f t="array" ref="M47">[4]!TheilT2(M25:M33,M14:M22)</f>
        <v>0.86357349042525655</v>
      </c>
      <c r="N47" s="13" cm="1">
        <f t="array" ref="N47">[4]!TheilT2(N25:N33,N14:N22)</f>
        <v>0.83623163853652427</v>
      </c>
      <c r="O47" s="13" cm="1">
        <f t="array" ref="O47">[4]!TheilT2(O25:O33,O14:O22)</f>
        <v>0.86088984068784735</v>
      </c>
      <c r="P47" s="13" cm="1">
        <f t="array" ref="P47">[4]!TheilT2(P25:P33,P14:P22)</f>
        <v>0.89384344023642748</v>
      </c>
      <c r="Q47" s="13" cm="1">
        <f t="array" ref="Q47">[4]!TheilT2(Q25:Q33,Q14:Q22)</f>
        <v>0.92568118506637653</v>
      </c>
      <c r="R47" s="13" cm="1">
        <f t="array" ref="R47">[4]!TheilT2(R25:R33,R14:R22)</f>
        <v>0.93435676094134357</v>
      </c>
      <c r="S47" s="13" cm="1">
        <f t="array" ref="S47">[4]!TheilT2(S25:S33,S14:S22)</f>
        <v>0.95826189865527422</v>
      </c>
      <c r="T47" s="13" cm="1">
        <f t="array" ref="T47">[4]!TheilT2(T25:T33,T14:T22)</f>
        <v>0.98183916716402586</v>
      </c>
      <c r="U47" s="13" cm="1">
        <f t="array" ref="U47">[4]!TheilT2(U25:U33,U14:U22)</f>
        <v>0.98983109502989708</v>
      </c>
      <c r="V47" s="13" cm="1">
        <f t="array" ref="V47">[4]!TheilT2(V25:V33,V14:V22)</f>
        <v>0.99541358211762332</v>
      </c>
      <c r="W47" s="13" cm="1">
        <f t="array" ref="W47">[4]!TheilT2(W25:W33,W14:W22)</f>
        <v>1.0050189904869367</v>
      </c>
      <c r="X47" s="13" cm="1">
        <f t="array" ref="X47">[4]!TheilT2(X25:X33,X14:X22)</f>
        <v>1.0023371985908305</v>
      </c>
      <c r="Y47" s="13" cm="1">
        <f t="array" ref="Y47">[4]!TheilT2(Y25:Y33,Y14:Y22)</f>
        <v>1.0194314450264421</v>
      </c>
      <c r="Z47" s="13" cm="1">
        <f t="array" ref="Z47">[4]!TheilT2(Z25:Z33,Z14:Z22)</f>
        <v>1.0062467725375674</v>
      </c>
      <c r="AA47" s="13" cm="1">
        <f t="array" ref="AA47">[4]!TheilT2(AA25:AA33,AA14:AA22)</f>
        <v>0.99460938917531261</v>
      </c>
      <c r="AB47" s="13" cm="1">
        <f t="array" ref="AB47">[4]!TheilT2(AB25:AB33,AB14:AB22)</f>
        <v>0.98647955475939453</v>
      </c>
      <c r="AC47" s="13" cm="1">
        <f t="array" ref="AC47">[4]!TheilT2(AC25:AC33,AC14:AC22)</f>
        <v>0.96893656836644104</v>
      </c>
      <c r="AD47" s="13" cm="1">
        <f t="array" ref="AD47">[4]!TheilT2(AD25:AD33,AD14:AD22)</f>
        <v>0.95197239968497571</v>
      </c>
      <c r="AE47" s="13" cm="1">
        <f t="array" ref="AE47">[4]!TheilT2(AE25:AE33,AE14:AE22)</f>
        <v>0.96241331216379544</v>
      </c>
      <c r="AF47" s="13" cm="1">
        <f t="array" ref="AF47">[4]!TheilT2(AF25:AF33,AF14:AF22)</f>
        <v>0.9778392004250791</v>
      </c>
      <c r="AG47" s="13" cm="1">
        <f t="array" ref="AG47">[4]!TheilT2(AG25:AG33,AG14:AG22)</f>
        <v>0.96167265817761316</v>
      </c>
      <c r="AH47" s="13" cm="1">
        <f t="array" ref="AH47">[4]!TheilT2(AH25:AH33,AH14:AH22)</f>
        <v>0.96956410777481106</v>
      </c>
      <c r="AI47" s="13" cm="1">
        <f t="array" ref="AI47">[4]!TheilT2(AI25:AI33,AI14:AI22)</f>
        <v>0.98096707516346893</v>
      </c>
      <c r="AJ47" s="13" cm="1">
        <f t="array" ref="AJ47">[4]!TheilT2(AJ25:AJ33,AJ14:AJ22)</f>
        <v>0.9783582254261427</v>
      </c>
      <c r="AK47" s="13" cm="1">
        <f t="array" ref="AK47">[4]!TheilT2(AK25:AK33,AK14:AK22)</f>
        <v>0.95957702397866451</v>
      </c>
      <c r="AL47" s="13" cm="1">
        <f t="array" ref="AL47">[4]!TheilT2(AL25:AL33,AL14:AL22)</f>
        <v>0.92596442162334314</v>
      </c>
      <c r="AM47" s="13" cm="1">
        <f t="array" ref="AM47">[4]!TheilT2(AM25:AM33,AM14:AM22)</f>
        <v>0.89515090147565257</v>
      </c>
      <c r="AN47" s="13" cm="1">
        <f t="array" ref="AN47">[4]!TheilT2(AN25:AN33,AN14:AN22)</f>
        <v>0.85444932468561285</v>
      </c>
      <c r="AO47" s="13" cm="1">
        <f t="array" ref="AO47">[4]!TheilT2(AO25:AO33,AO14:AO22)</f>
        <v>0.81279035278556322</v>
      </c>
      <c r="AP47" s="13" cm="1">
        <f t="array" ref="AP47">[4]!TheilT2(AP25:AP33,AP14:AP22)</f>
        <v>0.7743882865670858</v>
      </c>
      <c r="AQ47" s="13" cm="1">
        <f t="array" ref="AQ47">[4]!TheilT2(AQ25:AQ33,AQ14:AQ22)</f>
        <v>0.71056403102490806</v>
      </c>
      <c r="AR47" s="13" cm="1">
        <f t="array" ref="AR47">[4]!TheilT2(AR25:AR33,AR14:AR22)</f>
        <v>0.67679360460139648</v>
      </c>
      <c r="AS47" s="13" cm="1">
        <f t="array" ref="AS47">[4]!TheilT2(AS25:AS33,AS14:AS22)</f>
        <v>0.6573715209386688</v>
      </c>
      <c r="AT47" s="13" cm="1">
        <f t="array" ref="AT47">[4]!TheilT2(AT25:AT33,AT14:AT22)</f>
        <v>0.64795153941162853</v>
      </c>
      <c r="AU47" s="13" cm="1">
        <f t="array" ref="AU47">[4]!TheilT2(AU25:AU33,AU14:AU22)</f>
        <v>0.63794057433854101</v>
      </c>
      <c r="AV47" s="13" cm="1">
        <f t="array" ref="AV47">[4]!TheilT2(AV25:AV33,AV14:AV22)</f>
        <v>0.63169054425433857</v>
      </c>
      <c r="AW47" s="13" cm="1">
        <f t="array" ref="AW47">[4]!TheilT2(AW25:AW33,AW14:AW22)</f>
        <v>0.63449402232536944</v>
      </c>
      <c r="AX47" s="13" cm="1">
        <f t="array" ref="AX47">[4]!TheilT2(AX25:AX33,AX14:AX22)</f>
        <v>0.61671029060071236</v>
      </c>
      <c r="AY47" s="13" cm="1">
        <f t="array" ref="AY47">[4]!TheilT2(AY25:AY33,AY14:AY22)</f>
        <v>0.62096028207367782</v>
      </c>
      <c r="AZ47" s="13" cm="1">
        <f t="array" ref="AZ47">[4]!TheilT2(AZ25:AZ33,AZ14:AZ22)</f>
        <v>0.62212731088921414</v>
      </c>
      <c r="BA47" s="13"/>
      <c r="BB47" s="13"/>
      <c r="BC47" s="13"/>
      <c r="BD47" s="13"/>
      <c r="BE47" s="13"/>
      <c r="BF47" s="13"/>
      <c r="BG47" s="13"/>
      <c r="BH47" s="13"/>
      <c r="BI47" s="13"/>
      <c r="BJ47" s="13"/>
      <c r="BK47" s="13"/>
      <c r="BL47" s="13"/>
      <c r="BM47" s="13"/>
      <c r="BN47" s="13"/>
      <c r="BO47" s="13"/>
      <c r="BP47" s="13"/>
      <c r="BQ47" s="13"/>
      <c r="BR47" s="13"/>
    </row>
    <row r="48" spans="1:70" x14ac:dyDescent="0.45">
      <c r="C48" s="13"/>
      <c r="D48" s="13"/>
      <c r="E48" s="13"/>
      <c r="F48" s="13"/>
      <c r="G48" s="13"/>
      <c r="H48" s="13"/>
      <c r="I48" s="13"/>
      <c r="J48" s="13"/>
      <c r="K48" s="13"/>
      <c r="L48" s="13"/>
      <c r="M48" s="13"/>
      <c r="N48" s="13"/>
      <c r="O48" s="13"/>
      <c r="P48" s="13"/>
      <c r="Q48" s="13"/>
      <c r="R48" s="13"/>
      <c r="S48" s="13"/>
      <c r="T48" s="13"/>
      <c r="U48" s="13"/>
      <c r="V48" s="13"/>
      <c r="W48" s="13"/>
      <c r="X48" s="13"/>
      <c r="Y48" s="13"/>
      <c r="Z48" s="13"/>
      <c r="AA48" s="13"/>
      <c r="AB48" s="13"/>
      <c r="AC48" s="13"/>
      <c r="AD48" s="13"/>
      <c r="AE48" s="13"/>
      <c r="AF48" s="13"/>
      <c r="AG48" s="13"/>
      <c r="AH48" s="13"/>
      <c r="AI48" s="13"/>
      <c r="AJ48" s="13"/>
      <c r="AK48" s="13"/>
      <c r="AL48" s="13"/>
      <c r="AM48" s="13"/>
      <c r="AN48" s="13"/>
      <c r="AO48" s="13"/>
      <c r="AP48" s="13"/>
      <c r="AQ48" s="13"/>
      <c r="AR48" s="13"/>
      <c r="AS48" s="13"/>
      <c r="AT48" s="13"/>
      <c r="AU48" s="13"/>
      <c r="AV48" s="13"/>
      <c r="AW48" s="13"/>
      <c r="AX48" s="13"/>
      <c r="AY48" s="13"/>
      <c r="AZ48" s="13"/>
      <c r="BA48" s="13"/>
      <c r="BB48" s="13"/>
      <c r="BC48" s="13"/>
      <c r="BD48" s="13"/>
      <c r="BE48" s="13"/>
      <c r="BF48" s="13"/>
      <c r="BG48" s="13"/>
      <c r="BH48" s="13"/>
      <c r="BI48" s="13"/>
      <c r="BJ48" s="13"/>
      <c r="BK48" s="13"/>
      <c r="BL48" s="13"/>
      <c r="BM48" s="13"/>
      <c r="BN48" s="13"/>
      <c r="BO48" s="13"/>
      <c r="BP48" s="13"/>
      <c r="BQ48" s="13"/>
      <c r="BR48" s="13"/>
    </row>
    <row r="49" spans="1:70" x14ac:dyDescent="0.45">
      <c r="A49" t="s">
        <v>166</v>
      </c>
      <c r="B49" t="str">
        <f>B38</f>
        <v>China</v>
      </c>
      <c r="C49" s="11">
        <v>1</v>
      </c>
      <c r="D49" s="11">
        <v>1</v>
      </c>
      <c r="E49" s="11">
        <v>1</v>
      </c>
      <c r="F49" s="11">
        <v>1</v>
      </c>
      <c r="G49" s="11">
        <v>1</v>
      </c>
      <c r="H49" s="11">
        <v>1</v>
      </c>
      <c r="I49" s="11">
        <v>1</v>
      </c>
      <c r="J49" s="11">
        <v>1</v>
      </c>
      <c r="K49" s="11">
        <v>1</v>
      </c>
      <c r="L49" s="11">
        <v>1</v>
      </c>
      <c r="M49" s="11">
        <v>1</v>
      </c>
      <c r="N49" s="11">
        <v>1</v>
      </c>
      <c r="O49" s="11">
        <v>1</v>
      </c>
      <c r="P49" s="11">
        <v>1</v>
      </c>
      <c r="Q49" s="11">
        <v>1</v>
      </c>
      <c r="R49" s="11">
        <v>1</v>
      </c>
      <c r="S49" s="11">
        <v>1</v>
      </c>
      <c r="T49" s="11">
        <v>1</v>
      </c>
      <c r="U49" s="11">
        <v>1</v>
      </c>
      <c r="V49" s="11">
        <v>1</v>
      </c>
      <c r="W49" s="11">
        <v>1</v>
      </c>
      <c r="X49" s="11">
        <v>1</v>
      </c>
      <c r="Y49" s="11">
        <v>1</v>
      </c>
      <c r="Z49" s="11">
        <v>1</v>
      </c>
      <c r="AA49" s="11">
        <v>1</v>
      </c>
      <c r="AB49" s="11">
        <v>1</v>
      </c>
      <c r="AC49" s="11">
        <v>1</v>
      </c>
      <c r="AD49" s="11">
        <v>1</v>
      </c>
      <c r="AE49" s="11">
        <v>1</v>
      </c>
      <c r="AF49" s="11">
        <v>1</v>
      </c>
      <c r="AG49" s="11">
        <v>1</v>
      </c>
      <c r="AH49" s="11">
        <v>1</v>
      </c>
      <c r="AI49" s="11">
        <v>1</v>
      </c>
      <c r="AJ49" s="11">
        <v>1</v>
      </c>
      <c r="AK49" s="11">
        <v>1</v>
      </c>
      <c r="AL49" s="11">
        <v>1</v>
      </c>
      <c r="AM49" s="11">
        <v>1</v>
      </c>
      <c r="AN49" s="11">
        <v>1</v>
      </c>
      <c r="AO49" s="11">
        <v>1</v>
      </c>
      <c r="AP49" s="11">
        <v>1</v>
      </c>
      <c r="AQ49" s="11">
        <v>1</v>
      </c>
      <c r="AR49" s="11">
        <v>1</v>
      </c>
      <c r="AS49" s="11">
        <v>1</v>
      </c>
      <c r="AT49" s="11">
        <v>1</v>
      </c>
      <c r="AU49" s="11">
        <v>1</v>
      </c>
      <c r="AV49" s="11">
        <v>1</v>
      </c>
      <c r="AW49" s="11">
        <v>1</v>
      </c>
      <c r="AX49" s="11">
        <v>1</v>
      </c>
      <c r="AY49" s="11">
        <v>1</v>
      </c>
      <c r="AZ49" s="11">
        <v>1</v>
      </c>
      <c r="BA49" s="13"/>
      <c r="BB49" s="13"/>
      <c r="BC49" s="13"/>
      <c r="BD49" s="13"/>
      <c r="BE49" s="13"/>
      <c r="BF49" s="13"/>
      <c r="BG49" s="13"/>
      <c r="BH49" s="13"/>
      <c r="BI49" s="13"/>
      <c r="BJ49" s="13"/>
      <c r="BK49" s="13"/>
      <c r="BL49" s="13"/>
      <c r="BM49" s="13"/>
      <c r="BN49" s="13"/>
      <c r="BO49" s="13"/>
      <c r="BP49" s="13"/>
      <c r="BQ49" s="13"/>
      <c r="BR49" s="13"/>
    </row>
    <row r="50" spans="1:70" x14ac:dyDescent="0.45">
      <c r="B50" t="str">
        <f t="shared" ref="B50:B57" si="9">B39</f>
        <v>East Asia</v>
      </c>
      <c r="C50" s="11">
        <f>COUNT(Population!C20:C26)</f>
        <v>7</v>
      </c>
      <c r="D50" s="11">
        <f>COUNT(Population!D20:D26)</f>
        <v>7</v>
      </c>
      <c r="E50" s="11">
        <f>COUNT(Population!E20:E26)</f>
        <v>7</v>
      </c>
      <c r="F50" s="11">
        <f>COUNT(Population!F20:F26)</f>
        <v>7</v>
      </c>
      <c r="G50" s="11">
        <f>COUNT(Population!G20:G26)</f>
        <v>7</v>
      </c>
      <c r="H50" s="11">
        <f>COUNT(Population!H20:H26)</f>
        <v>7</v>
      </c>
      <c r="I50" s="11">
        <f>COUNT(Population!I20:I26)</f>
        <v>7</v>
      </c>
      <c r="J50" s="11">
        <f>COUNT(Population!J20:J26)</f>
        <v>7</v>
      </c>
      <c r="K50" s="11">
        <f>COUNT(Population!K20:K26)</f>
        <v>7</v>
      </c>
      <c r="L50" s="11">
        <f>COUNT(Population!L20:L26)</f>
        <v>7</v>
      </c>
      <c r="M50" s="11">
        <f>COUNT(Population!M20:M26)</f>
        <v>7</v>
      </c>
      <c r="N50" s="11">
        <f>COUNT(Population!N20:N26)</f>
        <v>7</v>
      </c>
      <c r="O50" s="11">
        <f>COUNT(Population!O20:O26)</f>
        <v>7</v>
      </c>
      <c r="P50" s="11">
        <f>COUNT(Population!P20:P26)</f>
        <v>7</v>
      </c>
      <c r="Q50" s="11">
        <f>COUNT(Population!Q20:Q26)</f>
        <v>7</v>
      </c>
      <c r="R50" s="11">
        <f>COUNT(Population!R20:R26)</f>
        <v>7</v>
      </c>
      <c r="S50" s="11">
        <f>COUNT(Population!S20:S26)</f>
        <v>7</v>
      </c>
      <c r="T50" s="11">
        <f>COUNT(Population!T20:T26)</f>
        <v>7</v>
      </c>
      <c r="U50" s="11">
        <f>COUNT(Population!U20:U26)</f>
        <v>7</v>
      </c>
      <c r="V50" s="11">
        <f>COUNT(Population!V20:V26)</f>
        <v>7</v>
      </c>
      <c r="W50" s="11">
        <f>COUNT(Population!W20:W26)</f>
        <v>7</v>
      </c>
      <c r="X50" s="11">
        <f>COUNT(Population!X20:X26)</f>
        <v>7</v>
      </c>
      <c r="Y50" s="11">
        <f>COUNT(Population!Y20:Y26)</f>
        <v>7</v>
      </c>
      <c r="Z50" s="11">
        <f>COUNT(Population!Z20:Z26)</f>
        <v>7</v>
      </c>
      <c r="AA50" s="11">
        <f>COUNT(Population!AA20:AA26)</f>
        <v>7</v>
      </c>
      <c r="AB50" s="11">
        <f>COUNT(Population!AB20:AB26)</f>
        <v>7</v>
      </c>
      <c r="AC50" s="11">
        <f>COUNT(Population!AC20:AC26)</f>
        <v>7</v>
      </c>
      <c r="AD50" s="11">
        <f>COUNT(Population!AD20:AD26)</f>
        <v>7</v>
      </c>
      <c r="AE50" s="11">
        <f>COUNT(Population!AE20:AE26)</f>
        <v>7</v>
      </c>
      <c r="AF50" s="11">
        <f>COUNT(Population!AF20:AF26)</f>
        <v>7</v>
      </c>
      <c r="AG50" s="11">
        <f>COUNT(Population!AG20:AG26)</f>
        <v>7</v>
      </c>
      <c r="AH50" s="11">
        <f>COUNT(Population!AH20:AH26)</f>
        <v>7</v>
      </c>
      <c r="AI50" s="11">
        <f>COUNT(Population!AI20:AI26)</f>
        <v>7</v>
      </c>
      <c r="AJ50" s="11">
        <f>COUNT(Population!AJ20:AJ26)</f>
        <v>7</v>
      </c>
      <c r="AK50" s="11">
        <f>COUNT(Population!AK20:AK26)</f>
        <v>7</v>
      </c>
      <c r="AL50" s="11">
        <f>COUNT(Population!AL20:AL26)</f>
        <v>7</v>
      </c>
      <c r="AM50" s="11">
        <f>COUNT(Population!AM20:AM26)</f>
        <v>7</v>
      </c>
      <c r="AN50" s="11">
        <f>COUNT(Population!AN20:AN26)</f>
        <v>7</v>
      </c>
      <c r="AO50" s="11">
        <f>COUNT(Population!AO20:AO26)</f>
        <v>7</v>
      </c>
      <c r="AP50" s="11">
        <f>COUNT(Population!AP20:AP26)</f>
        <v>7</v>
      </c>
      <c r="AQ50" s="11">
        <f>COUNT(Population!AQ20:AQ26)</f>
        <v>7</v>
      </c>
      <c r="AR50" s="11">
        <f>COUNT(Population!AR20:AR26)</f>
        <v>7</v>
      </c>
      <c r="AS50" s="11">
        <f>COUNT(Population!AS20:AS26)</f>
        <v>7</v>
      </c>
      <c r="AT50" s="11">
        <f>COUNT(Population!AT20:AT26)</f>
        <v>7</v>
      </c>
      <c r="AU50" s="11">
        <f>COUNT(Population!AU20:AU26)</f>
        <v>7</v>
      </c>
      <c r="AV50" s="11">
        <f>COUNT(Population!AV20:AV26)</f>
        <v>7</v>
      </c>
      <c r="AW50" s="11">
        <f>COUNT(Population!AW20:AW26)</f>
        <v>7</v>
      </c>
      <c r="AX50" s="11">
        <f>COUNT(Population!AX20:AX26)</f>
        <v>7</v>
      </c>
      <c r="AY50" s="11">
        <f>COUNT(Population!AY20:AY26)</f>
        <v>7</v>
      </c>
      <c r="AZ50" s="11">
        <f>COUNT(Population!AZ20:AZ26)</f>
        <v>7</v>
      </c>
      <c r="BA50" s="13"/>
      <c r="BB50" s="13"/>
      <c r="BC50" s="13"/>
      <c r="BD50" s="13"/>
      <c r="BE50" s="13"/>
      <c r="BF50" s="13"/>
      <c r="BG50" s="13"/>
      <c r="BH50" s="13"/>
      <c r="BI50" s="13"/>
      <c r="BJ50" s="13"/>
      <c r="BK50" s="13"/>
      <c r="BL50" s="13"/>
      <c r="BM50" s="13"/>
      <c r="BN50" s="13"/>
      <c r="BO50" s="13"/>
      <c r="BP50" s="13"/>
      <c r="BQ50" s="13"/>
      <c r="BR50" s="13"/>
    </row>
    <row r="51" spans="1:70" x14ac:dyDescent="0.45">
      <c r="B51" t="str">
        <f t="shared" si="9"/>
        <v>Europe</v>
      </c>
      <c r="C51" s="11">
        <f>COUNT(Population!C27:C46)</f>
        <v>20</v>
      </c>
      <c r="D51" s="11">
        <f>COUNT(Population!D27:D46)</f>
        <v>20</v>
      </c>
      <c r="E51" s="11">
        <f>COUNT(Population!E27:E46)</f>
        <v>20</v>
      </c>
      <c r="F51" s="11">
        <f>COUNT(Population!F27:F46)</f>
        <v>20</v>
      </c>
      <c r="G51" s="11">
        <f>COUNT(Population!G27:G46)</f>
        <v>20</v>
      </c>
      <c r="H51" s="11">
        <f>COUNT(Population!H27:H46)</f>
        <v>20</v>
      </c>
      <c r="I51" s="11">
        <f>COUNT(Population!I27:I46)</f>
        <v>20</v>
      </c>
      <c r="J51" s="11">
        <f>COUNT(Population!J27:J46)</f>
        <v>20</v>
      </c>
      <c r="K51" s="11">
        <f>COUNT(Population!K27:K46)</f>
        <v>20</v>
      </c>
      <c r="L51" s="11">
        <f>COUNT(Population!L27:L46)</f>
        <v>20</v>
      </c>
      <c r="M51" s="11">
        <f>COUNT(Population!M27:M46)</f>
        <v>20</v>
      </c>
      <c r="N51" s="11">
        <f>COUNT(Population!N27:N46)</f>
        <v>20</v>
      </c>
      <c r="O51" s="11">
        <f>COUNT(Population!O27:O46)</f>
        <v>20</v>
      </c>
      <c r="P51" s="11">
        <f>COUNT(Population!P27:P46)</f>
        <v>20</v>
      </c>
      <c r="Q51" s="11">
        <f>COUNT(Population!Q27:Q46)</f>
        <v>20</v>
      </c>
      <c r="R51" s="11">
        <f>COUNT(Population!R27:R46)</f>
        <v>20</v>
      </c>
      <c r="S51" s="11">
        <f>COUNT(Population!S27:S46)</f>
        <v>20</v>
      </c>
      <c r="T51" s="11">
        <f>COUNT(Population!T27:T46)</f>
        <v>20</v>
      </c>
      <c r="U51" s="11">
        <f>COUNT(Population!U27:U46)</f>
        <v>20</v>
      </c>
      <c r="V51" s="11">
        <f>COUNT(Population!V27:V46)</f>
        <v>20</v>
      </c>
      <c r="W51" s="11">
        <f>COUNT(Population!W27:W46)</f>
        <v>20</v>
      </c>
      <c r="X51" s="11">
        <f>COUNT(Population!X27:X46)</f>
        <v>20</v>
      </c>
      <c r="Y51" s="11">
        <f>COUNT(Population!Y27:Y46)</f>
        <v>20</v>
      </c>
      <c r="Z51" s="11">
        <f>COUNT(Population!Z27:Z46)</f>
        <v>20</v>
      </c>
      <c r="AA51" s="11">
        <f>COUNT(Population!AA27:AA46)</f>
        <v>20</v>
      </c>
      <c r="AB51" s="11">
        <f>COUNT(Population!AB27:AB46)</f>
        <v>20</v>
      </c>
      <c r="AC51" s="11">
        <f>COUNT(Population!AC27:AC46)</f>
        <v>20</v>
      </c>
      <c r="AD51" s="11">
        <f>COUNT(Population!AD27:AD46)</f>
        <v>20</v>
      </c>
      <c r="AE51" s="11">
        <f>COUNT(Population!AE27:AE46)</f>
        <v>20</v>
      </c>
      <c r="AF51" s="11">
        <f>COUNT(Population!AF27:AF46)</f>
        <v>20</v>
      </c>
      <c r="AG51" s="11">
        <f>COUNT(Population!AG27:AG46)</f>
        <v>20</v>
      </c>
      <c r="AH51" s="11">
        <f>COUNT(Population!AH27:AH46)</f>
        <v>20</v>
      </c>
      <c r="AI51" s="11">
        <f>COUNT(Population!AI27:AI46)</f>
        <v>20</v>
      </c>
      <c r="AJ51" s="11">
        <f>COUNT(Population!AJ27:AJ46)</f>
        <v>20</v>
      </c>
      <c r="AK51" s="11">
        <f>COUNT(Population!AK27:AK46)</f>
        <v>20</v>
      </c>
      <c r="AL51" s="11">
        <f>COUNT(Population!AL27:AL46)</f>
        <v>20</v>
      </c>
      <c r="AM51" s="11">
        <f>COUNT(Population!AM27:AM46)</f>
        <v>20</v>
      </c>
      <c r="AN51" s="11">
        <f>COUNT(Population!AN27:AN46)</f>
        <v>20</v>
      </c>
      <c r="AO51" s="11">
        <f>COUNT(Population!AO27:AO46)</f>
        <v>20</v>
      </c>
      <c r="AP51" s="11">
        <f>COUNT(Population!AP27:AP46)</f>
        <v>20</v>
      </c>
      <c r="AQ51" s="11">
        <f>COUNT(Population!AQ27:AQ46)</f>
        <v>20</v>
      </c>
      <c r="AR51" s="11">
        <f>COUNT(Population!AR27:AR46)</f>
        <v>20</v>
      </c>
      <c r="AS51" s="11">
        <f>COUNT(Population!AS27:AS46)</f>
        <v>20</v>
      </c>
      <c r="AT51" s="11">
        <f>COUNT(Population!AT27:AT46)</f>
        <v>20</v>
      </c>
      <c r="AU51" s="11">
        <f>COUNT(Population!AU27:AU46)</f>
        <v>20</v>
      </c>
      <c r="AV51" s="11">
        <f>COUNT(Population!AV27:AV46)</f>
        <v>20</v>
      </c>
      <c r="AW51" s="11">
        <f>COUNT(Population!AW27:AW46)</f>
        <v>20</v>
      </c>
      <c r="AX51" s="11">
        <f>COUNT(Population!AX27:AX46)</f>
        <v>20</v>
      </c>
      <c r="AY51" s="11">
        <f>COUNT(Population!AY27:AY46)</f>
        <v>20</v>
      </c>
      <c r="AZ51" s="11">
        <f>COUNT(Population!AZ27:AZ46)</f>
        <v>20</v>
      </c>
      <c r="BA51" s="13"/>
      <c r="BB51" s="13"/>
      <c r="BC51" s="13"/>
      <c r="BD51" s="13"/>
      <c r="BE51" s="13"/>
      <c r="BF51" s="13"/>
      <c r="BG51" s="13"/>
      <c r="BH51" s="13"/>
      <c r="BI51" s="13"/>
      <c r="BJ51" s="13"/>
      <c r="BK51" s="13"/>
      <c r="BL51" s="13"/>
      <c r="BM51" s="13"/>
      <c r="BN51" s="13"/>
      <c r="BO51" s="13"/>
      <c r="BP51" s="13"/>
      <c r="BQ51" s="13"/>
      <c r="BR51" s="13"/>
    </row>
    <row r="52" spans="1:70" x14ac:dyDescent="0.45">
      <c r="B52" t="str">
        <f t="shared" si="9"/>
        <v>Latin America and Caribbean</v>
      </c>
      <c r="C52" s="11">
        <f>COUNT(Population!C47:C71)</f>
        <v>25</v>
      </c>
      <c r="D52" s="11">
        <f>COUNT(Population!D47:D71)</f>
        <v>25</v>
      </c>
      <c r="E52" s="11">
        <f>COUNT(Population!E47:E71)</f>
        <v>25</v>
      </c>
      <c r="F52" s="11">
        <f>COUNT(Population!F47:F71)</f>
        <v>25</v>
      </c>
      <c r="G52" s="11">
        <f>COUNT(Population!G47:G71)</f>
        <v>25</v>
      </c>
      <c r="H52" s="11">
        <f>COUNT(Population!H47:H71)</f>
        <v>25</v>
      </c>
      <c r="I52" s="11">
        <f>COUNT(Population!I47:I71)</f>
        <v>25</v>
      </c>
      <c r="J52" s="11">
        <f>COUNT(Population!J47:J71)</f>
        <v>25</v>
      </c>
      <c r="K52" s="11">
        <f>COUNT(Population!K47:K71)</f>
        <v>25</v>
      </c>
      <c r="L52" s="11">
        <f>COUNT(Population!L47:L71)</f>
        <v>25</v>
      </c>
      <c r="M52" s="11">
        <f>COUNT(Population!M47:M71)</f>
        <v>25</v>
      </c>
      <c r="N52" s="11">
        <f>COUNT(Population!N47:N71)</f>
        <v>25</v>
      </c>
      <c r="O52" s="11">
        <f>COUNT(Population!O47:O71)</f>
        <v>25</v>
      </c>
      <c r="P52" s="11">
        <f>COUNT(Population!P47:P71)</f>
        <v>25</v>
      </c>
      <c r="Q52" s="11">
        <f>COUNT(Population!Q47:Q71)</f>
        <v>25</v>
      </c>
      <c r="R52" s="11">
        <f>COUNT(Population!R47:R71)</f>
        <v>25</v>
      </c>
      <c r="S52" s="11">
        <f>COUNT(Population!S47:S71)</f>
        <v>25</v>
      </c>
      <c r="T52" s="11">
        <f>COUNT(Population!T47:T71)</f>
        <v>25</v>
      </c>
      <c r="U52" s="11">
        <f>COUNT(Population!U47:U71)</f>
        <v>25</v>
      </c>
      <c r="V52" s="11">
        <f>COUNT(Population!V47:V71)</f>
        <v>25</v>
      </c>
      <c r="W52" s="11">
        <f>COUNT(Population!W47:W71)</f>
        <v>25</v>
      </c>
      <c r="X52" s="11">
        <f>COUNT(Population!X47:X71)</f>
        <v>25</v>
      </c>
      <c r="Y52" s="11">
        <f>COUNT(Population!Y47:Y71)</f>
        <v>25</v>
      </c>
      <c r="Z52" s="11">
        <f>COUNT(Population!Z47:Z71)</f>
        <v>25</v>
      </c>
      <c r="AA52" s="11">
        <f>COUNT(Population!AA47:AA71)</f>
        <v>25</v>
      </c>
      <c r="AB52" s="11">
        <f>COUNT(Population!AB47:AB71)</f>
        <v>25</v>
      </c>
      <c r="AC52" s="11">
        <f>COUNT(Population!AC47:AC71)</f>
        <v>25</v>
      </c>
      <c r="AD52" s="11">
        <f>COUNT(Population!AD47:AD71)</f>
        <v>25</v>
      </c>
      <c r="AE52" s="11">
        <f>COUNT(Population!AE47:AE71)</f>
        <v>25</v>
      </c>
      <c r="AF52" s="11">
        <f>COUNT(Population!AF47:AF71)</f>
        <v>25</v>
      </c>
      <c r="AG52" s="11">
        <f>COUNT(Population!AG47:AG71)</f>
        <v>25</v>
      </c>
      <c r="AH52" s="11">
        <f>COUNT(Population!AH47:AH71)</f>
        <v>25</v>
      </c>
      <c r="AI52" s="11">
        <f>COUNT(Population!AI47:AI71)</f>
        <v>25</v>
      </c>
      <c r="AJ52" s="11">
        <f>COUNT(Population!AJ47:AJ71)</f>
        <v>25</v>
      </c>
      <c r="AK52" s="11">
        <f>COUNT(Population!AK47:AK71)</f>
        <v>25</v>
      </c>
      <c r="AL52" s="11">
        <f>COUNT(Population!AL47:AL71)</f>
        <v>25</v>
      </c>
      <c r="AM52" s="11">
        <f>COUNT(Population!AM47:AM71)</f>
        <v>25</v>
      </c>
      <c r="AN52" s="11">
        <f>COUNT(Population!AN47:AN71)</f>
        <v>25</v>
      </c>
      <c r="AO52" s="11">
        <f>COUNT(Population!AO47:AO71)</f>
        <v>25</v>
      </c>
      <c r="AP52" s="11">
        <f>COUNT(Population!AP47:AP71)</f>
        <v>25</v>
      </c>
      <c r="AQ52" s="11">
        <f>COUNT(Population!AQ47:AQ71)</f>
        <v>25</v>
      </c>
      <c r="AR52" s="11">
        <f>COUNT(Population!AR47:AR71)</f>
        <v>25</v>
      </c>
      <c r="AS52" s="11">
        <f>COUNT(Population!AS47:AS71)</f>
        <v>25</v>
      </c>
      <c r="AT52" s="11">
        <f>COUNT(Population!AT47:AT71)</f>
        <v>25</v>
      </c>
      <c r="AU52" s="11">
        <f>COUNT(Population!AU47:AU71)</f>
        <v>25</v>
      </c>
      <c r="AV52" s="11">
        <f>COUNT(Population!AV47:AV71)</f>
        <v>25</v>
      </c>
      <c r="AW52" s="11">
        <f>COUNT(Population!AW47:AW71)</f>
        <v>25</v>
      </c>
      <c r="AX52" s="11">
        <f>COUNT(Population!AX47:AX71)</f>
        <v>25</v>
      </c>
      <c r="AY52" s="11">
        <f>COUNT(Population!AY47:AY71)</f>
        <v>25</v>
      </c>
      <c r="AZ52" s="11">
        <f>COUNT(Population!AZ47:AZ71)</f>
        <v>25</v>
      </c>
      <c r="BA52" s="13"/>
      <c r="BB52" s="13"/>
      <c r="BC52" s="13"/>
      <c r="BD52" s="13"/>
      <c r="BE52" s="13"/>
      <c r="BF52" s="13"/>
      <c r="BG52" s="13"/>
      <c r="BH52" s="13"/>
      <c r="BI52" s="13"/>
      <c r="BJ52" s="13"/>
      <c r="BK52" s="13"/>
      <c r="BL52" s="13"/>
      <c r="BM52" s="13"/>
      <c r="BN52" s="13"/>
      <c r="BO52" s="13"/>
      <c r="BP52" s="13"/>
      <c r="BQ52" s="13"/>
      <c r="BR52" s="13"/>
    </row>
    <row r="53" spans="1:70" x14ac:dyDescent="0.45">
      <c r="B53" t="str">
        <f t="shared" si="9"/>
        <v>Middle East and North Africa</v>
      </c>
      <c r="C53" s="11">
        <f>COUNT(Population!C72:C78)</f>
        <v>7</v>
      </c>
      <c r="D53" s="11">
        <f>COUNT(Population!D72:D78)</f>
        <v>7</v>
      </c>
      <c r="E53" s="11">
        <f>COUNT(Population!E72:E78)</f>
        <v>7</v>
      </c>
      <c r="F53" s="11">
        <f>COUNT(Population!F72:F78)</f>
        <v>7</v>
      </c>
      <c r="G53" s="11">
        <f>COUNT(Population!G72:G78)</f>
        <v>7</v>
      </c>
      <c r="H53" s="11">
        <f>COUNT(Population!H72:H78)</f>
        <v>7</v>
      </c>
      <c r="I53" s="11">
        <f>COUNT(Population!I72:I78)</f>
        <v>7</v>
      </c>
      <c r="J53" s="11">
        <f>COUNT(Population!J72:J78)</f>
        <v>7</v>
      </c>
      <c r="K53" s="11">
        <f>COUNT(Population!K72:K78)</f>
        <v>7</v>
      </c>
      <c r="L53" s="11">
        <f>COUNT(Population!L72:L78)</f>
        <v>7</v>
      </c>
      <c r="M53" s="11">
        <f>COUNT(Population!M72:M78)</f>
        <v>7</v>
      </c>
      <c r="N53" s="11">
        <f>COUNT(Population!N72:N78)</f>
        <v>7</v>
      </c>
      <c r="O53" s="11">
        <f>COUNT(Population!O72:O78)</f>
        <v>7</v>
      </c>
      <c r="P53" s="11">
        <f>COUNT(Population!P72:P78)</f>
        <v>7</v>
      </c>
      <c r="Q53" s="11">
        <f>COUNT(Population!Q72:Q78)</f>
        <v>7</v>
      </c>
      <c r="R53" s="11">
        <f>COUNT(Population!R72:R78)</f>
        <v>7</v>
      </c>
      <c r="S53" s="11">
        <f>COUNT(Population!S72:S78)</f>
        <v>7</v>
      </c>
      <c r="T53" s="11">
        <f>COUNT(Population!T72:T78)</f>
        <v>7</v>
      </c>
      <c r="U53" s="11">
        <f>COUNT(Population!U72:U78)</f>
        <v>7</v>
      </c>
      <c r="V53" s="11">
        <f>COUNT(Population!V72:V78)</f>
        <v>7</v>
      </c>
      <c r="W53" s="11">
        <f>COUNT(Population!W72:W78)</f>
        <v>7</v>
      </c>
      <c r="X53" s="11">
        <f>COUNT(Population!X72:X78)</f>
        <v>7</v>
      </c>
      <c r="Y53" s="11">
        <f>COUNT(Population!Y72:Y78)</f>
        <v>7</v>
      </c>
      <c r="Z53" s="11">
        <f>COUNT(Population!Z72:Z78)</f>
        <v>7</v>
      </c>
      <c r="AA53" s="11">
        <f>COUNT(Population!AA72:AA78)</f>
        <v>7</v>
      </c>
      <c r="AB53" s="11">
        <f>COUNT(Population!AB72:AB78)</f>
        <v>7</v>
      </c>
      <c r="AC53" s="11">
        <f>COUNT(Population!AC72:AC78)</f>
        <v>7</v>
      </c>
      <c r="AD53" s="11">
        <f>COUNT(Population!AD72:AD78)</f>
        <v>7</v>
      </c>
      <c r="AE53" s="11">
        <f>COUNT(Population!AE72:AE78)</f>
        <v>7</v>
      </c>
      <c r="AF53" s="11">
        <f>COUNT(Population!AF72:AF78)</f>
        <v>7</v>
      </c>
      <c r="AG53" s="11">
        <f>COUNT(Population!AG72:AG78)</f>
        <v>7</v>
      </c>
      <c r="AH53" s="11">
        <f>COUNT(Population!AH72:AH78)</f>
        <v>7</v>
      </c>
      <c r="AI53" s="11">
        <f>COUNT(Population!AI72:AI78)</f>
        <v>7</v>
      </c>
      <c r="AJ53" s="11">
        <f>COUNT(Population!AJ72:AJ78)</f>
        <v>7</v>
      </c>
      <c r="AK53" s="11">
        <f>COUNT(Population!AK72:AK78)</f>
        <v>7</v>
      </c>
      <c r="AL53" s="11">
        <f>COUNT(Population!AL72:AL78)</f>
        <v>7</v>
      </c>
      <c r="AM53" s="11">
        <f>COUNT(Population!AM72:AM78)</f>
        <v>7</v>
      </c>
      <c r="AN53" s="11">
        <f>COUNT(Population!AN72:AN78)</f>
        <v>7</v>
      </c>
      <c r="AO53" s="11">
        <f>COUNT(Population!AO72:AO78)</f>
        <v>7</v>
      </c>
      <c r="AP53" s="11">
        <f>COUNT(Population!AP72:AP78)</f>
        <v>7</v>
      </c>
      <c r="AQ53" s="11">
        <f>COUNT(Population!AQ72:AQ78)</f>
        <v>7</v>
      </c>
      <c r="AR53" s="11">
        <f>COUNT(Population!AR72:AR78)</f>
        <v>7</v>
      </c>
      <c r="AS53" s="11">
        <f>COUNT(Population!AS72:AS78)</f>
        <v>7</v>
      </c>
      <c r="AT53" s="11">
        <f>COUNT(Population!AT72:AT78)</f>
        <v>7</v>
      </c>
      <c r="AU53" s="11">
        <f>COUNT(Population!AU72:AU78)</f>
        <v>7</v>
      </c>
      <c r="AV53" s="11">
        <f>COUNT(Population!AV72:AV78)</f>
        <v>7</v>
      </c>
      <c r="AW53" s="11">
        <f>COUNT(Population!AW72:AW78)</f>
        <v>7</v>
      </c>
      <c r="AX53" s="11">
        <f>COUNT(Population!AX72:AX78)</f>
        <v>7</v>
      </c>
      <c r="AY53" s="11">
        <f>COUNT(Population!AY72:AY78)</f>
        <v>7</v>
      </c>
      <c r="AZ53" s="11">
        <f>COUNT(Population!AZ72:AZ78)</f>
        <v>7</v>
      </c>
      <c r="BA53" s="13"/>
      <c r="BB53" s="13"/>
      <c r="BC53" s="13"/>
      <c r="BD53" s="13"/>
      <c r="BE53" s="13"/>
      <c r="BF53" s="13"/>
      <c r="BG53" s="13"/>
      <c r="BH53" s="13"/>
      <c r="BI53" s="13"/>
      <c r="BJ53" s="13"/>
      <c r="BK53" s="13"/>
      <c r="BL53" s="13"/>
      <c r="BM53" s="13"/>
      <c r="BN53" s="13"/>
      <c r="BO53" s="13"/>
      <c r="BP53" s="13"/>
      <c r="BQ53" s="13"/>
      <c r="BR53" s="13"/>
    </row>
    <row r="54" spans="1:70" x14ac:dyDescent="0.45">
      <c r="B54" t="str">
        <f t="shared" si="9"/>
        <v>North America</v>
      </c>
      <c r="C54" s="11">
        <v>2</v>
      </c>
      <c r="D54" s="11">
        <v>2</v>
      </c>
      <c r="E54" s="11">
        <v>2</v>
      </c>
      <c r="F54" s="11">
        <v>2</v>
      </c>
      <c r="G54" s="11">
        <v>2</v>
      </c>
      <c r="H54" s="11">
        <v>2</v>
      </c>
      <c r="I54" s="11">
        <v>2</v>
      </c>
      <c r="J54" s="11">
        <v>2</v>
      </c>
      <c r="K54" s="11">
        <v>2</v>
      </c>
      <c r="L54" s="11">
        <v>2</v>
      </c>
      <c r="M54" s="11">
        <v>2</v>
      </c>
      <c r="N54" s="11">
        <v>2</v>
      </c>
      <c r="O54" s="11">
        <v>2</v>
      </c>
      <c r="P54" s="11">
        <v>2</v>
      </c>
      <c r="Q54" s="11">
        <v>2</v>
      </c>
      <c r="R54" s="11">
        <v>2</v>
      </c>
      <c r="S54" s="11">
        <v>2</v>
      </c>
      <c r="T54" s="11">
        <v>2</v>
      </c>
      <c r="U54" s="11">
        <v>2</v>
      </c>
      <c r="V54" s="11">
        <v>2</v>
      </c>
      <c r="W54" s="11">
        <v>2</v>
      </c>
      <c r="X54" s="11">
        <v>2</v>
      </c>
      <c r="Y54" s="11">
        <v>2</v>
      </c>
      <c r="Z54" s="11">
        <v>2</v>
      </c>
      <c r="AA54" s="11">
        <v>2</v>
      </c>
      <c r="AB54" s="11">
        <v>2</v>
      </c>
      <c r="AC54" s="11">
        <v>2</v>
      </c>
      <c r="AD54" s="11">
        <v>2</v>
      </c>
      <c r="AE54" s="11">
        <v>2</v>
      </c>
      <c r="AF54" s="11">
        <v>2</v>
      </c>
      <c r="AG54" s="11">
        <v>2</v>
      </c>
      <c r="AH54" s="11">
        <v>2</v>
      </c>
      <c r="AI54" s="11">
        <v>2</v>
      </c>
      <c r="AJ54" s="11">
        <v>2</v>
      </c>
      <c r="AK54" s="11">
        <v>2</v>
      </c>
      <c r="AL54" s="11">
        <v>2</v>
      </c>
      <c r="AM54" s="11">
        <v>2</v>
      </c>
      <c r="AN54" s="11">
        <v>2</v>
      </c>
      <c r="AO54" s="11">
        <v>2</v>
      </c>
      <c r="AP54" s="11">
        <v>2</v>
      </c>
      <c r="AQ54" s="11">
        <v>2</v>
      </c>
      <c r="AR54" s="11">
        <v>2</v>
      </c>
      <c r="AS54" s="11">
        <v>2</v>
      </c>
      <c r="AT54" s="11">
        <v>2</v>
      </c>
      <c r="AU54" s="11">
        <v>2</v>
      </c>
      <c r="AV54" s="11">
        <v>2</v>
      </c>
      <c r="AW54" s="11">
        <v>2</v>
      </c>
      <c r="AX54" s="11">
        <v>2</v>
      </c>
      <c r="AY54" s="11">
        <v>2</v>
      </c>
      <c r="AZ54" s="11">
        <v>2</v>
      </c>
      <c r="BA54" s="13"/>
      <c r="BB54" s="13"/>
      <c r="BC54" s="13"/>
      <c r="BD54" s="13"/>
      <c r="BE54" s="13"/>
      <c r="BF54" s="13"/>
      <c r="BG54" s="13"/>
      <c r="BH54" s="13"/>
      <c r="BI54" s="13"/>
      <c r="BJ54" s="13"/>
      <c r="BK54" s="13"/>
      <c r="BL54" s="13"/>
      <c r="BM54" s="13"/>
      <c r="BN54" s="13"/>
      <c r="BO54" s="13"/>
      <c r="BP54" s="13"/>
      <c r="BQ54" s="13"/>
      <c r="BR54" s="13"/>
    </row>
    <row r="55" spans="1:70" x14ac:dyDescent="0.45">
      <c r="B55" t="str">
        <f t="shared" si="9"/>
        <v>Pacific</v>
      </c>
      <c r="C55" s="11">
        <f>COUNT(Population!C81:C85)</f>
        <v>5</v>
      </c>
      <c r="D55" s="11">
        <f>COUNT(Population!D81:D85)</f>
        <v>5</v>
      </c>
      <c r="E55" s="11">
        <f>COUNT(Population!E81:E85)</f>
        <v>5</v>
      </c>
      <c r="F55" s="11">
        <f>COUNT(Population!F81:F85)</f>
        <v>5</v>
      </c>
      <c r="G55" s="11">
        <f>COUNT(Population!G81:G85)</f>
        <v>5</v>
      </c>
      <c r="H55" s="11">
        <f>COUNT(Population!H81:H85)</f>
        <v>5</v>
      </c>
      <c r="I55" s="11">
        <f>COUNT(Population!I81:I85)</f>
        <v>5</v>
      </c>
      <c r="J55" s="11">
        <f>COUNT(Population!J81:J85)</f>
        <v>5</v>
      </c>
      <c r="K55" s="11">
        <f>COUNT(Population!K81:K85)</f>
        <v>5</v>
      </c>
      <c r="L55" s="11">
        <f>COUNT(Population!L81:L85)</f>
        <v>5</v>
      </c>
      <c r="M55" s="11">
        <f>COUNT(Population!M81:M85)</f>
        <v>5</v>
      </c>
      <c r="N55" s="11">
        <f>COUNT(Population!N81:N85)</f>
        <v>5</v>
      </c>
      <c r="O55" s="11">
        <f>COUNT(Population!O81:O85)</f>
        <v>5</v>
      </c>
      <c r="P55" s="11">
        <f>COUNT(Population!P81:P85)</f>
        <v>5</v>
      </c>
      <c r="Q55" s="11">
        <f>COUNT(Population!Q81:Q85)</f>
        <v>5</v>
      </c>
      <c r="R55" s="11">
        <f>COUNT(Population!R81:R85)</f>
        <v>5</v>
      </c>
      <c r="S55" s="11">
        <f>COUNT(Population!S81:S85)</f>
        <v>5</v>
      </c>
      <c r="T55" s="11">
        <f>COUNT(Population!T81:T85)</f>
        <v>5</v>
      </c>
      <c r="U55" s="11">
        <f>COUNT(Population!U81:U85)</f>
        <v>5</v>
      </c>
      <c r="V55" s="11">
        <f>COUNT(Population!V81:V85)</f>
        <v>5</v>
      </c>
      <c r="W55" s="11">
        <f>COUNT(Population!W81:W85)</f>
        <v>5</v>
      </c>
      <c r="X55" s="11">
        <f>COUNT(Population!X81:X85)</f>
        <v>5</v>
      </c>
      <c r="Y55" s="11">
        <f>COUNT(Population!Y81:Y85)</f>
        <v>5</v>
      </c>
      <c r="Z55" s="11">
        <f>COUNT(Population!Z81:Z85)</f>
        <v>5</v>
      </c>
      <c r="AA55" s="11">
        <f>COUNT(Population!AA81:AA85)</f>
        <v>5</v>
      </c>
      <c r="AB55" s="11">
        <f>COUNT(Population!AB81:AB85)</f>
        <v>5</v>
      </c>
      <c r="AC55" s="11">
        <f>COUNT(Population!AC81:AC85)</f>
        <v>5</v>
      </c>
      <c r="AD55" s="11">
        <f>COUNT(Population!AD81:AD85)</f>
        <v>5</v>
      </c>
      <c r="AE55" s="11">
        <f>COUNT(Population!AE81:AE85)</f>
        <v>5</v>
      </c>
      <c r="AF55" s="11">
        <f>COUNT(Population!AF81:AF85)</f>
        <v>5</v>
      </c>
      <c r="AG55" s="11">
        <f>COUNT(Population!AG81:AG85)</f>
        <v>5</v>
      </c>
      <c r="AH55" s="11">
        <f>COUNT(Population!AH81:AH85)</f>
        <v>5</v>
      </c>
      <c r="AI55" s="11">
        <f>COUNT(Population!AI81:AI85)</f>
        <v>5</v>
      </c>
      <c r="AJ55" s="11">
        <f>COUNT(Population!AJ81:AJ85)</f>
        <v>5</v>
      </c>
      <c r="AK55" s="11">
        <f>COUNT(Population!AK81:AK85)</f>
        <v>5</v>
      </c>
      <c r="AL55" s="11">
        <f>COUNT(Population!AL81:AL85)</f>
        <v>5</v>
      </c>
      <c r="AM55" s="11">
        <f>COUNT(Population!AM81:AM85)</f>
        <v>5</v>
      </c>
      <c r="AN55" s="11">
        <f>COUNT(Population!AN81:AN85)</f>
        <v>5</v>
      </c>
      <c r="AO55" s="11">
        <f>COUNT(Population!AO81:AO85)</f>
        <v>5</v>
      </c>
      <c r="AP55" s="11">
        <f>COUNT(Population!AP81:AP85)</f>
        <v>5</v>
      </c>
      <c r="AQ55" s="11">
        <f>COUNT(Population!AQ81:AQ85)</f>
        <v>5</v>
      </c>
      <c r="AR55" s="11">
        <f>COUNT(Population!AR81:AR85)</f>
        <v>5</v>
      </c>
      <c r="AS55" s="11">
        <f>COUNT(Population!AS81:AS85)</f>
        <v>5</v>
      </c>
      <c r="AT55" s="11">
        <f>COUNT(Population!AT81:AT85)</f>
        <v>5</v>
      </c>
      <c r="AU55" s="11">
        <f>COUNT(Population!AU81:AU85)</f>
        <v>5</v>
      </c>
      <c r="AV55" s="11">
        <f>COUNT(Population!AV81:AV85)</f>
        <v>5</v>
      </c>
      <c r="AW55" s="11">
        <f>COUNT(Population!AW81:AW85)</f>
        <v>5</v>
      </c>
      <c r="AX55" s="11">
        <f>COUNT(Population!AX81:AX85)</f>
        <v>5</v>
      </c>
      <c r="AY55" s="11">
        <f>COUNT(Population!AY81:AY85)</f>
        <v>5</v>
      </c>
      <c r="AZ55" s="11">
        <f>COUNT(Population!AZ81:AZ85)</f>
        <v>5</v>
      </c>
      <c r="BA55" s="13"/>
      <c r="BB55" s="13"/>
      <c r="BC55" s="13"/>
      <c r="BD55" s="13"/>
      <c r="BE55" s="13"/>
      <c r="BF55" s="13"/>
      <c r="BG55" s="13"/>
      <c r="BH55" s="13"/>
      <c r="BI55" s="13"/>
      <c r="BJ55" s="13"/>
      <c r="BK55" s="13"/>
      <c r="BL55" s="13"/>
      <c r="BM55" s="13"/>
      <c r="BN55" s="13"/>
      <c r="BO55" s="13"/>
      <c r="BP55" s="13"/>
      <c r="BQ55" s="13"/>
      <c r="BR55" s="13"/>
    </row>
    <row r="56" spans="1:70" x14ac:dyDescent="0.45">
      <c r="B56" t="str">
        <f t="shared" si="9"/>
        <v>South Asia</v>
      </c>
      <c r="C56" s="11">
        <f>COUNT(Population!C86:C90)</f>
        <v>5</v>
      </c>
      <c r="D56" s="11">
        <f>COUNT(Population!D86:D90)</f>
        <v>5</v>
      </c>
      <c r="E56" s="11">
        <f>COUNT(Population!E86:E90)</f>
        <v>5</v>
      </c>
      <c r="F56" s="11">
        <f>COUNT(Population!F86:F90)</f>
        <v>5</v>
      </c>
      <c r="G56" s="11">
        <f>COUNT(Population!G86:G90)</f>
        <v>5</v>
      </c>
      <c r="H56" s="11">
        <f>COUNT(Population!H86:H90)</f>
        <v>5</v>
      </c>
      <c r="I56" s="11">
        <f>COUNT(Population!I86:I90)</f>
        <v>5</v>
      </c>
      <c r="J56" s="11">
        <f>COUNT(Population!J86:J90)</f>
        <v>5</v>
      </c>
      <c r="K56" s="11">
        <f>COUNT(Population!K86:K90)</f>
        <v>5</v>
      </c>
      <c r="L56" s="11">
        <f>COUNT(Population!L86:L90)</f>
        <v>5</v>
      </c>
      <c r="M56" s="11">
        <f>COUNT(Population!M86:M90)</f>
        <v>5</v>
      </c>
      <c r="N56" s="11">
        <f>COUNT(Population!N86:N90)</f>
        <v>5</v>
      </c>
      <c r="O56" s="11">
        <f>COUNT(Population!O86:O90)</f>
        <v>5</v>
      </c>
      <c r="P56" s="11">
        <f>COUNT(Population!P86:P90)</f>
        <v>5</v>
      </c>
      <c r="Q56" s="11">
        <f>COUNT(Population!Q86:Q90)</f>
        <v>5</v>
      </c>
      <c r="R56" s="11">
        <f>COUNT(Population!R86:R90)</f>
        <v>5</v>
      </c>
      <c r="S56" s="11">
        <f>COUNT(Population!S86:S90)</f>
        <v>5</v>
      </c>
      <c r="T56" s="11">
        <f>COUNT(Population!T86:T90)</f>
        <v>5</v>
      </c>
      <c r="U56" s="11">
        <f>COUNT(Population!U86:U90)</f>
        <v>5</v>
      </c>
      <c r="V56" s="11">
        <f>COUNT(Population!V86:V90)</f>
        <v>5</v>
      </c>
      <c r="W56" s="11">
        <f>COUNT(Population!W86:W90)</f>
        <v>5</v>
      </c>
      <c r="X56" s="11">
        <f>COUNT(Population!X86:X90)</f>
        <v>5</v>
      </c>
      <c r="Y56" s="11">
        <f>COUNT(Population!Y86:Y90)</f>
        <v>5</v>
      </c>
      <c r="Z56" s="11">
        <f>COUNT(Population!Z86:Z90)</f>
        <v>5</v>
      </c>
      <c r="AA56" s="11">
        <f>COUNT(Population!AA86:AA90)</f>
        <v>5</v>
      </c>
      <c r="AB56" s="11">
        <f>COUNT(Population!AB86:AB90)</f>
        <v>5</v>
      </c>
      <c r="AC56" s="11">
        <f>COUNT(Population!AC86:AC90)</f>
        <v>5</v>
      </c>
      <c r="AD56" s="11">
        <f>COUNT(Population!AD86:AD90)</f>
        <v>5</v>
      </c>
      <c r="AE56" s="11">
        <f>COUNT(Population!AE86:AE90)</f>
        <v>5</v>
      </c>
      <c r="AF56" s="11">
        <f>COUNT(Population!AF86:AF90)</f>
        <v>5</v>
      </c>
      <c r="AG56" s="11">
        <f>COUNT(Population!AG86:AG90)</f>
        <v>5</v>
      </c>
      <c r="AH56" s="11">
        <f>COUNT(Population!AH86:AH90)</f>
        <v>5</v>
      </c>
      <c r="AI56" s="11">
        <f>COUNT(Population!AI86:AI90)</f>
        <v>5</v>
      </c>
      <c r="AJ56" s="11">
        <f>COUNT(Population!AJ86:AJ90)</f>
        <v>5</v>
      </c>
      <c r="AK56" s="11">
        <f>COUNT(Population!AK86:AK90)</f>
        <v>5</v>
      </c>
      <c r="AL56" s="11">
        <f>COUNT(Population!AL86:AL90)</f>
        <v>5</v>
      </c>
      <c r="AM56" s="11">
        <f>COUNT(Population!AM86:AM90)</f>
        <v>5</v>
      </c>
      <c r="AN56" s="11">
        <f>COUNT(Population!AN86:AN90)</f>
        <v>5</v>
      </c>
      <c r="AO56" s="11">
        <f>COUNT(Population!AO86:AO90)</f>
        <v>5</v>
      </c>
      <c r="AP56" s="11">
        <f>COUNT(Population!AP86:AP90)</f>
        <v>5</v>
      </c>
      <c r="AQ56" s="11">
        <f>COUNT(Population!AQ86:AQ90)</f>
        <v>5</v>
      </c>
      <c r="AR56" s="11">
        <f>COUNT(Population!AR86:AR90)</f>
        <v>5</v>
      </c>
      <c r="AS56" s="11">
        <f>COUNT(Population!AS86:AS90)</f>
        <v>5</v>
      </c>
      <c r="AT56" s="11">
        <f>COUNT(Population!AT86:AT90)</f>
        <v>5</v>
      </c>
      <c r="AU56" s="11">
        <f>COUNT(Population!AU86:AU90)</f>
        <v>5</v>
      </c>
      <c r="AV56" s="11">
        <f>COUNT(Population!AV86:AV90)</f>
        <v>5</v>
      </c>
      <c r="AW56" s="11">
        <f>COUNT(Population!AW86:AW90)</f>
        <v>5</v>
      </c>
      <c r="AX56" s="11">
        <f>COUNT(Population!AX86:AX90)</f>
        <v>5</v>
      </c>
      <c r="AY56" s="11">
        <f>COUNT(Population!AY86:AY90)</f>
        <v>5</v>
      </c>
      <c r="AZ56" s="11">
        <f>COUNT(Population!AZ86:AZ90)</f>
        <v>5</v>
      </c>
      <c r="BA56" s="13"/>
      <c r="BB56" s="13"/>
      <c r="BC56" s="13"/>
      <c r="BD56" s="13"/>
      <c r="BE56" s="13"/>
      <c r="BF56" s="13"/>
      <c r="BG56" s="13"/>
      <c r="BH56" s="13"/>
      <c r="BI56" s="13"/>
      <c r="BJ56" s="13"/>
      <c r="BK56" s="13"/>
      <c r="BL56" s="13"/>
      <c r="BM56" s="13"/>
      <c r="BN56" s="13"/>
      <c r="BO56" s="13"/>
      <c r="BP56" s="13"/>
      <c r="BQ56" s="13"/>
      <c r="BR56" s="13"/>
    </row>
    <row r="57" spans="1:70" x14ac:dyDescent="0.45">
      <c r="B57" t="str">
        <f t="shared" si="9"/>
        <v>Sub-Saharan Africa</v>
      </c>
      <c r="C57" s="11">
        <f>COUNT(Population!C91:C122)</f>
        <v>32</v>
      </c>
      <c r="D57" s="11">
        <f>COUNT(Population!D91:D122)</f>
        <v>32</v>
      </c>
      <c r="E57" s="11">
        <f>COUNT(Population!E91:E122)</f>
        <v>32</v>
      </c>
      <c r="F57" s="11">
        <f>COUNT(Population!F91:F122)</f>
        <v>32</v>
      </c>
      <c r="G57" s="11">
        <f>COUNT(Population!G91:G122)</f>
        <v>32</v>
      </c>
      <c r="H57" s="11">
        <f>COUNT(Population!H91:H122)</f>
        <v>32</v>
      </c>
      <c r="I57" s="11">
        <f>COUNT(Population!I91:I122)</f>
        <v>32</v>
      </c>
      <c r="J57" s="11">
        <f>COUNT(Population!J91:J122)</f>
        <v>32</v>
      </c>
      <c r="K57" s="11">
        <f>COUNT(Population!K91:K122)</f>
        <v>32</v>
      </c>
      <c r="L57" s="11">
        <f>COUNT(Population!L91:L122)</f>
        <v>32</v>
      </c>
      <c r="M57" s="11">
        <f>COUNT(Population!M91:M122)</f>
        <v>32</v>
      </c>
      <c r="N57" s="11">
        <f>COUNT(Population!N91:N122)</f>
        <v>32</v>
      </c>
      <c r="O57" s="11">
        <f>COUNT(Population!O91:O122)</f>
        <v>32</v>
      </c>
      <c r="P57" s="11">
        <f>COUNT(Population!P91:P122)</f>
        <v>32</v>
      </c>
      <c r="Q57" s="11">
        <f>COUNT(Population!Q91:Q122)</f>
        <v>32</v>
      </c>
      <c r="R57" s="11">
        <f>COUNT(Population!R91:R122)</f>
        <v>32</v>
      </c>
      <c r="S57" s="11">
        <f>COUNT(Population!S91:S122)</f>
        <v>32</v>
      </c>
      <c r="T57" s="11">
        <f>COUNT(Population!T91:T122)</f>
        <v>32</v>
      </c>
      <c r="U57" s="11">
        <f>COUNT(Population!U91:U122)</f>
        <v>32</v>
      </c>
      <c r="V57" s="11">
        <f>COUNT(Population!V91:V122)</f>
        <v>32</v>
      </c>
      <c r="W57" s="11">
        <f>COUNT(Population!W91:W122)</f>
        <v>32</v>
      </c>
      <c r="X57" s="11">
        <f>COUNT(Population!X91:X122)</f>
        <v>32</v>
      </c>
      <c r="Y57" s="11">
        <f>COUNT(Population!Y91:Y122)</f>
        <v>32</v>
      </c>
      <c r="Z57" s="11">
        <f>COUNT(Population!Z91:Z122)</f>
        <v>32</v>
      </c>
      <c r="AA57" s="11">
        <f>COUNT(Population!AA91:AA122)</f>
        <v>32</v>
      </c>
      <c r="AB57" s="11">
        <f>COUNT(Population!AB91:AB122)</f>
        <v>32</v>
      </c>
      <c r="AC57" s="11">
        <f>COUNT(Population!AC91:AC122)</f>
        <v>32</v>
      </c>
      <c r="AD57" s="11">
        <f>COUNT(Population!AD91:AD122)</f>
        <v>32</v>
      </c>
      <c r="AE57" s="11">
        <f>COUNT(Population!AE91:AE122)</f>
        <v>32</v>
      </c>
      <c r="AF57" s="11">
        <f>COUNT(Population!AF91:AF122)</f>
        <v>32</v>
      </c>
      <c r="AG57" s="11">
        <f>COUNT(Population!AG91:AG122)</f>
        <v>32</v>
      </c>
      <c r="AH57" s="11">
        <f>COUNT(Population!AH91:AH122)</f>
        <v>32</v>
      </c>
      <c r="AI57" s="11">
        <f>COUNT(Population!AI91:AI122)</f>
        <v>32</v>
      </c>
      <c r="AJ57" s="11">
        <f>COUNT(Population!AJ91:AJ122)</f>
        <v>32</v>
      </c>
      <c r="AK57" s="11">
        <f>COUNT(Population!AK91:AK122)</f>
        <v>32</v>
      </c>
      <c r="AL57" s="11">
        <f>COUNT(Population!AL91:AL122)</f>
        <v>32</v>
      </c>
      <c r="AM57" s="11">
        <f>COUNT(Population!AM91:AM122)</f>
        <v>32</v>
      </c>
      <c r="AN57" s="11">
        <f>COUNT(Population!AN91:AN122)</f>
        <v>32</v>
      </c>
      <c r="AO57" s="11">
        <f>COUNT(Population!AO91:AO122)</f>
        <v>32</v>
      </c>
      <c r="AP57" s="11">
        <f>COUNT(Population!AP91:AP122)</f>
        <v>32</v>
      </c>
      <c r="AQ57" s="11">
        <f>COUNT(Population!AQ91:AQ122)</f>
        <v>32</v>
      </c>
      <c r="AR57" s="11">
        <f>COUNT(Population!AR91:AR122)</f>
        <v>32</v>
      </c>
      <c r="AS57" s="11">
        <f>COUNT(Population!AS91:AS122)</f>
        <v>32</v>
      </c>
      <c r="AT57" s="11">
        <f>COUNT(Population!AT91:AT122)</f>
        <v>32</v>
      </c>
      <c r="AU57" s="11">
        <f>COUNT(Population!AU91:AU122)</f>
        <v>32</v>
      </c>
      <c r="AV57" s="11">
        <f>COUNT(Population!AV91:AV122)</f>
        <v>32</v>
      </c>
      <c r="AW57" s="11">
        <f>COUNT(Population!AW91:AW122)</f>
        <v>32</v>
      </c>
      <c r="AX57" s="11">
        <f>COUNT(Population!AX91:AX122)</f>
        <v>32</v>
      </c>
      <c r="AY57" s="11">
        <f>COUNT(Population!AY91:AY122)</f>
        <v>32</v>
      </c>
      <c r="AZ57" s="11">
        <f>COUNT(Population!AZ91:AZ122)</f>
        <v>32</v>
      </c>
      <c r="BA57" s="13"/>
      <c r="BB57" s="13"/>
      <c r="BC57" s="13"/>
      <c r="BD57" s="13"/>
      <c r="BE57" s="13"/>
      <c r="BF57" s="13"/>
      <c r="BG57" s="13"/>
      <c r="BH57" s="13"/>
      <c r="BI57" s="13"/>
      <c r="BJ57" s="13"/>
      <c r="BK57" s="13"/>
      <c r="BL57" s="13"/>
      <c r="BM57" s="13"/>
      <c r="BN57" s="13"/>
      <c r="BO57" s="13"/>
      <c r="BP57" s="13"/>
      <c r="BQ57" s="13"/>
      <c r="BR57" s="13"/>
    </row>
    <row r="58" spans="1:70" x14ac:dyDescent="0.45">
      <c r="B58" t="s">
        <v>79</v>
      </c>
      <c r="C58" s="11">
        <f>SUM(C49:C57)</f>
        <v>104</v>
      </c>
      <c r="D58" s="11">
        <f t="shared" ref="D58:AZ58" si="10">SUM(D49:D57)</f>
        <v>104</v>
      </c>
      <c r="E58" s="11">
        <f t="shared" si="10"/>
        <v>104</v>
      </c>
      <c r="F58" s="11">
        <f t="shared" si="10"/>
        <v>104</v>
      </c>
      <c r="G58" s="11">
        <f t="shared" si="10"/>
        <v>104</v>
      </c>
      <c r="H58" s="11">
        <f t="shared" si="10"/>
        <v>104</v>
      </c>
      <c r="I58" s="11">
        <f t="shared" si="10"/>
        <v>104</v>
      </c>
      <c r="J58" s="11">
        <f t="shared" si="10"/>
        <v>104</v>
      </c>
      <c r="K58" s="11">
        <f t="shared" si="10"/>
        <v>104</v>
      </c>
      <c r="L58" s="11">
        <f t="shared" si="10"/>
        <v>104</v>
      </c>
      <c r="M58" s="11">
        <f t="shared" si="10"/>
        <v>104</v>
      </c>
      <c r="N58" s="11">
        <f t="shared" si="10"/>
        <v>104</v>
      </c>
      <c r="O58" s="11">
        <f t="shared" si="10"/>
        <v>104</v>
      </c>
      <c r="P58" s="11">
        <f t="shared" si="10"/>
        <v>104</v>
      </c>
      <c r="Q58" s="11">
        <f t="shared" si="10"/>
        <v>104</v>
      </c>
      <c r="R58" s="11">
        <f t="shared" si="10"/>
        <v>104</v>
      </c>
      <c r="S58" s="11">
        <f t="shared" si="10"/>
        <v>104</v>
      </c>
      <c r="T58" s="11">
        <f t="shared" si="10"/>
        <v>104</v>
      </c>
      <c r="U58" s="11">
        <f t="shared" si="10"/>
        <v>104</v>
      </c>
      <c r="V58" s="11">
        <f t="shared" si="10"/>
        <v>104</v>
      </c>
      <c r="W58" s="11">
        <f t="shared" si="10"/>
        <v>104</v>
      </c>
      <c r="X58" s="11">
        <f t="shared" si="10"/>
        <v>104</v>
      </c>
      <c r="Y58" s="11">
        <f t="shared" si="10"/>
        <v>104</v>
      </c>
      <c r="Z58" s="11">
        <f t="shared" si="10"/>
        <v>104</v>
      </c>
      <c r="AA58" s="11">
        <f t="shared" si="10"/>
        <v>104</v>
      </c>
      <c r="AB58" s="11">
        <f t="shared" si="10"/>
        <v>104</v>
      </c>
      <c r="AC58" s="11">
        <f t="shared" si="10"/>
        <v>104</v>
      </c>
      <c r="AD58" s="11">
        <f t="shared" si="10"/>
        <v>104</v>
      </c>
      <c r="AE58" s="11">
        <f t="shared" si="10"/>
        <v>104</v>
      </c>
      <c r="AF58" s="11">
        <f t="shared" si="10"/>
        <v>104</v>
      </c>
      <c r="AG58" s="11">
        <f t="shared" si="10"/>
        <v>104</v>
      </c>
      <c r="AH58" s="11">
        <f t="shared" si="10"/>
        <v>104</v>
      </c>
      <c r="AI58" s="11">
        <f t="shared" si="10"/>
        <v>104</v>
      </c>
      <c r="AJ58" s="11">
        <f t="shared" si="10"/>
        <v>104</v>
      </c>
      <c r="AK58" s="11">
        <f t="shared" si="10"/>
        <v>104</v>
      </c>
      <c r="AL58" s="11">
        <f t="shared" si="10"/>
        <v>104</v>
      </c>
      <c r="AM58" s="11">
        <f t="shared" si="10"/>
        <v>104</v>
      </c>
      <c r="AN58" s="11">
        <f t="shared" si="10"/>
        <v>104</v>
      </c>
      <c r="AO58" s="11">
        <f t="shared" si="10"/>
        <v>104</v>
      </c>
      <c r="AP58" s="11">
        <f t="shared" si="10"/>
        <v>104</v>
      </c>
      <c r="AQ58" s="11">
        <f t="shared" si="10"/>
        <v>104</v>
      </c>
      <c r="AR58" s="11">
        <f t="shared" si="10"/>
        <v>104</v>
      </c>
      <c r="AS58" s="11">
        <f t="shared" si="10"/>
        <v>104</v>
      </c>
      <c r="AT58" s="11">
        <f t="shared" si="10"/>
        <v>104</v>
      </c>
      <c r="AU58" s="11">
        <f t="shared" si="10"/>
        <v>104</v>
      </c>
      <c r="AV58" s="11">
        <f t="shared" si="10"/>
        <v>104</v>
      </c>
      <c r="AW58" s="11">
        <f t="shared" si="10"/>
        <v>104</v>
      </c>
      <c r="AX58" s="11">
        <f t="shared" si="10"/>
        <v>104</v>
      </c>
      <c r="AY58" s="11">
        <f t="shared" si="10"/>
        <v>104</v>
      </c>
      <c r="AZ58" s="11">
        <f t="shared" si="10"/>
        <v>104</v>
      </c>
      <c r="BA58" s="13"/>
      <c r="BB58" s="13"/>
      <c r="BC58" s="13"/>
      <c r="BD58" s="13"/>
      <c r="BE58" s="13"/>
      <c r="BF58" s="13"/>
      <c r="BG58" s="13"/>
      <c r="BH58" s="13"/>
      <c r="BI58" s="13"/>
      <c r="BJ58" s="13"/>
      <c r="BK58" s="13"/>
      <c r="BL58" s="13"/>
      <c r="BM58" s="13"/>
      <c r="BN58" s="13"/>
      <c r="BO58" s="13"/>
      <c r="BP58" s="13"/>
      <c r="BQ58" s="13"/>
      <c r="BR58" s="13"/>
    </row>
    <row r="60" spans="1:70" x14ac:dyDescent="0.45">
      <c r="A60" t="s">
        <v>167</v>
      </c>
      <c r="B60" t="str">
        <f>B49</f>
        <v>China</v>
      </c>
      <c r="C60" s="13">
        <f>C49/$C$58</f>
        <v>9.6153846153846159E-3</v>
      </c>
      <c r="D60" s="13">
        <f t="shared" ref="D60:AZ65" si="11">D49/$C$58</f>
        <v>9.6153846153846159E-3</v>
      </c>
      <c r="E60" s="13">
        <f t="shared" si="11"/>
        <v>9.6153846153846159E-3</v>
      </c>
      <c r="F60" s="13">
        <f t="shared" si="11"/>
        <v>9.6153846153846159E-3</v>
      </c>
      <c r="G60" s="13">
        <f t="shared" si="11"/>
        <v>9.6153846153846159E-3</v>
      </c>
      <c r="H60" s="13">
        <f t="shared" si="11"/>
        <v>9.6153846153846159E-3</v>
      </c>
      <c r="I60" s="13">
        <f t="shared" si="11"/>
        <v>9.6153846153846159E-3</v>
      </c>
      <c r="J60" s="13">
        <f t="shared" si="11"/>
        <v>9.6153846153846159E-3</v>
      </c>
      <c r="K60" s="13">
        <f t="shared" si="11"/>
        <v>9.6153846153846159E-3</v>
      </c>
      <c r="L60" s="13">
        <f t="shared" si="11"/>
        <v>9.6153846153846159E-3</v>
      </c>
      <c r="M60" s="13">
        <f t="shared" si="11"/>
        <v>9.6153846153846159E-3</v>
      </c>
      <c r="N60" s="13">
        <f t="shared" si="11"/>
        <v>9.6153846153846159E-3</v>
      </c>
      <c r="O60" s="13">
        <f t="shared" si="11"/>
        <v>9.6153846153846159E-3</v>
      </c>
      <c r="P60" s="13">
        <f t="shared" si="11"/>
        <v>9.6153846153846159E-3</v>
      </c>
      <c r="Q60" s="13">
        <f t="shared" si="11"/>
        <v>9.6153846153846159E-3</v>
      </c>
      <c r="R60" s="13">
        <f t="shared" si="11"/>
        <v>9.6153846153846159E-3</v>
      </c>
      <c r="S60" s="13">
        <f t="shared" si="11"/>
        <v>9.6153846153846159E-3</v>
      </c>
      <c r="T60" s="13">
        <f t="shared" si="11"/>
        <v>9.6153846153846159E-3</v>
      </c>
      <c r="U60" s="13">
        <f t="shared" si="11"/>
        <v>9.6153846153846159E-3</v>
      </c>
      <c r="V60" s="13">
        <f t="shared" si="11"/>
        <v>9.6153846153846159E-3</v>
      </c>
      <c r="W60" s="13">
        <f t="shared" si="11"/>
        <v>9.6153846153846159E-3</v>
      </c>
      <c r="X60" s="13">
        <f t="shared" si="11"/>
        <v>9.6153846153846159E-3</v>
      </c>
      <c r="Y60" s="13">
        <f t="shared" si="11"/>
        <v>9.6153846153846159E-3</v>
      </c>
      <c r="Z60" s="13">
        <f t="shared" si="11"/>
        <v>9.6153846153846159E-3</v>
      </c>
      <c r="AA60" s="13">
        <f t="shared" si="11"/>
        <v>9.6153846153846159E-3</v>
      </c>
      <c r="AB60" s="13">
        <f t="shared" si="11"/>
        <v>9.6153846153846159E-3</v>
      </c>
      <c r="AC60" s="13">
        <f t="shared" si="11"/>
        <v>9.6153846153846159E-3</v>
      </c>
      <c r="AD60" s="13">
        <f t="shared" si="11"/>
        <v>9.6153846153846159E-3</v>
      </c>
      <c r="AE60" s="13">
        <f t="shared" si="11"/>
        <v>9.6153846153846159E-3</v>
      </c>
      <c r="AF60" s="13">
        <f t="shared" si="11"/>
        <v>9.6153846153846159E-3</v>
      </c>
      <c r="AG60" s="13">
        <f t="shared" si="11"/>
        <v>9.6153846153846159E-3</v>
      </c>
      <c r="AH60" s="13">
        <f t="shared" si="11"/>
        <v>9.6153846153846159E-3</v>
      </c>
      <c r="AI60" s="13">
        <f t="shared" si="11"/>
        <v>9.6153846153846159E-3</v>
      </c>
      <c r="AJ60" s="13">
        <f t="shared" si="11"/>
        <v>9.6153846153846159E-3</v>
      </c>
      <c r="AK60" s="13">
        <f t="shared" si="11"/>
        <v>9.6153846153846159E-3</v>
      </c>
      <c r="AL60" s="13">
        <f t="shared" si="11"/>
        <v>9.6153846153846159E-3</v>
      </c>
      <c r="AM60" s="13">
        <f t="shared" si="11"/>
        <v>9.6153846153846159E-3</v>
      </c>
      <c r="AN60" s="13">
        <f t="shared" si="11"/>
        <v>9.6153846153846159E-3</v>
      </c>
      <c r="AO60" s="13">
        <f t="shared" si="11"/>
        <v>9.6153846153846159E-3</v>
      </c>
      <c r="AP60" s="13">
        <f t="shared" si="11"/>
        <v>9.6153846153846159E-3</v>
      </c>
      <c r="AQ60" s="13">
        <f t="shared" si="11"/>
        <v>9.6153846153846159E-3</v>
      </c>
      <c r="AR60" s="13">
        <f t="shared" si="11"/>
        <v>9.6153846153846159E-3</v>
      </c>
      <c r="AS60" s="13">
        <f t="shared" si="11"/>
        <v>9.6153846153846159E-3</v>
      </c>
      <c r="AT60" s="13">
        <f t="shared" si="11"/>
        <v>9.6153846153846159E-3</v>
      </c>
      <c r="AU60" s="13">
        <f t="shared" si="11"/>
        <v>9.6153846153846159E-3</v>
      </c>
      <c r="AV60" s="13">
        <f t="shared" si="11"/>
        <v>9.6153846153846159E-3</v>
      </c>
      <c r="AW60" s="13">
        <f t="shared" si="11"/>
        <v>9.6153846153846159E-3</v>
      </c>
      <c r="AX60" s="13">
        <f t="shared" si="11"/>
        <v>9.6153846153846159E-3</v>
      </c>
      <c r="AY60" s="13">
        <f t="shared" si="11"/>
        <v>9.6153846153846159E-3</v>
      </c>
      <c r="AZ60" s="13">
        <f t="shared" si="11"/>
        <v>9.6153846153846159E-3</v>
      </c>
    </row>
    <row r="61" spans="1:70" x14ac:dyDescent="0.45">
      <c r="B61" t="str">
        <f t="shared" ref="B61:B68" si="12">B50</f>
        <v>East Asia</v>
      </c>
      <c r="C61" s="13">
        <f t="shared" ref="C61:R68" si="13">C50/$C$58</f>
        <v>6.7307692307692304E-2</v>
      </c>
      <c r="D61" s="13">
        <f t="shared" si="13"/>
        <v>6.7307692307692304E-2</v>
      </c>
      <c r="E61" s="13">
        <f t="shared" si="13"/>
        <v>6.7307692307692304E-2</v>
      </c>
      <c r="F61" s="13">
        <f t="shared" si="13"/>
        <v>6.7307692307692304E-2</v>
      </c>
      <c r="G61" s="13">
        <f t="shared" si="13"/>
        <v>6.7307692307692304E-2</v>
      </c>
      <c r="H61" s="13">
        <f t="shared" si="13"/>
        <v>6.7307692307692304E-2</v>
      </c>
      <c r="I61" s="13">
        <f t="shared" si="13"/>
        <v>6.7307692307692304E-2</v>
      </c>
      <c r="J61" s="13">
        <f t="shared" si="13"/>
        <v>6.7307692307692304E-2</v>
      </c>
      <c r="K61" s="13">
        <f t="shared" si="13"/>
        <v>6.7307692307692304E-2</v>
      </c>
      <c r="L61" s="13">
        <f t="shared" si="13"/>
        <v>6.7307692307692304E-2</v>
      </c>
      <c r="M61" s="13">
        <f t="shared" si="13"/>
        <v>6.7307692307692304E-2</v>
      </c>
      <c r="N61" s="13">
        <f t="shared" si="13"/>
        <v>6.7307692307692304E-2</v>
      </c>
      <c r="O61" s="13">
        <f t="shared" si="13"/>
        <v>6.7307692307692304E-2</v>
      </c>
      <c r="P61" s="13">
        <f t="shared" si="13"/>
        <v>6.7307692307692304E-2</v>
      </c>
      <c r="Q61" s="13">
        <f t="shared" si="13"/>
        <v>6.7307692307692304E-2</v>
      </c>
      <c r="R61" s="13">
        <f t="shared" si="13"/>
        <v>6.7307692307692304E-2</v>
      </c>
      <c r="S61" s="13">
        <f t="shared" si="11"/>
        <v>6.7307692307692304E-2</v>
      </c>
      <c r="T61" s="13">
        <f t="shared" si="11"/>
        <v>6.7307692307692304E-2</v>
      </c>
      <c r="U61" s="13">
        <f t="shared" si="11"/>
        <v>6.7307692307692304E-2</v>
      </c>
      <c r="V61" s="13">
        <f t="shared" si="11"/>
        <v>6.7307692307692304E-2</v>
      </c>
      <c r="W61" s="13">
        <f t="shared" si="11"/>
        <v>6.7307692307692304E-2</v>
      </c>
      <c r="X61" s="13">
        <f t="shared" si="11"/>
        <v>6.7307692307692304E-2</v>
      </c>
      <c r="Y61" s="13">
        <f t="shared" si="11"/>
        <v>6.7307692307692304E-2</v>
      </c>
      <c r="Z61" s="13">
        <f t="shared" si="11"/>
        <v>6.7307692307692304E-2</v>
      </c>
      <c r="AA61" s="13">
        <f t="shared" si="11"/>
        <v>6.7307692307692304E-2</v>
      </c>
      <c r="AB61" s="13">
        <f t="shared" si="11"/>
        <v>6.7307692307692304E-2</v>
      </c>
      <c r="AC61" s="13">
        <f t="shared" si="11"/>
        <v>6.7307692307692304E-2</v>
      </c>
      <c r="AD61" s="13">
        <f t="shared" si="11"/>
        <v>6.7307692307692304E-2</v>
      </c>
      <c r="AE61" s="13">
        <f t="shared" si="11"/>
        <v>6.7307692307692304E-2</v>
      </c>
      <c r="AF61" s="13">
        <f t="shared" si="11"/>
        <v>6.7307692307692304E-2</v>
      </c>
      <c r="AG61" s="13">
        <f t="shared" si="11"/>
        <v>6.7307692307692304E-2</v>
      </c>
      <c r="AH61" s="13">
        <f t="shared" si="11"/>
        <v>6.7307692307692304E-2</v>
      </c>
      <c r="AI61" s="13">
        <f t="shared" si="11"/>
        <v>6.7307692307692304E-2</v>
      </c>
      <c r="AJ61" s="13">
        <f t="shared" si="11"/>
        <v>6.7307692307692304E-2</v>
      </c>
      <c r="AK61" s="13">
        <f t="shared" si="11"/>
        <v>6.7307692307692304E-2</v>
      </c>
      <c r="AL61" s="13">
        <f t="shared" si="11"/>
        <v>6.7307692307692304E-2</v>
      </c>
      <c r="AM61" s="13">
        <f t="shared" si="11"/>
        <v>6.7307692307692304E-2</v>
      </c>
      <c r="AN61" s="13">
        <f t="shared" si="11"/>
        <v>6.7307692307692304E-2</v>
      </c>
      <c r="AO61" s="13">
        <f t="shared" si="11"/>
        <v>6.7307692307692304E-2</v>
      </c>
      <c r="AP61" s="13">
        <f t="shared" si="11"/>
        <v>6.7307692307692304E-2</v>
      </c>
      <c r="AQ61" s="13">
        <f t="shared" si="11"/>
        <v>6.7307692307692304E-2</v>
      </c>
      <c r="AR61" s="13">
        <f t="shared" si="11"/>
        <v>6.7307692307692304E-2</v>
      </c>
      <c r="AS61" s="13">
        <f t="shared" si="11"/>
        <v>6.7307692307692304E-2</v>
      </c>
      <c r="AT61" s="13">
        <f t="shared" si="11"/>
        <v>6.7307692307692304E-2</v>
      </c>
      <c r="AU61" s="13">
        <f t="shared" si="11"/>
        <v>6.7307692307692304E-2</v>
      </c>
      <c r="AV61" s="13">
        <f t="shared" si="11"/>
        <v>6.7307692307692304E-2</v>
      </c>
      <c r="AW61" s="13">
        <f t="shared" si="11"/>
        <v>6.7307692307692304E-2</v>
      </c>
      <c r="AX61" s="13">
        <f t="shared" si="11"/>
        <v>6.7307692307692304E-2</v>
      </c>
      <c r="AY61" s="13">
        <f t="shared" si="11"/>
        <v>6.7307692307692304E-2</v>
      </c>
      <c r="AZ61" s="13">
        <f t="shared" si="11"/>
        <v>6.7307692307692304E-2</v>
      </c>
    </row>
    <row r="62" spans="1:70" x14ac:dyDescent="0.45">
      <c r="B62" t="str">
        <f t="shared" si="12"/>
        <v>Europe</v>
      </c>
      <c r="C62" s="13">
        <f t="shared" si="13"/>
        <v>0.19230769230769232</v>
      </c>
      <c r="D62" s="13">
        <f t="shared" si="11"/>
        <v>0.19230769230769232</v>
      </c>
      <c r="E62" s="13">
        <f t="shared" si="11"/>
        <v>0.19230769230769232</v>
      </c>
      <c r="F62" s="13">
        <f t="shared" si="11"/>
        <v>0.19230769230769232</v>
      </c>
      <c r="G62" s="13">
        <f t="shared" si="11"/>
        <v>0.19230769230769232</v>
      </c>
      <c r="H62" s="13">
        <f t="shared" si="11"/>
        <v>0.19230769230769232</v>
      </c>
      <c r="I62" s="13">
        <f t="shared" si="11"/>
        <v>0.19230769230769232</v>
      </c>
      <c r="J62" s="13">
        <f t="shared" si="11"/>
        <v>0.19230769230769232</v>
      </c>
      <c r="K62" s="13">
        <f t="shared" si="11"/>
        <v>0.19230769230769232</v>
      </c>
      <c r="L62" s="13">
        <f t="shared" si="11"/>
        <v>0.19230769230769232</v>
      </c>
      <c r="M62" s="13">
        <f t="shared" si="11"/>
        <v>0.19230769230769232</v>
      </c>
      <c r="N62" s="13">
        <f t="shared" si="11"/>
        <v>0.19230769230769232</v>
      </c>
      <c r="O62" s="13">
        <f t="shared" si="11"/>
        <v>0.19230769230769232</v>
      </c>
      <c r="P62" s="13">
        <f t="shared" si="11"/>
        <v>0.19230769230769232</v>
      </c>
      <c r="Q62" s="13">
        <f t="shared" si="11"/>
        <v>0.19230769230769232</v>
      </c>
      <c r="R62" s="13">
        <f t="shared" si="11"/>
        <v>0.19230769230769232</v>
      </c>
      <c r="S62" s="13">
        <f t="shared" si="11"/>
        <v>0.19230769230769232</v>
      </c>
      <c r="T62" s="13">
        <f t="shared" si="11"/>
        <v>0.19230769230769232</v>
      </c>
      <c r="U62" s="13">
        <f t="shared" si="11"/>
        <v>0.19230769230769232</v>
      </c>
      <c r="V62" s="13">
        <f t="shared" si="11"/>
        <v>0.19230769230769232</v>
      </c>
      <c r="W62" s="13">
        <f t="shared" si="11"/>
        <v>0.19230769230769232</v>
      </c>
      <c r="X62" s="13">
        <f t="shared" si="11"/>
        <v>0.19230769230769232</v>
      </c>
      <c r="Y62" s="13">
        <f t="shared" si="11"/>
        <v>0.19230769230769232</v>
      </c>
      <c r="Z62" s="13">
        <f t="shared" si="11"/>
        <v>0.19230769230769232</v>
      </c>
      <c r="AA62" s="13">
        <f t="shared" si="11"/>
        <v>0.19230769230769232</v>
      </c>
      <c r="AB62" s="13">
        <f t="shared" si="11"/>
        <v>0.19230769230769232</v>
      </c>
      <c r="AC62" s="13">
        <f t="shared" si="11"/>
        <v>0.19230769230769232</v>
      </c>
      <c r="AD62" s="13">
        <f t="shared" si="11"/>
        <v>0.19230769230769232</v>
      </c>
      <c r="AE62" s="13">
        <f t="shared" si="11"/>
        <v>0.19230769230769232</v>
      </c>
      <c r="AF62" s="13">
        <f t="shared" si="11"/>
        <v>0.19230769230769232</v>
      </c>
      <c r="AG62" s="13">
        <f t="shared" si="11"/>
        <v>0.19230769230769232</v>
      </c>
      <c r="AH62" s="13">
        <f t="shared" si="11"/>
        <v>0.19230769230769232</v>
      </c>
      <c r="AI62" s="13">
        <f t="shared" si="11"/>
        <v>0.19230769230769232</v>
      </c>
      <c r="AJ62" s="13">
        <f t="shared" si="11"/>
        <v>0.19230769230769232</v>
      </c>
      <c r="AK62" s="13">
        <f t="shared" si="11"/>
        <v>0.19230769230769232</v>
      </c>
      <c r="AL62" s="13">
        <f t="shared" si="11"/>
        <v>0.19230769230769232</v>
      </c>
      <c r="AM62" s="13">
        <f t="shared" si="11"/>
        <v>0.19230769230769232</v>
      </c>
      <c r="AN62" s="13">
        <f t="shared" si="11"/>
        <v>0.19230769230769232</v>
      </c>
      <c r="AO62" s="13">
        <f t="shared" si="11"/>
        <v>0.19230769230769232</v>
      </c>
      <c r="AP62" s="13">
        <f t="shared" si="11"/>
        <v>0.19230769230769232</v>
      </c>
      <c r="AQ62" s="13">
        <f t="shared" si="11"/>
        <v>0.19230769230769232</v>
      </c>
      <c r="AR62" s="13">
        <f t="shared" si="11"/>
        <v>0.19230769230769232</v>
      </c>
      <c r="AS62" s="13">
        <f t="shared" si="11"/>
        <v>0.19230769230769232</v>
      </c>
      <c r="AT62" s="13">
        <f t="shared" si="11"/>
        <v>0.19230769230769232</v>
      </c>
      <c r="AU62" s="13">
        <f t="shared" si="11"/>
        <v>0.19230769230769232</v>
      </c>
      <c r="AV62" s="13">
        <f t="shared" si="11"/>
        <v>0.19230769230769232</v>
      </c>
      <c r="AW62" s="13">
        <f t="shared" si="11"/>
        <v>0.19230769230769232</v>
      </c>
      <c r="AX62" s="13">
        <f t="shared" si="11"/>
        <v>0.19230769230769232</v>
      </c>
      <c r="AY62" s="13">
        <f t="shared" si="11"/>
        <v>0.19230769230769232</v>
      </c>
      <c r="AZ62" s="13">
        <f t="shared" si="11"/>
        <v>0.19230769230769232</v>
      </c>
    </row>
    <row r="63" spans="1:70" x14ac:dyDescent="0.45">
      <c r="B63" t="str">
        <f t="shared" si="12"/>
        <v>Latin America and Caribbean</v>
      </c>
      <c r="C63" s="13">
        <f t="shared" si="13"/>
        <v>0.24038461538461539</v>
      </c>
      <c r="D63" s="13">
        <f t="shared" si="11"/>
        <v>0.24038461538461539</v>
      </c>
      <c r="E63" s="13">
        <f t="shared" si="11"/>
        <v>0.24038461538461539</v>
      </c>
      <c r="F63" s="13">
        <f t="shared" si="11"/>
        <v>0.24038461538461539</v>
      </c>
      <c r="G63" s="13">
        <f t="shared" si="11"/>
        <v>0.24038461538461539</v>
      </c>
      <c r="H63" s="13">
        <f t="shared" si="11"/>
        <v>0.24038461538461539</v>
      </c>
      <c r="I63" s="13">
        <f t="shared" si="11"/>
        <v>0.24038461538461539</v>
      </c>
      <c r="J63" s="13">
        <f t="shared" si="11"/>
        <v>0.24038461538461539</v>
      </c>
      <c r="K63" s="13">
        <f t="shared" si="11"/>
        <v>0.24038461538461539</v>
      </c>
      <c r="L63" s="13">
        <f t="shared" si="11"/>
        <v>0.24038461538461539</v>
      </c>
      <c r="M63" s="13">
        <f t="shared" si="11"/>
        <v>0.24038461538461539</v>
      </c>
      <c r="N63" s="13">
        <f t="shared" si="11"/>
        <v>0.24038461538461539</v>
      </c>
      <c r="O63" s="13">
        <f t="shared" si="11"/>
        <v>0.24038461538461539</v>
      </c>
      <c r="P63" s="13">
        <f t="shared" si="11"/>
        <v>0.24038461538461539</v>
      </c>
      <c r="Q63" s="13">
        <f t="shared" si="11"/>
        <v>0.24038461538461539</v>
      </c>
      <c r="R63" s="13">
        <f t="shared" si="11"/>
        <v>0.24038461538461539</v>
      </c>
      <c r="S63" s="13">
        <f t="shared" si="11"/>
        <v>0.24038461538461539</v>
      </c>
      <c r="T63" s="13">
        <f t="shared" si="11"/>
        <v>0.24038461538461539</v>
      </c>
      <c r="U63" s="13">
        <f t="shared" si="11"/>
        <v>0.24038461538461539</v>
      </c>
      <c r="V63" s="13">
        <f t="shared" si="11"/>
        <v>0.24038461538461539</v>
      </c>
      <c r="W63" s="13">
        <f t="shared" si="11"/>
        <v>0.24038461538461539</v>
      </c>
      <c r="X63" s="13">
        <f t="shared" si="11"/>
        <v>0.24038461538461539</v>
      </c>
      <c r="Y63" s="13">
        <f t="shared" si="11"/>
        <v>0.24038461538461539</v>
      </c>
      <c r="Z63" s="13">
        <f t="shared" si="11"/>
        <v>0.24038461538461539</v>
      </c>
      <c r="AA63" s="13">
        <f t="shared" si="11"/>
        <v>0.24038461538461539</v>
      </c>
      <c r="AB63" s="13">
        <f t="shared" si="11"/>
        <v>0.24038461538461539</v>
      </c>
      <c r="AC63" s="13">
        <f t="shared" si="11"/>
        <v>0.24038461538461539</v>
      </c>
      <c r="AD63" s="13">
        <f t="shared" si="11"/>
        <v>0.24038461538461539</v>
      </c>
      <c r="AE63" s="13">
        <f t="shared" si="11"/>
        <v>0.24038461538461539</v>
      </c>
      <c r="AF63" s="13">
        <f t="shared" si="11"/>
        <v>0.24038461538461539</v>
      </c>
      <c r="AG63" s="13">
        <f t="shared" si="11"/>
        <v>0.24038461538461539</v>
      </c>
      <c r="AH63" s="13">
        <f t="shared" si="11"/>
        <v>0.24038461538461539</v>
      </c>
      <c r="AI63" s="13">
        <f t="shared" si="11"/>
        <v>0.24038461538461539</v>
      </c>
      <c r="AJ63" s="13">
        <f t="shared" si="11"/>
        <v>0.24038461538461539</v>
      </c>
      <c r="AK63" s="13">
        <f t="shared" si="11"/>
        <v>0.24038461538461539</v>
      </c>
      <c r="AL63" s="13">
        <f t="shared" si="11"/>
        <v>0.24038461538461539</v>
      </c>
      <c r="AM63" s="13">
        <f t="shared" si="11"/>
        <v>0.24038461538461539</v>
      </c>
      <c r="AN63" s="13">
        <f t="shared" si="11"/>
        <v>0.24038461538461539</v>
      </c>
      <c r="AO63" s="13">
        <f t="shared" si="11"/>
        <v>0.24038461538461539</v>
      </c>
      <c r="AP63" s="13">
        <f t="shared" si="11"/>
        <v>0.24038461538461539</v>
      </c>
      <c r="AQ63" s="13">
        <f t="shared" si="11"/>
        <v>0.24038461538461539</v>
      </c>
      <c r="AR63" s="13">
        <f t="shared" si="11"/>
        <v>0.24038461538461539</v>
      </c>
      <c r="AS63" s="13">
        <f t="shared" si="11"/>
        <v>0.24038461538461539</v>
      </c>
      <c r="AT63" s="13">
        <f t="shared" si="11"/>
        <v>0.24038461538461539</v>
      </c>
      <c r="AU63" s="13">
        <f t="shared" si="11"/>
        <v>0.24038461538461539</v>
      </c>
      <c r="AV63" s="13">
        <f t="shared" si="11"/>
        <v>0.24038461538461539</v>
      </c>
      <c r="AW63" s="13">
        <f t="shared" si="11"/>
        <v>0.24038461538461539</v>
      </c>
      <c r="AX63" s="13">
        <f t="shared" si="11"/>
        <v>0.24038461538461539</v>
      </c>
      <c r="AY63" s="13">
        <f t="shared" si="11"/>
        <v>0.24038461538461539</v>
      </c>
      <c r="AZ63" s="13">
        <f t="shared" si="11"/>
        <v>0.24038461538461539</v>
      </c>
    </row>
    <row r="64" spans="1:70" x14ac:dyDescent="0.45">
      <c r="B64" t="str">
        <f t="shared" si="12"/>
        <v>Middle East and North Africa</v>
      </c>
      <c r="C64" s="13">
        <f t="shared" si="13"/>
        <v>6.7307692307692304E-2</v>
      </c>
      <c r="D64" s="13">
        <f t="shared" si="11"/>
        <v>6.7307692307692304E-2</v>
      </c>
      <c r="E64" s="13">
        <f t="shared" si="11"/>
        <v>6.7307692307692304E-2</v>
      </c>
      <c r="F64" s="13">
        <f t="shared" si="11"/>
        <v>6.7307692307692304E-2</v>
      </c>
      <c r="G64" s="13">
        <f t="shared" si="11"/>
        <v>6.7307692307692304E-2</v>
      </c>
      <c r="H64" s="13">
        <f t="shared" si="11"/>
        <v>6.7307692307692304E-2</v>
      </c>
      <c r="I64" s="13">
        <f t="shared" si="11"/>
        <v>6.7307692307692304E-2</v>
      </c>
      <c r="J64" s="13">
        <f t="shared" si="11"/>
        <v>6.7307692307692304E-2</v>
      </c>
      <c r="K64" s="13">
        <f t="shared" si="11"/>
        <v>6.7307692307692304E-2</v>
      </c>
      <c r="L64" s="13">
        <f t="shared" si="11"/>
        <v>6.7307692307692304E-2</v>
      </c>
      <c r="M64" s="13">
        <f t="shared" si="11"/>
        <v>6.7307692307692304E-2</v>
      </c>
      <c r="N64" s="13">
        <f t="shared" si="11"/>
        <v>6.7307692307692304E-2</v>
      </c>
      <c r="O64" s="13">
        <f t="shared" si="11"/>
        <v>6.7307692307692304E-2</v>
      </c>
      <c r="P64" s="13">
        <f t="shared" si="11"/>
        <v>6.7307692307692304E-2</v>
      </c>
      <c r="Q64" s="13">
        <f t="shared" si="11"/>
        <v>6.7307692307692304E-2</v>
      </c>
      <c r="R64" s="13">
        <f t="shared" si="11"/>
        <v>6.7307692307692304E-2</v>
      </c>
      <c r="S64" s="13">
        <f t="shared" si="11"/>
        <v>6.7307692307692304E-2</v>
      </c>
      <c r="T64" s="13">
        <f t="shared" si="11"/>
        <v>6.7307692307692304E-2</v>
      </c>
      <c r="U64" s="13">
        <f t="shared" si="11"/>
        <v>6.7307692307692304E-2</v>
      </c>
      <c r="V64" s="13">
        <f t="shared" si="11"/>
        <v>6.7307692307692304E-2</v>
      </c>
      <c r="W64" s="13">
        <f t="shared" si="11"/>
        <v>6.7307692307692304E-2</v>
      </c>
      <c r="X64" s="13">
        <f t="shared" si="11"/>
        <v>6.7307692307692304E-2</v>
      </c>
      <c r="Y64" s="13">
        <f t="shared" si="11"/>
        <v>6.7307692307692304E-2</v>
      </c>
      <c r="Z64" s="13">
        <f t="shared" si="11"/>
        <v>6.7307692307692304E-2</v>
      </c>
      <c r="AA64" s="13">
        <f t="shared" si="11"/>
        <v>6.7307692307692304E-2</v>
      </c>
      <c r="AB64" s="13">
        <f t="shared" si="11"/>
        <v>6.7307692307692304E-2</v>
      </c>
      <c r="AC64" s="13">
        <f t="shared" si="11"/>
        <v>6.7307692307692304E-2</v>
      </c>
      <c r="AD64" s="13">
        <f t="shared" si="11"/>
        <v>6.7307692307692304E-2</v>
      </c>
      <c r="AE64" s="13">
        <f t="shared" si="11"/>
        <v>6.7307692307692304E-2</v>
      </c>
      <c r="AF64" s="13">
        <f t="shared" si="11"/>
        <v>6.7307692307692304E-2</v>
      </c>
      <c r="AG64" s="13">
        <f t="shared" si="11"/>
        <v>6.7307692307692304E-2</v>
      </c>
      <c r="AH64" s="13">
        <f t="shared" si="11"/>
        <v>6.7307692307692304E-2</v>
      </c>
      <c r="AI64" s="13">
        <f t="shared" si="11"/>
        <v>6.7307692307692304E-2</v>
      </c>
      <c r="AJ64" s="13">
        <f t="shared" si="11"/>
        <v>6.7307692307692304E-2</v>
      </c>
      <c r="AK64" s="13">
        <f t="shared" si="11"/>
        <v>6.7307692307692304E-2</v>
      </c>
      <c r="AL64" s="13">
        <f t="shared" si="11"/>
        <v>6.7307692307692304E-2</v>
      </c>
      <c r="AM64" s="13">
        <f t="shared" si="11"/>
        <v>6.7307692307692304E-2</v>
      </c>
      <c r="AN64" s="13">
        <f t="shared" si="11"/>
        <v>6.7307692307692304E-2</v>
      </c>
      <c r="AO64" s="13">
        <f t="shared" si="11"/>
        <v>6.7307692307692304E-2</v>
      </c>
      <c r="AP64" s="13">
        <f t="shared" si="11"/>
        <v>6.7307692307692304E-2</v>
      </c>
      <c r="AQ64" s="13">
        <f t="shared" si="11"/>
        <v>6.7307692307692304E-2</v>
      </c>
      <c r="AR64" s="13">
        <f t="shared" si="11"/>
        <v>6.7307692307692304E-2</v>
      </c>
      <c r="AS64" s="13">
        <f t="shared" si="11"/>
        <v>6.7307692307692304E-2</v>
      </c>
      <c r="AT64" s="13">
        <f t="shared" si="11"/>
        <v>6.7307692307692304E-2</v>
      </c>
      <c r="AU64" s="13">
        <f t="shared" si="11"/>
        <v>6.7307692307692304E-2</v>
      </c>
      <c r="AV64" s="13">
        <f t="shared" si="11"/>
        <v>6.7307692307692304E-2</v>
      </c>
      <c r="AW64" s="13">
        <f t="shared" si="11"/>
        <v>6.7307692307692304E-2</v>
      </c>
      <c r="AX64" s="13">
        <f t="shared" si="11"/>
        <v>6.7307692307692304E-2</v>
      </c>
      <c r="AY64" s="13">
        <f t="shared" si="11"/>
        <v>6.7307692307692304E-2</v>
      </c>
      <c r="AZ64" s="13">
        <f t="shared" si="11"/>
        <v>6.7307692307692304E-2</v>
      </c>
      <c r="BA64" s="13"/>
      <c r="BB64" s="13"/>
      <c r="BC64" s="13"/>
      <c r="BD64" s="13"/>
      <c r="BE64" s="13"/>
      <c r="BF64" s="13"/>
      <c r="BG64" s="13"/>
      <c r="BH64" s="13"/>
      <c r="BI64" s="13"/>
      <c r="BJ64" s="13"/>
      <c r="BK64" s="13"/>
      <c r="BL64" s="13"/>
      <c r="BM64" s="13"/>
      <c r="BN64" s="13"/>
      <c r="BO64" s="13"/>
      <c r="BP64" s="13"/>
      <c r="BQ64" s="13"/>
      <c r="BR64" s="13"/>
    </row>
    <row r="65" spans="1:70" x14ac:dyDescent="0.45">
      <c r="B65" t="str">
        <f t="shared" si="12"/>
        <v>North America</v>
      </c>
      <c r="C65" s="13">
        <f t="shared" si="13"/>
        <v>1.9230769230769232E-2</v>
      </c>
      <c r="D65" s="13">
        <f t="shared" si="11"/>
        <v>1.9230769230769232E-2</v>
      </c>
      <c r="E65" s="13">
        <f t="shared" si="11"/>
        <v>1.9230769230769232E-2</v>
      </c>
      <c r="F65" s="13">
        <f t="shared" si="11"/>
        <v>1.9230769230769232E-2</v>
      </c>
      <c r="G65" s="13">
        <f t="shared" si="11"/>
        <v>1.9230769230769232E-2</v>
      </c>
      <c r="H65" s="13">
        <f t="shared" si="11"/>
        <v>1.9230769230769232E-2</v>
      </c>
      <c r="I65" s="13">
        <f t="shared" si="11"/>
        <v>1.9230769230769232E-2</v>
      </c>
      <c r="J65" s="13">
        <f t="shared" si="11"/>
        <v>1.9230769230769232E-2</v>
      </c>
      <c r="K65" s="13">
        <f t="shared" si="11"/>
        <v>1.9230769230769232E-2</v>
      </c>
      <c r="L65" s="13">
        <f t="shared" si="11"/>
        <v>1.9230769230769232E-2</v>
      </c>
      <c r="M65" s="13">
        <f t="shared" si="11"/>
        <v>1.9230769230769232E-2</v>
      </c>
      <c r="N65" s="13">
        <f t="shared" si="11"/>
        <v>1.9230769230769232E-2</v>
      </c>
      <c r="O65" s="13">
        <f t="shared" si="11"/>
        <v>1.9230769230769232E-2</v>
      </c>
      <c r="P65" s="13">
        <f t="shared" si="11"/>
        <v>1.9230769230769232E-2</v>
      </c>
      <c r="Q65" s="13">
        <f t="shared" si="11"/>
        <v>1.9230769230769232E-2</v>
      </c>
      <c r="R65" s="13">
        <f t="shared" si="11"/>
        <v>1.9230769230769232E-2</v>
      </c>
      <c r="S65" s="13">
        <f t="shared" si="11"/>
        <v>1.9230769230769232E-2</v>
      </c>
      <c r="T65" s="13">
        <f t="shared" si="11"/>
        <v>1.9230769230769232E-2</v>
      </c>
      <c r="U65" s="13">
        <f t="shared" si="11"/>
        <v>1.9230769230769232E-2</v>
      </c>
      <c r="V65" s="13">
        <f t="shared" si="11"/>
        <v>1.9230769230769232E-2</v>
      </c>
      <c r="W65" s="13">
        <f t="shared" si="11"/>
        <v>1.9230769230769232E-2</v>
      </c>
      <c r="X65" s="13">
        <f t="shared" si="11"/>
        <v>1.9230769230769232E-2</v>
      </c>
      <c r="Y65" s="13">
        <f t="shared" si="11"/>
        <v>1.9230769230769232E-2</v>
      </c>
      <c r="Z65" s="13">
        <f t="shared" si="11"/>
        <v>1.9230769230769232E-2</v>
      </c>
      <c r="AA65" s="13">
        <f t="shared" si="11"/>
        <v>1.9230769230769232E-2</v>
      </c>
      <c r="AB65" s="13">
        <f t="shared" si="11"/>
        <v>1.9230769230769232E-2</v>
      </c>
      <c r="AC65" s="13">
        <f t="shared" ref="D65:AZ68" si="14">AC54/$C$58</f>
        <v>1.9230769230769232E-2</v>
      </c>
      <c r="AD65" s="13">
        <f t="shared" si="14"/>
        <v>1.9230769230769232E-2</v>
      </c>
      <c r="AE65" s="13">
        <f t="shared" si="14"/>
        <v>1.9230769230769232E-2</v>
      </c>
      <c r="AF65" s="13">
        <f t="shared" si="14"/>
        <v>1.9230769230769232E-2</v>
      </c>
      <c r="AG65" s="13">
        <f t="shared" si="14"/>
        <v>1.9230769230769232E-2</v>
      </c>
      <c r="AH65" s="13">
        <f t="shared" si="14"/>
        <v>1.9230769230769232E-2</v>
      </c>
      <c r="AI65" s="13">
        <f t="shared" si="14"/>
        <v>1.9230769230769232E-2</v>
      </c>
      <c r="AJ65" s="13">
        <f t="shared" si="14"/>
        <v>1.9230769230769232E-2</v>
      </c>
      <c r="AK65" s="13">
        <f t="shared" si="14"/>
        <v>1.9230769230769232E-2</v>
      </c>
      <c r="AL65" s="13">
        <f t="shared" si="14"/>
        <v>1.9230769230769232E-2</v>
      </c>
      <c r="AM65" s="13">
        <f t="shared" si="14"/>
        <v>1.9230769230769232E-2</v>
      </c>
      <c r="AN65" s="13">
        <f t="shared" si="14"/>
        <v>1.9230769230769232E-2</v>
      </c>
      <c r="AO65" s="13">
        <f t="shared" si="14"/>
        <v>1.9230769230769232E-2</v>
      </c>
      <c r="AP65" s="13">
        <f t="shared" si="14"/>
        <v>1.9230769230769232E-2</v>
      </c>
      <c r="AQ65" s="13">
        <f t="shared" si="14"/>
        <v>1.9230769230769232E-2</v>
      </c>
      <c r="AR65" s="13">
        <f t="shared" si="14"/>
        <v>1.9230769230769232E-2</v>
      </c>
      <c r="AS65" s="13">
        <f t="shared" si="14"/>
        <v>1.9230769230769232E-2</v>
      </c>
      <c r="AT65" s="13">
        <f t="shared" si="14"/>
        <v>1.9230769230769232E-2</v>
      </c>
      <c r="AU65" s="13">
        <f t="shared" si="14"/>
        <v>1.9230769230769232E-2</v>
      </c>
      <c r="AV65" s="13">
        <f t="shared" si="14"/>
        <v>1.9230769230769232E-2</v>
      </c>
      <c r="AW65" s="13">
        <f t="shared" si="14"/>
        <v>1.9230769230769232E-2</v>
      </c>
      <c r="AX65" s="13">
        <f t="shared" si="14"/>
        <v>1.9230769230769232E-2</v>
      </c>
      <c r="AY65" s="13">
        <f t="shared" si="14"/>
        <v>1.9230769230769232E-2</v>
      </c>
      <c r="AZ65" s="13">
        <f t="shared" si="14"/>
        <v>1.9230769230769232E-2</v>
      </c>
      <c r="BA65" s="13"/>
      <c r="BB65" s="13"/>
      <c r="BC65" s="13"/>
      <c r="BD65" s="13"/>
      <c r="BE65" s="13"/>
      <c r="BF65" s="13"/>
      <c r="BG65" s="13"/>
      <c r="BH65" s="13"/>
      <c r="BI65" s="13"/>
      <c r="BJ65" s="13"/>
      <c r="BK65" s="13"/>
      <c r="BL65" s="13"/>
      <c r="BM65" s="13"/>
      <c r="BN65" s="13"/>
      <c r="BO65" s="13"/>
      <c r="BP65" s="13"/>
      <c r="BQ65" s="13"/>
      <c r="BR65" s="13"/>
    </row>
    <row r="66" spans="1:70" x14ac:dyDescent="0.45">
      <c r="B66" t="str">
        <f t="shared" si="12"/>
        <v>Pacific</v>
      </c>
      <c r="C66" s="13">
        <f t="shared" si="13"/>
        <v>4.807692307692308E-2</v>
      </c>
      <c r="D66" s="13">
        <f t="shared" si="14"/>
        <v>4.807692307692308E-2</v>
      </c>
      <c r="E66" s="13">
        <f t="shared" si="14"/>
        <v>4.807692307692308E-2</v>
      </c>
      <c r="F66" s="13">
        <f t="shared" si="14"/>
        <v>4.807692307692308E-2</v>
      </c>
      <c r="G66" s="13">
        <f t="shared" si="14"/>
        <v>4.807692307692308E-2</v>
      </c>
      <c r="H66" s="13">
        <f t="shared" si="14"/>
        <v>4.807692307692308E-2</v>
      </c>
      <c r="I66" s="13">
        <f t="shared" si="14"/>
        <v>4.807692307692308E-2</v>
      </c>
      <c r="J66" s="13">
        <f t="shared" si="14"/>
        <v>4.807692307692308E-2</v>
      </c>
      <c r="K66" s="13">
        <f t="shared" si="14"/>
        <v>4.807692307692308E-2</v>
      </c>
      <c r="L66" s="13">
        <f t="shared" si="14"/>
        <v>4.807692307692308E-2</v>
      </c>
      <c r="M66" s="13">
        <f t="shared" si="14"/>
        <v>4.807692307692308E-2</v>
      </c>
      <c r="N66" s="13">
        <f t="shared" si="14"/>
        <v>4.807692307692308E-2</v>
      </c>
      <c r="O66" s="13">
        <f t="shared" si="14"/>
        <v>4.807692307692308E-2</v>
      </c>
      <c r="P66" s="13">
        <f t="shared" si="14"/>
        <v>4.807692307692308E-2</v>
      </c>
      <c r="Q66" s="13">
        <f t="shared" si="14"/>
        <v>4.807692307692308E-2</v>
      </c>
      <c r="R66" s="13">
        <f t="shared" si="14"/>
        <v>4.807692307692308E-2</v>
      </c>
      <c r="S66" s="13">
        <f t="shared" si="14"/>
        <v>4.807692307692308E-2</v>
      </c>
      <c r="T66" s="13">
        <f t="shared" si="14"/>
        <v>4.807692307692308E-2</v>
      </c>
      <c r="U66" s="13">
        <f t="shared" si="14"/>
        <v>4.807692307692308E-2</v>
      </c>
      <c r="V66" s="13">
        <f t="shared" si="14"/>
        <v>4.807692307692308E-2</v>
      </c>
      <c r="W66" s="13">
        <f t="shared" si="14"/>
        <v>4.807692307692308E-2</v>
      </c>
      <c r="X66" s="13">
        <f t="shared" si="14"/>
        <v>4.807692307692308E-2</v>
      </c>
      <c r="Y66" s="13">
        <f t="shared" si="14"/>
        <v>4.807692307692308E-2</v>
      </c>
      <c r="Z66" s="13">
        <f t="shared" si="14"/>
        <v>4.807692307692308E-2</v>
      </c>
      <c r="AA66" s="13">
        <f t="shared" si="14"/>
        <v>4.807692307692308E-2</v>
      </c>
      <c r="AB66" s="13">
        <f t="shared" si="14"/>
        <v>4.807692307692308E-2</v>
      </c>
      <c r="AC66" s="13">
        <f t="shared" si="14"/>
        <v>4.807692307692308E-2</v>
      </c>
      <c r="AD66" s="13">
        <f t="shared" si="14"/>
        <v>4.807692307692308E-2</v>
      </c>
      <c r="AE66" s="13">
        <f t="shared" si="14"/>
        <v>4.807692307692308E-2</v>
      </c>
      <c r="AF66" s="13">
        <f t="shared" si="14"/>
        <v>4.807692307692308E-2</v>
      </c>
      <c r="AG66" s="13">
        <f t="shared" si="14"/>
        <v>4.807692307692308E-2</v>
      </c>
      <c r="AH66" s="13">
        <f t="shared" si="14"/>
        <v>4.807692307692308E-2</v>
      </c>
      <c r="AI66" s="13">
        <f t="shared" si="14"/>
        <v>4.807692307692308E-2</v>
      </c>
      <c r="AJ66" s="13">
        <f t="shared" si="14"/>
        <v>4.807692307692308E-2</v>
      </c>
      <c r="AK66" s="13">
        <f t="shared" si="14"/>
        <v>4.807692307692308E-2</v>
      </c>
      <c r="AL66" s="13">
        <f t="shared" si="14"/>
        <v>4.807692307692308E-2</v>
      </c>
      <c r="AM66" s="13">
        <f t="shared" si="14"/>
        <v>4.807692307692308E-2</v>
      </c>
      <c r="AN66" s="13">
        <f t="shared" si="14"/>
        <v>4.807692307692308E-2</v>
      </c>
      <c r="AO66" s="13">
        <f t="shared" si="14"/>
        <v>4.807692307692308E-2</v>
      </c>
      <c r="AP66" s="13">
        <f t="shared" si="14"/>
        <v>4.807692307692308E-2</v>
      </c>
      <c r="AQ66" s="13">
        <f t="shared" si="14"/>
        <v>4.807692307692308E-2</v>
      </c>
      <c r="AR66" s="13">
        <f t="shared" si="14"/>
        <v>4.807692307692308E-2</v>
      </c>
      <c r="AS66" s="13">
        <f t="shared" si="14"/>
        <v>4.807692307692308E-2</v>
      </c>
      <c r="AT66" s="13">
        <f t="shared" si="14"/>
        <v>4.807692307692308E-2</v>
      </c>
      <c r="AU66" s="13">
        <f t="shared" si="14"/>
        <v>4.807692307692308E-2</v>
      </c>
      <c r="AV66" s="13">
        <f t="shared" si="14"/>
        <v>4.807692307692308E-2</v>
      </c>
      <c r="AW66" s="13">
        <f t="shared" si="14"/>
        <v>4.807692307692308E-2</v>
      </c>
      <c r="AX66" s="13">
        <f t="shared" si="14"/>
        <v>4.807692307692308E-2</v>
      </c>
      <c r="AY66" s="13">
        <f t="shared" si="14"/>
        <v>4.807692307692308E-2</v>
      </c>
      <c r="AZ66" s="13">
        <f t="shared" si="14"/>
        <v>4.807692307692308E-2</v>
      </c>
    </row>
    <row r="67" spans="1:70" x14ac:dyDescent="0.45">
      <c r="B67" t="str">
        <f t="shared" si="12"/>
        <v>South Asia</v>
      </c>
      <c r="C67" s="13">
        <f t="shared" si="13"/>
        <v>4.807692307692308E-2</v>
      </c>
      <c r="D67" s="13">
        <f t="shared" si="14"/>
        <v>4.807692307692308E-2</v>
      </c>
      <c r="E67" s="13">
        <f t="shared" si="14"/>
        <v>4.807692307692308E-2</v>
      </c>
      <c r="F67" s="13">
        <f t="shared" si="14"/>
        <v>4.807692307692308E-2</v>
      </c>
      <c r="G67" s="13">
        <f t="shared" si="14"/>
        <v>4.807692307692308E-2</v>
      </c>
      <c r="H67" s="13">
        <f t="shared" si="14"/>
        <v>4.807692307692308E-2</v>
      </c>
      <c r="I67" s="13">
        <f t="shared" si="14"/>
        <v>4.807692307692308E-2</v>
      </c>
      <c r="J67" s="13">
        <f t="shared" si="14"/>
        <v>4.807692307692308E-2</v>
      </c>
      <c r="K67" s="13">
        <f t="shared" si="14"/>
        <v>4.807692307692308E-2</v>
      </c>
      <c r="L67" s="13">
        <f t="shared" si="14"/>
        <v>4.807692307692308E-2</v>
      </c>
      <c r="M67" s="13">
        <f t="shared" si="14"/>
        <v>4.807692307692308E-2</v>
      </c>
      <c r="N67" s="13">
        <f t="shared" si="14"/>
        <v>4.807692307692308E-2</v>
      </c>
      <c r="O67" s="13">
        <f t="shared" si="14"/>
        <v>4.807692307692308E-2</v>
      </c>
      <c r="P67" s="13">
        <f t="shared" si="14"/>
        <v>4.807692307692308E-2</v>
      </c>
      <c r="Q67" s="13">
        <f t="shared" si="14"/>
        <v>4.807692307692308E-2</v>
      </c>
      <c r="R67" s="13">
        <f t="shared" si="14"/>
        <v>4.807692307692308E-2</v>
      </c>
      <c r="S67" s="13">
        <f t="shared" si="14"/>
        <v>4.807692307692308E-2</v>
      </c>
      <c r="T67" s="13">
        <f t="shared" si="14"/>
        <v>4.807692307692308E-2</v>
      </c>
      <c r="U67" s="13">
        <f t="shared" si="14"/>
        <v>4.807692307692308E-2</v>
      </c>
      <c r="V67" s="13">
        <f t="shared" si="14"/>
        <v>4.807692307692308E-2</v>
      </c>
      <c r="W67" s="13">
        <f t="shared" si="14"/>
        <v>4.807692307692308E-2</v>
      </c>
      <c r="X67" s="13">
        <f t="shared" si="14"/>
        <v>4.807692307692308E-2</v>
      </c>
      <c r="Y67" s="13">
        <f t="shared" si="14"/>
        <v>4.807692307692308E-2</v>
      </c>
      <c r="Z67" s="13">
        <f t="shared" si="14"/>
        <v>4.807692307692308E-2</v>
      </c>
      <c r="AA67" s="13">
        <f t="shared" si="14"/>
        <v>4.807692307692308E-2</v>
      </c>
      <c r="AB67" s="13">
        <f t="shared" si="14"/>
        <v>4.807692307692308E-2</v>
      </c>
      <c r="AC67" s="13">
        <f t="shared" si="14"/>
        <v>4.807692307692308E-2</v>
      </c>
      <c r="AD67" s="13">
        <f t="shared" si="14"/>
        <v>4.807692307692308E-2</v>
      </c>
      <c r="AE67" s="13">
        <f t="shared" si="14"/>
        <v>4.807692307692308E-2</v>
      </c>
      <c r="AF67" s="13">
        <f t="shared" si="14"/>
        <v>4.807692307692308E-2</v>
      </c>
      <c r="AG67" s="13">
        <f t="shared" si="14"/>
        <v>4.807692307692308E-2</v>
      </c>
      <c r="AH67" s="13">
        <f t="shared" si="14"/>
        <v>4.807692307692308E-2</v>
      </c>
      <c r="AI67" s="13">
        <f t="shared" si="14"/>
        <v>4.807692307692308E-2</v>
      </c>
      <c r="AJ67" s="13">
        <f t="shared" si="14"/>
        <v>4.807692307692308E-2</v>
      </c>
      <c r="AK67" s="13">
        <f t="shared" si="14"/>
        <v>4.807692307692308E-2</v>
      </c>
      <c r="AL67" s="13">
        <f t="shared" si="14"/>
        <v>4.807692307692308E-2</v>
      </c>
      <c r="AM67" s="13">
        <f t="shared" si="14"/>
        <v>4.807692307692308E-2</v>
      </c>
      <c r="AN67" s="13">
        <f t="shared" si="14"/>
        <v>4.807692307692308E-2</v>
      </c>
      <c r="AO67" s="13">
        <f t="shared" si="14"/>
        <v>4.807692307692308E-2</v>
      </c>
      <c r="AP67" s="13">
        <f t="shared" si="14"/>
        <v>4.807692307692308E-2</v>
      </c>
      <c r="AQ67" s="13">
        <f t="shared" si="14"/>
        <v>4.807692307692308E-2</v>
      </c>
      <c r="AR67" s="13">
        <f t="shared" si="14"/>
        <v>4.807692307692308E-2</v>
      </c>
      <c r="AS67" s="13">
        <f t="shared" si="14"/>
        <v>4.807692307692308E-2</v>
      </c>
      <c r="AT67" s="13">
        <f t="shared" si="14"/>
        <v>4.807692307692308E-2</v>
      </c>
      <c r="AU67" s="13">
        <f t="shared" si="14"/>
        <v>4.807692307692308E-2</v>
      </c>
      <c r="AV67" s="13">
        <f t="shared" si="14"/>
        <v>4.807692307692308E-2</v>
      </c>
      <c r="AW67" s="13">
        <f t="shared" si="14"/>
        <v>4.807692307692308E-2</v>
      </c>
      <c r="AX67" s="13">
        <f t="shared" si="14"/>
        <v>4.807692307692308E-2</v>
      </c>
      <c r="AY67" s="13">
        <f t="shared" si="14"/>
        <v>4.807692307692308E-2</v>
      </c>
      <c r="AZ67" s="13">
        <f t="shared" si="14"/>
        <v>4.807692307692308E-2</v>
      </c>
    </row>
    <row r="68" spans="1:70" x14ac:dyDescent="0.45">
      <c r="B68" t="str">
        <f t="shared" si="12"/>
        <v>Sub-Saharan Africa</v>
      </c>
      <c r="C68" s="13">
        <f t="shared" si="13"/>
        <v>0.30769230769230771</v>
      </c>
      <c r="D68" s="13">
        <f t="shared" si="14"/>
        <v>0.30769230769230771</v>
      </c>
      <c r="E68" s="13">
        <f t="shared" si="14"/>
        <v>0.30769230769230771</v>
      </c>
      <c r="F68" s="13">
        <f t="shared" si="14"/>
        <v>0.30769230769230771</v>
      </c>
      <c r="G68" s="13">
        <f t="shared" si="14"/>
        <v>0.30769230769230771</v>
      </c>
      <c r="H68" s="13">
        <f t="shared" si="14"/>
        <v>0.30769230769230771</v>
      </c>
      <c r="I68" s="13">
        <f t="shared" si="14"/>
        <v>0.30769230769230771</v>
      </c>
      <c r="J68" s="13">
        <f t="shared" si="14"/>
        <v>0.30769230769230771</v>
      </c>
      <c r="K68" s="13">
        <f t="shared" si="14"/>
        <v>0.30769230769230771</v>
      </c>
      <c r="L68" s="13">
        <f t="shared" si="14"/>
        <v>0.30769230769230771</v>
      </c>
      <c r="M68" s="13">
        <f t="shared" si="14"/>
        <v>0.30769230769230771</v>
      </c>
      <c r="N68" s="13">
        <f t="shared" si="14"/>
        <v>0.30769230769230771</v>
      </c>
      <c r="O68" s="13">
        <f t="shared" si="14"/>
        <v>0.30769230769230771</v>
      </c>
      <c r="P68" s="13">
        <f t="shared" si="14"/>
        <v>0.30769230769230771</v>
      </c>
      <c r="Q68" s="13">
        <f t="shared" si="14"/>
        <v>0.30769230769230771</v>
      </c>
      <c r="R68" s="13">
        <f t="shared" si="14"/>
        <v>0.30769230769230771</v>
      </c>
      <c r="S68" s="13">
        <f t="shared" si="14"/>
        <v>0.30769230769230771</v>
      </c>
      <c r="T68" s="13">
        <f t="shared" si="14"/>
        <v>0.30769230769230771</v>
      </c>
      <c r="U68" s="13">
        <f t="shared" si="14"/>
        <v>0.30769230769230771</v>
      </c>
      <c r="V68" s="13">
        <f t="shared" si="14"/>
        <v>0.30769230769230771</v>
      </c>
      <c r="W68" s="13">
        <f t="shared" si="14"/>
        <v>0.30769230769230771</v>
      </c>
      <c r="X68" s="13">
        <f t="shared" si="14"/>
        <v>0.30769230769230771</v>
      </c>
      <c r="Y68" s="13">
        <f t="shared" si="14"/>
        <v>0.30769230769230771</v>
      </c>
      <c r="Z68" s="13">
        <f t="shared" si="14"/>
        <v>0.30769230769230771</v>
      </c>
      <c r="AA68" s="13">
        <f t="shared" si="14"/>
        <v>0.30769230769230771</v>
      </c>
      <c r="AB68" s="13">
        <f t="shared" si="14"/>
        <v>0.30769230769230771</v>
      </c>
      <c r="AC68" s="13">
        <f t="shared" si="14"/>
        <v>0.30769230769230771</v>
      </c>
      <c r="AD68" s="13">
        <f t="shared" si="14"/>
        <v>0.30769230769230771</v>
      </c>
      <c r="AE68" s="13">
        <f t="shared" si="14"/>
        <v>0.30769230769230771</v>
      </c>
      <c r="AF68" s="13">
        <f t="shared" si="14"/>
        <v>0.30769230769230771</v>
      </c>
      <c r="AG68" s="13">
        <f t="shared" si="14"/>
        <v>0.30769230769230771</v>
      </c>
      <c r="AH68" s="13">
        <f t="shared" si="14"/>
        <v>0.30769230769230771</v>
      </c>
      <c r="AI68" s="13">
        <f t="shared" si="14"/>
        <v>0.30769230769230771</v>
      </c>
      <c r="AJ68" s="13">
        <f t="shared" si="14"/>
        <v>0.30769230769230771</v>
      </c>
      <c r="AK68" s="13">
        <f t="shared" si="14"/>
        <v>0.30769230769230771</v>
      </c>
      <c r="AL68" s="13">
        <f t="shared" si="14"/>
        <v>0.30769230769230771</v>
      </c>
      <c r="AM68" s="13">
        <f t="shared" si="14"/>
        <v>0.30769230769230771</v>
      </c>
      <c r="AN68" s="13">
        <f t="shared" si="14"/>
        <v>0.30769230769230771</v>
      </c>
      <c r="AO68" s="13">
        <f t="shared" si="14"/>
        <v>0.30769230769230771</v>
      </c>
      <c r="AP68" s="13">
        <f t="shared" si="14"/>
        <v>0.30769230769230771</v>
      </c>
      <c r="AQ68" s="13">
        <f t="shared" si="14"/>
        <v>0.30769230769230771</v>
      </c>
      <c r="AR68" s="13">
        <f t="shared" si="14"/>
        <v>0.30769230769230771</v>
      </c>
      <c r="AS68" s="13">
        <f t="shared" si="14"/>
        <v>0.30769230769230771</v>
      </c>
      <c r="AT68" s="13">
        <f t="shared" si="14"/>
        <v>0.30769230769230771</v>
      </c>
      <c r="AU68" s="13">
        <f t="shared" si="14"/>
        <v>0.30769230769230771</v>
      </c>
      <c r="AV68" s="13">
        <f t="shared" si="14"/>
        <v>0.30769230769230771</v>
      </c>
      <c r="AW68" s="13">
        <f t="shared" si="14"/>
        <v>0.30769230769230771</v>
      </c>
      <c r="AX68" s="13">
        <f t="shared" si="14"/>
        <v>0.30769230769230771</v>
      </c>
      <c r="AY68" s="13">
        <f t="shared" si="14"/>
        <v>0.30769230769230771</v>
      </c>
      <c r="AZ68" s="13">
        <f t="shared" si="14"/>
        <v>0.30769230769230771</v>
      </c>
    </row>
    <row r="71" spans="1:70" x14ac:dyDescent="0.45">
      <c r="A71" t="s">
        <v>168</v>
      </c>
      <c r="B71" t="str">
        <f>B14</f>
        <v>China</v>
      </c>
      <c r="C71" s="11">
        <f>C14/C25</f>
        <v>113.16299139414048</v>
      </c>
      <c r="D71" s="11">
        <f t="shared" ref="D71:AZ76" si="15">D14/D25</f>
        <v>118.65457235456959</v>
      </c>
      <c r="E71" s="11">
        <f t="shared" si="15"/>
        <v>131.88355701989849</v>
      </c>
      <c r="F71" s="11">
        <f t="shared" si="15"/>
        <v>157.09037879548737</v>
      </c>
      <c r="G71" s="11">
        <f t="shared" si="15"/>
        <v>160.14009015800363</v>
      </c>
      <c r="H71" s="11">
        <f t="shared" si="15"/>
        <v>178.3418127044184</v>
      </c>
      <c r="I71" s="11">
        <f t="shared" si="15"/>
        <v>165.40554628391385</v>
      </c>
      <c r="J71" s="11">
        <f t="shared" si="15"/>
        <v>185.42283422754451</v>
      </c>
      <c r="K71" s="11">
        <f t="shared" si="15"/>
        <v>156.39638615005893</v>
      </c>
      <c r="L71" s="11">
        <f t="shared" si="15"/>
        <v>183.98315481123961</v>
      </c>
      <c r="M71" s="11">
        <f t="shared" si="15"/>
        <v>194.8047206729909</v>
      </c>
      <c r="N71" s="11">
        <f t="shared" si="15"/>
        <v>197.07147186703872</v>
      </c>
      <c r="O71" s="11">
        <f t="shared" si="15"/>
        <v>203.33491828980033</v>
      </c>
      <c r="P71" s="11">
        <f t="shared" si="15"/>
        <v>225.43193085290781</v>
      </c>
      <c r="Q71" s="11">
        <f t="shared" si="15"/>
        <v>250.71396461974282</v>
      </c>
      <c r="R71" s="11">
        <f t="shared" si="15"/>
        <v>294.45884609529611</v>
      </c>
      <c r="S71" s="11">
        <f t="shared" si="15"/>
        <v>281.92812231193585</v>
      </c>
      <c r="T71" s="11">
        <f t="shared" si="15"/>
        <v>251.81196744890173</v>
      </c>
      <c r="U71" s="11">
        <f t="shared" si="15"/>
        <v>283.53769739187339</v>
      </c>
      <c r="V71" s="11">
        <f t="shared" si="15"/>
        <v>310.88192636312596</v>
      </c>
      <c r="W71" s="11">
        <f t="shared" si="15"/>
        <v>317.88467963439234</v>
      </c>
      <c r="X71" s="11">
        <f t="shared" si="15"/>
        <v>333.14213084990337</v>
      </c>
      <c r="Y71" s="11">
        <f t="shared" si="15"/>
        <v>366.46070815160164</v>
      </c>
      <c r="Z71" s="11">
        <f t="shared" si="15"/>
        <v>377.38986953001563</v>
      </c>
      <c r="AA71" s="11">
        <f t="shared" si="15"/>
        <v>473.49226990989678</v>
      </c>
      <c r="AB71" s="11">
        <f t="shared" si="15"/>
        <v>609.65663528784341</v>
      </c>
      <c r="AC71" s="11">
        <f t="shared" si="15"/>
        <v>709.4137848924986</v>
      </c>
      <c r="AD71" s="11">
        <f t="shared" si="15"/>
        <v>781.74416566310731</v>
      </c>
      <c r="AE71" s="11">
        <f t="shared" si="15"/>
        <v>828.58051843126452</v>
      </c>
      <c r="AF71" s="11">
        <f t="shared" si="15"/>
        <v>873.28710271756631</v>
      </c>
      <c r="AG71" s="11">
        <f t="shared" si="15"/>
        <v>959.37247078234952</v>
      </c>
      <c r="AH71" s="11">
        <f t="shared" si="15"/>
        <v>1053.1082178446604</v>
      </c>
      <c r="AI71" s="11">
        <f t="shared" si="15"/>
        <v>1148.5082655670103</v>
      </c>
      <c r="AJ71" s="11">
        <f t="shared" si="15"/>
        <v>1288.6432594101211</v>
      </c>
      <c r="AK71" s="11">
        <f t="shared" si="15"/>
        <v>1508.6681142207474</v>
      </c>
      <c r="AL71" s="11">
        <f t="shared" si="15"/>
        <v>1753.41794772708</v>
      </c>
      <c r="AM71" s="11">
        <f t="shared" si="15"/>
        <v>2099.2294732533883</v>
      </c>
      <c r="AN71" s="11">
        <f t="shared" si="15"/>
        <v>2693.9698035455986</v>
      </c>
      <c r="AO71" s="11">
        <f t="shared" si="15"/>
        <v>3468.3045709254934</v>
      </c>
      <c r="AP71" s="11">
        <f t="shared" si="15"/>
        <v>3832.2357962895712</v>
      </c>
      <c r="AQ71" s="11">
        <f t="shared" si="15"/>
        <v>4550.453755781843</v>
      </c>
      <c r="AR71" s="11">
        <f t="shared" si="15"/>
        <v>5618.1322858664344</v>
      </c>
      <c r="AS71" s="11">
        <f t="shared" si="15"/>
        <v>6316.9188290141346</v>
      </c>
      <c r="AT71" s="11">
        <f t="shared" si="15"/>
        <v>7050.6459550167756</v>
      </c>
      <c r="AU71" s="11">
        <f t="shared" si="15"/>
        <v>7678.5999495794804</v>
      </c>
      <c r="AV71" s="11">
        <f t="shared" si="15"/>
        <v>8066.9427682546702</v>
      </c>
      <c r="AW71" s="11">
        <f t="shared" si="15"/>
        <v>8147.9384574247833</v>
      </c>
      <c r="AX71" s="11">
        <f t="shared" si="15"/>
        <v>8879.4384332462923</v>
      </c>
      <c r="AY71" s="11">
        <f t="shared" si="15"/>
        <v>9976.6767790647355</v>
      </c>
      <c r="AZ71" s="11">
        <f t="shared" si="15"/>
        <v>10261.679491500092</v>
      </c>
      <c r="BA71" s="11"/>
      <c r="BB71" s="11"/>
      <c r="BC71" s="11"/>
      <c r="BD71" s="11"/>
      <c r="BE71" s="11"/>
      <c r="BF71" s="11"/>
      <c r="BG71" s="11"/>
      <c r="BH71" s="11"/>
      <c r="BI71" s="11"/>
      <c r="BJ71" s="11"/>
      <c r="BK71" s="11"/>
      <c r="BL71" s="11"/>
      <c r="BM71" s="11"/>
      <c r="BN71" s="11"/>
      <c r="BO71" s="11"/>
      <c r="BP71" s="11"/>
      <c r="BQ71" s="11"/>
      <c r="BR71" s="11"/>
    </row>
    <row r="72" spans="1:70" x14ac:dyDescent="0.45">
      <c r="B72" t="str">
        <f t="shared" ref="B72:B80" si="16">B15</f>
        <v>East Asia</v>
      </c>
      <c r="C72" s="11">
        <f t="shared" ref="C72:R80" si="17">C15/C26</f>
        <v>1083.4184752153842</v>
      </c>
      <c r="D72" s="11">
        <f t="shared" si="17"/>
        <v>1196.0400715322164</v>
      </c>
      <c r="E72" s="11">
        <f t="shared" si="17"/>
        <v>1524.0155407305735</v>
      </c>
      <c r="F72" s="11">
        <f t="shared" si="17"/>
        <v>2031.2731665618301</v>
      </c>
      <c r="G72" s="11">
        <f t="shared" si="17"/>
        <v>2250.4864368396229</v>
      </c>
      <c r="H72" s="11">
        <f t="shared" si="17"/>
        <v>2395.0240980901558</v>
      </c>
      <c r="I72" s="11">
        <f t="shared" si="17"/>
        <v>2681.6626788166991</v>
      </c>
      <c r="J72" s="11">
        <f t="shared" si="17"/>
        <v>3235.3976964190269</v>
      </c>
      <c r="K72" s="11">
        <f t="shared" si="17"/>
        <v>4402.027442599946</v>
      </c>
      <c r="L72" s="11">
        <f t="shared" si="17"/>
        <v>4612.1420246025236</v>
      </c>
      <c r="M72" s="11">
        <f t="shared" si="17"/>
        <v>4801.6673368224665</v>
      </c>
      <c r="N72" s="11">
        <f t="shared" si="17"/>
        <v>5205.4599008890518</v>
      </c>
      <c r="O72" s="11">
        <f t="shared" si="17"/>
        <v>4873.3230195330652</v>
      </c>
      <c r="P72" s="11">
        <f t="shared" si="17"/>
        <v>5227.0391328988508</v>
      </c>
      <c r="Q72" s="11">
        <f t="shared" si="17"/>
        <v>5479.5830655825202</v>
      </c>
      <c r="R72" s="11">
        <f t="shared" si="17"/>
        <v>5677.5589448675737</v>
      </c>
      <c r="S72" s="11">
        <f t="shared" si="15"/>
        <v>7966.8950629227093</v>
      </c>
      <c r="T72" s="11">
        <f t="shared" si="15"/>
        <v>9567.0935320404078</v>
      </c>
      <c r="U72" s="11">
        <f t="shared" si="15"/>
        <v>11490.677151407312</v>
      </c>
      <c r="V72" s="11">
        <f t="shared" si="15"/>
        <v>11548.064709345619</v>
      </c>
      <c r="W72" s="11">
        <f t="shared" si="15"/>
        <v>11882.055545051306</v>
      </c>
      <c r="X72" s="11">
        <f t="shared" si="15"/>
        <v>13454.304030848327</v>
      </c>
      <c r="Y72" s="11">
        <f t="shared" si="15"/>
        <v>14566.257986064882</v>
      </c>
      <c r="Z72" s="11">
        <f t="shared" si="15"/>
        <v>16372.664446173165</v>
      </c>
      <c r="AA72" s="11">
        <f t="shared" si="15"/>
        <v>17987.0436717019</v>
      </c>
      <c r="AB72" s="11">
        <f t="shared" si="15"/>
        <v>19943.132981741932</v>
      </c>
      <c r="AC72" s="11">
        <f t="shared" si="15"/>
        <v>18166.977709908246</v>
      </c>
      <c r="AD72" s="11">
        <f t="shared" si="15"/>
        <v>16564.689129924234</v>
      </c>
      <c r="AE72" s="11">
        <f t="shared" si="15"/>
        <v>14430.699935010825</v>
      </c>
      <c r="AF72" s="11">
        <f t="shared" si="15"/>
        <v>16228.565933855149</v>
      </c>
      <c r="AG72" s="11">
        <f t="shared" si="15"/>
        <v>17308.841444925707</v>
      </c>
      <c r="AH72" s="11">
        <f t="shared" si="15"/>
        <v>15334.983789818571</v>
      </c>
      <c r="AI72" s="11">
        <f t="shared" si="15"/>
        <v>14960.397655282197</v>
      </c>
      <c r="AJ72" s="11">
        <f t="shared" si="15"/>
        <v>16046.88970857306</v>
      </c>
      <c r="AK72" s="11">
        <f t="shared" si="15"/>
        <v>17377.045052293099</v>
      </c>
      <c r="AL72" s="11">
        <f t="shared" si="15"/>
        <v>17669.409344610031</v>
      </c>
      <c r="AM72" s="11">
        <f t="shared" si="15"/>
        <v>17520.191755720123</v>
      </c>
      <c r="AN72" s="11">
        <f t="shared" si="15"/>
        <v>18064.601241675999</v>
      </c>
      <c r="AO72" s="11">
        <f t="shared" si="15"/>
        <v>19276.37592576737</v>
      </c>
      <c r="AP72" s="11">
        <f t="shared" si="15"/>
        <v>19247.998111493525</v>
      </c>
      <c r="AQ72" s="11">
        <f t="shared" si="15"/>
        <v>21411.795668170551</v>
      </c>
      <c r="AR72" s="11">
        <f t="shared" si="15"/>
        <v>23159.668910281285</v>
      </c>
      <c r="AS72" s="11">
        <f t="shared" si="15"/>
        <v>23447.159788072026</v>
      </c>
      <c r="AT72" s="11">
        <f t="shared" si="15"/>
        <v>21030.041551924223</v>
      </c>
      <c r="AU72" s="11">
        <f t="shared" si="15"/>
        <v>20495.766843127309</v>
      </c>
      <c r="AV72" s="11">
        <f t="shared" si="15"/>
        <v>19082.11414477837</v>
      </c>
      <c r="AW72" s="11">
        <f t="shared" si="15"/>
        <v>20522.026066689097</v>
      </c>
      <c r="AX72" s="11">
        <f t="shared" si="15"/>
        <v>20869.329516994301</v>
      </c>
      <c r="AY72" s="11">
        <f t="shared" si="15"/>
        <v>21618.578528428203</v>
      </c>
      <c r="AZ72" s="11">
        <f t="shared" si="15"/>
        <v>21820.639468025911</v>
      </c>
      <c r="BA72" s="11"/>
      <c r="BB72" s="11"/>
      <c r="BC72" s="11"/>
      <c r="BD72" s="11"/>
      <c r="BE72" s="11"/>
      <c r="BF72" s="11"/>
      <c r="BG72" s="11"/>
      <c r="BH72" s="11"/>
      <c r="BI72" s="11"/>
      <c r="BJ72" s="11"/>
      <c r="BK72" s="11"/>
      <c r="BL72" s="11"/>
      <c r="BM72" s="11"/>
      <c r="BN72" s="11"/>
      <c r="BO72" s="11"/>
      <c r="BP72" s="11"/>
      <c r="BQ72" s="11"/>
      <c r="BR72" s="11"/>
    </row>
    <row r="73" spans="1:70" x14ac:dyDescent="0.45">
      <c r="B73" t="str">
        <f t="shared" si="16"/>
        <v>Europe</v>
      </c>
      <c r="C73" s="11">
        <f t="shared" si="17"/>
        <v>2443.0381088979811</v>
      </c>
      <c r="D73" s="11">
        <f t="shared" si="15"/>
        <v>2754.2306479922167</v>
      </c>
      <c r="E73" s="11">
        <f t="shared" si="15"/>
        <v>3279.8818948871281</v>
      </c>
      <c r="F73" s="11">
        <f t="shared" si="15"/>
        <v>4151.1767478658339</v>
      </c>
      <c r="G73" s="11">
        <f t="shared" si="15"/>
        <v>4653.5301593219801</v>
      </c>
      <c r="H73" s="11">
        <f t="shared" si="15"/>
        <v>5402.453247754398</v>
      </c>
      <c r="I73" s="11">
        <f t="shared" si="15"/>
        <v>5584.6723616864556</v>
      </c>
      <c r="J73" s="11">
        <f t="shared" si="15"/>
        <v>6296.688796965298</v>
      </c>
      <c r="K73" s="11">
        <f t="shared" si="15"/>
        <v>7712.9240306602705</v>
      </c>
      <c r="L73" s="11">
        <f t="shared" si="15"/>
        <v>9350.0794794283865</v>
      </c>
      <c r="M73" s="11">
        <f t="shared" si="15"/>
        <v>10618.532994756522</v>
      </c>
      <c r="N73" s="11">
        <f t="shared" si="15"/>
        <v>9387.97505763353</v>
      </c>
      <c r="O73" s="11">
        <f t="shared" si="15"/>
        <v>9037.0964844686987</v>
      </c>
      <c r="P73" s="11">
        <f t="shared" si="15"/>
        <v>8761.2618925495499</v>
      </c>
      <c r="Q73" s="11">
        <f t="shared" si="15"/>
        <v>8401.6081992052586</v>
      </c>
      <c r="R73" s="11">
        <f t="shared" si="15"/>
        <v>8667.8530540447009</v>
      </c>
      <c r="S73" s="11">
        <f t="shared" si="15"/>
        <v>11856.550121871416</v>
      </c>
      <c r="T73" s="11">
        <f t="shared" si="15"/>
        <v>14624.623214181862</v>
      </c>
      <c r="U73" s="11">
        <f t="shared" si="15"/>
        <v>16264.982377136703</v>
      </c>
      <c r="V73" s="11">
        <f t="shared" si="15"/>
        <v>16505.201338807194</v>
      </c>
      <c r="W73" s="11">
        <f t="shared" si="15"/>
        <v>20426.319111891669</v>
      </c>
      <c r="X73" s="11">
        <f t="shared" si="15"/>
        <v>21118.352688203613</v>
      </c>
      <c r="Y73" s="11">
        <f t="shared" si="15"/>
        <v>22870.353766468652</v>
      </c>
      <c r="Z73" s="11">
        <f t="shared" si="15"/>
        <v>20709.970392985859</v>
      </c>
      <c r="AA73" s="11">
        <f t="shared" si="15"/>
        <v>21890.411596232989</v>
      </c>
      <c r="AB73" s="11">
        <f t="shared" si="15"/>
        <v>25277.683445268263</v>
      </c>
      <c r="AC73" s="11">
        <f t="shared" si="15"/>
        <v>25685.824298661741</v>
      </c>
      <c r="AD73" s="11">
        <f t="shared" si="15"/>
        <v>24085.137641077104</v>
      </c>
      <c r="AE73" s="11">
        <f t="shared" si="15"/>
        <v>24771.943631277707</v>
      </c>
      <c r="AF73" s="11">
        <f t="shared" si="15"/>
        <v>24708.397786184287</v>
      </c>
      <c r="AG73" s="11">
        <f t="shared" si="15"/>
        <v>22856.273048781684</v>
      </c>
      <c r="AH73" s="11">
        <f t="shared" si="15"/>
        <v>22959.358969864734</v>
      </c>
      <c r="AI73" s="11">
        <f t="shared" si="15"/>
        <v>24849.09976656353</v>
      </c>
      <c r="AJ73" s="11">
        <f t="shared" si="15"/>
        <v>30027.895499677743</v>
      </c>
      <c r="AK73" s="11">
        <f t="shared" si="15"/>
        <v>34362.736402914037</v>
      </c>
      <c r="AL73" s="11">
        <f t="shared" si="15"/>
        <v>35573.627611987496</v>
      </c>
      <c r="AM73" s="11">
        <f t="shared" si="15"/>
        <v>37645.994777159511</v>
      </c>
      <c r="AN73" s="11">
        <f t="shared" si="15"/>
        <v>42927.442365903567</v>
      </c>
      <c r="AO73" s="11">
        <f t="shared" si="15"/>
        <v>45638.536854585662</v>
      </c>
      <c r="AP73" s="11">
        <f t="shared" si="15"/>
        <v>40826.845727422035</v>
      </c>
      <c r="AQ73" s="11">
        <f t="shared" si="15"/>
        <v>40561.103616775668</v>
      </c>
      <c r="AR73" s="11">
        <f t="shared" si="15"/>
        <v>44039.843687216104</v>
      </c>
      <c r="AS73" s="11">
        <f t="shared" si="15"/>
        <v>41501.892593049539</v>
      </c>
      <c r="AT73" s="11">
        <f t="shared" si="15"/>
        <v>43011.88776562782</v>
      </c>
      <c r="AU73" s="11">
        <f t="shared" si="15"/>
        <v>44184.747147402035</v>
      </c>
      <c r="AV73" s="11">
        <f t="shared" si="15"/>
        <v>38775.111927639155</v>
      </c>
      <c r="AW73" s="11">
        <f t="shared" si="15"/>
        <v>38726.377082215287</v>
      </c>
      <c r="AX73" s="11">
        <f t="shared" si="15"/>
        <v>40306.795738801884</v>
      </c>
      <c r="AY73" s="11">
        <f t="shared" si="15"/>
        <v>43181.152013450541</v>
      </c>
      <c r="AZ73" s="11">
        <f t="shared" si="15"/>
        <v>42039.271634111858</v>
      </c>
      <c r="BA73" s="11"/>
      <c r="BB73" s="11"/>
      <c r="BC73" s="11"/>
      <c r="BD73" s="11"/>
      <c r="BE73" s="11"/>
      <c r="BF73" s="11"/>
      <c r="BG73" s="11"/>
      <c r="BH73" s="11"/>
      <c r="BI73" s="11"/>
      <c r="BJ73" s="11"/>
      <c r="BK73" s="11"/>
      <c r="BL73" s="11"/>
      <c r="BM73" s="11"/>
      <c r="BN73" s="11"/>
      <c r="BO73" s="11"/>
      <c r="BP73" s="11"/>
      <c r="BQ73" s="11"/>
      <c r="BR73" s="11"/>
    </row>
    <row r="74" spans="1:70" x14ac:dyDescent="0.45">
      <c r="B74" t="str">
        <f t="shared" si="16"/>
        <v>Latin America and Caribbean</v>
      </c>
      <c r="C74" s="11">
        <f t="shared" si="17"/>
        <v>592.58596154591351</v>
      </c>
      <c r="D74" s="11">
        <f t="shared" si="15"/>
        <v>643.89815751326364</v>
      </c>
      <c r="E74" s="11">
        <f t="shared" si="15"/>
        <v>706.99379017178967</v>
      </c>
      <c r="F74" s="11">
        <f t="shared" si="15"/>
        <v>911.11082822318099</v>
      </c>
      <c r="G74" s="11">
        <f t="shared" si="15"/>
        <v>1148.4254895690542</v>
      </c>
      <c r="H74" s="11">
        <f t="shared" si="15"/>
        <v>1170.5543830561701</v>
      </c>
      <c r="I74" s="11">
        <f t="shared" si="15"/>
        <v>1270.0643266802888</v>
      </c>
      <c r="J74" s="11">
        <f t="shared" si="15"/>
        <v>1361.8585957259736</v>
      </c>
      <c r="K74" s="11">
        <f t="shared" si="15"/>
        <v>1511.6448277767731</v>
      </c>
      <c r="L74" s="11">
        <f t="shared" si="15"/>
        <v>1762.7448814593272</v>
      </c>
      <c r="M74" s="11">
        <f t="shared" si="15"/>
        <v>2083.9677583997536</v>
      </c>
      <c r="N74" s="11">
        <f t="shared" si="15"/>
        <v>2363.9021421562043</v>
      </c>
      <c r="O74" s="11">
        <f t="shared" si="15"/>
        <v>2133.458076740892</v>
      </c>
      <c r="P74" s="11">
        <f t="shared" si="15"/>
        <v>1806.5188846378105</v>
      </c>
      <c r="Q74" s="11">
        <f t="shared" si="15"/>
        <v>1802.977774617425</v>
      </c>
      <c r="R74" s="11">
        <f t="shared" si="15"/>
        <v>1822.9954942511442</v>
      </c>
      <c r="S74" s="11">
        <f t="shared" si="15"/>
        <v>1800.9022784553488</v>
      </c>
      <c r="T74" s="11">
        <f t="shared" si="15"/>
        <v>1904.7197342002544</v>
      </c>
      <c r="U74" s="11">
        <f t="shared" si="15"/>
        <v>2093.5491113727212</v>
      </c>
      <c r="V74" s="11">
        <f t="shared" si="15"/>
        <v>2304.654134779244</v>
      </c>
      <c r="W74" s="11">
        <f t="shared" si="15"/>
        <v>2661.8531729949536</v>
      </c>
      <c r="X74" s="11">
        <f t="shared" si="15"/>
        <v>3258.1613257661193</v>
      </c>
      <c r="Y74" s="11">
        <f t="shared" si="15"/>
        <v>3003.0181422995724</v>
      </c>
      <c r="Z74" s="11">
        <f t="shared" si="15"/>
        <v>3423.145034135503</v>
      </c>
      <c r="AA74" s="11">
        <f t="shared" si="15"/>
        <v>3863.1879751280212</v>
      </c>
      <c r="AB74" s="11">
        <f t="shared" si="15"/>
        <v>4017.2219931030058</v>
      </c>
      <c r="AC74" s="11">
        <f t="shared" si="15"/>
        <v>4322.8546357105042</v>
      </c>
      <c r="AD74" s="11">
        <f t="shared" si="15"/>
        <v>4650.0725068385154</v>
      </c>
      <c r="AE74" s="11">
        <f t="shared" si="15"/>
        <v>4607.8437686967218</v>
      </c>
      <c r="AF74" s="11">
        <f t="shared" si="15"/>
        <v>4049.1606403077444</v>
      </c>
      <c r="AG74" s="11">
        <f t="shared" si="15"/>
        <v>4385.1364380492096</v>
      </c>
      <c r="AH74" s="11">
        <f t="shared" si="15"/>
        <v>4209.2684900748172</v>
      </c>
      <c r="AI74" s="11">
        <f t="shared" si="15"/>
        <v>3748.3444966884799</v>
      </c>
      <c r="AJ74" s="11">
        <f t="shared" si="15"/>
        <v>3798.0169081506706</v>
      </c>
      <c r="AK74" s="11">
        <f t="shared" si="15"/>
        <v>4297.7415733118623</v>
      </c>
      <c r="AL74" s="11">
        <f t="shared" si="15"/>
        <v>5123.1732407709351</v>
      </c>
      <c r="AM74" s="11">
        <f t="shared" si="15"/>
        <v>5903.187791749614</v>
      </c>
      <c r="AN74" s="11">
        <f t="shared" si="15"/>
        <v>6853.9185834056661</v>
      </c>
      <c r="AO74" s="11">
        <f t="shared" si="15"/>
        <v>7801.412008123546</v>
      </c>
      <c r="AP74" s="11">
        <f t="shared" si="15"/>
        <v>7176.5596197285804</v>
      </c>
      <c r="AQ74" s="11">
        <f t="shared" si="15"/>
        <v>8860.6508931829048</v>
      </c>
      <c r="AR74" s="11">
        <f t="shared" si="15"/>
        <v>10211.930827585702</v>
      </c>
      <c r="AS74" s="11">
        <f t="shared" si="15"/>
        <v>10090.366103712255</v>
      </c>
      <c r="AT74" s="11">
        <f t="shared" si="15"/>
        <v>10259.730920059583</v>
      </c>
      <c r="AU74" s="11">
        <f t="shared" si="15"/>
        <v>10162.351375806382</v>
      </c>
      <c r="AV74" s="11">
        <f t="shared" si="15"/>
        <v>8609.7057031243694</v>
      </c>
      <c r="AW74" s="11">
        <f t="shared" si="15"/>
        <v>8302.7506039940963</v>
      </c>
      <c r="AX74" s="11">
        <f t="shared" si="15"/>
        <v>9129.4627759819068</v>
      </c>
      <c r="AY74" s="11">
        <f t="shared" si="15"/>
        <v>8763.3872375053779</v>
      </c>
      <c r="AZ74" s="11">
        <f t="shared" si="15"/>
        <v>8526.2122285772566</v>
      </c>
      <c r="BA74" s="11"/>
      <c r="BB74" s="11"/>
      <c r="BC74" s="11"/>
      <c r="BD74" s="11"/>
      <c r="BE74" s="11"/>
      <c r="BF74" s="11"/>
      <c r="BG74" s="11"/>
      <c r="BH74" s="11"/>
      <c r="BI74" s="11"/>
      <c r="BJ74" s="11"/>
      <c r="BK74" s="11"/>
      <c r="BL74" s="11"/>
      <c r="BM74" s="11"/>
      <c r="BN74" s="11"/>
      <c r="BO74" s="11"/>
      <c r="BP74" s="11"/>
      <c r="BQ74" s="11"/>
      <c r="BR74" s="11"/>
    </row>
    <row r="75" spans="1:70" x14ac:dyDescent="0.45">
      <c r="B75" t="str">
        <f t="shared" si="16"/>
        <v>Middle East and North Africa</v>
      </c>
      <c r="C75" s="11">
        <f t="shared" si="17"/>
        <v>500.70393569784397</v>
      </c>
      <c r="D75" s="11">
        <f t="shared" si="15"/>
        <v>506.75287790067654</v>
      </c>
      <c r="E75" s="11">
        <f t="shared" si="15"/>
        <v>633.30343433501548</v>
      </c>
      <c r="F75" s="11">
        <f t="shared" si="15"/>
        <v>811.79569543023229</v>
      </c>
      <c r="G75" s="11">
        <f t="shared" si="15"/>
        <v>1390.9752413060135</v>
      </c>
      <c r="H75" s="11">
        <f t="shared" si="15"/>
        <v>1512.0033047849465</v>
      </c>
      <c r="I75" s="11">
        <f t="shared" si="15"/>
        <v>1762.6454573204335</v>
      </c>
      <c r="J75" s="11">
        <f t="shared" si="15"/>
        <v>1979.7004541029876</v>
      </c>
      <c r="K75" s="11">
        <f t="shared" si="15"/>
        <v>2134.8638015947449</v>
      </c>
      <c r="L75" s="11">
        <f t="shared" si="15"/>
        <v>2789.8014220262016</v>
      </c>
      <c r="M75" s="11">
        <f t="shared" si="15"/>
        <v>3224.7565901082739</v>
      </c>
      <c r="N75" s="11">
        <f t="shared" si="15"/>
        <v>3342.2972649271692</v>
      </c>
      <c r="O75" s="11">
        <f t="shared" si="15"/>
        <v>2933.6905894216884</v>
      </c>
      <c r="P75" s="11">
        <f t="shared" si="15"/>
        <v>2665.5921714949982</v>
      </c>
      <c r="Q75" s="11">
        <f t="shared" si="15"/>
        <v>2515.4934768815601</v>
      </c>
      <c r="R75" s="11">
        <f t="shared" si="15"/>
        <v>2411.6064515288272</v>
      </c>
      <c r="S75" s="11">
        <f t="shared" si="15"/>
        <v>2401.3583220935784</v>
      </c>
      <c r="T75" s="11">
        <f t="shared" si="15"/>
        <v>2529.2792906530904</v>
      </c>
      <c r="U75" s="11">
        <f t="shared" si="15"/>
        <v>2568.0210072733621</v>
      </c>
      <c r="V75" s="11">
        <f t="shared" si="15"/>
        <v>2671.4725962808161</v>
      </c>
      <c r="W75" s="11">
        <f t="shared" si="15"/>
        <v>3274.7342902135151</v>
      </c>
      <c r="X75" s="11">
        <f t="shared" si="15"/>
        <v>3264.1149313187839</v>
      </c>
      <c r="Y75" s="11">
        <f t="shared" si="15"/>
        <v>3398.2106305913426</v>
      </c>
      <c r="Z75" s="11">
        <f t="shared" si="15"/>
        <v>3449.0672062710414</v>
      </c>
      <c r="AA75" s="11">
        <f t="shared" si="15"/>
        <v>3119.8496796510594</v>
      </c>
      <c r="AB75" s="11">
        <f t="shared" si="15"/>
        <v>3511.4173683197305</v>
      </c>
      <c r="AC75" s="11">
        <f t="shared" si="15"/>
        <v>3776.0375747833295</v>
      </c>
      <c r="AD75" s="11">
        <f t="shared" si="15"/>
        <v>3840.8339238644412</v>
      </c>
      <c r="AE75" s="11">
        <f t="shared" si="15"/>
        <v>4227.5813771243793</v>
      </c>
      <c r="AF75" s="11">
        <f t="shared" si="15"/>
        <v>4159.3309772790244</v>
      </c>
      <c r="AG75" s="11">
        <f t="shared" si="15"/>
        <v>4502.7172810268057</v>
      </c>
      <c r="AH75" s="11">
        <f t="shared" si="15"/>
        <v>3956.6378016808999</v>
      </c>
      <c r="AI75" s="11">
        <f t="shared" si="15"/>
        <v>4139.4529564392342</v>
      </c>
      <c r="AJ75" s="11">
        <f t="shared" si="15"/>
        <v>4855.7980421819675</v>
      </c>
      <c r="AK75" s="11">
        <f t="shared" si="15"/>
        <v>5805.7057595969045</v>
      </c>
      <c r="AL75" s="11">
        <f t="shared" si="15"/>
        <v>6869.5612777226943</v>
      </c>
      <c r="AM75" s="11">
        <f t="shared" si="15"/>
        <v>7551.5857098299703</v>
      </c>
      <c r="AN75" s="11">
        <f t="shared" si="15"/>
        <v>8686.8277770094155</v>
      </c>
      <c r="AO75" s="11">
        <f t="shared" si="15"/>
        <v>10213.166286203386</v>
      </c>
      <c r="AP75" s="11">
        <f t="shared" si="15"/>
        <v>8614.3935198771906</v>
      </c>
      <c r="AQ75" s="11">
        <f t="shared" si="15"/>
        <v>9978.5203493777735</v>
      </c>
      <c r="AR75" s="11">
        <f t="shared" si="15"/>
        <v>11302.719402128299</v>
      </c>
      <c r="AS75" s="11">
        <f t="shared" si="15"/>
        <v>11673.849462188684</v>
      </c>
      <c r="AT75" s="11">
        <f t="shared" si="15"/>
        <v>12120.17444695005</v>
      </c>
      <c r="AU75" s="11">
        <f t="shared" si="15"/>
        <v>11989.443243054449</v>
      </c>
      <c r="AV75" s="11">
        <f t="shared" si="15"/>
        <v>10517.838691864823</v>
      </c>
      <c r="AW75" s="11">
        <f t="shared" si="15"/>
        <v>10355.78993855336</v>
      </c>
      <c r="AX75" s="11">
        <f t="shared" si="15"/>
        <v>10565.690984910425</v>
      </c>
      <c r="AY75" s="11">
        <f t="shared" si="15"/>
        <v>10654.224001799788</v>
      </c>
      <c r="AZ75" s="11">
        <f t="shared" si="15"/>
        <v>10527.086458350159</v>
      </c>
      <c r="BA75" s="11"/>
      <c r="BB75" s="11"/>
      <c r="BC75" s="11"/>
      <c r="BD75" s="11"/>
      <c r="BE75" s="11"/>
      <c r="BF75" s="11"/>
      <c r="BG75" s="11"/>
      <c r="BH75" s="11"/>
      <c r="BI75" s="11"/>
      <c r="BJ75" s="11"/>
      <c r="BK75" s="11"/>
      <c r="BL75" s="11"/>
      <c r="BM75" s="11"/>
      <c r="BN75" s="11"/>
      <c r="BO75" s="11"/>
      <c r="BP75" s="11"/>
      <c r="BQ75" s="11"/>
      <c r="BR75" s="11"/>
    </row>
    <row r="76" spans="1:70" x14ac:dyDescent="0.45">
      <c r="B76" t="str">
        <f t="shared" si="16"/>
        <v>North America</v>
      </c>
      <c r="C76" s="11">
        <f t="shared" si="17"/>
        <v>5129.5150179877728</v>
      </c>
      <c r="D76" s="11">
        <f t="shared" si="15"/>
        <v>5505.2054785586306</v>
      </c>
      <c r="E76" s="11">
        <f t="shared" si="15"/>
        <v>5997.8719795764218</v>
      </c>
      <c r="F76" s="11">
        <f t="shared" si="15"/>
        <v>6641.1807764725409</v>
      </c>
      <c r="G76" s="11">
        <f t="shared" si="15"/>
        <v>7207.1218227003001</v>
      </c>
      <c r="H76" s="11">
        <f t="shared" si="15"/>
        <v>7773.3647942012876</v>
      </c>
      <c r="I76" s="11">
        <f t="shared" si="15"/>
        <v>8613.3263624160954</v>
      </c>
      <c r="J76" s="11">
        <f t="shared" si="15"/>
        <v>9400.6909203789728</v>
      </c>
      <c r="K76" s="11">
        <f t="shared" si="15"/>
        <v>10424.865536700176</v>
      </c>
      <c r="L76" s="11">
        <f t="shared" si="15"/>
        <v>11515.870412072458</v>
      </c>
      <c r="M76" s="11">
        <f t="shared" si="15"/>
        <v>12438.041485265034</v>
      </c>
      <c r="N76" s="11">
        <f t="shared" si="15"/>
        <v>13816.167355426795</v>
      </c>
      <c r="O76" s="11">
        <f t="shared" si="15"/>
        <v>14242.862281703134</v>
      </c>
      <c r="P76" s="11">
        <f t="shared" si="15"/>
        <v>15336.508281844499</v>
      </c>
      <c r="Q76" s="11">
        <f t="shared" si="15"/>
        <v>16803.546444765587</v>
      </c>
      <c r="R76" s="11">
        <f t="shared" si="15"/>
        <v>17832.978269217871</v>
      </c>
      <c r="S76" s="11">
        <f t="shared" si="15"/>
        <v>18619.269303013858</v>
      </c>
      <c r="T76" s="11">
        <f t="shared" si="15"/>
        <v>19671.870971225871</v>
      </c>
      <c r="U76" s="11">
        <f t="shared" si="15"/>
        <v>21172.090444954196</v>
      </c>
      <c r="V76" s="11">
        <f t="shared" si="15"/>
        <v>22644.039206673253</v>
      </c>
      <c r="W76" s="11">
        <f t="shared" si="15"/>
        <v>23644.930833120932</v>
      </c>
      <c r="X76" s="11">
        <f t="shared" si="15"/>
        <v>24085.458215798331</v>
      </c>
      <c r="Y76" s="11">
        <f t="shared" si="15"/>
        <v>24966.945336421471</v>
      </c>
      <c r="Z76" s="11">
        <f t="shared" si="15"/>
        <v>25764.492429489106</v>
      </c>
      <c r="AA76" s="11">
        <f t="shared" si="15"/>
        <v>26924.537971241134</v>
      </c>
      <c r="AB76" s="11">
        <f t="shared" si="15"/>
        <v>27890.154992785854</v>
      </c>
      <c r="AC76" s="11">
        <f t="shared" ref="D76:AZ80" si="18">AC19/AC30</f>
        <v>29102.160559790394</v>
      </c>
      <c r="AD76" s="11">
        <f t="shared" si="18"/>
        <v>30507.300290405692</v>
      </c>
      <c r="AE76" s="11">
        <f t="shared" si="18"/>
        <v>31680.851227146813</v>
      </c>
      <c r="AF76" s="11">
        <f t="shared" si="18"/>
        <v>33307.604882174644</v>
      </c>
      <c r="AG76" s="11">
        <f t="shared" si="18"/>
        <v>35143.701846336749</v>
      </c>
      <c r="AH76" s="11">
        <f t="shared" si="18"/>
        <v>35818.240565705237</v>
      </c>
      <c r="AI76" s="11">
        <f t="shared" si="18"/>
        <v>36661.159997008515</v>
      </c>
      <c r="AJ76" s="11">
        <f t="shared" si="18"/>
        <v>38385.550921479378</v>
      </c>
      <c r="AK76" s="11">
        <f t="shared" si="18"/>
        <v>40760.863742899499</v>
      </c>
      <c r="AL76" s="11">
        <f t="shared" si="18"/>
        <v>43342.636683947989</v>
      </c>
      <c r="AM76" s="11">
        <f t="shared" si="18"/>
        <v>45716.807043680332</v>
      </c>
      <c r="AN76" s="11">
        <f t="shared" si="18"/>
        <v>47638.048410454794</v>
      </c>
      <c r="AO76" s="11">
        <f t="shared" si="18"/>
        <v>48206.332448901048</v>
      </c>
      <c r="AP76" s="11">
        <f t="shared" si="18"/>
        <v>46474.930446618491</v>
      </c>
      <c r="AQ76" s="11">
        <f t="shared" si="18"/>
        <v>48366.54048895117</v>
      </c>
      <c r="AR76" s="11">
        <f t="shared" si="18"/>
        <v>50105.288927933616</v>
      </c>
      <c r="AS76" s="11">
        <f t="shared" si="18"/>
        <v>51716.95585807522</v>
      </c>
      <c r="AT76" s="11">
        <f t="shared" si="18"/>
        <v>53071.192903658542</v>
      </c>
      <c r="AU76" s="11">
        <f t="shared" si="18"/>
        <v>54631.554079818547</v>
      </c>
      <c r="AV76" s="11">
        <f t="shared" si="18"/>
        <v>55496.249916464163</v>
      </c>
      <c r="AW76" s="11">
        <f t="shared" si="18"/>
        <v>56358.126470972908</v>
      </c>
      <c r="AX76" s="11">
        <f t="shared" si="18"/>
        <v>58460.817060843408</v>
      </c>
      <c r="AY76" s="11">
        <f t="shared" si="18"/>
        <v>61156.29203378853</v>
      </c>
      <c r="AZ76" s="11">
        <f t="shared" si="18"/>
        <v>63173.935908378386</v>
      </c>
      <c r="BA76" s="11"/>
      <c r="BB76" s="11"/>
      <c r="BC76" s="11"/>
      <c r="BD76" s="11"/>
      <c r="BE76" s="11"/>
      <c r="BF76" s="11"/>
      <c r="BG76" s="11"/>
      <c r="BH76" s="11"/>
      <c r="BI76" s="11"/>
      <c r="BJ76" s="11"/>
      <c r="BK76" s="11"/>
      <c r="BL76" s="11"/>
      <c r="BM76" s="11"/>
      <c r="BN76" s="11"/>
      <c r="BO76" s="11"/>
      <c r="BP76" s="11"/>
      <c r="BQ76" s="11"/>
      <c r="BR76" s="11"/>
    </row>
    <row r="77" spans="1:70" x14ac:dyDescent="0.45">
      <c r="B77" t="str">
        <f t="shared" si="16"/>
        <v>Pacific</v>
      </c>
      <c r="C77" s="11">
        <f t="shared" si="17"/>
        <v>2605.2412871225724</v>
      </c>
      <c r="D77" s="11">
        <f t="shared" si="18"/>
        <v>2811.2666759506133</v>
      </c>
      <c r="E77" s="11">
        <f t="shared" si="18"/>
        <v>3201.3314947034301</v>
      </c>
      <c r="F77" s="11">
        <f t="shared" si="18"/>
        <v>3926.9561121210936</v>
      </c>
      <c r="G77" s="11">
        <f t="shared" si="18"/>
        <v>5133.9394801546023</v>
      </c>
      <c r="H77" s="11">
        <f t="shared" si="18"/>
        <v>5404.3590657990717</v>
      </c>
      <c r="I77" s="11">
        <f t="shared" si="18"/>
        <v>5749.257977198823</v>
      </c>
      <c r="J77" s="11">
        <f t="shared" si="18"/>
        <v>6020.1407679859976</v>
      </c>
      <c r="K77" s="11">
        <f t="shared" si="18"/>
        <v>6486.7746060925792</v>
      </c>
      <c r="L77" s="11">
        <f t="shared" si="18"/>
        <v>7290.675242340325</v>
      </c>
      <c r="M77" s="11">
        <f t="shared" si="18"/>
        <v>8010.9210675704044</v>
      </c>
      <c r="N77" s="11">
        <f t="shared" si="18"/>
        <v>9131.7397842970804</v>
      </c>
      <c r="O77" s="11">
        <f t="shared" si="18"/>
        <v>9703.0692450644383</v>
      </c>
      <c r="P77" s="11">
        <f t="shared" si="18"/>
        <v>8843.8752779895585</v>
      </c>
      <c r="Q77" s="11">
        <f t="shared" si="18"/>
        <v>9301.458242761264</v>
      </c>
      <c r="R77" s="11">
        <f t="shared" si="18"/>
        <v>8738.252058061953</v>
      </c>
      <c r="S77" s="11">
        <f t="shared" si="18"/>
        <v>8937.8539285373427</v>
      </c>
      <c r="T77" s="11">
        <f t="shared" si="18"/>
        <v>9496.0631484441001</v>
      </c>
      <c r="U77" s="11">
        <f t="shared" si="18"/>
        <v>11422.62526163234</v>
      </c>
      <c r="V77" s="11">
        <f t="shared" si="18"/>
        <v>13690.508018598335</v>
      </c>
      <c r="W77" s="11">
        <f t="shared" si="18"/>
        <v>13980.820405403563</v>
      </c>
      <c r="X77" s="11">
        <f t="shared" si="18"/>
        <v>14185.535794607684</v>
      </c>
      <c r="Y77" s="11">
        <f t="shared" si="18"/>
        <v>13960.126211259121</v>
      </c>
      <c r="Z77" s="11">
        <f t="shared" si="18"/>
        <v>13508.193334080957</v>
      </c>
      <c r="AA77" s="11">
        <f t="shared" si="18"/>
        <v>14056.537059643706</v>
      </c>
      <c r="AB77" s="11">
        <f t="shared" si="18"/>
        <v>15756.279562714626</v>
      </c>
      <c r="AC77" s="11">
        <f t="shared" si="18"/>
        <v>16930.743253255598</v>
      </c>
      <c r="AD77" s="11">
        <f t="shared" si="18"/>
        <v>17742.110148542182</v>
      </c>
      <c r="AE77" s="11">
        <f t="shared" si="18"/>
        <v>15889.831802197177</v>
      </c>
      <c r="AF77" s="11">
        <f t="shared" si="18"/>
        <v>15420.910767276058</v>
      </c>
      <c r="AG77" s="11">
        <f t="shared" si="18"/>
        <v>15901.17547942292</v>
      </c>
      <c r="AH77" s="11">
        <f t="shared" si="18"/>
        <v>14487.342677812243</v>
      </c>
      <c r="AI77" s="11">
        <f t="shared" si="18"/>
        <v>15234.462067371929</v>
      </c>
      <c r="AJ77" s="11">
        <f t="shared" si="18"/>
        <v>18056.859747392733</v>
      </c>
      <c r="AK77" s="11">
        <f t="shared" si="18"/>
        <v>22973.633814930181</v>
      </c>
      <c r="AL77" s="11">
        <f t="shared" si="18"/>
        <v>25553.403992518895</v>
      </c>
      <c r="AM77" s="11">
        <f t="shared" si="18"/>
        <v>26785.453993897623</v>
      </c>
      <c r="AN77" s="11">
        <f t="shared" si="18"/>
        <v>30601.478933483562</v>
      </c>
      <c r="AO77" s="11">
        <f t="shared" si="18"/>
        <v>35975.026803863184</v>
      </c>
      <c r="AP77" s="11">
        <f t="shared" si="18"/>
        <v>31201.883506787468</v>
      </c>
      <c r="AQ77" s="11">
        <f t="shared" si="18"/>
        <v>37809.219638372932</v>
      </c>
      <c r="AR77" s="11">
        <f t="shared" si="18"/>
        <v>45133.748369210101</v>
      </c>
      <c r="AS77" s="11">
        <f t="shared" si="18"/>
        <v>48899.324053250326</v>
      </c>
      <c r="AT77" s="11">
        <f t="shared" si="18"/>
        <v>49341.127678013705</v>
      </c>
      <c r="AU77" s="11">
        <f t="shared" si="18"/>
        <v>45969.837610698676</v>
      </c>
      <c r="AV77" s="11">
        <f t="shared" si="18"/>
        <v>41487.441850492767</v>
      </c>
      <c r="AW77" s="11">
        <f t="shared" si="18"/>
        <v>37307.519669636633</v>
      </c>
      <c r="AX77" s="11">
        <f t="shared" si="18"/>
        <v>40278.647650870669</v>
      </c>
      <c r="AY77" s="11">
        <f t="shared" si="18"/>
        <v>42378.878439691623</v>
      </c>
      <c r="AZ77" s="11">
        <f t="shared" si="18"/>
        <v>40691.630835670534</v>
      </c>
      <c r="BA77" s="11"/>
      <c r="BB77" s="11"/>
      <c r="BC77" s="11"/>
      <c r="BD77" s="11"/>
      <c r="BE77" s="11"/>
      <c r="BF77" s="11"/>
      <c r="BG77" s="11"/>
      <c r="BH77" s="11"/>
      <c r="BI77" s="11"/>
      <c r="BJ77" s="11"/>
      <c r="BK77" s="11"/>
      <c r="BL77" s="11"/>
      <c r="BM77" s="11"/>
      <c r="BN77" s="11"/>
      <c r="BO77" s="11"/>
      <c r="BP77" s="11"/>
      <c r="BQ77" s="11"/>
      <c r="BR77" s="11"/>
    </row>
    <row r="78" spans="1:70" x14ac:dyDescent="0.45">
      <c r="B78" t="str">
        <f t="shared" si="16"/>
        <v>South Asia</v>
      </c>
      <c r="C78" s="11">
        <f t="shared" si="17"/>
        <v>120.49877257552436</v>
      </c>
      <c r="D78" s="11">
        <f t="shared" si="18"/>
        <v>125.34120822589067</v>
      </c>
      <c r="E78" s="11">
        <f t="shared" si="18"/>
        <v>123.51561427954182</v>
      </c>
      <c r="F78" s="11">
        <f t="shared" si="18"/>
        <v>138.1474114259247</v>
      </c>
      <c r="G78" s="11">
        <f t="shared" si="18"/>
        <v>163.4803045057555</v>
      </c>
      <c r="H78" s="11">
        <f t="shared" si="18"/>
        <v>170.89100552130967</v>
      </c>
      <c r="I78" s="11">
        <f t="shared" si="18"/>
        <v>162.61910311200398</v>
      </c>
      <c r="J78" s="11">
        <f t="shared" si="18"/>
        <v>183.91158900238321</v>
      </c>
      <c r="K78" s="11">
        <f t="shared" si="18"/>
        <v>204.40842677245183</v>
      </c>
      <c r="L78" s="11">
        <f t="shared" si="18"/>
        <v>223.512312485189</v>
      </c>
      <c r="M78" s="11">
        <f t="shared" si="18"/>
        <v>263.99985878408103</v>
      </c>
      <c r="N78" s="11">
        <f t="shared" si="18"/>
        <v>273.57150907589988</v>
      </c>
      <c r="O78" s="11">
        <f t="shared" si="18"/>
        <v>276.23694994456486</v>
      </c>
      <c r="P78" s="11">
        <f t="shared" si="18"/>
        <v>285.39714647292493</v>
      </c>
      <c r="Q78" s="11">
        <f t="shared" si="18"/>
        <v>277.26324770588815</v>
      </c>
      <c r="R78" s="11">
        <f t="shared" si="18"/>
        <v>294.43046513009142</v>
      </c>
      <c r="S78" s="11">
        <f t="shared" si="18"/>
        <v>304.5966280300421</v>
      </c>
      <c r="T78" s="11">
        <f t="shared" si="18"/>
        <v>330.48989224677786</v>
      </c>
      <c r="U78" s="11">
        <f t="shared" si="18"/>
        <v>347.13211778579961</v>
      </c>
      <c r="V78" s="11">
        <f t="shared" si="18"/>
        <v>342.58677997647527</v>
      </c>
      <c r="W78" s="11">
        <f t="shared" si="18"/>
        <v>360.82966893903676</v>
      </c>
      <c r="X78" s="11">
        <f t="shared" si="18"/>
        <v>314.18167540512661</v>
      </c>
      <c r="Y78" s="11">
        <f t="shared" si="18"/>
        <v>326.72909985788237</v>
      </c>
      <c r="Z78" s="11">
        <f t="shared" si="18"/>
        <v>317.0075960500036</v>
      </c>
      <c r="AA78" s="11">
        <f t="shared" si="18"/>
        <v>352.36393369061773</v>
      </c>
      <c r="AB78" s="11">
        <f t="shared" si="18"/>
        <v>383.27272532036176</v>
      </c>
      <c r="AC78" s="11">
        <f t="shared" si="18"/>
        <v>411.00008452920878</v>
      </c>
      <c r="AD78" s="11">
        <f t="shared" si="18"/>
        <v>422.64699691928467</v>
      </c>
      <c r="AE78" s="11">
        <f t="shared" si="18"/>
        <v>420.26826707745681</v>
      </c>
      <c r="AF78" s="11">
        <f t="shared" si="18"/>
        <v>441.76683554663902</v>
      </c>
      <c r="AG78" s="11">
        <f t="shared" si="18"/>
        <v>456.88271216088282</v>
      </c>
      <c r="AH78" s="11">
        <f t="shared" si="18"/>
        <v>459.48616831505353</v>
      </c>
      <c r="AI78" s="11">
        <f t="shared" si="18"/>
        <v>473.63732618683355</v>
      </c>
      <c r="AJ78" s="11">
        <f t="shared" si="18"/>
        <v>543.6197755315211</v>
      </c>
      <c r="AK78" s="11">
        <f t="shared" si="18"/>
        <v>619.82492633158802</v>
      </c>
      <c r="AL78" s="11">
        <f t="shared" si="18"/>
        <v>698.5582848413685</v>
      </c>
      <c r="AM78" s="11">
        <f t="shared" si="18"/>
        <v>782.66204033503936</v>
      </c>
      <c r="AN78" s="11">
        <f t="shared" si="18"/>
        <v>968.50862903411496</v>
      </c>
      <c r="AO78" s="11">
        <f t="shared" si="18"/>
        <v>968.39346587134958</v>
      </c>
      <c r="AP78" s="11">
        <f t="shared" si="18"/>
        <v>1051.2265184765477</v>
      </c>
      <c r="AQ78" s="11">
        <f t="shared" si="18"/>
        <v>1268.7081448047461</v>
      </c>
      <c r="AR78" s="11">
        <f t="shared" si="18"/>
        <v>1379.7598266291952</v>
      </c>
      <c r="AS78" s="11">
        <f t="shared" si="18"/>
        <v>1376.1314557230712</v>
      </c>
      <c r="AT78" s="11">
        <f t="shared" si="18"/>
        <v>1394.1358721235852</v>
      </c>
      <c r="AU78" s="11">
        <f t="shared" si="18"/>
        <v>1509.4848962251522</v>
      </c>
      <c r="AV78" s="11">
        <f t="shared" si="18"/>
        <v>1558.6446623735283</v>
      </c>
      <c r="AW78" s="11">
        <f t="shared" si="18"/>
        <v>1670.9915491144482</v>
      </c>
      <c r="AX78" s="11">
        <f t="shared" si="18"/>
        <v>1891.2134391462205</v>
      </c>
      <c r="AY78" s="11">
        <f t="shared" si="18"/>
        <v>1925.3797721195926</v>
      </c>
      <c r="AZ78" s="11">
        <f t="shared" si="18"/>
        <v>1987.5886954869691</v>
      </c>
      <c r="BA78" s="11"/>
      <c r="BB78" s="11"/>
      <c r="BC78" s="11"/>
      <c r="BD78" s="11"/>
      <c r="BE78" s="11"/>
      <c r="BF78" s="11"/>
      <c r="BG78" s="11"/>
      <c r="BH78" s="11"/>
      <c r="BI78" s="11"/>
      <c r="BJ78" s="11"/>
      <c r="BK78" s="11"/>
      <c r="BL78" s="11"/>
      <c r="BM78" s="11"/>
      <c r="BN78" s="11"/>
      <c r="BO78" s="11"/>
      <c r="BP78" s="11"/>
      <c r="BQ78" s="11"/>
      <c r="BR78" s="11"/>
    </row>
    <row r="79" spans="1:70" x14ac:dyDescent="0.45">
      <c r="B79" t="str">
        <f t="shared" si="16"/>
        <v>Sub-Saharan Africa</v>
      </c>
      <c r="C79" s="11">
        <f t="shared" si="17"/>
        <v>269.65008497010052</v>
      </c>
      <c r="D79" s="11">
        <f t="shared" si="18"/>
        <v>266.56561620173227</v>
      </c>
      <c r="E79" s="11">
        <f t="shared" si="18"/>
        <v>293.1300486529131</v>
      </c>
      <c r="F79" s="11">
        <f t="shared" si="18"/>
        <v>365.79326916305371</v>
      </c>
      <c r="G79" s="11">
        <f t="shared" si="18"/>
        <v>466.78107035120547</v>
      </c>
      <c r="H79" s="11">
        <f t="shared" si="18"/>
        <v>499.34447468935753</v>
      </c>
      <c r="I79" s="11">
        <f t="shared" si="18"/>
        <v>527.56529104902381</v>
      </c>
      <c r="J79" s="11">
        <f t="shared" si="18"/>
        <v>563.69733551704405</v>
      </c>
      <c r="K79" s="11">
        <f t="shared" si="18"/>
        <v>608.00523990805812</v>
      </c>
      <c r="L79" s="11">
        <f t="shared" si="18"/>
        <v>714.17668427187721</v>
      </c>
      <c r="M79" s="11">
        <f t="shared" si="18"/>
        <v>882.01141154188485</v>
      </c>
      <c r="N79" s="11">
        <f t="shared" si="18"/>
        <v>1215.4748914853078</v>
      </c>
      <c r="O79" s="11">
        <f t="shared" si="18"/>
        <v>1077.2622162508692</v>
      </c>
      <c r="P79" s="11">
        <f t="shared" si="18"/>
        <v>898.63134373325875</v>
      </c>
      <c r="Q79" s="11">
        <f t="shared" si="18"/>
        <v>751.34736601233533</v>
      </c>
      <c r="R79" s="11">
        <f t="shared" si="18"/>
        <v>678.25273569812748</v>
      </c>
      <c r="S79" s="11">
        <f t="shared" si="18"/>
        <v>675.14788028169039</v>
      </c>
      <c r="T79" s="11">
        <f t="shared" si="18"/>
        <v>744.30254450613302</v>
      </c>
      <c r="U79" s="11">
        <f t="shared" si="18"/>
        <v>741.49496346904755</v>
      </c>
      <c r="V79" s="11">
        <f t="shared" si="18"/>
        <v>714.86805708878387</v>
      </c>
      <c r="W79" s="11">
        <f t="shared" si="18"/>
        <v>790.17266964866326</v>
      </c>
      <c r="X79" s="11">
        <f t="shared" si="18"/>
        <v>778.4942359049702</v>
      </c>
      <c r="Y79" s="11">
        <f t="shared" si="18"/>
        <v>761.96662824824466</v>
      </c>
      <c r="Z79" s="11">
        <f t="shared" si="18"/>
        <v>695.11496421756306</v>
      </c>
      <c r="AA79" s="11">
        <f t="shared" si="18"/>
        <v>669.04308610134512</v>
      </c>
      <c r="AB79" s="11">
        <f t="shared" si="18"/>
        <v>746.06628482402209</v>
      </c>
      <c r="AC79" s="11">
        <f t="shared" si="18"/>
        <v>740.02752324450432</v>
      </c>
      <c r="AD79" s="11">
        <f t="shared" si="18"/>
        <v>748.40936456673796</v>
      </c>
      <c r="AE79" s="11">
        <f t="shared" si="18"/>
        <v>693.63710268315833</v>
      </c>
      <c r="AF79" s="11">
        <f t="shared" si="18"/>
        <v>685.64565412755599</v>
      </c>
      <c r="AG79" s="11">
        <f t="shared" si="18"/>
        <v>710.29355066966855</v>
      </c>
      <c r="AH79" s="11">
        <f t="shared" si="18"/>
        <v>657.25503209712508</v>
      </c>
      <c r="AI79" s="11">
        <f t="shared" si="18"/>
        <v>693.59941928399041</v>
      </c>
      <c r="AJ79" s="11">
        <f t="shared" si="18"/>
        <v>861.52659239870889</v>
      </c>
      <c r="AK79" s="11">
        <f t="shared" si="18"/>
        <v>1048.1650846789237</v>
      </c>
      <c r="AL79" s="11">
        <f t="shared" si="18"/>
        <v>1200.956203816864</v>
      </c>
      <c r="AM79" s="11">
        <f t="shared" si="18"/>
        <v>1384.741811981143</v>
      </c>
      <c r="AN79" s="11">
        <f t="shared" si="18"/>
        <v>1549.4940064074026</v>
      </c>
      <c r="AO79" s="11">
        <f t="shared" si="18"/>
        <v>1687.1614178627967</v>
      </c>
      <c r="AP79" s="11">
        <f t="shared" si="18"/>
        <v>1562.2701537254854</v>
      </c>
      <c r="AQ79" s="11">
        <f t="shared" si="18"/>
        <v>1843.9306938339832</v>
      </c>
      <c r="AR79" s="11">
        <f t="shared" si="18"/>
        <v>2004.7812916058215</v>
      </c>
      <c r="AS79" s="11">
        <f t="shared" si="18"/>
        <v>2017.1066218859435</v>
      </c>
      <c r="AT79" s="11">
        <f t="shared" si="18"/>
        <v>2086.4722303668636</v>
      </c>
      <c r="AU79" s="11">
        <f t="shared" si="18"/>
        <v>2119.7802363744781</v>
      </c>
      <c r="AV79" s="11">
        <f t="shared" si="18"/>
        <v>1889.8912700466406</v>
      </c>
      <c r="AW79" s="11">
        <f t="shared" si="18"/>
        <v>1682.0067022401461</v>
      </c>
      <c r="AX79" s="11">
        <f t="shared" si="18"/>
        <v>1719.0819629248438</v>
      </c>
      <c r="AY79" s="11">
        <f t="shared" si="18"/>
        <v>1780.2049586409071</v>
      </c>
      <c r="AZ79" s="11">
        <f t="shared" si="18"/>
        <v>1775.0368686168033</v>
      </c>
      <c r="BA79" s="11"/>
      <c r="BB79" s="11"/>
      <c r="BC79" s="11"/>
      <c r="BD79" s="11"/>
      <c r="BE79" s="11"/>
      <c r="BF79" s="11"/>
      <c r="BG79" s="11"/>
      <c r="BH79" s="11"/>
      <c r="BI79" s="11"/>
      <c r="BJ79" s="11"/>
      <c r="BK79" s="11"/>
      <c r="BL79" s="11"/>
      <c r="BM79" s="11"/>
      <c r="BN79" s="11"/>
      <c r="BO79" s="11"/>
      <c r="BP79" s="11"/>
      <c r="BQ79" s="11"/>
      <c r="BR79" s="11"/>
    </row>
    <row r="80" spans="1:70" x14ac:dyDescent="0.45">
      <c r="B80" t="str">
        <f t="shared" si="16"/>
        <v>World</v>
      </c>
      <c r="C80" s="11">
        <f t="shared" si="17"/>
        <v>948.04249674371772</v>
      </c>
      <c r="D80" s="11">
        <f t="shared" si="17"/>
        <v>1024.6785917703908</v>
      </c>
      <c r="E80" s="11">
        <f t="shared" si="17"/>
        <v>1158.78506094519</v>
      </c>
      <c r="F80" s="11">
        <f t="shared" si="17"/>
        <v>1383.3723185927317</v>
      </c>
      <c r="G80" s="11">
        <f t="shared" si="17"/>
        <v>1550.5269722987114</v>
      </c>
      <c r="H80" s="11">
        <f t="shared" si="17"/>
        <v>1694.573769891452</v>
      </c>
      <c r="I80" s="11">
        <f t="shared" si="17"/>
        <v>1802.322325501365</v>
      </c>
      <c r="J80" s="11">
        <f t="shared" si="17"/>
        <v>1999.9192578332438</v>
      </c>
      <c r="K80" s="11">
        <f t="shared" si="17"/>
        <v>2327.6219394601753</v>
      </c>
      <c r="L80" s="11">
        <f t="shared" si="17"/>
        <v>2651.7342832968002</v>
      </c>
      <c r="M80" s="11">
        <f t="shared" si="17"/>
        <v>2923.3110983197143</v>
      </c>
      <c r="N80" s="11">
        <f t="shared" si="17"/>
        <v>2972.6023375828631</v>
      </c>
      <c r="O80" s="11">
        <f t="shared" si="17"/>
        <v>2880.7828777430591</v>
      </c>
      <c r="P80" s="11">
        <f t="shared" si="17"/>
        <v>2884.5447682014083</v>
      </c>
      <c r="Q80" s="11">
        <f t="shared" si="17"/>
        <v>2939.9991093024041</v>
      </c>
      <c r="R80" s="11">
        <f t="shared" si="17"/>
        <v>3036.3097684141317</v>
      </c>
      <c r="S80" s="11">
        <f t="shared" si="18"/>
        <v>3545.8637020321507</v>
      </c>
      <c r="T80" s="11">
        <f t="shared" si="18"/>
        <v>3994.1347315383809</v>
      </c>
      <c r="U80" s="11">
        <f t="shared" si="18"/>
        <v>4405.9450605769925</v>
      </c>
      <c r="V80" s="11">
        <f t="shared" si="18"/>
        <v>4540.8877281980203</v>
      </c>
      <c r="W80" s="11">
        <f t="shared" si="18"/>
        <v>5028.7215865975768</v>
      </c>
      <c r="X80" s="11">
        <f t="shared" si="18"/>
        <v>5257.5533313753085</v>
      </c>
      <c r="Y80" s="11">
        <f t="shared" si="18"/>
        <v>5513.9796461081969</v>
      </c>
      <c r="Z80" s="11">
        <f t="shared" si="18"/>
        <v>5514.8447602412343</v>
      </c>
      <c r="AA80" s="11">
        <f t="shared" si="18"/>
        <v>5851.3654444084932</v>
      </c>
      <c r="AB80" s="11">
        <f t="shared" si="18"/>
        <v>6407.3937950313575</v>
      </c>
      <c r="AC80" s="11">
        <f t="shared" si="18"/>
        <v>6436.9485645637633</v>
      </c>
      <c r="AD80" s="11">
        <f t="shared" si="18"/>
        <v>6306.7246309647117</v>
      </c>
      <c r="AE80" s="11">
        <f t="shared" si="18"/>
        <v>6256.227955022815</v>
      </c>
      <c r="AF80" s="11">
        <f t="shared" si="18"/>
        <v>6411.9030496183441</v>
      </c>
      <c r="AG80" s="11">
        <f t="shared" si="18"/>
        <v>6507.4117453127092</v>
      </c>
      <c r="AH80" s="11">
        <f t="shared" si="18"/>
        <v>6365.4376032678847</v>
      </c>
      <c r="AI80" s="11">
        <f t="shared" si="18"/>
        <v>6514.1028750437217</v>
      </c>
      <c r="AJ80" s="11">
        <f t="shared" si="18"/>
        <v>7203.6248072968365</v>
      </c>
      <c r="AK80" s="11">
        <f t="shared" si="18"/>
        <v>7971.75503650883</v>
      </c>
      <c r="AL80" s="11">
        <f t="shared" si="18"/>
        <v>8456.2039623739947</v>
      </c>
      <c r="AM80" s="11">
        <f t="shared" si="18"/>
        <v>8967.1364693153955</v>
      </c>
      <c r="AN80" s="11">
        <f t="shared" si="18"/>
        <v>9882.057451757104</v>
      </c>
      <c r="AO80" s="11">
        <f t="shared" si="18"/>
        <v>10567.197917650332</v>
      </c>
      <c r="AP80" s="11">
        <f t="shared" si="18"/>
        <v>10005.820704593894</v>
      </c>
      <c r="AQ80" s="11">
        <f t="shared" si="18"/>
        <v>10747.076371401536</v>
      </c>
      <c r="AR80" s="11">
        <f t="shared" si="18"/>
        <v>11727.153558853792</v>
      </c>
      <c r="AS80" s="11">
        <f t="shared" si="18"/>
        <v>11811.69037033028</v>
      </c>
      <c r="AT80" s="11">
        <f t="shared" si="18"/>
        <v>12026.292100886481</v>
      </c>
      <c r="AU80" s="11">
        <f t="shared" si="18"/>
        <v>12284.1482427145</v>
      </c>
      <c r="AV80" s="11">
        <f t="shared" si="18"/>
        <v>11647.95725728905</v>
      </c>
      <c r="AW80" s="11">
        <f t="shared" si="18"/>
        <v>11717.451149564584</v>
      </c>
      <c r="AX80" s="11">
        <f t="shared" si="18"/>
        <v>12289.466170744501</v>
      </c>
      <c r="AY80" s="11">
        <f t="shared" si="18"/>
        <v>12913.65847575179</v>
      </c>
      <c r="AZ80" s="11">
        <f t="shared" si="18"/>
        <v>12961.341153342801</v>
      </c>
      <c r="BA80" s="11"/>
      <c r="BB80" s="11"/>
      <c r="BC80" s="11"/>
      <c r="BD80" s="11"/>
      <c r="BE80" s="11"/>
      <c r="BF80" s="11"/>
      <c r="BG80" s="11"/>
      <c r="BH80" s="11"/>
      <c r="BI80" s="11"/>
      <c r="BJ80" s="11"/>
      <c r="BK80" s="11"/>
      <c r="BL80" s="11"/>
      <c r="BM80" s="11"/>
      <c r="BN80" s="11"/>
      <c r="BO80" s="11"/>
      <c r="BP80" s="11"/>
      <c r="BQ80" s="11"/>
      <c r="BR80" s="11"/>
    </row>
    <row r="81" spans="1:70" x14ac:dyDescent="0.45">
      <c r="A81" t="s">
        <v>169</v>
      </c>
      <c r="C81" s="11"/>
      <c r="D81" s="11"/>
      <c r="E81" s="11"/>
      <c r="F81" s="11"/>
      <c r="G81" s="11"/>
      <c r="H81" s="11"/>
      <c r="I81" s="11"/>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c r="AP81" s="11"/>
      <c r="AQ81" s="11"/>
      <c r="AR81" s="11"/>
      <c r="AS81" s="11"/>
      <c r="AT81" s="11"/>
      <c r="AU81" s="11"/>
      <c r="AV81" s="11"/>
      <c r="AW81" s="11"/>
      <c r="AX81" s="11"/>
      <c r="AY81" s="11"/>
      <c r="AZ81" s="11"/>
      <c r="BA81" s="11"/>
      <c r="BB81" s="11"/>
      <c r="BC81" s="11"/>
      <c r="BD81" s="11"/>
      <c r="BE81" s="11"/>
      <c r="BF81" s="11"/>
      <c r="BG81" s="11"/>
      <c r="BH81" s="11"/>
      <c r="BI81" s="11"/>
      <c r="BJ81" s="11"/>
      <c r="BK81" s="11"/>
      <c r="BL81" s="11"/>
      <c r="BM81" s="11"/>
      <c r="BN81" s="11"/>
      <c r="BO81" s="11"/>
      <c r="BP81" s="11"/>
      <c r="BQ81" s="11"/>
      <c r="BR81" s="11"/>
    </row>
    <row r="82" spans="1:70" x14ac:dyDescent="0.45">
      <c r="B82" t="str">
        <f>B71</f>
        <v>China</v>
      </c>
      <c r="C82" s="13">
        <f>C71/C$80</f>
        <v>0.11936489322243071</v>
      </c>
      <c r="D82" s="13">
        <f t="shared" ref="D82:AZ82" si="19">D71/D$80</f>
        <v>0.11579686870354526</v>
      </c>
      <c r="E82" s="13">
        <f t="shared" si="19"/>
        <v>0.11381192376809258</v>
      </c>
      <c r="F82" s="13">
        <f t="shared" si="19"/>
        <v>0.11355610972127249</v>
      </c>
      <c r="G82" s="13">
        <f t="shared" si="19"/>
        <v>0.10328107347954757</v>
      </c>
      <c r="H82" s="13">
        <f t="shared" si="19"/>
        <v>0.105242873383932</v>
      </c>
      <c r="I82" s="13">
        <f t="shared" si="19"/>
        <v>9.1773565662236253E-2</v>
      </c>
      <c r="J82" s="13">
        <f t="shared" si="19"/>
        <v>9.271516012523208E-2</v>
      </c>
      <c r="K82" s="13">
        <f t="shared" si="19"/>
        <v>6.7191489948892028E-2</v>
      </c>
      <c r="L82" s="13">
        <f t="shared" si="19"/>
        <v>6.9382198650198235E-2</v>
      </c>
      <c r="M82" s="13">
        <f t="shared" si="19"/>
        <v>6.6638381657348214E-2</v>
      </c>
      <c r="N82" s="13">
        <f t="shared" si="19"/>
        <v>6.6295941900955738E-2</v>
      </c>
      <c r="O82" s="13">
        <f t="shared" si="19"/>
        <v>7.0583215368560673E-2</v>
      </c>
      <c r="P82" s="13">
        <f t="shared" si="19"/>
        <v>7.8151649209268717E-2</v>
      </c>
      <c r="Q82" s="13">
        <f t="shared" si="19"/>
        <v>8.5276884549543838E-2</v>
      </c>
      <c r="R82" s="13">
        <f t="shared" si="19"/>
        <v>9.6979184784921443E-2</v>
      </c>
      <c r="S82" s="13">
        <f t="shared" si="19"/>
        <v>7.9509012754878747E-2</v>
      </c>
      <c r="T82" s="13">
        <f t="shared" si="19"/>
        <v>6.3045436464761878E-2</v>
      </c>
      <c r="U82" s="13">
        <f t="shared" si="19"/>
        <v>6.4353434619255537E-2</v>
      </c>
      <c r="V82" s="13">
        <f t="shared" si="19"/>
        <v>6.846280836951997E-2</v>
      </c>
      <c r="W82" s="13">
        <f t="shared" si="19"/>
        <v>6.3213815710460225E-2</v>
      </c>
      <c r="X82" s="13">
        <f t="shared" si="19"/>
        <v>6.3364479607239219E-2</v>
      </c>
      <c r="Y82" s="13">
        <f t="shared" si="19"/>
        <v>6.6460293956698224E-2</v>
      </c>
      <c r="Z82" s="13">
        <f t="shared" si="19"/>
        <v>6.8431639681097306E-2</v>
      </c>
      <c r="AA82" s="13">
        <f t="shared" si="19"/>
        <v>8.0919962085492597E-2</v>
      </c>
      <c r="AB82" s="13">
        <f t="shared" si="19"/>
        <v>9.5148925567928172E-2</v>
      </c>
      <c r="AC82" s="13">
        <f t="shared" si="19"/>
        <v>0.11020964013879395</v>
      </c>
      <c r="AD82" s="13">
        <f t="shared" si="19"/>
        <v>0.12395406671553494</v>
      </c>
      <c r="AE82" s="13">
        <f t="shared" si="19"/>
        <v>0.13244090918490883</v>
      </c>
      <c r="AF82" s="13">
        <f t="shared" si="19"/>
        <v>0.13619780211267341</v>
      </c>
      <c r="AG82" s="13">
        <f t="shared" si="19"/>
        <v>0.14742765762031054</v>
      </c>
      <c r="AH82" s="13">
        <f t="shared" si="19"/>
        <v>0.1654416056649454</v>
      </c>
      <c r="AI82" s="13">
        <f t="shared" si="19"/>
        <v>0.17631104199583303</v>
      </c>
      <c r="AJ82" s="13">
        <f t="shared" si="19"/>
        <v>0.17888817003695187</v>
      </c>
      <c r="AK82" s="13">
        <f t="shared" si="19"/>
        <v>0.18925169016250368</v>
      </c>
      <c r="AL82" s="13">
        <f t="shared" si="19"/>
        <v>0.20735284479051583</v>
      </c>
      <c r="AM82" s="13">
        <f t="shared" si="19"/>
        <v>0.23410254549339493</v>
      </c>
      <c r="AN82" s="13">
        <f t="shared" si="19"/>
        <v>0.27261223856440853</v>
      </c>
      <c r="AO82" s="13">
        <f t="shared" si="19"/>
        <v>0.3282142151546536</v>
      </c>
      <c r="AP82" s="13">
        <f t="shared" si="19"/>
        <v>0.38300064626683811</v>
      </c>
      <c r="AQ82" s="13">
        <f t="shared" si="19"/>
        <v>0.42341317754945984</v>
      </c>
      <c r="AR82" s="13">
        <f t="shared" si="19"/>
        <v>0.47907041190100602</v>
      </c>
      <c r="AS82" s="13">
        <f t="shared" si="19"/>
        <v>0.53480227054389851</v>
      </c>
      <c r="AT82" s="13">
        <f t="shared" si="19"/>
        <v>0.58626930860069981</v>
      </c>
      <c r="AU82" s="13">
        <f t="shared" si="19"/>
        <v>0.62508199981496604</v>
      </c>
      <c r="AV82" s="13">
        <f t="shared" si="19"/>
        <v>0.69256287519483684</v>
      </c>
      <c r="AW82" s="13">
        <f t="shared" si="19"/>
        <v>0.6953678196241132</v>
      </c>
      <c r="AX82" s="13">
        <f t="shared" si="19"/>
        <v>0.72252433994115239</v>
      </c>
      <c r="AY82" s="13">
        <f t="shared" si="19"/>
        <v>0.77256780468510311</v>
      </c>
      <c r="AZ82" s="13">
        <f t="shared" si="19"/>
        <v>0.79171432725181756</v>
      </c>
      <c r="BA82" s="11"/>
      <c r="BB82" s="11"/>
      <c r="BC82" s="11"/>
      <c r="BD82" s="11"/>
      <c r="BE82" s="11"/>
      <c r="BF82" s="11"/>
      <c r="BG82" s="11"/>
      <c r="BH82" s="11"/>
      <c r="BI82" s="11"/>
      <c r="BJ82" s="11"/>
      <c r="BK82" s="11"/>
      <c r="BL82" s="11"/>
      <c r="BM82" s="11"/>
      <c r="BN82" s="11"/>
      <c r="BO82" s="11"/>
      <c r="BP82" s="11"/>
      <c r="BQ82" s="11"/>
      <c r="BR82" s="11"/>
    </row>
    <row r="83" spans="1:70" x14ac:dyDescent="0.45">
      <c r="B83" t="str">
        <f t="shared" ref="B83:B90" si="20">B72</f>
        <v>East Asia</v>
      </c>
      <c r="C83" s="13">
        <f t="shared" ref="C83:AZ83" si="21">C72/C$80</f>
        <v>1.1427952638585803</v>
      </c>
      <c r="D83" s="13">
        <f t="shared" si="21"/>
        <v>1.1672343709901809</v>
      </c>
      <c r="E83" s="13">
        <f t="shared" si="21"/>
        <v>1.3151839733655823</v>
      </c>
      <c r="F83" s="13">
        <f t="shared" si="21"/>
        <v>1.468348859711311</v>
      </c>
      <c r="G83" s="13">
        <f t="shared" si="21"/>
        <v>1.4514332720721375</v>
      </c>
      <c r="H83" s="13">
        <f t="shared" si="21"/>
        <v>1.4133489734374751</v>
      </c>
      <c r="I83" s="13">
        <f t="shared" si="21"/>
        <v>1.4878929483774339</v>
      </c>
      <c r="J83" s="13">
        <f t="shared" si="21"/>
        <v>1.6177641591012666</v>
      </c>
      <c r="K83" s="13">
        <f t="shared" si="21"/>
        <v>1.8912123863297443</v>
      </c>
      <c r="L83" s="13">
        <f t="shared" si="21"/>
        <v>1.7392926786270695</v>
      </c>
      <c r="M83" s="13">
        <f t="shared" si="21"/>
        <v>1.6425440794113257</v>
      </c>
      <c r="N83" s="13">
        <f t="shared" si="21"/>
        <v>1.7511457335130169</v>
      </c>
      <c r="O83" s="13">
        <f t="shared" si="21"/>
        <v>1.691666198513043</v>
      </c>
      <c r="P83" s="13">
        <f t="shared" si="21"/>
        <v>1.8120845932157437</v>
      </c>
      <c r="Q83" s="13">
        <f t="shared" si="21"/>
        <v>1.863804328458692</v>
      </c>
      <c r="R83" s="13">
        <f t="shared" si="21"/>
        <v>1.8698879158936967</v>
      </c>
      <c r="S83" s="13">
        <f t="shared" si="21"/>
        <v>2.2468136771181717</v>
      </c>
      <c r="T83" s="13">
        <f t="shared" si="21"/>
        <v>2.3952856313276008</v>
      </c>
      <c r="U83" s="13">
        <f t="shared" si="21"/>
        <v>2.607993743322464</v>
      </c>
      <c r="V83" s="13">
        <f t="shared" si="21"/>
        <v>2.5431293175637015</v>
      </c>
      <c r="W83" s="13">
        <f t="shared" si="21"/>
        <v>2.3628382165198931</v>
      </c>
      <c r="X83" s="13">
        <f t="shared" si="21"/>
        <v>2.5590428061961008</v>
      </c>
      <c r="Y83" s="13">
        <f t="shared" si="21"/>
        <v>2.6416960019694384</v>
      </c>
      <c r="Z83" s="13">
        <f t="shared" si="21"/>
        <v>2.9688350548342508</v>
      </c>
      <c r="AA83" s="13">
        <f t="shared" si="21"/>
        <v>3.0739908219012606</v>
      </c>
      <c r="AB83" s="13">
        <f t="shared" si="21"/>
        <v>3.1125186963234452</v>
      </c>
      <c r="AC83" s="13">
        <f t="shared" si="21"/>
        <v>2.8222965474541484</v>
      </c>
      <c r="AD83" s="13">
        <f t="shared" si="21"/>
        <v>2.626512191224434</v>
      </c>
      <c r="AE83" s="13">
        <f t="shared" si="21"/>
        <v>2.3066135119685227</v>
      </c>
      <c r="AF83" s="13">
        <f t="shared" si="21"/>
        <v>2.5310061316072336</v>
      </c>
      <c r="AG83" s="13">
        <f t="shared" si="21"/>
        <v>2.6598657227112255</v>
      </c>
      <c r="AH83" s="13">
        <f t="shared" si="21"/>
        <v>2.4091012661793911</v>
      </c>
      <c r="AI83" s="13">
        <f t="shared" si="21"/>
        <v>2.2966167317678083</v>
      </c>
      <c r="AJ83" s="13">
        <f t="shared" si="21"/>
        <v>2.2276131999987743</v>
      </c>
      <c r="AK83" s="13">
        <f t="shared" si="21"/>
        <v>2.179826772487385</v>
      </c>
      <c r="AL83" s="13">
        <f t="shared" si="21"/>
        <v>2.0895202413790313</v>
      </c>
      <c r="AM83" s="13">
        <f t="shared" si="21"/>
        <v>1.9538223618735355</v>
      </c>
      <c r="AN83" s="13">
        <f t="shared" si="21"/>
        <v>1.8280202609491991</v>
      </c>
      <c r="AO83" s="13">
        <f t="shared" si="21"/>
        <v>1.8241709936718558</v>
      </c>
      <c r="AP83" s="13">
        <f t="shared" si="21"/>
        <v>1.92368009379344</v>
      </c>
      <c r="AQ83" s="13">
        <f t="shared" si="21"/>
        <v>1.9923367926507272</v>
      </c>
      <c r="AR83" s="13">
        <f t="shared" si="21"/>
        <v>1.9748755564640958</v>
      </c>
      <c r="AS83" s="13">
        <f t="shared" si="21"/>
        <v>1.9850808015564663</v>
      </c>
      <c r="AT83" s="13">
        <f t="shared" si="21"/>
        <v>1.7486721073716527</v>
      </c>
      <c r="AU83" s="13">
        <f t="shared" si="21"/>
        <v>1.6684727697976915</v>
      </c>
      <c r="AV83" s="13">
        <f t="shared" si="21"/>
        <v>1.6382369649268054</v>
      </c>
      <c r="AW83" s="13">
        <f t="shared" si="21"/>
        <v>1.7514070086352942</v>
      </c>
      <c r="AX83" s="13">
        <f t="shared" si="21"/>
        <v>1.6981477654964754</v>
      </c>
      <c r="AY83" s="13">
        <f t="shared" si="21"/>
        <v>1.6740862838382939</v>
      </c>
      <c r="AZ83" s="13">
        <f t="shared" si="21"/>
        <v>1.6835170998024576</v>
      </c>
      <c r="BA83" s="11"/>
      <c r="BB83" s="11"/>
      <c r="BC83" s="11"/>
      <c r="BD83" s="11"/>
      <c r="BE83" s="11"/>
      <c r="BF83" s="11"/>
      <c r="BG83" s="11"/>
      <c r="BH83" s="11"/>
      <c r="BI83" s="11"/>
      <c r="BJ83" s="11"/>
      <c r="BK83" s="11"/>
      <c r="BL83" s="11"/>
      <c r="BM83" s="11"/>
      <c r="BN83" s="11"/>
      <c r="BO83" s="11"/>
      <c r="BP83" s="11"/>
      <c r="BQ83" s="11"/>
      <c r="BR83" s="11"/>
    </row>
    <row r="84" spans="1:70" x14ac:dyDescent="0.45">
      <c r="B84" t="str">
        <f t="shared" si="20"/>
        <v>Europe</v>
      </c>
      <c r="C84" s="13">
        <f t="shared" ref="C84:AZ84" si="22">C73/C$80</f>
        <v>2.5769289006444218</v>
      </c>
      <c r="D84" s="13">
        <f t="shared" si="22"/>
        <v>2.6878971319519698</v>
      </c>
      <c r="E84" s="13">
        <f t="shared" si="22"/>
        <v>2.8304488946481721</v>
      </c>
      <c r="F84" s="13">
        <f t="shared" si="22"/>
        <v>3.0007660931720226</v>
      </c>
      <c r="G84" s="13">
        <f t="shared" si="22"/>
        <v>3.0012571483506387</v>
      </c>
      <c r="H84" s="13">
        <f t="shared" si="22"/>
        <v>3.1880897389910969</v>
      </c>
      <c r="I84" s="13">
        <f t="shared" si="22"/>
        <v>3.0985980047342125</v>
      </c>
      <c r="J84" s="13">
        <f t="shared" si="22"/>
        <v>3.1484715056883186</v>
      </c>
      <c r="K84" s="13">
        <f t="shared" si="22"/>
        <v>3.3136498242704571</v>
      </c>
      <c r="L84" s="13">
        <f t="shared" si="22"/>
        <v>3.5260242846820193</v>
      </c>
      <c r="M84" s="13">
        <f t="shared" si="22"/>
        <v>3.6323650263770877</v>
      </c>
      <c r="N84" s="13">
        <f t="shared" si="22"/>
        <v>3.1581671517042715</v>
      </c>
      <c r="O84" s="13">
        <f t="shared" si="22"/>
        <v>3.137027977460344</v>
      </c>
      <c r="P84" s="13">
        <f t="shared" si="22"/>
        <v>3.0373118105608166</v>
      </c>
      <c r="Q84" s="13">
        <f t="shared" si="22"/>
        <v>2.8576907294365719</v>
      </c>
      <c r="R84" s="13">
        <f t="shared" si="22"/>
        <v>2.854732789194935</v>
      </c>
      <c r="S84" s="13">
        <f t="shared" si="22"/>
        <v>3.3437692811137589</v>
      </c>
      <c r="T84" s="13">
        <f t="shared" si="22"/>
        <v>3.6615247599694869</v>
      </c>
      <c r="U84" s="13">
        <f t="shared" si="22"/>
        <v>3.6915989994225389</v>
      </c>
      <c r="V84" s="13">
        <f t="shared" si="22"/>
        <v>3.6347961735131959</v>
      </c>
      <c r="W84" s="13">
        <f t="shared" si="22"/>
        <v>4.0619308029164678</v>
      </c>
      <c r="X84" s="13">
        <f t="shared" si="22"/>
        <v>4.0167643306966365</v>
      </c>
      <c r="Y84" s="13">
        <f t="shared" si="22"/>
        <v>4.1477036975663664</v>
      </c>
      <c r="Z84" s="13">
        <f t="shared" si="22"/>
        <v>3.7553133938225214</v>
      </c>
      <c r="AA84" s="13">
        <f t="shared" si="22"/>
        <v>3.741077497928496</v>
      </c>
      <c r="AB84" s="13">
        <f t="shared" si="22"/>
        <v>3.9450803640116452</v>
      </c>
      <c r="AC84" s="13">
        <f t="shared" si="22"/>
        <v>3.9903727738428012</v>
      </c>
      <c r="AD84" s="13">
        <f t="shared" si="22"/>
        <v>3.8189613548091299</v>
      </c>
      <c r="AE84" s="13">
        <f t="shared" si="22"/>
        <v>3.9595653817872067</v>
      </c>
      <c r="AF84" s="13">
        <f t="shared" si="22"/>
        <v>3.8535201787954367</v>
      </c>
      <c r="AG84" s="13">
        <f t="shared" si="22"/>
        <v>3.5123446837746304</v>
      </c>
      <c r="AH84" s="13">
        <f t="shared" si="22"/>
        <v>3.606878332776033</v>
      </c>
      <c r="AI84" s="13">
        <f t="shared" si="22"/>
        <v>3.8146618564719468</v>
      </c>
      <c r="AJ84" s="13">
        <f t="shared" si="22"/>
        <v>4.1684424581998361</v>
      </c>
      <c r="AK84" s="13">
        <f t="shared" si="22"/>
        <v>4.3105610051413397</v>
      </c>
      <c r="AL84" s="13">
        <f t="shared" si="22"/>
        <v>4.2068081340366055</v>
      </c>
      <c r="AM84" s="13">
        <f t="shared" si="22"/>
        <v>4.198218116338496</v>
      </c>
      <c r="AN84" s="13">
        <f t="shared" si="22"/>
        <v>4.3439782227000459</v>
      </c>
      <c r="AO84" s="13">
        <f t="shared" si="22"/>
        <v>4.3188872972991135</v>
      </c>
      <c r="AP84" s="13">
        <f t="shared" si="22"/>
        <v>4.0803095450908415</v>
      </c>
      <c r="AQ84" s="13">
        <f t="shared" si="22"/>
        <v>3.7741523568875559</v>
      </c>
      <c r="AR84" s="13">
        <f t="shared" si="22"/>
        <v>3.755373668998033</v>
      </c>
      <c r="AS84" s="13">
        <f t="shared" si="22"/>
        <v>3.5136285571198105</v>
      </c>
      <c r="AT84" s="13">
        <f t="shared" si="22"/>
        <v>3.576487865487429</v>
      </c>
      <c r="AU84" s="13">
        <f t="shared" si="22"/>
        <v>3.5968913981160382</v>
      </c>
      <c r="AV84" s="13">
        <f t="shared" si="22"/>
        <v>3.3289194895847074</v>
      </c>
      <c r="AW84" s="13">
        <f t="shared" si="22"/>
        <v>3.3050171567094049</v>
      </c>
      <c r="AX84" s="13">
        <f t="shared" si="22"/>
        <v>3.2797840995529652</v>
      </c>
      <c r="AY84" s="13">
        <f t="shared" si="22"/>
        <v>3.3438356833218541</v>
      </c>
      <c r="AZ84" s="13">
        <f t="shared" si="22"/>
        <v>3.2434353155861269</v>
      </c>
      <c r="BA84" s="11"/>
      <c r="BB84" s="11"/>
      <c r="BC84" s="11"/>
      <c r="BD84" s="11"/>
      <c r="BE84" s="11"/>
      <c r="BF84" s="11"/>
      <c r="BG84" s="11"/>
      <c r="BH84" s="11"/>
      <c r="BI84" s="11"/>
      <c r="BJ84" s="11"/>
      <c r="BK84" s="11"/>
      <c r="BL84" s="11"/>
      <c r="BM84" s="11"/>
      <c r="BN84" s="11"/>
      <c r="BO84" s="11"/>
      <c r="BP84" s="11"/>
      <c r="BQ84" s="11"/>
      <c r="BR84" s="11"/>
    </row>
    <row r="85" spans="1:70" x14ac:dyDescent="0.45">
      <c r="B85" t="str">
        <f t="shared" si="20"/>
        <v>Latin America and Caribbean</v>
      </c>
      <c r="C85" s="13">
        <f t="shared" ref="C85:AZ85" si="23">C74/C$80</f>
        <v>0.62506265655948334</v>
      </c>
      <c r="D85" s="13">
        <f t="shared" si="23"/>
        <v>0.62839036814535876</v>
      </c>
      <c r="E85" s="13">
        <f t="shared" si="23"/>
        <v>0.61011641761683888</v>
      </c>
      <c r="F85" s="13">
        <f t="shared" si="23"/>
        <v>0.65861577246972103</v>
      </c>
      <c r="G85" s="13">
        <f t="shared" si="23"/>
        <v>0.74066785685544867</v>
      </c>
      <c r="H85" s="13">
        <f t="shared" si="23"/>
        <v>0.69076625866287977</v>
      </c>
      <c r="I85" s="13">
        <f t="shared" si="23"/>
        <v>0.70468212522806417</v>
      </c>
      <c r="J85" s="13">
        <f t="shared" si="23"/>
        <v>0.68095678882628541</v>
      </c>
      <c r="K85" s="13">
        <f t="shared" si="23"/>
        <v>0.64943743747636073</v>
      </c>
      <c r="L85" s="13">
        <f t="shared" si="23"/>
        <v>0.66475170327691113</v>
      </c>
      <c r="M85" s="13">
        <f t="shared" si="23"/>
        <v>0.71287922780356638</v>
      </c>
      <c r="N85" s="13">
        <f t="shared" si="23"/>
        <v>0.79522986047248545</v>
      </c>
      <c r="O85" s="13">
        <f t="shared" si="23"/>
        <v>0.74058273992948176</v>
      </c>
      <c r="P85" s="13">
        <f t="shared" si="23"/>
        <v>0.62627521144843379</v>
      </c>
      <c r="Q85" s="13">
        <f t="shared" si="23"/>
        <v>0.61325793226013292</v>
      </c>
      <c r="R85" s="13">
        <f t="shared" si="23"/>
        <v>0.6003983892602951</v>
      </c>
      <c r="S85" s="13">
        <f t="shared" si="23"/>
        <v>0.5078881845975195</v>
      </c>
      <c r="T85" s="13">
        <f t="shared" si="23"/>
        <v>0.47687918966785392</v>
      </c>
      <c r="U85" s="13">
        <f t="shared" si="23"/>
        <v>0.47516459751283296</v>
      </c>
      <c r="V85" s="13">
        <f t="shared" si="23"/>
        <v>0.50753382878589903</v>
      </c>
      <c r="W85" s="13">
        <f t="shared" si="23"/>
        <v>0.5293299951401681</v>
      </c>
      <c r="X85" s="13">
        <f t="shared" si="23"/>
        <v>0.61971056124576218</v>
      </c>
      <c r="Y85" s="13">
        <f t="shared" si="23"/>
        <v>0.54461901113819355</v>
      </c>
      <c r="Z85" s="13">
        <f t="shared" si="23"/>
        <v>0.62071466794756436</v>
      </c>
      <c r="AA85" s="13">
        <f t="shared" si="23"/>
        <v>0.66021991137464253</v>
      </c>
      <c r="AB85" s="13">
        <f t="shared" si="23"/>
        <v>0.62696661413540378</v>
      </c>
      <c r="AC85" s="13">
        <f t="shared" si="23"/>
        <v>0.67156892623134812</v>
      </c>
      <c r="AD85" s="13">
        <f t="shared" si="23"/>
        <v>0.73731973075336488</v>
      </c>
      <c r="AE85" s="13">
        <f t="shared" si="23"/>
        <v>0.73652107976617331</v>
      </c>
      <c r="AF85" s="13">
        <f t="shared" si="23"/>
        <v>0.63150684110059385</v>
      </c>
      <c r="AG85" s="13">
        <f t="shared" si="23"/>
        <v>0.67386798464194686</v>
      </c>
      <c r="AH85" s="13">
        <f t="shared" si="23"/>
        <v>0.66126930345116652</v>
      </c>
      <c r="AI85" s="13">
        <f t="shared" si="23"/>
        <v>0.57541991101319867</v>
      </c>
      <c r="AJ85" s="13">
        <f t="shared" si="23"/>
        <v>0.52723691332501232</v>
      </c>
      <c r="AK85" s="13">
        <f t="shared" si="23"/>
        <v>0.53912112873880103</v>
      </c>
      <c r="AL85" s="13">
        <f t="shared" si="23"/>
        <v>0.60584787968296061</v>
      </c>
      <c r="AM85" s="13">
        <f t="shared" si="23"/>
        <v>0.65831358895336389</v>
      </c>
      <c r="AN85" s="13">
        <f t="shared" si="23"/>
        <v>0.6935720235250189</v>
      </c>
      <c r="AO85" s="13">
        <f t="shared" si="23"/>
        <v>0.73826685834026928</v>
      </c>
      <c r="AP85" s="13">
        <f t="shared" si="23"/>
        <v>0.71723847864210311</v>
      </c>
      <c r="AQ85" s="13">
        <f t="shared" si="23"/>
        <v>0.8244708222937267</v>
      </c>
      <c r="AR85" s="13">
        <f t="shared" si="23"/>
        <v>0.87079364795013503</v>
      </c>
      <c r="AS85" s="13">
        <f t="shared" si="23"/>
        <v>0.85426943878059913</v>
      </c>
      <c r="AT85" s="13">
        <f t="shared" si="23"/>
        <v>0.85310840897530815</v>
      </c>
      <c r="AU85" s="13">
        <f t="shared" si="23"/>
        <v>0.82727358665941564</v>
      </c>
      <c r="AV85" s="13">
        <f t="shared" si="23"/>
        <v>0.73916013880773768</v>
      </c>
      <c r="AW85" s="13">
        <f t="shared" si="23"/>
        <v>0.70857992049769492</v>
      </c>
      <c r="AX85" s="13">
        <f t="shared" si="23"/>
        <v>0.74286894557836114</v>
      </c>
      <c r="AY85" s="13">
        <f t="shared" si="23"/>
        <v>0.67861382999717301</v>
      </c>
      <c r="AZ85" s="13">
        <f t="shared" si="23"/>
        <v>0.65781867228904012</v>
      </c>
      <c r="BA85" s="11"/>
      <c r="BB85" s="11"/>
      <c r="BC85" s="11"/>
      <c r="BD85" s="11"/>
      <c r="BE85" s="11"/>
      <c r="BF85" s="11"/>
      <c r="BG85" s="11"/>
      <c r="BH85" s="11"/>
      <c r="BI85" s="11"/>
      <c r="BJ85" s="11"/>
      <c r="BK85" s="11"/>
      <c r="BL85" s="11"/>
      <c r="BM85" s="11"/>
      <c r="BN85" s="11"/>
      <c r="BO85" s="11"/>
      <c r="BP85" s="11"/>
      <c r="BQ85" s="11"/>
      <c r="BR85" s="11"/>
    </row>
    <row r="86" spans="1:70" x14ac:dyDescent="0.45">
      <c r="B86" t="str">
        <f t="shared" si="20"/>
        <v>Middle East and North Africa</v>
      </c>
      <c r="C86" s="13">
        <f t="shared" ref="C86:AZ86" si="24">C75/C$80</f>
        <v>0.52814503296807191</v>
      </c>
      <c r="D86" s="13">
        <f t="shared" si="24"/>
        <v>0.49454812657414177</v>
      </c>
      <c r="E86" s="13">
        <f t="shared" si="24"/>
        <v>0.54652364418509747</v>
      </c>
      <c r="F86" s="13">
        <f t="shared" si="24"/>
        <v>0.58682372382299131</v>
      </c>
      <c r="G86" s="13">
        <f t="shared" si="24"/>
        <v>0.89709838406992892</v>
      </c>
      <c r="H86" s="13">
        <f t="shared" si="24"/>
        <v>0.89226171893466744</v>
      </c>
      <c r="I86" s="13">
        <f t="shared" si="24"/>
        <v>0.97798569788570189</v>
      </c>
      <c r="J86" s="13">
        <f t="shared" si="24"/>
        <v>0.98989018999088907</v>
      </c>
      <c r="K86" s="13">
        <f t="shared" si="24"/>
        <v>0.91718666395190662</v>
      </c>
      <c r="L86" s="13">
        <f t="shared" si="24"/>
        <v>1.0520667321756492</v>
      </c>
      <c r="M86" s="13">
        <f t="shared" si="24"/>
        <v>1.1031178282605048</v>
      </c>
      <c r="N86" s="13">
        <f t="shared" si="24"/>
        <v>1.1243674347793586</v>
      </c>
      <c r="O86" s="13">
        <f t="shared" si="24"/>
        <v>1.0183657408155937</v>
      </c>
      <c r="P86" s="13">
        <f t="shared" si="24"/>
        <v>0.92409457494988612</v>
      </c>
      <c r="Q86" s="13">
        <f t="shared" si="24"/>
        <v>0.85561028536448447</v>
      </c>
      <c r="R86" s="13">
        <f t="shared" si="24"/>
        <v>0.79425573655760828</v>
      </c>
      <c r="S86" s="13">
        <f t="shared" si="24"/>
        <v>0.67722803917063956</v>
      </c>
      <c r="T86" s="13">
        <f t="shared" si="24"/>
        <v>0.63324836558002462</v>
      </c>
      <c r="U86" s="13">
        <f t="shared" si="24"/>
        <v>0.58285361527795809</v>
      </c>
      <c r="V86" s="13">
        <f t="shared" si="24"/>
        <v>0.58831505119395411</v>
      </c>
      <c r="W86" s="13">
        <f t="shared" si="24"/>
        <v>0.65120612342931361</v>
      </c>
      <c r="X86" s="13">
        <f t="shared" si="24"/>
        <v>0.62084295214651364</v>
      </c>
      <c r="Y86" s="13">
        <f t="shared" si="24"/>
        <v>0.61629002076382744</v>
      </c>
      <c r="Z86" s="13">
        <f t="shared" si="24"/>
        <v>0.62541510345617957</v>
      </c>
      <c r="AA86" s="13">
        <f t="shared" si="24"/>
        <v>0.53318318763227424</v>
      </c>
      <c r="AB86" s="13">
        <f t="shared" si="24"/>
        <v>0.54802584024766432</v>
      </c>
      <c r="AC86" s="13">
        <f t="shared" si="24"/>
        <v>0.5866191933816135</v>
      </c>
      <c r="AD86" s="13">
        <f t="shared" si="24"/>
        <v>0.60900612419428335</v>
      </c>
      <c r="AE86" s="13">
        <f t="shared" si="24"/>
        <v>0.67573966414223507</v>
      </c>
      <c r="AF86" s="13">
        <f t="shared" si="24"/>
        <v>0.64868899998832641</v>
      </c>
      <c r="AG86" s="13">
        <f t="shared" si="24"/>
        <v>0.69193674186516851</v>
      </c>
      <c r="AH86" s="13">
        <f t="shared" si="24"/>
        <v>0.62158142900491919</v>
      </c>
      <c r="AI86" s="13">
        <f t="shared" si="24"/>
        <v>0.63546017553667367</v>
      </c>
      <c r="AJ86" s="13">
        <f t="shared" si="24"/>
        <v>0.67407703372659522</v>
      </c>
      <c r="AK86" s="13">
        <f t="shared" si="24"/>
        <v>0.72828451614582845</v>
      </c>
      <c r="AL86" s="13">
        <f t="shared" si="24"/>
        <v>0.81236939273093567</v>
      </c>
      <c r="AM86" s="13">
        <f t="shared" si="24"/>
        <v>0.84214015652273255</v>
      </c>
      <c r="AN86" s="13">
        <f t="shared" si="24"/>
        <v>0.87905052357946289</v>
      </c>
      <c r="AO86" s="13">
        <f t="shared" si="24"/>
        <v>0.96649711359568569</v>
      </c>
      <c r="AP86" s="13">
        <f t="shared" si="24"/>
        <v>0.86093822527942476</v>
      </c>
      <c r="AQ86" s="13">
        <f t="shared" si="24"/>
        <v>0.9284869674817865</v>
      </c>
      <c r="AR86" s="13">
        <f t="shared" si="24"/>
        <v>0.96380757234946823</v>
      </c>
      <c r="AS86" s="13">
        <f t="shared" si="24"/>
        <v>0.98833012855739621</v>
      </c>
      <c r="AT86" s="13">
        <f t="shared" si="24"/>
        <v>1.0078064248960532</v>
      </c>
      <c r="AU86" s="13">
        <f t="shared" si="24"/>
        <v>0.97600932569054311</v>
      </c>
      <c r="AV86" s="13">
        <f t="shared" si="24"/>
        <v>0.90297710229688366</v>
      </c>
      <c r="AW86" s="13">
        <f t="shared" si="24"/>
        <v>0.88379203005580076</v>
      </c>
      <c r="AX86" s="13">
        <f t="shared" si="24"/>
        <v>0.85973555222947096</v>
      </c>
      <c r="AY86" s="13">
        <f t="shared" si="24"/>
        <v>0.82503529281074117</v>
      </c>
      <c r="AZ86" s="13">
        <f t="shared" si="24"/>
        <v>0.81219114085544808</v>
      </c>
      <c r="BA86" s="11"/>
      <c r="BB86" s="11"/>
      <c r="BC86" s="11"/>
      <c r="BD86" s="11"/>
      <c r="BE86" s="11"/>
      <c r="BF86" s="11"/>
      <c r="BG86" s="11"/>
      <c r="BH86" s="11"/>
      <c r="BI86" s="11"/>
      <c r="BJ86" s="11"/>
      <c r="BK86" s="11"/>
      <c r="BL86" s="11"/>
      <c r="BM86" s="11"/>
      <c r="BN86" s="11"/>
      <c r="BO86" s="11"/>
      <c r="BP86" s="11"/>
      <c r="BQ86" s="11"/>
      <c r="BR86" s="11"/>
    </row>
    <row r="87" spans="1:70" x14ac:dyDescent="0.45">
      <c r="B87" t="str">
        <f t="shared" si="20"/>
        <v>North America</v>
      </c>
      <c r="C87" s="13">
        <f t="shared" ref="C87:AZ87" si="25">C76/C$80</f>
        <v>5.4106382737127694</v>
      </c>
      <c r="D87" s="13">
        <f t="shared" si="25"/>
        <v>5.3726168603239763</v>
      </c>
      <c r="E87" s="13">
        <f t="shared" si="25"/>
        <v>5.176000435045407</v>
      </c>
      <c r="F87" s="13">
        <f t="shared" si="25"/>
        <v>4.8007182789579304</v>
      </c>
      <c r="G87" s="13">
        <f t="shared" si="25"/>
        <v>4.6481757179725065</v>
      </c>
      <c r="H87" s="13">
        <f t="shared" si="25"/>
        <v>4.5872094401055321</v>
      </c>
      <c r="I87" s="13">
        <f t="shared" si="25"/>
        <v>4.7790155182259451</v>
      </c>
      <c r="J87" s="13">
        <f t="shared" si="25"/>
        <v>4.7005352258890127</v>
      </c>
      <c r="K87" s="13">
        <f t="shared" si="25"/>
        <v>4.4787623625501318</v>
      </c>
      <c r="L87" s="13">
        <f t="shared" si="25"/>
        <v>4.3427693659242568</v>
      </c>
      <c r="M87" s="13">
        <f t="shared" si="25"/>
        <v>4.254778594181877</v>
      </c>
      <c r="N87" s="13">
        <f t="shared" si="25"/>
        <v>4.647835729908377</v>
      </c>
      <c r="O87" s="13">
        <f t="shared" si="25"/>
        <v>4.9440943264914372</v>
      </c>
      <c r="P87" s="13">
        <f t="shared" si="25"/>
        <v>5.3167863612001511</v>
      </c>
      <c r="Q87" s="13">
        <f t="shared" si="25"/>
        <v>5.7154937195721436</v>
      </c>
      <c r="R87" s="13">
        <f t="shared" si="25"/>
        <v>5.8732407525507702</v>
      </c>
      <c r="S87" s="13">
        <f t="shared" si="25"/>
        <v>5.2509827978844958</v>
      </c>
      <c r="T87" s="13">
        <f t="shared" si="25"/>
        <v>4.9251896326614535</v>
      </c>
      <c r="U87" s="13">
        <f t="shared" si="25"/>
        <v>4.805345993620163</v>
      </c>
      <c r="V87" s="13">
        <f t="shared" si="25"/>
        <v>4.9866987606978741</v>
      </c>
      <c r="W87" s="13">
        <f t="shared" si="25"/>
        <v>4.7019765214560323</v>
      </c>
      <c r="X87" s="13">
        <f t="shared" si="25"/>
        <v>4.5811153397274023</v>
      </c>
      <c r="Y87" s="13">
        <f t="shared" si="25"/>
        <v>4.5279357086570506</v>
      </c>
      <c r="Z87" s="13">
        <f t="shared" si="25"/>
        <v>4.6718436419526883</v>
      </c>
      <c r="AA87" s="13">
        <f t="shared" si="25"/>
        <v>4.6014111111398721</v>
      </c>
      <c r="AB87" s="13">
        <f t="shared" si="25"/>
        <v>4.3528080035307646</v>
      </c>
      <c r="AC87" s="13">
        <f t="shared" si="25"/>
        <v>4.5211112482708904</v>
      </c>
      <c r="AD87" s="13">
        <f t="shared" si="25"/>
        <v>4.8372653121116418</v>
      </c>
      <c r="AE87" s="13">
        <f t="shared" si="25"/>
        <v>5.0638901675108929</v>
      </c>
      <c r="AF87" s="13">
        <f t="shared" si="25"/>
        <v>5.1946519815450447</v>
      </c>
      <c r="AG87" s="13">
        <f t="shared" si="25"/>
        <v>5.4005652664672352</v>
      </c>
      <c r="AH87" s="13">
        <f t="shared" si="25"/>
        <v>5.6269879304632395</v>
      </c>
      <c r="AI87" s="13">
        <f t="shared" si="25"/>
        <v>5.6279676112364818</v>
      </c>
      <c r="AJ87" s="13">
        <f t="shared" si="25"/>
        <v>5.3286438353365009</v>
      </c>
      <c r="AK87" s="13">
        <f t="shared" si="25"/>
        <v>5.1131605971613512</v>
      </c>
      <c r="AL87" s="13">
        <f t="shared" si="25"/>
        <v>5.1255429595598327</v>
      </c>
      <c r="AM87" s="13">
        <f t="shared" si="25"/>
        <v>5.0982615464946335</v>
      </c>
      <c r="AN87" s="13">
        <f t="shared" si="25"/>
        <v>4.8206609446481608</v>
      </c>
      <c r="AO87" s="13">
        <f t="shared" si="25"/>
        <v>4.5618841271423793</v>
      </c>
      <c r="AP87" s="13">
        <f t="shared" si="25"/>
        <v>4.6447894499329596</v>
      </c>
      <c r="AQ87" s="13">
        <f t="shared" si="25"/>
        <v>4.5004370321268725</v>
      </c>
      <c r="AR87" s="13">
        <f t="shared" si="25"/>
        <v>4.2725874336407079</v>
      </c>
      <c r="AS87" s="13">
        <f t="shared" si="25"/>
        <v>4.378455092929185</v>
      </c>
      <c r="AT87" s="13">
        <f t="shared" si="25"/>
        <v>4.4129306405044462</v>
      </c>
      <c r="AU87" s="13">
        <f t="shared" si="25"/>
        <v>4.4473212957373338</v>
      </c>
      <c r="AV87" s="13">
        <f t="shared" si="25"/>
        <v>4.7644620160102118</v>
      </c>
      <c r="AW87" s="13">
        <f t="shared" si="25"/>
        <v>4.809759883066989</v>
      </c>
      <c r="AX87" s="13">
        <f t="shared" si="25"/>
        <v>4.756985881128946</v>
      </c>
      <c r="AY87" s="13">
        <f t="shared" si="25"/>
        <v>4.7357836006444494</v>
      </c>
      <c r="AZ87" s="13">
        <f t="shared" si="25"/>
        <v>4.8740277075482643</v>
      </c>
      <c r="BA87" s="11"/>
      <c r="BB87" s="11"/>
      <c r="BC87" s="11"/>
      <c r="BD87" s="11"/>
      <c r="BE87" s="11"/>
      <c r="BF87" s="11"/>
      <c r="BG87" s="11"/>
      <c r="BH87" s="11"/>
      <c r="BI87" s="11"/>
      <c r="BJ87" s="11"/>
      <c r="BK87" s="11"/>
      <c r="BL87" s="11"/>
      <c r="BM87" s="11"/>
      <c r="BN87" s="11"/>
      <c r="BO87" s="11"/>
      <c r="BP87" s="11"/>
      <c r="BQ87" s="11"/>
      <c r="BR87" s="11"/>
    </row>
    <row r="88" spans="1:70" x14ac:dyDescent="0.45">
      <c r="B88" t="str">
        <f t="shared" si="20"/>
        <v>Pacific</v>
      </c>
      <c r="C88" s="13">
        <f t="shared" ref="C88:AZ88" si="26">C77/C$80</f>
        <v>2.7480216299067886</v>
      </c>
      <c r="D88" s="13">
        <f t="shared" si="26"/>
        <v>2.7435594912678334</v>
      </c>
      <c r="E88" s="13">
        <f t="shared" si="26"/>
        <v>2.7626620350906057</v>
      </c>
      <c r="F88" s="13">
        <f t="shared" si="26"/>
        <v>2.8386834544411608</v>
      </c>
      <c r="G88" s="13">
        <f t="shared" si="26"/>
        <v>3.3110933069054287</v>
      </c>
      <c r="H88" s="13">
        <f t="shared" si="26"/>
        <v>3.1892143982290335</v>
      </c>
      <c r="I88" s="13">
        <f t="shared" si="26"/>
        <v>3.1899166402433097</v>
      </c>
      <c r="J88" s="13">
        <f t="shared" si="26"/>
        <v>3.010191908701529</v>
      </c>
      <c r="K88" s="13">
        <f t="shared" si="26"/>
        <v>2.7868677881585011</v>
      </c>
      <c r="L88" s="13">
        <f t="shared" si="26"/>
        <v>2.7493988701145828</v>
      </c>
      <c r="M88" s="13">
        <f t="shared" si="26"/>
        <v>2.7403587227425059</v>
      </c>
      <c r="N88" s="13">
        <f t="shared" si="26"/>
        <v>3.0719681771233645</v>
      </c>
      <c r="O88" s="13">
        <f t="shared" si="26"/>
        <v>3.3682056777101783</v>
      </c>
      <c r="P88" s="13">
        <f t="shared" si="26"/>
        <v>3.0659518186309702</v>
      </c>
      <c r="Q88" s="13">
        <f t="shared" si="26"/>
        <v>3.1637622655499005</v>
      </c>
      <c r="R88" s="13">
        <f t="shared" si="26"/>
        <v>2.8779185012555399</v>
      </c>
      <c r="S88" s="13">
        <f t="shared" si="26"/>
        <v>2.5206422693052239</v>
      </c>
      <c r="T88" s="13">
        <f t="shared" si="26"/>
        <v>2.3775019589253055</v>
      </c>
      <c r="U88" s="13">
        <f t="shared" si="26"/>
        <v>2.5925482738852987</v>
      </c>
      <c r="V88" s="13">
        <f t="shared" si="26"/>
        <v>3.014940874574584</v>
      </c>
      <c r="W88" s="13">
        <f t="shared" si="26"/>
        <v>2.7801937658797611</v>
      </c>
      <c r="X88" s="13">
        <f t="shared" si="26"/>
        <v>2.6981249452959766</v>
      </c>
      <c r="Y88" s="13">
        <f t="shared" si="26"/>
        <v>2.5317696305085691</v>
      </c>
      <c r="Z88" s="13">
        <f t="shared" si="26"/>
        <v>2.4494240402680116</v>
      </c>
      <c r="AA88" s="13">
        <f t="shared" si="26"/>
        <v>2.402266136543564</v>
      </c>
      <c r="AB88" s="13">
        <f t="shared" si="26"/>
        <v>2.4590777571581293</v>
      </c>
      <c r="AC88" s="13">
        <f t="shared" si="26"/>
        <v>2.6302436757785412</v>
      </c>
      <c r="AD88" s="13">
        <f t="shared" si="26"/>
        <v>2.8132051400234119</v>
      </c>
      <c r="AE88" s="13">
        <f t="shared" si="26"/>
        <v>2.5398422046690321</v>
      </c>
      <c r="AF88" s="13">
        <f t="shared" si="26"/>
        <v>2.405044282164241</v>
      </c>
      <c r="AG88" s="13">
        <f t="shared" si="26"/>
        <v>2.4435483878635069</v>
      </c>
      <c r="AH88" s="13">
        <f t="shared" si="26"/>
        <v>2.2759382120680498</v>
      </c>
      <c r="AI88" s="13">
        <f t="shared" si="26"/>
        <v>2.3386892039634355</v>
      </c>
      <c r="AJ88" s="13">
        <f t="shared" si="26"/>
        <v>2.5066352330152211</v>
      </c>
      <c r="AK88" s="13">
        <f t="shared" si="26"/>
        <v>2.8818790479281096</v>
      </c>
      <c r="AL88" s="13">
        <f t="shared" si="26"/>
        <v>3.0218528439260863</v>
      </c>
      <c r="AM88" s="13">
        <f t="shared" si="26"/>
        <v>2.9870688469562885</v>
      </c>
      <c r="AN88" s="13">
        <f t="shared" si="26"/>
        <v>3.0966708180837776</v>
      </c>
      <c r="AO88" s="13">
        <f t="shared" si="26"/>
        <v>3.4044055088411183</v>
      </c>
      <c r="AP88" s="13">
        <f t="shared" si="26"/>
        <v>3.1183732377357103</v>
      </c>
      <c r="AQ88" s="13">
        <f t="shared" si="26"/>
        <v>3.5180935104346149</v>
      </c>
      <c r="AR88" s="13">
        <f t="shared" si="26"/>
        <v>3.848653310686371</v>
      </c>
      <c r="AS88" s="13">
        <f t="shared" si="26"/>
        <v>4.1399090663670179</v>
      </c>
      <c r="AT88" s="13">
        <f t="shared" si="26"/>
        <v>4.1027714331316361</v>
      </c>
      <c r="AU88" s="13">
        <f t="shared" si="26"/>
        <v>3.7422079823859606</v>
      </c>
      <c r="AV88" s="13">
        <f t="shared" si="26"/>
        <v>3.5617783388182325</v>
      </c>
      <c r="AW88" s="13">
        <f t="shared" si="26"/>
        <v>3.1839279032132315</v>
      </c>
      <c r="AX88" s="13">
        <f t="shared" si="26"/>
        <v>3.2774936755800983</v>
      </c>
      <c r="AY88" s="13">
        <f t="shared" si="26"/>
        <v>3.281709712183206</v>
      </c>
      <c r="AZ88" s="13">
        <f t="shared" si="26"/>
        <v>3.1394614457143533</v>
      </c>
      <c r="BA88" s="11"/>
      <c r="BB88" s="11"/>
      <c r="BC88" s="11"/>
      <c r="BD88" s="11"/>
      <c r="BE88" s="11"/>
      <c r="BF88" s="11"/>
      <c r="BG88" s="11"/>
      <c r="BH88" s="11"/>
      <c r="BI88" s="11"/>
      <c r="BJ88" s="11"/>
      <c r="BK88" s="11"/>
      <c r="BL88" s="11"/>
      <c r="BM88" s="11"/>
      <c r="BN88" s="11"/>
      <c r="BO88" s="11"/>
      <c r="BP88" s="11"/>
      <c r="BQ88" s="11"/>
      <c r="BR88" s="11"/>
    </row>
    <row r="89" spans="1:70" x14ac:dyDescent="0.45">
      <c r="B89" t="str">
        <f t="shared" si="20"/>
        <v>South Asia</v>
      </c>
      <c r="C89" s="13">
        <f t="shared" ref="C89:AZ89" si="27">C78/C$80</f>
        <v>0.12710271215626584</v>
      </c>
      <c r="D89" s="13">
        <f t="shared" si="27"/>
        <v>0.12232246211890903</v>
      </c>
      <c r="E89" s="13">
        <f t="shared" si="27"/>
        <v>0.10659061670918801</v>
      </c>
      <c r="F89" s="13">
        <f t="shared" si="27"/>
        <v>9.986278427665693E-2</v>
      </c>
      <c r="G89" s="13">
        <f t="shared" si="27"/>
        <v>0.10543531807343547</v>
      </c>
      <c r="H89" s="13">
        <f t="shared" si="27"/>
        <v>0.10084601128474702</v>
      </c>
      <c r="I89" s="13">
        <f t="shared" si="27"/>
        <v>9.0227536335248507E-2</v>
      </c>
      <c r="J89" s="13">
        <f t="shared" si="27"/>
        <v>9.1959507006116353E-2</v>
      </c>
      <c r="K89" s="13">
        <f t="shared" si="27"/>
        <v>8.7818568517127174E-2</v>
      </c>
      <c r="L89" s="13">
        <f t="shared" si="27"/>
        <v>8.4289106149544005E-2</v>
      </c>
      <c r="M89" s="13">
        <f t="shared" si="27"/>
        <v>9.0308506315261869E-2</v>
      </c>
      <c r="N89" s="13">
        <f t="shared" si="27"/>
        <v>9.203098094121509E-2</v>
      </c>
      <c r="O89" s="13">
        <f t="shared" si="27"/>
        <v>9.5889541721027538E-2</v>
      </c>
      <c r="P89" s="13">
        <f t="shared" si="27"/>
        <v>9.8940099532890166E-2</v>
      </c>
      <c r="Q89" s="13">
        <f t="shared" si="27"/>
        <v>9.4307255682018393E-2</v>
      </c>
      <c r="R89" s="13">
        <f t="shared" si="27"/>
        <v>9.696983759462488E-2</v>
      </c>
      <c r="S89" s="13">
        <f t="shared" si="27"/>
        <v>8.5901956089140252E-2</v>
      </c>
      <c r="T89" s="13">
        <f t="shared" si="27"/>
        <v>8.2743801714341855E-2</v>
      </c>
      <c r="U89" s="13">
        <f t="shared" si="27"/>
        <v>7.8787209784304479E-2</v>
      </c>
      <c r="V89" s="13">
        <f t="shared" si="27"/>
        <v>7.5444891061516167E-2</v>
      </c>
      <c r="W89" s="13">
        <f t="shared" si="27"/>
        <v>7.175375743622614E-2</v>
      </c>
      <c r="X89" s="13">
        <f t="shared" si="27"/>
        <v>5.9758152814198981E-2</v>
      </c>
      <c r="Y89" s="13">
        <f t="shared" si="27"/>
        <v>5.9254680072765582E-2</v>
      </c>
      <c r="Z89" s="13">
        <f t="shared" si="27"/>
        <v>5.7482596488561327E-2</v>
      </c>
      <c r="AA89" s="13">
        <f t="shared" si="27"/>
        <v>6.0219095361294384E-2</v>
      </c>
      <c r="AB89" s="13">
        <f t="shared" si="27"/>
        <v>5.9817257621589036E-2</v>
      </c>
      <c r="AC89" s="13">
        <f t="shared" si="27"/>
        <v>6.3850142720079758E-2</v>
      </c>
      <c r="AD89" s="13">
        <f t="shared" si="27"/>
        <v>6.7015292667793908E-2</v>
      </c>
      <c r="AE89" s="13">
        <f t="shared" si="27"/>
        <v>6.7175983691585964E-2</v>
      </c>
      <c r="AF89" s="13">
        <f t="shared" si="27"/>
        <v>6.8897928138968709E-2</v>
      </c>
      <c r="AG89" s="13">
        <f t="shared" si="27"/>
        <v>7.020959023992536E-2</v>
      </c>
      <c r="AH89" s="13">
        <f t="shared" si="27"/>
        <v>7.2184537333169804E-2</v>
      </c>
      <c r="AI89" s="13">
        <f t="shared" si="27"/>
        <v>7.2709525052389437E-2</v>
      </c>
      <c r="AJ89" s="13">
        <f t="shared" si="27"/>
        <v>7.5464754213860105E-2</v>
      </c>
      <c r="AK89" s="13">
        <f t="shared" si="27"/>
        <v>7.7752630818800933E-2</v>
      </c>
      <c r="AL89" s="13">
        <f t="shared" si="27"/>
        <v>8.2608968273425523E-2</v>
      </c>
      <c r="AM89" s="13">
        <f t="shared" si="27"/>
        <v>8.7281156366162946E-2</v>
      </c>
      <c r="AN89" s="13">
        <f t="shared" si="27"/>
        <v>9.8006779839344776E-2</v>
      </c>
      <c r="AO89" s="13">
        <f t="shared" si="27"/>
        <v>9.1641461948379646E-2</v>
      </c>
      <c r="AP89" s="13">
        <f t="shared" si="27"/>
        <v>0.10506149865286975</v>
      </c>
      <c r="AQ89" s="13">
        <f t="shared" si="27"/>
        <v>0.11805146822821849</v>
      </c>
      <c r="AR89" s="13">
        <f t="shared" si="27"/>
        <v>0.11765513427488986</v>
      </c>
      <c r="AS89" s="13">
        <f t="shared" si="27"/>
        <v>0.11650588633611395</v>
      </c>
      <c r="AT89" s="13">
        <f t="shared" si="27"/>
        <v>0.11592399888747261</v>
      </c>
      <c r="AU89" s="13">
        <f t="shared" si="27"/>
        <v>0.12288071312721251</v>
      </c>
      <c r="AV89" s="13">
        <f t="shared" si="27"/>
        <v>0.13381270448929239</v>
      </c>
      <c r="AW89" s="13">
        <f t="shared" si="27"/>
        <v>0.14260708474782433</v>
      </c>
      <c r="AX89" s="13">
        <f t="shared" si="27"/>
        <v>0.15388898206565876</v>
      </c>
      <c r="AY89" s="13">
        <f t="shared" si="27"/>
        <v>0.14909638316166662</v>
      </c>
      <c r="AZ89" s="13">
        <f t="shared" si="27"/>
        <v>0.15334745625257762</v>
      </c>
      <c r="BA89" s="11"/>
      <c r="BB89" s="11"/>
      <c r="BC89" s="11"/>
      <c r="BD89" s="11"/>
      <c r="BE89" s="11"/>
      <c r="BF89" s="11"/>
      <c r="BG89" s="11"/>
      <c r="BH89" s="11"/>
      <c r="BI89" s="11"/>
      <c r="BJ89" s="11"/>
      <c r="BK89" s="11"/>
      <c r="BL89" s="11"/>
      <c r="BM89" s="11"/>
      <c r="BN89" s="11"/>
      <c r="BO89" s="11"/>
      <c r="BP89" s="11"/>
      <c r="BQ89" s="11"/>
      <c r="BR89" s="11"/>
    </row>
    <row r="90" spans="1:70" x14ac:dyDescent="0.45">
      <c r="B90" t="str">
        <f t="shared" si="20"/>
        <v>Sub-Saharan Africa</v>
      </c>
      <c r="C90" s="13">
        <f t="shared" ref="C90:AZ90" si="28">C79/C$80</f>
        <v>0.28442826761066015</v>
      </c>
      <c r="D90" s="13">
        <f t="shared" si="28"/>
        <v>0.2601455894000605</v>
      </c>
      <c r="E90" s="13">
        <f t="shared" si="28"/>
        <v>0.25296326172328693</v>
      </c>
      <c r="F90" s="13">
        <f t="shared" si="28"/>
        <v>0.26442141731964508</v>
      </c>
      <c r="G90" s="13">
        <f t="shared" si="28"/>
        <v>0.30104672713895841</v>
      </c>
      <c r="H90" s="13">
        <f t="shared" si="28"/>
        <v>0.29467260945585372</v>
      </c>
      <c r="I90" s="13">
        <f t="shared" si="28"/>
        <v>0.29271417414322226</v>
      </c>
      <c r="J90" s="13">
        <f t="shared" si="28"/>
        <v>0.28186004675397047</v>
      </c>
      <c r="K90" s="13">
        <f t="shared" si="28"/>
        <v>0.26121305595231992</v>
      </c>
      <c r="L90" s="13">
        <f t="shared" si="28"/>
        <v>0.26932437717099189</v>
      </c>
      <c r="M90" s="13">
        <f t="shared" si="28"/>
        <v>0.30171657475964664</v>
      </c>
      <c r="N90" s="13">
        <f t="shared" si="28"/>
        <v>0.40889253033207834</v>
      </c>
      <c r="O90" s="13">
        <f t="shared" si="28"/>
        <v>0.37394772947791438</v>
      </c>
      <c r="P90" s="13">
        <f t="shared" si="28"/>
        <v>0.31153315893709621</v>
      </c>
      <c r="Q90" s="13">
        <f t="shared" si="28"/>
        <v>0.25556040599978724</v>
      </c>
      <c r="R90" s="13">
        <f t="shared" si="28"/>
        <v>0.22338061246378682</v>
      </c>
      <c r="S90" s="13">
        <f t="shared" si="28"/>
        <v>0.19040435194809097</v>
      </c>
      <c r="T90" s="13">
        <f t="shared" si="28"/>
        <v>0.18634888268264738</v>
      </c>
      <c r="U90" s="13">
        <f t="shared" si="28"/>
        <v>0.16829419188716416</v>
      </c>
      <c r="V90" s="13">
        <f t="shared" si="28"/>
        <v>0.15742914158603696</v>
      </c>
      <c r="W90" s="13">
        <f t="shared" si="28"/>
        <v>0.15713191832982198</v>
      </c>
      <c r="X90" s="13">
        <f t="shared" si="28"/>
        <v>0.14807158136831036</v>
      </c>
      <c r="Y90" s="13">
        <f t="shared" si="28"/>
        <v>0.13818814670200055</v>
      </c>
      <c r="Z90" s="13">
        <f t="shared" si="28"/>
        <v>0.12604433931285436</v>
      </c>
      <c r="AA90" s="13">
        <f t="shared" si="28"/>
        <v>0.1143396515664008</v>
      </c>
      <c r="AB90" s="13">
        <f t="shared" si="28"/>
        <v>0.11643833806540228</v>
      </c>
      <c r="AC90" s="13">
        <f t="shared" si="28"/>
        <v>0.11496557970316118</v>
      </c>
      <c r="AD90" s="13">
        <f t="shared" si="28"/>
        <v>0.11866847030108196</v>
      </c>
      <c r="AE90" s="13">
        <f t="shared" si="28"/>
        <v>0.11087145603866169</v>
      </c>
      <c r="AF90" s="13">
        <f t="shared" si="28"/>
        <v>0.10693325348522974</v>
      </c>
      <c r="AG90" s="13">
        <f t="shared" si="28"/>
        <v>0.10915146888950022</v>
      </c>
      <c r="AH90" s="13">
        <f t="shared" si="28"/>
        <v>0.10325370745283936</v>
      </c>
      <c r="AI90" s="13">
        <f t="shared" si="28"/>
        <v>0.10647658358931507</v>
      </c>
      <c r="AJ90" s="13">
        <f t="shared" si="28"/>
        <v>0.11959626097211982</v>
      </c>
      <c r="AK90" s="13">
        <f t="shared" si="28"/>
        <v>0.13148485871411819</v>
      </c>
      <c r="AL90" s="13">
        <f t="shared" si="28"/>
        <v>0.14202072338374719</v>
      </c>
      <c r="AM90" s="13">
        <f t="shared" si="28"/>
        <v>0.15442408139093064</v>
      </c>
      <c r="AN90" s="13">
        <f t="shared" si="28"/>
        <v>0.15679872475664378</v>
      </c>
      <c r="AO90" s="13">
        <f t="shared" si="28"/>
        <v>0.15966024588644642</v>
      </c>
      <c r="AP90" s="13">
        <f t="shared" si="28"/>
        <v>0.15613613314180341</v>
      </c>
      <c r="AQ90" s="13">
        <f t="shared" si="28"/>
        <v>0.1715750991349394</v>
      </c>
      <c r="AR90" s="13">
        <f t="shared" si="28"/>
        <v>0.17095207984995195</v>
      </c>
      <c r="AS90" s="13">
        <f t="shared" si="28"/>
        <v>0.17077205367258039</v>
      </c>
      <c r="AT90" s="13">
        <f t="shared" si="28"/>
        <v>0.17349256220153389</v>
      </c>
      <c r="AU90" s="13">
        <f t="shared" si="28"/>
        <v>0.17256224806890297</v>
      </c>
      <c r="AV90" s="13">
        <f t="shared" si="28"/>
        <v>0.16225087612370709</v>
      </c>
      <c r="AW90" s="13">
        <f t="shared" si="28"/>
        <v>0.14354714867342536</v>
      </c>
      <c r="AX90" s="13">
        <f t="shared" si="28"/>
        <v>0.13988255787848441</v>
      </c>
      <c r="AY90" s="13">
        <f t="shared" si="28"/>
        <v>0.13785442459885633</v>
      </c>
      <c r="AZ90" s="13">
        <f t="shared" si="28"/>
        <v>0.13694854935278142</v>
      </c>
      <c r="BA90" s="11"/>
      <c r="BB90" s="11"/>
      <c r="BC90" s="11"/>
      <c r="BD90" s="11"/>
      <c r="BE90" s="11"/>
      <c r="BF90" s="11"/>
      <c r="BG90" s="11"/>
      <c r="BH90" s="11"/>
      <c r="BI90" s="11"/>
      <c r="BJ90" s="11"/>
      <c r="BK90" s="11"/>
      <c r="BL90" s="11"/>
      <c r="BM90" s="11"/>
      <c r="BN90" s="11"/>
      <c r="BO90" s="11"/>
      <c r="BP90" s="11"/>
      <c r="BQ90" s="11"/>
      <c r="BR90" s="11"/>
    </row>
    <row r="91" spans="1:70" x14ac:dyDescent="0.45">
      <c r="A91" t="s">
        <v>170</v>
      </c>
      <c r="C91" s="11"/>
      <c r="D91" s="11"/>
      <c r="E91" s="11"/>
      <c r="F91" s="11"/>
      <c r="G91" s="11"/>
      <c r="H91" s="11"/>
      <c r="I91" s="11"/>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c r="AP91" s="11"/>
      <c r="AQ91" s="11"/>
      <c r="AR91" s="11"/>
      <c r="AS91" s="11"/>
      <c r="AT91" s="11"/>
      <c r="AU91" s="11"/>
      <c r="AV91" s="11"/>
      <c r="AW91" s="11"/>
      <c r="AX91" s="11"/>
      <c r="AY91" s="11"/>
      <c r="AZ91" s="11"/>
      <c r="BA91" s="11"/>
      <c r="BB91" s="11"/>
      <c r="BC91" s="11"/>
      <c r="BD91" s="11"/>
      <c r="BE91" s="11"/>
      <c r="BF91" s="11"/>
      <c r="BG91" s="11"/>
      <c r="BH91" s="11"/>
      <c r="BI91" s="11"/>
      <c r="BJ91" s="11"/>
      <c r="BK91" s="11"/>
      <c r="BL91" s="11"/>
      <c r="BM91" s="11"/>
      <c r="BN91" s="11"/>
      <c r="BO91" s="11"/>
      <c r="BP91" s="11"/>
      <c r="BQ91" s="11"/>
      <c r="BR91" s="11"/>
    </row>
    <row r="92" spans="1:70" x14ac:dyDescent="0.45">
      <c r="B92" t="str">
        <f>B82</f>
        <v>China</v>
      </c>
      <c r="C92" s="13">
        <f>C60*C82</f>
        <v>1.1477393579079876E-3</v>
      </c>
      <c r="D92" s="13">
        <f t="shared" ref="D92:AZ97" si="29">D60*D82</f>
        <v>1.1134314298417813E-3</v>
      </c>
      <c r="E92" s="13">
        <f t="shared" si="29"/>
        <v>1.0943454208470441E-3</v>
      </c>
      <c r="F92" s="13">
        <f t="shared" si="29"/>
        <v>1.091885670396851E-3</v>
      </c>
      <c r="G92" s="13">
        <f t="shared" si="29"/>
        <v>9.9308724499564977E-4</v>
      </c>
      <c r="H92" s="13">
        <f t="shared" si="29"/>
        <v>1.0119507056147309E-3</v>
      </c>
      <c r="I92" s="13">
        <f t="shared" si="29"/>
        <v>8.8243813136765637E-4</v>
      </c>
      <c r="J92" s="13">
        <f t="shared" si="29"/>
        <v>8.9149192428107779E-4</v>
      </c>
      <c r="K92" s="13">
        <f t="shared" si="29"/>
        <v>6.4607201873934648E-4</v>
      </c>
      <c r="L92" s="13">
        <f t="shared" si="29"/>
        <v>6.6713652548267542E-4</v>
      </c>
      <c r="M92" s="13">
        <f t="shared" si="29"/>
        <v>6.4075366978219442E-4</v>
      </c>
      <c r="N92" s="13">
        <f t="shared" si="29"/>
        <v>6.374609798168821E-4</v>
      </c>
      <c r="O92" s="13">
        <f t="shared" si="29"/>
        <v>6.7868476315923723E-4</v>
      </c>
      <c r="P92" s="13">
        <f t="shared" si="29"/>
        <v>7.5145816547373767E-4</v>
      </c>
      <c r="Q92" s="13">
        <f t="shared" si="29"/>
        <v>8.1997004374561385E-4</v>
      </c>
      <c r="R92" s="13">
        <f t="shared" si="29"/>
        <v>9.3249216139347545E-4</v>
      </c>
      <c r="S92" s="13">
        <f t="shared" si="29"/>
        <v>7.6450973802768033E-4</v>
      </c>
      <c r="T92" s="13">
        <f t="shared" si="29"/>
        <v>6.0620611985347966E-4</v>
      </c>
      <c r="U92" s="13">
        <f t="shared" si="29"/>
        <v>6.1878302518514946E-4</v>
      </c>
      <c r="V92" s="13">
        <f t="shared" si="29"/>
        <v>6.5829623432230749E-4</v>
      </c>
      <c r="W92" s="13">
        <f t="shared" si="29"/>
        <v>6.0782515106211756E-4</v>
      </c>
      <c r="X92" s="13">
        <f t="shared" si="29"/>
        <v>6.092738423773002E-4</v>
      </c>
      <c r="Y92" s="13">
        <f t="shared" si="29"/>
        <v>6.390412880451753E-4</v>
      </c>
      <c r="Z92" s="13">
        <f t="shared" si="29"/>
        <v>6.5799653539516645E-4</v>
      </c>
      <c r="AA92" s="13">
        <f t="shared" si="29"/>
        <v>7.780765585143519E-4</v>
      </c>
      <c r="AB92" s="13">
        <f t="shared" si="29"/>
        <v>9.1489351507623249E-4</v>
      </c>
      <c r="AC92" s="13">
        <f t="shared" si="29"/>
        <v>1.0597080782576342E-3</v>
      </c>
      <c r="AD92" s="13">
        <f t="shared" si="29"/>
        <v>1.1918660261109129E-3</v>
      </c>
      <c r="AE92" s="13">
        <f t="shared" si="29"/>
        <v>1.2734702806241234E-3</v>
      </c>
      <c r="AF92" s="13">
        <f t="shared" si="29"/>
        <v>1.3095942510833983E-3</v>
      </c>
      <c r="AG92" s="13">
        <f t="shared" si="29"/>
        <v>1.4175736309645244E-3</v>
      </c>
      <c r="AH92" s="13">
        <f t="shared" si="29"/>
        <v>1.5907846698552442E-3</v>
      </c>
      <c r="AI92" s="13">
        <f t="shared" si="29"/>
        <v>1.6952984807291638E-3</v>
      </c>
      <c r="AJ92" s="13">
        <f t="shared" si="29"/>
        <v>1.7200785580476143E-3</v>
      </c>
      <c r="AK92" s="13">
        <f t="shared" si="29"/>
        <v>1.8197277900240739E-3</v>
      </c>
      <c r="AL92" s="13">
        <f t="shared" si="29"/>
        <v>1.9937773537549602E-3</v>
      </c>
      <c r="AM92" s="13">
        <f t="shared" si="29"/>
        <v>2.2509860143595669E-3</v>
      </c>
      <c r="AN92" s="13">
        <f t="shared" si="29"/>
        <v>2.6212715246577744E-3</v>
      </c>
      <c r="AO92" s="13">
        <f t="shared" si="29"/>
        <v>3.1559059149485927E-3</v>
      </c>
      <c r="AP92" s="13">
        <f t="shared" si="29"/>
        <v>3.6826985217965204E-3</v>
      </c>
      <c r="AQ92" s="13">
        <f t="shared" si="29"/>
        <v>4.071280553360191E-3</v>
      </c>
      <c r="AR92" s="13">
        <f t="shared" si="29"/>
        <v>4.6064462682789045E-3</v>
      </c>
      <c r="AS92" s="13">
        <f t="shared" si="29"/>
        <v>5.1423295244605628E-3</v>
      </c>
      <c r="AT92" s="13">
        <f t="shared" si="29"/>
        <v>5.6372048903913447E-3</v>
      </c>
      <c r="AU92" s="13">
        <f t="shared" si="29"/>
        <v>6.0104038443746736E-3</v>
      </c>
      <c r="AV92" s="13">
        <f t="shared" si="29"/>
        <v>6.6592584153349699E-3</v>
      </c>
      <c r="AW92" s="13">
        <f t="shared" si="29"/>
        <v>6.6862290348472424E-3</v>
      </c>
      <c r="AX92" s="13">
        <f t="shared" si="29"/>
        <v>6.947349422511081E-3</v>
      </c>
      <c r="AY92" s="13">
        <f t="shared" si="29"/>
        <v>7.4285365835106074E-3</v>
      </c>
      <c r="AZ92" s="13">
        <f t="shared" si="29"/>
        <v>7.6126377620367074E-3</v>
      </c>
    </row>
    <row r="93" spans="1:70" x14ac:dyDescent="0.45">
      <c r="B93" t="str">
        <f t="shared" ref="B93:B100" si="30">B83</f>
        <v>East Asia</v>
      </c>
      <c r="C93" s="13">
        <f t="shared" ref="C93:R100" si="31">C61*C83</f>
        <v>7.691891199048137E-2</v>
      </c>
      <c r="D93" s="13">
        <f t="shared" si="31"/>
        <v>7.8563851893569861E-2</v>
      </c>
      <c r="E93" s="13">
        <f t="shared" si="31"/>
        <v>8.8521998207298808E-2</v>
      </c>
      <c r="F93" s="13">
        <f t="shared" si="31"/>
        <v>9.8831173249799772E-2</v>
      </c>
      <c r="G93" s="13">
        <f t="shared" si="31"/>
        <v>9.7692624081778479E-2</v>
      </c>
      <c r="H93" s="13">
        <f t="shared" si="31"/>
        <v>9.5129257827522365E-2</v>
      </c>
      <c r="I93" s="13">
        <f t="shared" si="31"/>
        <v>0.10014664075617344</v>
      </c>
      <c r="J93" s="13">
        <f t="shared" si="31"/>
        <v>0.10888797224720063</v>
      </c>
      <c r="K93" s="13">
        <f t="shared" si="31"/>
        <v>0.12729314138757894</v>
      </c>
      <c r="L93" s="13">
        <f t="shared" si="31"/>
        <v>0.11706777644605275</v>
      </c>
      <c r="M93" s="13">
        <f t="shared" si="31"/>
        <v>0.11055585149883923</v>
      </c>
      <c r="N93" s="13">
        <f t="shared" si="31"/>
        <v>0.11786557821722229</v>
      </c>
      <c r="O93" s="13">
        <f t="shared" si="31"/>
        <v>0.11386214797683943</v>
      </c>
      <c r="P93" s="13">
        <f t="shared" si="31"/>
        <v>0.12196723223567504</v>
      </c>
      <c r="Q93" s="13">
        <f t="shared" si="31"/>
        <v>0.12544836826164274</v>
      </c>
      <c r="R93" s="13">
        <f t="shared" si="31"/>
        <v>0.12585784049284496</v>
      </c>
      <c r="S93" s="13">
        <f t="shared" si="29"/>
        <v>0.15122784365218464</v>
      </c>
      <c r="T93" s="13">
        <f t="shared" si="29"/>
        <v>0.16122114826243467</v>
      </c>
      <c r="U93" s="13">
        <f t="shared" si="29"/>
        <v>0.17553804041593507</v>
      </c>
      <c r="V93" s="13">
        <f t="shared" si="29"/>
        <v>0.17117216560524914</v>
      </c>
      <c r="W93" s="13">
        <f t="shared" si="29"/>
        <v>0.15903718765037742</v>
      </c>
      <c r="X93" s="13">
        <f t="shared" si="29"/>
        <v>0.17224326580166063</v>
      </c>
      <c r="Y93" s="13">
        <f t="shared" si="29"/>
        <v>0.17780646167101988</v>
      </c>
      <c r="Z93" s="13">
        <f t="shared" si="29"/>
        <v>0.19982543638307457</v>
      </c>
      <c r="AA93" s="13">
        <f t="shared" si="29"/>
        <v>0.20690322839720021</v>
      </c>
      <c r="AB93" s="13">
        <f t="shared" si="29"/>
        <v>0.20949645071407805</v>
      </c>
      <c r="AC93" s="13">
        <f t="shared" si="29"/>
        <v>0.18996226761710613</v>
      </c>
      <c r="AD93" s="13">
        <f t="shared" si="29"/>
        <v>0.17678447440933689</v>
      </c>
      <c r="AE93" s="13">
        <f t="shared" si="29"/>
        <v>0.15525283253634287</v>
      </c>
      <c r="AF93" s="13">
        <f t="shared" si="29"/>
        <v>0.17035618193510227</v>
      </c>
      <c r="AG93" s="13">
        <f t="shared" si="29"/>
        <v>0.17902942364402477</v>
      </c>
      <c r="AH93" s="13">
        <f t="shared" si="29"/>
        <v>0.1621510467620744</v>
      </c>
      <c r="AI93" s="13">
        <f t="shared" si="29"/>
        <v>0.15457997233052556</v>
      </c>
      <c r="AJ93" s="13">
        <f t="shared" si="29"/>
        <v>0.14993550384607135</v>
      </c>
      <c r="AK93" s="13">
        <f t="shared" si="29"/>
        <v>0.14671910968665092</v>
      </c>
      <c r="AL93" s="13">
        <f t="shared" si="29"/>
        <v>0.14064078547743478</v>
      </c>
      <c r="AM93" s="13">
        <f t="shared" si="29"/>
        <v>0.13150727435687257</v>
      </c>
      <c r="AN93" s="13">
        <f t="shared" si="29"/>
        <v>0.12303982525619608</v>
      </c>
      <c r="AO93" s="13">
        <f t="shared" si="29"/>
        <v>0.12278073995868259</v>
      </c>
      <c r="AP93" s="13">
        <f t="shared" si="29"/>
        <v>0.12947846785148154</v>
      </c>
      <c r="AQ93" s="13">
        <f t="shared" si="29"/>
        <v>0.13409959181302972</v>
      </c>
      <c r="AR93" s="13">
        <f t="shared" si="29"/>
        <v>0.13292431630046797</v>
      </c>
      <c r="AS93" s="13">
        <f t="shared" si="29"/>
        <v>0.13361120779706984</v>
      </c>
      <c r="AT93" s="13">
        <f t="shared" si="29"/>
        <v>0.11769908415001508</v>
      </c>
      <c r="AU93" s="13">
        <f t="shared" si="29"/>
        <v>0.11230105181330616</v>
      </c>
      <c r="AV93" s="13">
        <f t="shared" si="29"/>
        <v>0.11026594956238113</v>
      </c>
      <c r="AW93" s="13">
        <f t="shared" si="29"/>
        <v>0.11788316404276018</v>
      </c>
      <c r="AX93" s="13">
        <f t="shared" si="29"/>
        <v>0.11429840729303199</v>
      </c>
      <c r="AY93" s="13">
        <f t="shared" si="29"/>
        <v>0.11267888448911594</v>
      </c>
      <c r="AZ93" s="13">
        <f t="shared" si="29"/>
        <v>0.11331365094824233</v>
      </c>
    </row>
    <row r="94" spans="1:70" x14ac:dyDescent="0.45">
      <c r="B94" t="str">
        <f t="shared" si="30"/>
        <v>Europe</v>
      </c>
      <c r="C94" s="13">
        <f t="shared" si="31"/>
        <v>0.49556325012392732</v>
      </c>
      <c r="D94" s="13">
        <f t="shared" si="29"/>
        <v>0.51690329460614803</v>
      </c>
      <c r="E94" s="13">
        <f t="shared" si="29"/>
        <v>0.54431709512464854</v>
      </c>
      <c r="F94" s="13">
        <f t="shared" si="29"/>
        <v>0.57707040253308128</v>
      </c>
      <c r="G94" s="13">
        <f t="shared" si="29"/>
        <v>0.57716483622127668</v>
      </c>
      <c r="H94" s="13">
        <f t="shared" si="29"/>
        <v>0.61309418057521103</v>
      </c>
      <c r="I94" s="13">
        <f t="shared" si="29"/>
        <v>0.59588423167965632</v>
      </c>
      <c r="J94" s="13">
        <f t="shared" si="29"/>
        <v>0.60547528955544594</v>
      </c>
      <c r="K94" s="13">
        <f t="shared" si="29"/>
        <v>0.63724035082124175</v>
      </c>
      <c r="L94" s="13">
        <f t="shared" si="29"/>
        <v>0.6780815932080807</v>
      </c>
      <c r="M94" s="13">
        <f t="shared" si="29"/>
        <v>0.69853173584174766</v>
      </c>
      <c r="N94" s="13">
        <f t="shared" si="29"/>
        <v>0.60733983686620607</v>
      </c>
      <c r="O94" s="13">
        <f t="shared" si="29"/>
        <v>0.60327461105006619</v>
      </c>
      <c r="P94" s="13">
        <f t="shared" si="29"/>
        <v>0.58409842510784937</v>
      </c>
      <c r="Q94" s="13">
        <f t="shared" si="29"/>
        <v>0.54955590950703304</v>
      </c>
      <c r="R94" s="13">
        <f t="shared" si="29"/>
        <v>0.54898707484517983</v>
      </c>
      <c r="S94" s="13">
        <f t="shared" si="29"/>
        <v>0.64303255406033832</v>
      </c>
      <c r="T94" s="13">
        <f t="shared" si="29"/>
        <v>0.70413937691720907</v>
      </c>
      <c r="U94" s="13">
        <f t="shared" si="29"/>
        <v>0.70992288450433449</v>
      </c>
      <c r="V94" s="13">
        <f t="shared" si="29"/>
        <v>0.69899926413715308</v>
      </c>
      <c r="W94" s="13">
        <f t="shared" si="29"/>
        <v>0.78114053902239766</v>
      </c>
      <c r="X94" s="13">
        <f t="shared" si="29"/>
        <v>0.77245467898012243</v>
      </c>
      <c r="Y94" s="13">
        <f t="shared" si="29"/>
        <v>0.79763532645507051</v>
      </c>
      <c r="Z94" s="13">
        <f t="shared" si="29"/>
        <v>0.72217565265817718</v>
      </c>
      <c r="AA94" s="13">
        <f t="shared" si="29"/>
        <v>0.7194379803708647</v>
      </c>
      <c r="AB94" s="13">
        <f t="shared" si="29"/>
        <v>0.75866930077147032</v>
      </c>
      <c r="AC94" s="13">
        <f t="shared" si="29"/>
        <v>0.76737937958515412</v>
      </c>
      <c r="AD94" s="13">
        <f t="shared" si="29"/>
        <v>0.73441564515560198</v>
      </c>
      <c r="AE94" s="13">
        <f t="shared" si="29"/>
        <v>0.76145488111292436</v>
      </c>
      <c r="AF94" s="13">
        <f t="shared" si="29"/>
        <v>0.7410615728452763</v>
      </c>
      <c r="AG94" s="13">
        <f t="shared" si="29"/>
        <v>0.67545090072589054</v>
      </c>
      <c r="AH94" s="13">
        <f t="shared" si="29"/>
        <v>0.69363044861077561</v>
      </c>
      <c r="AI94" s="13">
        <f t="shared" si="29"/>
        <v>0.73358881855229752</v>
      </c>
      <c r="AJ94" s="13">
        <f t="shared" si="29"/>
        <v>0.80162354965381466</v>
      </c>
      <c r="AK94" s="13">
        <f t="shared" si="29"/>
        <v>0.8289540394502577</v>
      </c>
      <c r="AL94" s="13">
        <f t="shared" si="29"/>
        <v>0.80900156423780878</v>
      </c>
      <c r="AM94" s="13">
        <f t="shared" si="29"/>
        <v>0.80734963775740309</v>
      </c>
      <c r="AN94" s="13">
        <f t="shared" si="29"/>
        <v>0.83538042744231655</v>
      </c>
      <c r="AO94" s="13">
        <f t="shared" si="29"/>
        <v>0.83055524948059878</v>
      </c>
      <c r="AP94" s="13">
        <f t="shared" si="29"/>
        <v>0.78467491251746957</v>
      </c>
      <c r="AQ94" s="13">
        <f t="shared" si="29"/>
        <v>0.72579853017068385</v>
      </c>
      <c r="AR94" s="13">
        <f t="shared" si="29"/>
        <v>0.72218724403808332</v>
      </c>
      <c r="AS94" s="13">
        <f t="shared" si="29"/>
        <v>0.67569779944611741</v>
      </c>
      <c r="AT94" s="13">
        <f t="shared" si="29"/>
        <v>0.68778612797835181</v>
      </c>
      <c r="AU94" s="13">
        <f t="shared" si="29"/>
        <v>0.69170988425308433</v>
      </c>
      <c r="AV94" s="13">
        <f t="shared" si="29"/>
        <v>0.64017682492013606</v>
      </c>
      <c r="AW94" s="13">
        <f t="shared" si="29"/>
        <v>0.63558022244411638</v>
      </c>
      <c r="AX94" s="13">
        <f t="shared" si="29"/>
        <v>0.6307277114524934</v>
      </c>
      <c r="AY94" s="13">
        <f t="shared" si="29"/>
        <v>0.64304532371574119</v>
      </c>
      <c r="AZ94" s="13">
        <f t="shared" si="29"/>
        <v>0.62373756068963981</v>
      </c>
    </row>
    <row r="95" spans="1:70" x14ac:dyDescent="0.45">
      <c r="B95" t="str">
        <f t="shared" si="30"/>
        <v>Latin America and Caribbean</v>
      </c>
      <c r="C95" s="13">
        <f t="shared" si="31"/>
        <v>0.15025544628833734</v>
      </c>
      <c r="D95" s="13">
        <f t="shared" si="29"/>
        <v>0.15105537695801893</v>
      </c>
      <c r="E95" s="13">
        <f t="shared" si="29"/>
        <v>0.14666260038866319</v>
      </c>
      <c r="F95" s="13">
        <f t="shared" si="29"/>
        <v>0.15832109915137524</v>
      </c>
      <c r="G95" s="13">
        <f t="shared" si="29"/>
        <v>0.17804515789794439</v>
      </c>
      <c r="H95" s="13">
        <f t="shared" si="29"/>
        <v>0.16604958140934611</v>
      </c>
      <c r="I95" s="13">
        <f t="shared" si="29"/>
        <v>0.16939474164136159</v>
      </c>
      <c r="J95" s="13">
        <f t="shared" si="29"/>
        <v>0.16369153577554937</v>
      </c>
      <c r="K95" s="13">
        <f t="shared" si="29"/>
        <v>0.15611476862412518</v>
      </c>
      <c r="L95" s="13">
        <f t="shared" si="29"/>
        <v>0.15979608251848826</v>
      </c>
      <c r="M95" s="13">
        <f t="shared" si="29"/>
        <v>0.17136519899124192</v>
      </c>
      <c r="N95" s="13">
        <f t="shared" si="29"/>
        <v>0.19116102415203978</v>
      </c>
      <c r="O95" s="13">
        <f t="shared" si="29"/>
        <v>0.17802469709843313</v>
      </c>
      <c r="P95" s="13">
        <f t="shared" si="29"/>
        <v>0.15054692582895043</v>
      </c>
      <c r="Q95" s="13">
        <f t="shared" si="29"/>
        <v>0.14741777217791657</v>
      </c>
      <c r="R95" s="13">
        <f t="shared" si="29"/>
        <v>0.14432653587987862</v>
      </c>
      <c r="S95" s="13">
        <f t="shared" si="29"/>
        <v>0.12208850591286527</v>
      </c>
      <c r="T95" s="13">
        <f t="shared" si="29"/>
        <v>0.11463442059323412</v>
      </c>
      <c r="U95" s="13">
        <f t="shared" si="29"/>
        <v>0.11422225901750793</v>
      </c>
      <c r="V95" s="13">
        <f t="shared" si="29"/>
        <v>0.12200332422737958</v>
      </c>
      <c r="W95" s="13">
        <f t="shared" si="29"/>
        <v>0.12724278729330965</v>
      </c>
      <c r="X95" s="13">
        <f t="shared" si="29"/>
        <v>0.14896888491484669</v>
      </c>
      <c r="Y95" s="13">
        <f t="shared" si="29"/>
        <v>0.13091803152360423</v>
      </c>
      <c r="Z95" s="13">
        <f t="shared" si="29"/>
        <v>0.14921025671816451</v>
      </c>
      <c r="AA95" s="13">
        <f t="shared" si="29"/>
        <v>0.1587067094650583</v>
      </c>
      <c r="AB95" s="13">
        <f t="shared" si="29"/>
        <v>0.1507131283979336</v>
      </c>
      <c r="AC95" s="13">
        <f t="shared" si="29"/>
        <v>0.16143483803638176</v>
      </c>
      <c r="AD95" s="13">
        <f t="shared" si="29"/>
        <v>0.17724031989263581</v>
      </c>
      <c r="AE95" s="13">
        <f t="shared" si="29"/>
        <v>0.17704833648225321</v>
      </c>
      <c r="AF95" s="13">
        <f t="shared" si="29"/>
        <v>0.15180452911071968</v>
      </c>
      <c r="AG95" s="13">
        <f t="shared" si="29"/>
        <v>0.16198749630816031</v>
      </c>
      <c r="AH95" s="13">
        <f t="shared" si="29"/>
        <v>0.15895896717576119</v>
      </c>
      <c r="AI95" s="13">
        <f t="shared" si="29"/>
        <v>0.13832209399355738</v>
      </c>
      <c r="AJ95" s="13">
        <f t="shared" si="29"/>
        <v>0.12673964262620488</v>
      </c>
      <c r="AK95" s="13">
        <f t="shared" si="29"/>
        <v>0.1295964251775964</v>
      </c>
      <c r="AL95" s="13">
        <f t="shared" si="29"/>
        <v>0.14563650953917323</v>
      </c>
      <c r="AM95" s="13">
        <f t="shared" si="29"/>
        <v>0.15824845888302017</v>
      </c>
      <c r="AN95" s="13">
        <f t="shared" si="29"/>
        <v>0.16672404411659109</v>
      </c>
      <c r="AO95" s="13">
        <f t="shared" si="29"/>
        <v>0.17746799479333397</v>
      </c>
      <c r="AP95" s="13">
        <f t="shared" si="29"/>
        <v>0.17241309582742864</v>
      </c>
      <c r="AQ95" s="13">
        <f t="shared" si="29"/>
        <v>0.19819010151291508</v>
      </c>
      <c r="AR95" s="13">
        <f t="shared" si="29"/>
        <v>0.20932539614185938</v>
      </c>
      <c r="AS95" s="13">
        <f t="shared" si="29"/>
        <v>0.20535323047610557</v>
      </c>
      <c r="AT95" s="13">
        <f t="shared" si="29"/>
        <v>0.20507413677291061</v>
      </c>
      <c r="AU95" s="13">
        <f t="shared" si="29"/>
        <v>0.19886384294697493</v>
      </c>
      <c r="AV95" s="13">
        <f t="shared" si="29"/>
        <v>0.17768272567493695</v>
      </c>
      <c r="AW95" s="13">
        <f t="shared" si="29"/>
        <v>0.17033171165809974</v>
      </c>
      <c r="AX95" s="13">
        <f t="shared" si="29"/>
        <v>0.17857426576402913</v>
      </c>
      <c r="AY95" s="13">
        <f t="shared" si="29"/>
        <v>0.16312832451855122</v>
      </c>
      <c r="AZ95" s="13">
        <f t="shared" si="29"/>
        <v>0.15812948853101927</v>
      </c>
    </row>
    <row r="96" spans="1:70" x14ac:dyDescent="0.45">
      <c r="B96" t="str">
        <f t="shared" si="30"/>
        <v>Middle East and North Africa</v>
      </c>
      <c r="C96" s="13">
        <f t="shared" si="31"/>
        <v>3.554822337285099E-2</v>
      </c>
      <c r="D96" s="13">
        <f t="shared" si="29"/>
        <v>3.3286893134798004E-2</v>
      </c>
      <c r="E96" s="13">
        <f t="shared" si="29"/>
        <v>3.6785245281689249E-2</v>
      </c>
      <c r="F96" s="13">
        <f t="shared" si="29"/>
        <v>3.9497750641932103E-2</v>
      </c>
      <c r="G96" s="13">
        <f t="shared" si="29"/>
        <v>6.0381622004706752E-2</v>
      </c>
      <c r="H96" s="13">
        <f t="shared" si="29"/>
        <v>6.0056077235987229E-2</v>
      </c>
      <c r="I96" s="13">
        <f t="shared" si="29"/>
        <v>6.5825960434614542E-2</v>
      </c>
      <c r="J96" s="13">
        <f t="shared" si="29"/>
        <v>6.6627224326309839E-2</v>
      </c>
      <c r="K96" s="13">
        <f t="shared" si="29"/>
        <v>6.1733717765993713E-2</v>
      </c>
      <c r="L96" s="13">
        <f t="shared" si="29"/>
        <v>7.0812183896437925E-2</v>
      </c>
      <c r="M96" s="13">
        <f t="shared" si="29"/>
        <v>7.4248315363687811E-2</v>
      </c>
      <c r="N96" s="13">
        <f t="shared" si="29"/>
        <v>7.567857734091836E-2</v>
      </c>
      <c r="O96" s="13">
        <f t="shared" si="29"/>
        <v>6.8543847939511113E-2</v>
      </c>
      <c r="P96" s="13">
        <f t="shared" si="29"/>
        <v>6.2198673313934638E-2</v>
      </c>
      <c r="Q96" s="13">
        <f t="shared" si="29"/>
        <v>5.7589153822609526E-2</v>
      </c>
      <c r="R96" s="13">
        <f t="shared" si="29"/>
        <v>5.3459520729839019E-2</v>
      </c>
      <c r="S96" s="13">
        <f t="shared" si="29"/>
        <v>4.5582656482639199E-2</v>
      </c>
      <c r="T96" s="13">
        <f t="shared" si="29"/>
        <v>4.2622486144809346E-2</v>
      </c>
      <c r="U96" s="13">
        <f t="shared" si="29"/>
        <v>3.9230531797554868E-2</v>
      </c>
      <c r="V96" s="13">
        <f t="shared" si="29"/>
        <v>3.9598128445746908E-2</v>
      </c>
      <c r="W96" s="13">
        <f t="shared" si="29"/>
        <v>4.3831181384665338E-2</v>
      </c>
      <c r="X96" s="13">
        <f t="shared" si="29"/>
        <v>4.1787506394476877E-2</v>
      </c>
      <c r="Y96" s="13">
        <f t="shared" si="29"/>
        <v>4.1481059089872999E-2</v>
      </c>
      <c r="Z96" s="13">
        <f t="shared" si="29"/>
        <v>4.2095247348012087E-2</v>
      </c>
      <c r="AA96" s="13">
        <f t="shared" si="29"/>
        <v>3.5887329936787685E-2</v>
      </c>
      <c r="AB96" s="13">
        <f t="shared" si="29"/>
        <v>3.6886354632054329E-2</v>
      </c>
      <c r="AC96" s="13">
        <f t="shared" si="29"/>
        <v>3.9483984169916289E-2</v>
      </c>
      <c r="AD96" s="13">
        <f t="shared" si="29"/>
        <v>4.0990796820769067E-2</v>
      </c>
      <c r="AE96" s="13">
        <f t="shared" si="29"/>
        <v>4.5482477394188897E-2</v>
      </c>
      <c r="AF96" s="13">
        <f t="shared" si="29"/>
        <v>4.3661759614598894E-2</v>
      </c>
      <c r="AG96" s="13">
        <f t="shared" si="29"/>
        <v>4.6572665317847879E-2</v>
      </c>
      <c r="AH96" s="13">
        <f t="shared" si="29"/>
        <v>4.1837211567638789E-2</v>
      </c>
      <c r="AI96" s="13">
        <f t="shared" si="29"/>
        <v>4.2771357968814573E-2</v>
      </c>
      <c r="AJ96" s="13">
        <f t="shared" si="29"/>
        <v>4.5370569577751596E-2</v>
      </c>
      <c r="AK96" s="13">
        <f t="shared" si="29"/>
        <v>4.9019150125199987E-2</v>
      </c>
      <c r="AL96" s="13">
        <f t="shared" si="29"/>
        <v>5.4678709126120668E-2</v>
      </c>
      <c r="AM96" s="13">
        <f t="shared" si="29"/>
        <v>5.6682510535183916E-2</v>
      </c>
      <c r="AN96" s="13">
        <f t="shared" si="29"/>
        <v>5.9166862164002305E-2</v>
      </c>
      <c r="AO96" s="13">
        <f t="shared" si="29"/>
        <v>6.5052690338171154E-2</v>
      </c>
      <c r="AP96" s="13">
        <f t="shared" si="29"/>
        <v>5.7947765163038199E-2</v>
      </c>
      <c r="AQ96" s="13">
        <f t="shared" si="29"/>
        <v>6.2494315118966394E-2</v>
      </c>
      <c r="AR96" s="13">
        <f t="shared" si="29"/>
        <v>6.4871663523521902E-2</v>
      </c>
      <c r="AS96" s="13">
        <f t="shared" si="29"/>
        <v>6.652222019136321E-2</v>
      </c>
      <c r="AT96" s="13">
        <f t="shared" si="29"/>
        <v>6.7833124752618962E-2</v>
      </c>
      <c r="AU96" s="13">
        <f t="shared" si="29"/>
        <v>6.569293538301732E-2</v>
      </c>
      <c r="AV96" s="13">
        <f t="shared" si="29"/>
        <v>6.0777304962290245E-2</v>
      </c>
      <c r="AW96" s="13">
        <f t="shared" si="29"/>
        <v>5.9486002022986588E-2</v>
      </c>
      <c r="AX96" s="13">
        <f t="shared" si="29"/>
        <v>5.7866816015445161E-2</v>
      </c>
      <c r="AY96" s="13">
        <f t="shared" si="29"/>
        <v>5.5531221631492191E-2</v>
      </c>
      <c r="AZ96" s="13">
        <f t="shared" si="29"/>
        <v>5.4666711403732082E-2</v>
      </c>
      <c r="BA96" s="13"/>
      <c r="BB96" s="13"/>
      <c r="BC96" s="13"/>
      <c r="BD96" s="13"/>
      <c r="BE96" s="13"/>
      <c r="BF96" s="13"/>
      <c r="BG96" s="13"/>
      <c r="BH96" s="13"/>
      <c r="BI96" s="13"/>
      <c r="BJ96" s="13"/>
      <c r="BK96" s="13"/>
      <c r="BL96" s="13"/>
      <c r="BM96" s="13"/>
      <c r="BN96" s="13"/>
      <c r="BO96" s="13"/>
      <c r="BP96" s="13"/>
      <c r="BQ96" s="13"/>
      <c r="BR96" s="13"/>
    </row>
    <row r="97" spans="1:70" x14ac:dyDescent="0.45">
      <c r="B97" t="str">
        <f t="shared" si="30"/>
        <v>North America</v>
      </c>
      <c r="C97" s="13">
        <f t="shared" si="31"/>
        <v>0.10405073603293788</v>
      </c>
      <c r="D97" s="13">
        <f t="shared" si="29"/>
        <v>0.10331955500623032</v>
      </c>
      <c r="E97" s="13">
        <f t="shared" si="29"/>
        <v>9.9538469904719373E-2</v>
      </c>
      <c r="F97" s="13">
        <f t="shared" si="29"/>
        <v>9.232150536457559E-2</v>
      </c>
      <c r="G97" s="13">
        <f t="shared" si="29"/>
        <v>8.9387994576394361E-2</v>
      </c>
      <c r="H97" s="13">
        <f t="shared" si="29"/>
        <v>8.8215566155875627E-2</v>
      </c>
      <c r="I97" s="13">
        <f t="shared" si="29"/>
        <v>9.190414458126818E-2</v>
      </c>
      <c r="J97" s="13">
        <f t="shared" si="29"/>
        <v>9.0394908190173331E-2</v>
      </c>
      <c r="K97" s="13">
        <f t="shared" si="29"/>
        <v>8.6130045433656391E-2</v>
      </c>
      <c r="L97" s="13">
        <f t="shared" si="29"/>
        <v>8.3514795498543404E-2</v>
      </c>
      <c r="M97" s="13">
        <f t="shared" si="29"/>
        <v>8.1822665272728412E-2</v>
      </c>
      <c r="N97" s="13">
        <f t="shared" si="29"/>
        <v>8.9381456344391874E-2</v>
      </c>
      <c r="O97" s="13">
        <f t="shared" si="29"/>
        <v>9.5078737047912254E-2</v>
      </c>
      <c r="P97" s="13">
        <f t="shared" si="29"/>
        <v>0.10224589156154137</v>
      </c>
      <c r="Q97" s="13">
        <f t="shared" si="29"/>
        <v>0.10991334076100277</v>
      </c>
      <c r="R97" s="13">
        <f t="shared" si="29"/>
        <v>0.11294693754905327</v>
      </c>
      <c r="S97" s="13">
        <f t="shared" si="29"/>
        <v>0.10098043842085569</v>
      </c>
      <c r="T97" s="13">
        <f t="shared" si="29"/>
        <v>9.47151852434895E-2</v>
      </c>
      <c r="U97" s="13">
        <f t="shared" si="29"/>
        <v>9.2410499877310828E-2</v>
      </c>
      <c r="V97" s="13">
        <f t="shared" si="29"/>
        <v>9.5898053090343743E-2</v>
      </c>
      <c r="W97" s="13">
        <f t="shared" si="29"/>
        <v>9.0422625412616017E-2</v>
      </c>
      <c r="X97" s="13">
        <f t="shared" si="29"/>
        <v>8.8098371917834664E-2</v>
      </c>
      <c r="Y97" s="13">
        <f t="shared" si="29"/>
        <v>8.7075686704943284E-2</v>
      </c>
      <c r="Z97" s="13">
        <f t="shared" si="29"/>
        <v>8.9843146960628631E-2</v>
      </c>
      <c r="AA97" s="13">
        <f t="shared" si="29"/>
        <v>8.8488675214228318E-2</v>
      </c>
      <c r="AB97" s="13">
        <f t="shared" si="29"/>
        <v>8.3707846221745472E-2</v>
      </c>
      <c r="AC97" s="13">
        <f t="shared" ref="D97:AZ100" si="32">AC65*AC87</f>
        <v>8.6944447082132517E-2</v>
      </c>
      <c r="AD97" s="13">
        <f t="shared" si="32"/>
        <v>9.3024332925223885E-2</v>
      </c>
      <c r="AE97" s="13">
        <f t="shared" si="32"/>
        <v>9.7382503221363326E-2</v>
      </c>
      <c r="AF97" s="13">
        <f t="shared" si="32"/>
        <v>9.9897153491250862E-2</v>
      </c>
      <c r="AG97" s="13">
        <f t="shared" si="32"/>
        <v>0.10385702435513915</v>
      </c>
      <c r="AH97" s="13">
        <f t="shared" si="32"/>
        <v>0.10821130635506231</v>
      </c>
      <c r="AI97" s="13">
        <f t="shared" si="32"/>
        <v>0.10823014636993235</v>
      </c>
      <c r="AJ97" s="13">
        <f t="shared" si="32"/>
        <v>0.10247391991031733</v>
      </c>
      <c r="AK97" s="13">
        <f t="shared" si="32"/>
        <v>9.8330011483872146E-2</v>
      </c>
      <c r="AL97" s="13">
        <f t="shared" si="32"/>
        <v>9.8568133837689101E-2</v>
      </c>
      <c r="AM97" s="13">
        <f t="shared" si="32"/>
        <v>9.8043491278742956E-2</v>
      </c>
      <c r="AN97" s="13">
        <f t="shared" si="32"/>
        <v>9.2705018166310785E-2</v>
      </c>
      <c r="AO97" s="13">
        <f t="shared" si="32"/>
        <v>8.7728540906584218E-2</v>
      </c>
      <c r="AP97" s="13">
        <f t="shared" si="32"/>
        <v>8.9322874037172303E-2</v>
      </c>
      <c r="AQ97" s="13">
        <f t="shared" si="32"/>
        <v>8.6546866002439854E-2</v>
      </c>
      <c r="AR97" s="13">
        <f t="shared" si="32"/>
        <v>8.2165142954628997E-2</v>
      </c>
      <c r="AS97" s="13">
        <f t="shared" si="32"/>
        <v>8.4201059479407411E-2</v>
      </c>
      <c r="AT97" s="13">
        <f t="shared" si="32"/>
        <v>8.4864050778931666E-2</v>
      </c>
      <c r="AU97" s="13">
        <f t="shared" si="32"/>
        <v>8.5525409533410271E-2</v>
      </c>
      <c r="AV97" s="13">
        <f t="shared" si="32"/>
        <v>9.1624269538657918E-2</v>
      </c>
      <c r="AW97" s="13">
        <f t="shared" si="32"/>
        <v>9.2495382366672874E-2</v>
      </c>
      <c r="AX97" s="13">
        <f t="shared" si="32"/>
        <v>9.14804977140182E-2</v>
      </c>
      <c r="AY97" s="13">
        <f t="shared" si="32"/>
        <v>9.1072761550854794E-2</v>
      </c>
      <c r="AZ97" s="13">
        <f t="shared" si="32"/>
        <v>9.3731302068235864E-2</v>
      </c>
      <c r="BA97" s="13"/>
      <c r="BB97" s="13"/>
      <c r="BC97" s="13"/>
      <c r="BD97" s="13"/>
      <c r="BE97" s="13"/>
      <c r="BF97" s="13"/>
      <c r="BG97" s="13"/>
      <c r="BH97" s="13"/>
      <c r="BI97" s="13"/>
      <c r="BJ97" s="13"/>
      <c r="BK97" s="13"/>
      <c r="BL97" s="13"/>
      <c r="BM97" s="13"/>
      <c r="BN97" s="13"/>
      <c r="BO97" s="13"/>
      <c r="BP97" s="13"/>
      <c r="BQ97" s="13"/>
      <c r="BR97" s="13"/>
    </row>
    <row r="98" spans="1:70" x14ac:dyDescent="0.45">
      <c r="B98" t="str">
        <f t="shared" si="30"/>
        <v>Pacific</v>
      </c>
      <c r="C98" s="13">
        <f t="shared" si="31"/>
        <v>0.13211642451474945</v>
      </c>
      <c r="D98" s="13">
        <f t="shared" si="32"/>
        <v>0.13190189861864585</v>
      </c>
      <c r="E98" s="13">
        <f t="shared" si="32"/>
        <v>0.13282029014858682</v>
      </c>
      <c r="F98" s="13">
        <f t="shared" si="32"/>
        <v>0.13647516607890198</v>
      </c>
      <c r="G98" s="13">
        <f t="shared" si="32"/>
        <v>0.15918717821660716</v>
      </c>
      <c r="H98" s="13">
        <f t="shared" si="32"/>
        <v>0.15332761529947278</v>
      </c>
      <c r="I98" s="13">
        <f t="shared" si="32"/>
        <v>0.1533613769347745</v>
      </c>
      <c r="J98" s="13">
        <f t="shared" si="32"/>
        <v>0.14472076484141966</v>
      </c>
      <c r="K98" s="13">
        <f t="shared" si="32"/>
        <v>0.13398402827685102</v>
      </c>
      <c r="L98" s="13">
        <f t="shared" si="32"/>
        <v>0.13218263798627802</v>
      </c>
      <c r="M98" s="13">
        <f t="shared" si="32"/>
        <v>0.13174801551646664</v>
      </c>
      <c r="N98" s="13">
        <f t="shared" si="32"/>
        <v>0.14769077774631562</v>
      </c>
      <c r="O98" s="13">
        <f t="shared" si="32"/>
        <v>0.1619329652745278</v>
      </c>
      <c r="P98" s="13">
        <f t="shared" si="32"/>
        <v>0.14740152974187357</v>
      </c>
      <c r="Q98" s="13">
        <f t="shared" si="32"/>
        <v>0.15210395507451446</v>
      </c>
      <c r="R98" s="13">
        <f t="shared" si="32"/>
        <v>0.13836146640651636</v>
      </c>
      <c r="S98" s="13">
        <f t="shared" si="32"/>
        <v>0.12118472448582808</v>
      </c>
      <c r="T98" s="13">
        <f t="shared" si="32"/>
        <v>0.11430297879448585</v>
      </c>
      <c r="U98" s="13">
        <f t="shared" si="32"/>
        <v>0.12464174393679321</v>
      </c>
      <c r="V98" s="13">
        <f t="shared" si="32"/>
        <v>0.14494908050839347</v>
      </c>
      <c r="W98" s="13">
        <f t="shared" si="32"/>
        <v>0.13366316182114238</v>
      </c>
      <c r="X98" s="13">
        <f t="shared" si="32"/>
        <v>0.12971754544692196</v>
      </c>
      <c r="Y98" s="13">
        <f t="shared" si="32"/>
        <v>0.12171969377445044</v>
      </c>
      <c r="Z98" s="13">
        <f t="shared" si="32"/>
        <v>0.11776077116673134</v>
      </c>
      <c r="AA98" s="13">
        <f t="shared" si="32"/>
        <v>0.11549356425690212</v>
      </c>
      <c r="AB98" s="13">
        <f t="shared" si="32"/>
        <v>0.11822489217106391</v>
      </c>
      <c r="AC98" s="13">
        <f t="shared" si="32"/>
        <v>0.12645402287396834</v>
      </c>
      <c r="AD98" s="13">
        <f t="shared" si="32"/>
        <v>0.13525024711651021</v>
      </c>
      <c r="AE98" s="13">
        <f t="shared" si="32"/>
        <v>0.12210779830139579</v>
      </c>
      <c r="AF98" s="13">
        <f t="shared" si="32"/>
        <v>0.1156271289502039</v>
      </c>
      <c r="AG98" s="13">
        <f t="shared" si="32"/>
        <v>0.11747828787805323</v>
      </c>
      <c r="AH98" s="13">
        <f t="shared" si="32"/>
        <v>0.10942010634942548</v>
      </c>
      <c r="AI98" s="13">
        <f t="shared" si="32"/>
        <v>0.11243698095978055</v>
      </c>
      <c r="AJ98" s="13">
        <f t="shared" si="32"/>
        <v>0.12051130927957794</v>
      </c>
      <c r="AK98" s="13">
        <f t="shared" si="32"/>
        <v>0.13855187730423604</v>
      </c>
      <c r="AL98" s="13">
        <f t="shared" si="32"/>
        <v>0.14528138672721569</v>
      </c>
      <c r="AM98" s="13">
        <f t="shared" si="32"/>
        <v>0.14360907918059079</v>
      </c>
      <c r="AN98" s="13">
        <f t="shared" si="32"/>
        <v>0.14887840471556624</v>
      </c>
      <c r="AO98" s="13">
        <f t="shared" si="32"/>
        <v>0.16367334177120763</v>
      </c>
      <c r="AP98" s="13">
        <f t="shared" si="32"/>
        <v>0.14992179027575531</v>
      </c>
      <c r="AQ98" s="13">
        <f t="shared" si="32"/>
        <v>0.16913911107858726</v>
      </c>
      <c r="AR98" s="13">
        <f t="shared" si="32"/>
        <v>0.18503140916761399</v>
      </c>
      <c r="AS98" s="13">
        <f t="shared" si="32"/>
        <v>0.19903408972918357</v>
      </c>
      <c r="AT98" s="13">
        <f t="shared" si="32"/>
        <v>0.19724862659286713</v>
      </c>
      <c r="AU98" s="13">
        <f t="shared" si="32"/>
        <v>0.17991384530701734</v>
      </c>
      <c r="AV98" s="13">
        <f t="shared" si="32"/>
        <v>0.17123934321241502</v>
      </c>
      <c r="AW98" s="13">
        <f t="shared" si="32"/>
        <v>0.15307345688525154</v>
      </c>
      <c r="AX98" s="13">
        <f t="shared" si="32"/>
        <v>0.15757181132596626</v>
      </c>
      <c r="AY98" s="13">
        <f t="shared" si="32"/>
        <v>0.15777450539342336</v>
      </c>
      <c r="AZ98" s="13">
        <f t="shared" si="32"/>
        <v>0.15093564642857468</v>
      </c>
      <c r="BA98" s="13"/>
      <c r="BB98" s="13"/>
      <c r="BC98" s="13"/>
      <c r="BD98" s="13"/>
      <c r="BE98" s="13"/>
      <c r="BF98" s="13"/>
      <c r="BG98" s="13"/>
      <c r="BH98" s="13"/>
      <c r="BI98" s="13"/>
      <c r="BJ98" s="13"/>
      <c r="BK98" s="13"/>
      <c r="BL98" s="13"/>
      <c r="BM98" s="13"/>
      <c r="BN98" s="13"/>
      <c r="BO98" s="13"/>
      <c r="BP98" s="13"/>
      <c r="BQ98" s="13"/>
      <c r="BR98" s="13"/>
    </row>
    <row r="99" spans="1:70" x14ac:dyDescent="0.45">
      <c r="B99" t="str">
        <f t="shared" si="30"/>
        <v>South Asia</v>
      </c>
      <c r="C99" s="13">
        <f t="shared" si="31"/>
        <v>6.1107073152050885E-3</v>
      </c>
      <c r="D99" s="13">
        <f t="shared" si="32"/>
        <v>5.8808876018706267E-3</v>
      </c>
      <c r="E99" s="13">
        <f t="shared" si="32"/>
        <v>5.1245488802494242E-3</v>
      </c>
      <c r="F99" s="13">
        <f t="shared" si="32"/>
        <v>4.8010953979161991E-3</v>
      </c>
      <c r="G99" s="13">
        <f t="shared" si="32"/>
        <v>5.0690056766074746E-3</v>
      </c>
      <c r="H99" s="13">
        <f t="shared" si="32"/>
        <v>4.8483659271512988E-3</v>
      </c>
      <c r="I99" s="13">
        <f t="shared" si="32"/>
        <v>4.3378623238100244E-3</v>
      </c>
      <c r="J99" s="13">
        <f t="shared" si="32"/>
        <v>4.4211301445248249E-3</v>
      </c>
      <c r="K99" s="13">
        <f t="shared" si="32"/>
        <v>4.2220465633234219E-3</v>
      </c>
      <c r="L99" s="13">
        <f t="shared" si="32"/>
        <v>4.0523608725742313E-3</v>
      </c>
      <c r="M99" s="13">
        <f t="shared" si="32"/>
        <v>4.3417551113106674E-3</v>
      </c>
      <c r="N99" s="13">
        <f t="shared" si="32"/>
        <v>4.4245663914045715E-3</v>
      </c>
      <c r="O99" s="13">
        <f t="shared" si="32"/>
        <v>4.6100741212032476E-3</v>
      </c>
      <c r="P99" s="13">
        <f t="shared" si="32"/>
        <v>4.756735554465874E-3</v>
      </c>
      <c r="Q99" s="13">
        <f t="shared" si="32"/>
        <v>4.534002677020115E-3</v>
      </c>
      <c r="R99" s="13">
        <f t="shared" si="32"/>
        <v>4.6620114228185039E-3</v>
      </c>
      <c r="S99" s="13">
        <f t="shared" si="32"/>
        <v>4.12990173505482E-3</v>
      </c>
      <c r="T99" s="13">
        <f t="shared" si="32"/>
        <v>3.978067390112589E-3</v>
      </c>
      <c r="U99" s="13">
        <f t="shared" si="32"/>
        <v>3.7878466242454081E-3</v>
      </c>
      <c r="V99" s="13">
        <f t="shared" si="32"/>
        <v>3.6271582241113546E-3</v>
      </c>
      <c r="W99" s="13">
        <f t="shared" si="32"/>
        <v>3.4496998767416416E-3</v>
      </c>
      <c r="X99" s="13">
        <f t="shared" si="32"/>
        <v>2.872988116067259E-3</v>
      </c>
      <c r="Y99" s="13">
        <f t="shared" si="32"/>
        <v>2.8487826958060376E-3</v>
      </c>
      <c r="Z99" s="13">
        <f t="shared" si="32"/>
        <v>2.7635863696423716E-3</v>
      </c>
      <c r="AA99" s="13">
        <f t="shared" si="32"/>
        <v>2.8951488154468456E-3</v>
      </c>
      <c r="AB99" s="13">
        <f t="shared" si="32"/>
        <v>2.8758296933456269E-3</v>
      </c>
      <c r="AC99" s="13">
        <f t="shared" si="32"/>
        <v>3.0697184000038347E-3</v>
      </c>
      <c r="AD99" s="13">
        <f t="shared" si="32"/>
        <v>3.2218890705670148E-3</v>
      </c>
      <c r="AE99" s="13">
        <f t="shared" si="32"/>
        <v>3.2296146005570178E-3</v>
      </c>
      <c r="AF99" s="13">
        <f t="shared" si="32"/>
        <v>3.3124003912965729E-3</v>
      </c>
      <c r="AG99" s="13">
        <f t="shared" si="32"/>
        <v>3.375461069227181E-3</v>
      </c>
      <c r="AH99" s="13">
        <f t="shared" si="32"/>
        <v>3.470410448710087E-3</v>
      </c>
      <c r="AI99" s="13">
        <f t="shared" si="32"/>
        <v>3.4956502429033384E-3</v>
      </c>
      <c r="AJ99" s="13">
        <f t="shared" si="32"/>
        <v>3.6281131833586591E-3</v>
      </c>
      <c r="AK99" s="13">
        <f t="shared" si="32"/>
        <v>3.738107250903891E-3</v>
      </c>
      <c r="AL99" s="13">
        <f t="shared" si="32"/>
        <v>3.9715850131454584E-3</v>
      </c>
      <c r="AM99" s="13">
        <f t="shared" si="32"/>
        <v>4.1962094406809113E-3</v>
      </c>
      <c r="AN99" s="13">
        <f t="shared" si="32"/>
        <v>4.7118644153531144E-3</v>
      </c>
      <c r="AO99" s="13">
        <f t="shared" si="32"/>
        <v>4.405839516749022E-3</v>
      </c>
      <c r="AP99" s="13">
        <f t="shared" si="32"/>
        <v>5.0510335890802767E-3</v>
      </c>
      <c r="AQ99" s="13">
        <f t="shared" si="32"/>
        <v>5.6755513571258897E-3</v>
      </c>
      <c r="AR99" s="13">
        <f t="shared" si="32"/>
        <v>5.6564968401389354E-3</v>
      </c>
      <c r="AS99" s="13">
        <f t="shared" si="32"/>
        <v>5.6012445353900943E-3</v>
      </c>
      <c r="AT99" s="13">
        <f t="shared" si="32"/>
        <v>5.5732691772823377E-3</v>
      </c>
      <c r="AU99" s="13">
        <f t="shared" si="32"/>
        <v>5.9077265926544475E-3</v>
      </c>
      <c r="AV99" s="13">
        <f t="shared" si="32"/>
        <v>6.4333031004467495E-3</v>
      </c>
      <c r="AW99" s="13">
        <f t="shared" si="32"/>
        <v>6.8561098436454009E-3</v>
      </c>
      <c r="AX99" s="13">
        <f t="shared" si="32"/>
        <v>7.3985087531566714E-3</v>
      </c>
      <c r="AY99" s="13">
        <f t="shared" si="32"/>
        <v>7.168095344310896E-3</v>
      </c>
      <c r="AZ99" s="13">
        <f t="shared" si="32"/>
        <v>7.3724738582970012E-3</v>
      </c>
      <c r="BA99" s="13"/>
      <c r="BB99" s="13"/>
      <c r="BC99" s="13"/>
      <c r="BD99" s="13"/>
      <c r="BE99" s="13"/>
      <c r="BF99" s="13"/>
      <c r="BG99" s="13"/>
      <c r="BH99" s="13"/>
      <c r="BI99" s="13"/>
      <c r="BJ99" s="13"/>
      <c r="BK99" s="13"/>
      <c r="BL99" s="13"/>
      <c r="BM99" s="13"/>
      <c r="BN99" s="13"/>
      <c r="BO99" s="13"/>
      <c r="BP99" s="13"/>
      <c r="BQ99" s="13"/>
      <c r="BR99" s="13"/>
    </row>
    <row r="100" spans="1:70" x14ac:dyDescent="0.45">
      <c r="B100" t="str">
        <f t="shared" si="30"/>
        <v>Sub-Saharan Africa</v>
      </c>
      <c r="C100" s="13">
        <f t="shared" si="31"/>
        <v>8.7516390034049277E-2</v>
      </c>
      <c r="D100" s="13">
        <f t="shared" si="32"/>
        <v>8.0044796738480153E-2</v>
      </c>
      <c r="E100" s="13">
        <f t="shared" si="32"/>
        <v>7.7834849761011363E-2</v>
      </c>
      <c r="F100" s="13">
        <f t="shared" si="32"/>
        <v>8.1360436098352334E-2</v>
      </c>
      <c r="G100" s="13">
        <f t="shared" si="32"/>
        <v>9.26297621966026E-2</v>
      </c>
      <c r="H100" s="13">
        <f t="shared" si="32"/>
        <v>9.0668495217185771E-2</v>
      </c>
      <c r="I100" s="13">
        <f t="shared" si="32"/>
        <v>9.006589973637609E-2</v>
      </c>
      <c r="J100" s="13">
        <f t="shared" si="32"/>
        <v>8.6726168231990919E-2</v>
      </c>
      <c r="K100" s="13">
        <f t="shared" si="32"/>
        <v>8.0373247985329216E-2</v>
      </c>
      <c r="L100" s="13">
        <f t="shared" si="32"/>
        <v>8.2869039129535971E-2</v>
      </c>
      <c r="M100" s="13">
        <f t="shared" si="32"/>
        <v>9.2835869156814355E-2</v>
      </c>
      <c r="N100" s="13">
        <f t="shared" si="32"/>
        <v>0.12581308625602411</v>
      </c>
      <c r="O100" s="13">
        <f t="shared" si="32"/>
        <v>0.11506083983935828</v>
      </c>
      <c r="P100" s="13">
        <f t="shared" si="32"/>
        <v>9.5856356596029604E-2</v>
      </c>
      <c r="Q100" s="13">
        <f t="shared" si="32"/>
        <v>7.8633971076857614E-2</v>
      </c>
      <c r="R100" s="13">
        <f t="shared" si="32"/>
        <v>6.8732496142703645E-2</v>
      </c>
      <c r="S100" s="13">
        <f t="shared" si="32"/>
        <v>5.8585954445566454E-2</v>
      </c>
      <c r="T100" s="13">
        <f t="shared" si="32"/>
        <v>5.7338117748506889E-2</v>
      </c>
      <c r="U100" s="13">
        <f t="shared" si="32"/>
        <v>5.1782828272973591E-2</v>
      </c>
      <c r="V100" s="13">
        <f t="shared" si="32"/>
        <v>4.843973587262676E-2</v>
      </c>
      <c r="W100" s="13">
        <f t="shared" si="32"/>
        <v>4.8348282563022149E-2</v>
      </c>
      <c r="X100" s="13">
        <f t="shared" si="32"/>
        <v>4.5560486574864729E-2</v>
      </c>
      <c r="Y100" s="13">
        <f t="shared" si="32"/>
        <v>4.2519429754461713E-2</v>
      </c>
      <c r="Z100" s="13">
        <f t="shared" si="32"/>
        <v>3.8782873634724421E-2</v>
      </c>
      <c r="AA100" s="13">
        <f t="shared" si="32"/>
        <v>3.5181431251200247E-2</v>
      </c>
      <c r="AB100" s="13">
        <f t="shared" si="32"/>
        <v>3.5827180943200705E-2</v>
      </c>
      <c r="AC100" s="13">
        <f t="shared" si="32"/>
        <v>3.5374024524049599E-2</v>
      </c>
      <c r="AD100" s="13">
        <f t="shared" si="32"/>
        <v>3.6513375477255992E-2</v>
      </c>
      <c r="AE100" s="13">
        <f t="shared" si="32"/>
        <v>3.4114294165742062E-2</v>
      </c>
      <c r="AF100" s="13">
        <f t="shared" si="32"/>
        <v>3.2902539533916843E-2</v>
      </c>
      <c r="AG100" s="13">
        <f t="shared" si="32"/>
        <v>3.3585067350615457E-2</v>
      </c>
      <c r="AH100" s="13">
        <f t="shared" si="32"/>
        <v>3.1770371523950576E-2</v>
      </c>
      <c r="AI100" s="13">
        <f t="shared" si="32"/>
        <v>3.2762025719789256E-2</v>
      </c>
      <c r="AJ100" s="13">
        <f t="shared" si="32"/>
        <v>3.6798849529883028E-2</v>
      </c>
      <c r="AK100" s="13">
        <f t="shared" si="32"/>
        <v>4.0456879604344062E-2</v>
      </c>
      <c r="AL100" s="13">
        <f t="shared" si="32"/>
        <v>4.3698684118076057E-2</v>
      </c>
      <c r="AM100" s="13">
        <f t="shared" si="32"/>
        <v>4.7515101966440203E-2</v>
      </c>
      <c r="AN100" s="13">
        <f t="shared" si="32"/>
        <v>4.8245761463582705E-2</v>
      </c>
      <c r="AO100" s="13">
        <f t="shared" si="32"/>
        <v>4.9126229503521981E-2</v>
      </c>
      <c r="AP100" s="13">
        <f t="shared" si="32"/>
        <v>4.8041887120554898E-2</v>
      </c>
      <c r="AQ100" s="13">
        <f t="shared" si="32"/>
        <v>5.2792338195365975E-2</v>
      </c>
      <c r="AR100" s="13">
        <f t="shared" si="32"/>
        <v>5.2600639953831373E-2</v>
      </c>
      <c r="AS100" s="13">
        <f t="shared" si="32"/>
        <v>5.2545247283870888E-2</v>
      </c>
      <c r="AT100" s="13">
        <f t="shared" si="32"/>
        <v>5.3382326831241202E-2</v>
      </c>
      <c r="AU100" s="13">
        <f t="shared" si="32"/>
        <v>5.3096076328893224E-2</v>
      </c>
      <c r="AV100" s="13">
        <f t="shared" si="32"/>
        <v>4.9923346499602186E-2</v>
      </c>
      <c r="AW100" s="13">
        <f t="shared" si="32"/>
        <v>4.4168353437977037E-2</v>
      </c>
      <c r="AX100" s="13">
        <f t="shared" si="32"/>
        <v>4.3040787039533665E-2</v>
      </c>
      <c r="AY100" s="13">
        <f t="shared" si="32"/>
        <v>4.2416746030417334E-2</v>
      </c>
      <c r="AZ100" s="13">
        <f t="shared" si="32"/>
        <v>4.2138015185471209E-2</v>
      </c>
      <c r="BA100" s="13"/>
      <c r="BB100" s="13"/>
      <c r="BC100" s="13"/>
      <c r="BD100" s="13"/>
      <c r="BE100" s="13"/>
      <c r="BF100" s="13"/>
      <c r="BG100" s="13"/>
      <c r="BH100" s="13"/>
      <c r="BI100" s="13"/>
      <c r="BJ100" s="13"/>
      <c r="BK100" s="13"/>
      <c r="BL100" s="13"/>
      <c r="BM100" s="13"/>
      <c r="BN100" s="13"/>
      <c r="BO100" s="13"/>
      <c r="BP100" s="13"/>
      <c r="BQ100" s="13"/>
      <c r="BR100" s="13"/>
    </row>
    <row r="101" spans="1:70" x14ac:dyDescent="0.45">
      <c r="C101" s="13"/>
      <c r="D101" s="13"/>
      <c r="E101" s="13"/>
      <c r="F101" s="13"/>
      <c r="G101" s="13"/>
      <c r="H101" s="13"/>
      <c r="I101" s="13"/>
      <c r="J101" s="13"/>
      <c r="K101" s="13"/>
      <c r="L101" s="13"/>
      <c r="M101" s="13"/>
      <c r="N101" s="13"/>
      <c r="O101" s="13"/>
      <c r="P101" s="13"/>
      <c r="Q101" s="13"/>
      <c r="R101" s="13"/>
      <c r="S101" s="13"/>
      <c r="T101" s="13"/>
      <c r="U101" s="13"/>
      <c r="V101" s="13"/>
      <c r="W101" s="13"/>
      <c r="X101" s="13"/>
      <c r="Y101" s="13"/>
      <c r="Z101" s="13"/>
      <c r="AA101" s="13"/>
      <c r="AB101" s="13"/>
      <c r="AC101" s="13"/>
      <c r="AD101" s="13"/>
      <c r="AE101" s="13"/>
      <c r="AF101" s="13"/>
      <c r="AG101" s="13"/>
      <c r="AH101" s="13"/>
      <c r="AI101" s="13"/>
      <c r="AJ101" s="13"/>
      <c r="AK101" s="13"/>
      <c r="AL101" s="13"/>
      <c r="AM101" s="13"/>
      <c r="AN101" s="13"/>
      <c r="AO101" s="13"/>
      <c r="AP101" s="13"/>
      <c r="AQ101" s="13"/>
      <c r="AR101" s="13"/>
      <c r="AS101" s="13"/>
      <c r="AT101" s="13"/>
      <c r="AU101" s="13"/>
      <c r="AV101" s="13"/>
      <c r="AW101" s="13"/>
      <c r="AX101" s="13"/>
      <c r="AY101" s="13"/>
      <c r="AZ101" s="13"/>
      <c r="BA101" s="13"/>
      <c r="BB101" s="13"/>
      <c r="BC101" s="13"/>
      <c r="BD101" s="13"/>
      <c r="BE101" s="13"/>
      <c r="BF101" s="13"/>
      <c r="BG101" s="13"/>
      <c r="BH101" s="13"/>
      <c r="BI101" s="13"/>
      <c r="BJ101" s="13"/>
      <c r="BK101" s="13"/>
      <c r="BL101" s="13"/>
      <c r="BM101" s="13"/>
      <c r="BN101" s="13"/>
      <c r="BO101" s="13"/>
      <c r="BP101" s="13"/>
      <c r="BQ101" s="13"/>
      <c r="BR101" s="13"/>
    </row>
    <row r="102" spans="1:70" x14ac:dyDescent="0.45">
      <c r="A102" t="s">
        <v>171</v>
      </c>
      <c r="C102" t="str">
        <f t="shared" ref="C102:AH102" si="33">C13</f>
        <v>1970</v>
      </c>
      <c r="D102" t="str">
        <f t="shared" si="33"/>
        <v>1971</v>
      </c>
      <c r="E102" t="str">
        <f t="shared" si="33"/>
        <v>1972</v>
      </c>
      <c r="F102" t="str">
        <f t="shared" si="33"/>
        <v>1973</v>
      </c>
      <c r="G102" t="str">
        <f t="shared" si="33"/>
        <v>1974</v>
      </c>
      <c r="H102" t="str">
        <f t="shared" si="33"/>
        <v>1975</v>
      </c>
      <c r="I102" t="str">
        <f t="shared" si="33"/>
        <v>1976</v>
      </c>
      <c r="J102" t="str">
        <f t="shared" si="33"/>
        <v>1977</v>
      </c>
      <c r="K102" t="str">
        <f t="shared" si="33"/>
        <v>1978</v>
      </c>
      <c r="L102" t="str">
        <f t="shared" si="33"/>
        <v>1979</v>
      </c>
      <c r="M102" t="str">
        <f t="shared" si="33"/>
        <v>1980</v>
      </c>
      <c r="N102" t="str">
        <f t="shared" si="33"/>
        <v>1981</v>
      </c>
      <c r="O102" t="str">
        <f t="shared" si="33"/>
        <v>1982</v>
      </c>
      <c r="P102" t="str">
        <f t="shared" si="33"/>
        <v>1983</v>
      </c>
      <c r="Q102" t="str">
        <f t="shared" si="33"/>
        <v>1984</v>
      </c>
      <c r="R102" t="str">
        <f t="shared" si="33"/>
        <v>1985</v>
      </c>
      <c r="S102" t="str">
        <f t="shared" si="33"/>
        <v>1986</v>
      </c>
      <c r="T102" t="str">
        <f t="shared" si="33"/>
        <v>1987</v>
      </c>
      <c r="U102" t="str">
        <f t="shared" si="33"/>
        <v>1988</v>
      </c>
      <c r="V102" t="str">
        <f t="shared" si="33"/>
        <v>1989</v>
      </c>
      <c r="W102" t="str">
        <f t="shared" si="33"/>
        <v>1990</v>
      </c>
      <c r="X102" t="str">
        <f t="shared" si="33"/>
        <v>1991</v>
      </c>
      <c r="Y102" t="str">
        <f t="shared" si="33"/>
        <v>1992</v>
      </c>
      <c r="Z102" t="str">
        <f t="shared" si="33"/>
        <v>1993</v>
      </c>
      <c r="AA102" t="str">
        <f t="shared" si="33"/>
        <v>1994</v>
      </c>
      <c r="AB102" t="str">
        <f t="shared" si="33"/>
        <v>1995</v>
      </c>
      <c r="AC102" t="str">
        <f t="shared" si="33"/>
        <v>1996</v>
      </c>
      <c r="AD102" t="str">
        <f t="shared" si="33"/>
        <v>1997</v>
      </c>
      <c r="AE102" t="str">
        <f t="shared" si="33"/>
        <v>1998</v>
      </c>
      <c r="AF102" t="str">
        <f t="shared" si="33"/>
        <v>1999</v>
      </c>
      <c r="AG102" t="str">
        <f t="shared" si="33"/>
        <v>2000</v>
      </c>
      <c r="AH102" t="str">
        <f t="shared" si="33"/>
        <v>2001</v>
      </c>
      <c r="AI102" t="str">
        <f t="shared" ref="AI102:AZ102" si="34">AI13</f>
        <v>2002</v>
      </c>
      <c r="AJ102" t="str">
        <f t="shared" si="34"/>
        <v>2003</v>
      </c>
      <c r="AK102" t="str">
        <f t="shared" si="34"/>
        <v>2004</v>
      </c>
      <c r="AL102" t="str">
        <f t="shared" si="34"/>
        <v>2005</v>
      </c>
      <c r="AM102" t="str">
        <f t="shared" si="34"/>
        <v>2006</v>
      </c>
      <c r="AN102" t="str">
        <f t="shared" si="34"/>
        <v>2007</v>
      </c>
      <c r="AO102" t="str">
        <f t="shared" si="34"/>
        <v>2008</v>
      </c>
      <c r="AP102" t="str">
        <f t="shared" si="34"/>
        <v>2009</v>
      </c>
      <c r="AQ102" t="str">
        <f t="shared" si="34"/>
        <v>2010</v>
      </c>
      <c r="AR102" t="str">
        <f t="shared" si="34"/>
        <v>2011</v>
      </c>
      <c r="AS102" t="str">
        <f t="shared" si="34"/>
        <v>2012</v>
      </c>
      <c r="AT102" t="str">
        <f t="shared" si="34"/>
        <v>2013</v>
      </c>
      <c r="AU102" t="str">
        <f t="shared" si="34"/>
        <v>2014</v>
      </c>
      <c r="AV102" t="str">
        <f t="shared" si="34"/>
        <v>2015</v>
      </c>
      <c r="AW102" t="str">
        <f t="shared" si="34"/>
        <v>2016</v>
      </c>
      <c r="AX102" t="str">
        <f t="shared" si="34"/>
        <v>2017</v>
      </c>
      <c r="AY102" t="str">
        <f t="shared" si="34"/>
        <v>2018</v>
      </c>
      <c r="AZ102" t="str">
        <f t="shared" si="34"/>
        <v>2019</v>
      </c>
    </row>
    <row r="103" spans="1:70" x14ac:dyDescent="0.45">
      <c r="B103" t="str">
        <f>B92</f>
        <v>China</v>
      </c>
      <c r="C103" s="13">
        <f>C38*C92</f>
        <v>0</v>
      </c>
      <c r="D103" s="13">
        <f t="shared" ref="D103:AZ108" si="35">D38*D92</f>
        <v>0</v>
      </c>
      <c r="E103" s="13">
        <f t="shared" si="35"/>
        <v>0</v>
      </c>
      <c r="F103" s="13">
        <f t="shared" si="35"/>
        <v>0</v>
      </c>
      <c r="G103" s="13">
        <f t="shared" si="35"/>
        <v>0</v>
      </c>
      <c r="H103" s="13">
        <f t="shared" si="35"/>
        <v>0</v>
      </c>
      <c r="I103" s="13">
        <f t="shared" si="35"/>
        <v>0</v>
      </c>
      <c r="J103" s="13">
        <f t="shared" si="35"/>
        <v>0</v>
      </c>
      <c r="K103" s="13">
        <f t="shared" si="35"/>
        <v>0</v>
      </c>
      <c r="L103" s="13">
        <f t="shared" si="35"/>
        <v>0</v>
      </c>
      <c r="M103" s="13">
        <f t="shared" si="35"/>
        <v>0</v>
      </c>
      <c r="N103" s="13">
        <f t="shared" si="35"/>
        <v>0</v>
      </c>
      <c r="O103" s="13">
        <f t="shared" si="35"/>
        <v>0</v>
      </c>
      <c r="P103" s="13">
        <f t="shared" si="35"/>
        <v>0</v>
      </c>
      <c r="Q103" s="13">
        <f t="shared" si="35"/>
        <v>0</v>
      </c>
      <c r="R103" s="13">
        <f t="shared" si="35"/>
        <v>0</v>
      </c>
      <c r="S103" s="13">
        <f t="shared" si="35"/>
        <v>0</v>
      </c>
      <c r="T103" s="13">
        <f t="shared" si="35"/>
        <v>0</v>
      </c>
      <c r="U103" s="13">
        <f t="shared" si="35"/>
        <v>0</v>
      </c>
      <c r="V103" s="13">
        <f t="shared" si="35"/>
        <v>0</v>
      </c>
      <c r="W103" s="13">
        <f t="shared" si="35"/>
        <v>0</v>
      </c>
      <c r="X103" s="13">
        <f t="shared" si="35"/>
        <v>0</v>
      </c>
      <c r="Y103" s="13">
        <f t="shared" si="35"/>
        <v>0</v>
      </c>
      <c r="Z103" s="13">
        <f t="shared" si="35"/>
        <v>0</v>
      </c>
      <c r="AA103" s="13">
        <f t="shared" si="35"/>
        <v>0</v>
      </c>
      <c r="AB103" s="13">
        <f t="shared" si="35"/>
        <v>0</v>
      </c>
      <c r="AC103" s="13">
        <f t="shared" si="35"/>
        <v>0</v>
      </c>
      <c r="AD103" s="13">
        <f t="shared" si="35"/>
        <v>0</v>
      </c>
      <c r="AE103" s="13">
        <f t="shared" si="35"/>
        <v>0</v>
      </c>
      <c r="AF103" s="13">
        <f t="shared" si="35"/>
        <v>0</v>
      </c>
      <c r="AG103" s="13">
        <f t="shared" si="35"/>
        <v>0</v>
      </c>
      <c r="AH103" s="13">
        <f t="shared" si="35"/>
        <v>0</v>
      </c>
      <c r="AI103" s="13">
        <f t="shared" si="35"/>
        <v>0</v>
      </c>
      <c r="AJ103" s="13">
        <f t="shared" si="35"/>
        <v>0</v>
      </c>
      <c r="AK103" s="13">
        <f t="shared" si="35"/>
        <v>0</v>
      </c>
      <c r="AL103" s="13">
        <f t="shared" si="35"/>
        <v>0</v>
      </c>
      <c r="AM103" s="13">
        <f t="shared" si="35"/>
        <v>0</v>
      </c>
      <c r="AN103" s="13">
        <f t="shared" si="35"/>
        <v>0</v>
      </c>
      <c r="AO103" s="13">
        <f t="shared" si="35"/>
        <v>0</v>
      </c>
      <c r="AP103" s="13">
        <f t="shared" si="35"/>
        <v>0</v>
      </c>
      <c r="AQ103" s="13">
        <f t="shared" si="35"/>
        <v>0</v>
      </c>
      <c r="AR103" s="13">
        <f t="shared" si="35"/>
        <v>0</v>
      </c>
      <c r="AS103" s="13">
        <f t="shared" si="35"/>
        <v>0</v>
      </c>
      <c r="AT103" s="13">
        <f t="shared" si="35"/>
        <v>0</v>
      </c>
      <c r="AU103" s="13">
        <f t="shared" si="35"/>
        <v>0</v>
      </c>
      <c r="AV103" s="13">
        <f t="shared" si="35"/>
        <v>0</v>
      </c>
      <c r="AW103" s="13">
        <f t="shared" si="35"/>
        <v>0</v>
      </c>
      <c r="AX103" s="13">
        <f t="shared" si="35"/>
        <v>0</v>
      </c>
      <c r="AY103" s="13">
        <f t="shared" si="35"/>
        <v>0</v>
      </c>
      <c r="AZ103" s="13">
        <f t="shared" si="35"/>
        <v>0</v>
      </c>
      <c r="BA103" s="13"/>
      <c r="BB103" s="13"/>
      <c r="BC103" s="13"/>
      <c r="BD103" s="13"/>
      <c r="BE103" s="13"/>
      <c r="BF103" s="13"/>
      <c r="BG103" s="13"/>
      <c r="BH103" s="13"/>
      <c r="BI103" s="13"/>
      <c r="BJ103" s="13"/>
      <c r="BK103" s="13"/>
      <c r="BL103" s="13"/>
      <c r="BM103" s="13"/>
      <c r="BN103" s="13"/>
      <c r="BO103" s="13"/>
      <c r="BP103" s="13"/>
      <c r="BQ103" s="13"/>
      <c r="BR103" s="13"/>
    </row>
    <row r="104" spans="1:70" x14ac:dyDescent="0.45">
      <c r="B104" t="str">
        <f t="shared" ref="B104:B111" si="36">B93</f>
        <v>East Asia</v>
      </c>
      <c r="C104" s="13">
        <f t="shared" ref="C104:R111" si="37">C39*C93</f>
        <v>2.9209096190718972E-2</v>
      </c>
      <c r="D104" s="13">
        <f t="shared" si="37"/>
        <v>3.0877215173825173E-2</v>
      </c>
      <c r="E104" s="13">
        <f t="shared" si="37"/>
        <v>3.8447961412057315E-2</v>
      </c>
      <c r="F104" s="13">
        <f t="shared" si="37"/>
        <v>4.4250764729651421E-2</v>
      </c>
      <c r="G104" s="13">
        <f t="shared" si="37"/>
        <v>4.0307868046648411E-2</v>
      </c>
      <c r="H104" s="13">
        <f t="shared" si="37"/>
        <v>3.9725587701318378E-2</v>
      </c>
      <c r="I104" s="13">
        <f t="shared" si="37"/>
        <v>4.0717699395280006E-2</v>
      </c>
      <c r="J104" s="13">
        <f t="shared" si="37"/>
        <v>4.5499586295349913E-2</v>
      </c>
      <c r="K104" s="13">
        <f t="shared" si="37"/>
        <v>5.7352987676429497E-2</v>
      </c>
      <c r="L104" s="13">
        <f t="shared" si="37"/>
        <v>4.9200986837423091E-2</v>
      </c>
      <c r="M104" s="13">
        <f t="shared" si="37"/>
        <v>4.5680746633510634E-2</v>
      </c>
      <c r="N104" s="13">
        <f t="shared" si="37"/>
        <v>4.9740268189752621E-2</v>
      </c>
      <c r="O104" s="13">
        <f t="shared" si="37"/>
        <v>4.5389685763148682E-2</v>
      </c>
      <c r="P104" s="13">
        <f t="shared" si="37"/>
        <v>5.0645756981944665E-2</v>
      </c>
      <c r="Q104" s="13">
        <f t="shared" si="37"/>
        <v>5.307523779637837E-2</v>
      </c>
      <c r="R104" s="13">
        <f t="shared" si="37"/>
        <v>5.6294263507970246E-2</v>
      </c>
      <c r="S104" s="13">
        <f t="shared" si="35"/>
        <v>7.9682272254973777E-2</v>
      </c>
      <c r="T104" s="13">
        <f t="shared" si="35"/>
        <v>8.6815219724232798E-2</v>
      </c>
      <c r="U104" s="13">
        <f t="shared" si="35"/>
        <v>9.5209807756994932E-2</v>
      </c>
      <c r="V104" s="13">
        <f t="shared" si="35"/>
        <v>8.7929881815734412E-2</v>
      </c>
      <c r="W104" s="13">
        <f t="shared" si="35"/>
        <v>7.9381955703282159E-2</v>
      </c>
      <c r="X104" s="13">
        <f t="shared" si="35"/>
        <v>8.7569823268661431E-2</v>
      </c>
      <c r="Y104" s="13">
        <f t="shared" si="35"/>
        <v>9.0380132381765857E-2</v>
      </c>
      <c r="Z104" s="13">
        <f t="shared" si="35"/>
        <v>0.10403537464623284</v>
      </c>
      <c r="AA104" s="13">
        <f t="shared" si="35"/>
        <v>0.10667418377993212</v>
      </c>
      <c r="AB104" s="13">
        <f t="shared" si="35"/>
        <v>0.10637644835138958</v>
      </c>
      <c r="AC104" s="13">
        <f t="shared" si="35"/>
        <v>8.8706617546862529E-2</v>
      </c>
      <c r="AD104" s="13">
        <f t="shared" si="35"/>
        <v>8.3458339277262844E-2</v>
      </c>
      <c r="AE104" s="13">
        <f t="shared" si="35"/>
        <v>8.1389421751966021E-2</v>
      </c>
      <c r="AF104" s="13">
        <f t="shared" si="35"/>
        <v>8.8770532170733982E-2</v>
      </c>
      <c r="AG104" s="13">
        <f t="shared" si="35"/>
        <v>9.4040188033924693E-2</v>
      </c>
      <c r="AH104" s="13">
        <f t="shared" si="35"/>
        <v>8.3241225923916945E-2</v>
      </c>
      <c r="AI104" s="13">
        <f t="shared" si="35"/>
        <v>7.5166729452996142E-2</v>
      </c>
      <c r="AJ104" s="13">
        <f t="shared" si="35"/>
        <v>7.3238448276125703E-2</v>
      </c>
      <c r="AK104" s="13">
        <f t="shared" si="35"/>
        <v>7.1421103914033807E-2</v>
      </c>
      <c r="AL104" s="13">
        <f t="shared" si="35"/>
        <v>6.5064979670035827E-2</v>
      </c>
      <c r="AM104" s="13">
        <f t="shared" si="35"/>
        <v>5.6294595702073208E-2</v>
      </c>
      <c r="AN104" s="13">
        <f t="shared" si="35"/>
        <v>4.9123895563372134E-2</v>
      </c>
      <c r="AO104" s="13">
        <f t="shared" si="35"/>
        <v>4.9743597327658005E-2</v>
      </c>
      <c r="AP104" s="13">
        <f t="shared" si="35"/>
        <v>5.6077279632735455E-2</v>
      </c>
      <c r="AQ104" s="13">
        <f t="shared" si="35"/>
        <v>5.5496575721502094E-2</v>
      </c>
      <c r="AR104" s="13">
        <f t="shared" si="35"/>
        <v>5.4888406497851865E-2</v>
      </c>
      <c r="AS104" s="13">
        <f t="shared" si="35"/>
        <v>5.3938939009787343E-2</v>
      </c>
      <c r="AT104" s="13">
        <f t="shared" si="35"/>
        <v>4.2034160301352784E-2</v>
      </c>
      <c r="AU104" s="13">
        <f t="shared" si="35"/>
        <v>3.908298660457922E-2</v>
      </c>
      <c r="AV104" s="13">
        <f t="shared" si="35"/>
        <v>3.7453759029331651E-2</v>
      </c>
      <c r="AW104" s="13">
        <f t="shared" si="35"/>
        <v>4.2162336660067738E-2</v>
      </c>
      <c r="AX104" s="13">
        <f t="shared" si="35"/>
        <v>4.0062342578121343E-2</v>
      </c>
      <c r="AY104" s="13">
        <f t="shared" si="35"/>
        <v>3.8703504731939044E-2</v>
      </c>
      <c r="AZ104" s="13">
        <f t="shared" si="35"/>
        <v>3.8124289357466271E-2</v>
      </c>
      <c r="BA104" s="13"/>
      <c r="BB104" s="13"/>
      <c r="BC104" s="13"/>
      <c r="BD104" s="13"/>
      <c r="BE104" s="13"/>
      <c r="BF104" s="13"/>
      <c r="BG104" s="13"/>
      <c r="BH104" s="13"/>
      <c r="BI104" s="13"/>
      <c r="BJ104" s="13"/>
      <c r="BK104" s="13"/>
      <c r="BL104" s="13"/>
      <c r="BM104" s="13"/>
      <c r="BN104" s="13"/>
      <c r="BO104" s="13"/>
      <c r="BP104" s="13"/>
      <c r="BQ104" s="13"/>
      <c r="BR104" s="13"/>
    </row>
    <row r="105" spans="1:70" x14ac:dyDescent="0.45">
      <c r="B105" t="str">
        <f t="shared" si="36"/>
        <v>Europe</v>
      </c>
      <c r="C105" s="13">
        <f t="shared" si="37"/>
        <v>2.1559472252010794E-2</v>
      </c>
      <c r="D105" s="13">
        <f t="shared" si="35"/>
        <v>2.2976833742031938E-2</v>
      </c>
      <c r="E105" s="13">
        <f t="shared" si="35"/>
        <v>2.4383347825245913E-2</v>
      </c>
      <c r="F105" s="13">
        <f t="shared" si="35"/>
        <v>2.8760865538277891E-2</v>
      </c>
      <c r="G105" s="13">
        <f t="shared" si="35"/>
        <v>2.8150323319289287E-2</v>
      </c>
      <c r="H105" s="13">
        <f t="shared" si="35"/>
        <v>3.1933455367302958E-2</v>
      </c>
      <c r="I105" s="13">
        <f t="shared" si="35"/>
        <v>3.6437596494940452E-2</v>
      </c>
      <c r="J105" s="13">
        <f t="shared" si="35"/>
        <v>3.6376658232104522E-2</v>
      </c>
      <c r="K105" s="13">
        <f t="shared" si="35"/>
        <v>3.8784370900747094E-2</v>
      </c>
      <c r="L105" s="13">
        <f t="shared" si="35"/>
        <v>3.4018163825258928E-2</v>
      </c>
      <c r="M105" s="13">
        <f t="shared" si="35"/>
        <v>3.0249495147506154E-2</v>
      </c>
      <c r="N105" s="13">
        <f t="shared" si="35"/>
        <v>2.5175121843519808E-2</v>
      </c>
      <c r="O105" s="13">
        <f t="shared" si="35"/>
        <v>2.3957377468830254E-2</v>
      </c>
      <c r="P105" s="13">
        <f t="shared" si="35"/>
        <v>2.5738235172520718E-2</v>
      </c>
      <c r="Q105" s="13">
        <f t="shared" si="35"/>
        <v>2.3808305365031059E-2</v>
      </c>
      <c r="R105" s="13">
        <f t="shared" si="35"/>
        <v>2.3236903514498725E-2</v>
      </c>
      <c r="S105" s="13">
        <f t="shared" si="35"/>
        <v>2.8345432905962614E-2</v>
      </c>
      <c r="T105" s="13">
        <f t="shared" si="35"/>
        <v>3.0347229829686472E-2</v>
      </c>
      <c r="U105" s="13">
        <f t="shared" si="35"/>
        <v>2.6214872867916555E-2</v>
      </c>
      <c r="V105" s="13">
        <f t="shared" si="35"/>
        <v>2.2401194309238658E-2</v>
      </c>
      <c r="W105" s="13">
        <f t="shared" si="35"/>
        <v>2.354346357983322E-2</v>
      </c>
      <c r="X105" s="13">
        <f t="shared" si="35"/>
        <v>2.0593631546782058E-2</v>
      </c>
      <c r="Y105" s="13">
        <f t="shared" si="35"/>
        <v>2.031492235549193E-2</v>
      </c>
      <c r="Z105" s="13">
        <f t="shared" si="35"/>
        <v>2.3463065268970029E-2</v>
      </c>
      <c r="AA105" s="13">
        <f t="shared" si="35"/>
        <v>2.539347996616266E-2</v>
      </c>
      <c r="AB105" s="13">
        <f t="shared" si="35"/>
        <v>2.8621887921939697E-2</v>
      </c>
      <c r="AC105" s="13">
        <f t="shared" si="35"/>
        <v>2.3184625880653231E-2</v>
      </c>
      <c r="AD105" s="13">
        <f t="shared" si="35"/>
        <v>1.9819288428735014E-2</v>
      </c>
      <c r="AE105" s="13">
        <f t="shared" si="35"/>
        <v>1.983955941980977E-2</v>
      </c>
      <c r="AF105" s="13">
        <f t="shared" si="35"/>
        <v>1.9165015304603586E-2</v>
      </c>
      <c r="AG105" s="13">
        <f t="shared" si="35"/>
        <v>1.9421790704158625E-2</v>
      </c>
      <c r="AH105" s="13">
        <f t="shared" si="35"/>
        <v>1.8195143793159698E-2</v>
      </c>
      <c r="AI105" s="13">
        <f t="shared" si="35"/>
        <v>1.8751540389076924E-2</v>
      </c>
      <c r="AJ105" s="13">
        <f t="shared" si="35"/>
        <v>1.7174316610488884E-2</v>
      </c>
      <c r="AK105" s="13">
        <f t="shared" si="35"/>
        <v>1.7582868403404974E-2</v>
      </c>
      <c r="AL105" s="13">
        <f t="shared" si="35"/>
        <v>1.8299711796787962E-2</v>
      </c>
      <c r="AM105" s="13">
        <f t="shared" si="35"/>
        <v>1.8809469637296405E-2</v>
      </c>
      <c r="AN105" s="13">
        <f t="shared" si="35"/>
        <v>1.9157536499514256E-2</v>
      </c>
      <c r="AO105" s="13">
        <f t="shared" si="35"/>
        <v>1.8169894977674274E-2</v>
      </c>
      <c r="AP105" s="13">
        <f t="shared" si="35"/>
        <v>1.6314784552492884E-2</v>
      </c>
      <c r="AQ105" s="13">
        <f t="shared" si="35"/>
        <v>1.8985489954199259E-2</v>
      </c>
      <c r="AR105" s="13">
        <f t="shared" si="35"/>
        <v>2.3809430662949851E-2</v>
      </c>
      <c r="AS105" s="13">
        <f t="shared" si="35"/>
        <v>2.5728545029699245E-2</v>
      </c>
      <c r="AT105" s="13">
        <f t="shared" si="35"/>
        <v>2.6721382239840899E-2</v>
      </c>
      <c r="AU105" s="13">
        <f t="shared" si="35"/>
        <v>2.6336305871633475E-2</v>
      </c>
      <c r="AV105" s="13">
        <f t="shared" si="35"/>
        <v>2.6309214623486465E-2</v>
      </c>
      <c r="AW105" s="13">
        <f t="shared" si="35"/>
        <v>2.3751940672868021E-2</v>
      </c>
      <c r="AX105" s="13">
        <f t="shared" si="35"/>
        <v>2.3019208094312363E-2</v>
      </c>
      <c r="AY105" s="13">
        <f t="shared" si="35"/>
        <v>2.3109683595502528E-2</v>
      </c>
      <c r="AZ105" s="13">
        <f t="shared" si="35"/>
        <v>2.2590594657594252E-2</v>
      </c>
      <c r="BA105" s="13"/>
      <c r="BB105" s="13"/>
      <c r="BC105" s="13"/>
      <c r="BD105" s="13"/>
      <c r="BE105" s="13"/>
      <c r="BF105" s="13"/>
      <c r="BG105" s="13"/>
      <c r="BH105" s="13"/>
      <c r="BI105" s="13"/>
      <c r="BJ105" s="13"/>
      <c r="BK105" s="13"/>
      <c r="BL105" s="13"/>
      <c r="BM105" s="13"/>
      <c r="BN105" s="13"/>
      <c r="BO105" s="13"/>
      <c r="BP105" s="13"/>
      <c r="BQ105" s="13"/>
      <c r="BR105" s="13"/>
    </row>
    <row r="106" spans="1:70" x14ac:dyDescent="0.45">
      <c r="B106" t="str">
        <f t="shared" si="36"/>
        <v>Latin America and Caribbean</v>
      </c>
      <c r="C106" s="13">
        <f t="shared" si="37"/>
        <v>1.8962407999894921E-2</v>
      </c>
      <c r="D106" s="13">
        <f t="shared" si="35"/>
        <v>1.8338009768495665E-2</v>
      </c>
      <c r="E106" s="13">
        <f t="shared" si="35"/>
        <v>1.5855925981720691E-2</v>
      </c>
      <c r="F106" s="13">
        <f t="shared" si="35"/>
        <v>2.0699156428754785E-2</v>
      </c>
      <c r="G106" s="13">
        <f t="shared" si="35"/>
        <v>2.3345974876155775E-2</v>
      </c>
      <c r="H106" s="13">
        <f t="shared" si="35"/>
        <v>1.3587499648348236E-2</v>
      </c>
      <c r="I106" s="13">
        <f t="shared" si="35"/>
        <v>1.1048637985484699E-2</v>
      </c>
      <c r="J106" s="13">
        <f t="shared" si="35"/>
        <v>1.0105977826208735E-2</v>
      </c>
      <c r="K106" s="13">
        <f t="shared" si="35"/>
        <v>9.4162415784341241E-3</v>
      </c>
      <c r="L106" s="13">
        <f t="shared" si="35"/>
        <v>9.9937529086323966E-3</v>
      </c>
      <c r="M106" s="13">
        <f t="shared" si="35"/>
        <v>1.3664331004182659E-2</v>
      </c>
      <c r="N106" s="13">
        <f t="shared" si="35"/>
        <v>1.8140573349338558E-2</v>
      </c>
      <c r="O106" s="13">
        <f t="shared" si="35"/>
        <v>1.1606051396909218E-2</v>
      </c>
      <c r="P106" s="13">
        <f t="shared" si="35"/>
        <v>1.3396260421251421E-2</v>
      </c>
      <c r="Q106" s="13">
        <f t="shared" si="35"/>
        <v>1.1658344582857562E-2</v>
      </c>
      <c r="R106" s="13">
        <f t="shared" si="35"/>
        <v>1.3927249678296687E-2</v>
      </c>
      <c r="S106" s="13">
        <f t="shared" si="35"/>
        <v>1.2421999361164537E-2</v>
      </c>
      <c r="T106" s="13">
        <f t="shared" si="35"/>
        <v>1.0804817927378162E-2</v>
      </c>
      <c r="U106" s="13">
        <f t="shared" si="35"/>
        <v>1.2327564366116902E-2</v>
      </c>
      <c r="V106" s="13">
        <f t="shared" si="35"/>
        <v>1.1606471186968751E-2</v>
      </c>
      <c r="W106" s="13">
        <f t="shared" si="35"/>
        <v>1.3292458172288012E-2</v>
      </c>
      <c r="X106" s="13">
        <f t="shared" si="35"/>
        <v>1.7276359093006247E-2</v>
      </c>
      <c r="Y106" s="13">
        <f t="shared" si="35"/>
        <v>1.8655099430595221E-2</v>
      </c>
      <c r="Z106" s="13">
        <f t="shared" si="35"/>
        <v>2.3781191347644066E-2</v>
      </c>
      <c r="AA106" s="13">
        <f t="shared" si="35"/>
        <v>2.0759220626547049E-2</v>
      </c>
      <c r="AB106" s="13">
        <f t="shared" si="35"/>
        <v>1.529128231535315E-2</v>
      </c>
      <c r="AC106" s="13">
        <f t="shared" si="35"/>
        <v>1.656546253651249E-2</v>
      </c>
      <c r="AD106" s="13">
        <f t="shared" si="35"/>
        <v>1.8170819645092044E-2</v>
      </c>
      <c r="AE106" s="13">
        <f t="shared" si="35"/>
        <v>1.923053471942263E-2</v>
      </c>
      <c r="AF106" s="13">
        <f t="shared" si="35"/>
        <v>2.1700927990392617E-2</v>
      </c>
      <c r="AG106" s="13">
        <f t="shared" si="35"/>
        <v>2.395645534818595E-2</v>
      </c>
      <c r="AH106" s="13">
        <f t="shared" si="35"/>
        <v>2.7640591669366648E-2</v>
      </c>
      <c r="AI106" s="13">
        <f t="shared" si="35"/>
        <v>2.6255944757131104E-2</v>
      </c>
      <c r="AJ106" s="13">
        <f t="shared" si="35"/>
        <v>2.0713708524889206E-2</v>
      </c>
      <c r="AK106" s="13">
        <f t="shared" si="35"/>
        <v>1.8577114083399467E-2</v>
      </c>
      <c r="AL106" s="13">
        <f t="shared" si="35"/>
        <v>1.7741101855709991E-2</v>
      </c>
      <c r="AM106" s="13">
        <f t="shared" si="35"/>
        <v>1.7903181982890877E-2</v>
      </c>
      <c r="AN106" s="13">
        <f t="shared" si="35"/>
        <v>1.6409231116323225E-2</v>
      </c>
      <c r="AO106" s="13">
        <f t="shared" si="35"/>
        <v>1.5700607083815571E-2</v>
      </c>
      <c r="AP106" s="13">
        <f t="shared" si="35"/>
        <v>1.4322327949533666E-2</v>
      </c>
      <c r="AQ106" s="13">
        <f t="shared" si="35"/>
        <v>1.7814613013971151E-2</v>
      </c>
      <c r="AR106" s="13">
        <f t="shared" si="35"/>
        <v>1.915866093384062E-2</v>
      </c>
      <c r="AS106" s="13">
        <f t="shared" si="35"/>
        <v>1.6726594660416864E-2</v>
      </c>
      <c r="AT106" s="13">
        <f t="shared" si="35"/>
        <v>1.6072752554692444E-2</v>
      </c>
      <c r="AU106" s="13">
        <f t="shared" si="35"/>
        <v>1.4681693046943506E-2</v>
      </c>
      <c r="AV106" s="13">
        <f t="shared" si="35"/>
        <v>1.3907389199117538E-2</v>
      </c>
      <c r="AW106" s="13">
        <f t="shared" si="35"/>
        <v>1.3059220747374501E-2</v>
      </c>
      <c r="AX106" s="13">
        <f t="shared" si="35"/>
        <v>1.4020098069381435E-2</v>
      </c>
      <c r="AY106" s="13">
        <f t="shared" si="35"/>
        <v>1.1462000054607954E-2</v>
      </c>
      <c r="AZ106" s="13">
        <f t="shared" si="35"/>
        <v>1.0893455802459789E-2</v>
      </c>
      <c r="BA106" s="13"/>
      <c r="BB106" s="13"/>
      <c r="BC106" s="13"/>
      <c r="BD106" s="13"/>
      <c r="BE106" s="13"/>
      <c r="BF106" s="13"/>
      <c r="BG106" s="13"/>
      <c r="BH106" s="13"/>
      <c r="BI106" s="13"/>
      <c r="BJ106" s="13"/>
      <c r="BK106" s="13"/>
      <c r="BL106" s="13"/>
      <c r="BM106" s="13"/>
      <c r="BN106" s="13"/>
      <c r="BO106" s="13"/>
      <c r="BP106" s="13"/>
      <c r="BQ106" s="13"/>
      <c r="BR106" s="13"/>
    </row>
    <row r="107" spans="1:70" x14ac:dyDescent="0.45">
      <c r="B107" t="str">
        <f t="shared" si="36"/>
        <v>Middle East and North Africa</v>
      </c>
      <c r="C107" s="13">
        <f t="shared" si="37"/>
        <v>7.3113588337386983E-3</v>
      </c>
      <c r="D107" s="13">
        <f t="shared" si="35"/>
        <v>6.8091182177757083E-3</v>
      </c>
      <c r="E107" s="13">
        <f t="shared" si="35"/>
        <v>8.0583212678104997E-3</v>
      </c>
      <c r="F107" s="13">
        <f t="shared" si="35"/>
        <v>9.8189336181320006E-3</v>
      </c>
      <c r="G107" s="13">
        <f t="shared" si="35"/>
        <v>2.8135496538624221E-2</v>
      </c>
      <c r="H107" s="13">
        <f t="shared" si="35"/>
        <v>2.2367190267409524E-2</v>
      </c>
      <c r="I107" s="13">
        <f t="shared" si="35"/>
        <v>2.8700700334394428E-2</v>
      </c>
      <c r="J107" s="13">
        <f t="shared" si="35"/>
        <v>2.8618243104193315E-2</v>
      </c>
      <c r="K107" s="13">
        <f t="shared" si="35"/>
        <v>2.3726738299838769E-2</v>
      </c>
      <c r="L107" s="13">
        <f t="shared" si="35"/>
        <v>2.8646192599569062E-2</v>
      </c>
      <c r="M107" s="13">
        <f t="shared" si="35"/>
        <v>4.306692450916564E-2</v>
      </c>
      <c r="N107" s="13">
        <f t="shared" si="35"/>
        <v>4.7877630105658972E-2</v>
      </c>
      <c r="O107" s="13">
        <f t="shared" si="35"/>
        <v>3.767582231298628E-2</v>
      </c>
      <c r="P107" s="13">
        <f t="shared" si="35"/>
        <v>2.961070526151896E-2</v>
      </c>
      <c r="Q107" s="13">
        <f t="shared" si="35"/>
        <v>2.5301502026816108E-2</v>
      </c>
      <c r="R107" s="13">
        <f t="shared" si="35"/>
        <v>1.8682145390314851E-2</v>
      </c>
      <c r="S107" s="13">
        <f t="shared" si="35"/>
        <v>1.1805870208634902E-2</v>
      </c>
      <c r="T107" s="13">
        <f t="shared" si="35"/>
        <v>1.0102755354624999E-2</v>
      </c>
      <c r="U107" s="13">
        <f t="shared" si="35"/>
        <v>9.9613392951866768E-3</v>
      </c>
      <c r="V107" s="13">
        <f t="shared" si="35"/>
        <v>9.4208502691100291E-3</v>
      </c>
      <c r="W107" s="13">
        <f t="shared" si="35"/>
        <v>9.7480691857268226E-3</v>
      </c>
      <c r="X107" s="13">
        <f t="shared" si="35"/>
        <v>1.1519269335866224E-2</v>
      </c>
      <c r="Y107" s="13">
        <f t="shared" si="35"/>
        <v>1.15148881290058E-2</v>
      </c>
      <c r="Z107" s="13">
        <f t="shared" si="35"/>
        <v>1.083216985691344E-2</v>
      </c>
      <c r="AA107" s="13">
        <f t="shared" si="35"/>
        <v>1.2124911058570055E-2</v>
      </c>
      <c r="AB107" s="13">
        <f t="shared" si="35"/>
        <v>1.196575562170988E-2</v>
      </c>
      <c r="AC107" s="13">
        <f t="shared" si="35"/>
        <v>1.2804657361079368E-2</v>
      </c>
      <c r="AD107" s="13">
        <f t="shared" si="35"/>
        <v>1.3751016350035405E-2</v>
      </c>
      <c r="AE107" s="13">
        <f t="shared" si="35"/>
        <v>1.2175948569102443E-2</v>
      </c>
      <c r="AF107" s="13">
        <f t="shared" si="35"/>
        <v>1.2266517394826445E-2</v>
      </c>
      <c r="AG107" s="13">
        <f t="shared" si="35"/>
        <v>1.4466309465765161E-2</v>
      </c>
      <c r="AH107" s="13">
        <f t="shared" si="35"/>
        <v>1.453804745309948E-2</v>
      </c>
      <c r="AI107" s="13">
        <f t="shared" si="35"/>
        <v>1.245315044846123E-2</v>
      </c>
      <c r="AJ107" s="13">
        <f t="shared" si="35"/>
        <v>1.0988009687886898E-2</v>
      </c>
      <c r="AK107" s="13">
        <f t="shared" si="35"/>
        <v>1.0518343285390731E-2</v>
      </c>
      <c r="AL107" s="13">
        <f t="shared" si="35"/>
        <v>1.1736623135991756E-2</v>
      </c>
      <c r="AM107" s="13">
        <f t="shared" si="35"/>
        <v>1.2173390167958724E-2</v>
      </c>
      <c r="AN107" s="13">
        <f t="shared" si="35"/>
        <v>1.2110829705752934E-2</v>
      </c>
      <c r="AO107" s="13">
        <f t="shared" si="35"/>
        <v>1.3773511677871584E-2</v>
      </c>
      <c r="AP107" s="13">
        <f t="shared" si="35"/>
        <v>1.2014567689040176E-2</v>
      </c>
      <c r="AQ107" s="13">
        <f t="shared" si="35"/>
        <v>1.3713967981457296E-2</v>
      </c>
      <c r="AR107" s="13">
        <f t="shared" si="35"/>
        <v>1.5062354075298207E-2</v>
      </c>
      <c r="AS107" s="13">
        <f t="shared" si="35"/>
        <v>1.5827948145022544E-2</v>
      </c>
      <c r="AT107" s="13">
        <f t="shared" si="35"/>
        <v>1.5985619306266314E-2</v>
      </c>
      <c r="AU107" s="13">
        <f t="shared" si="35"/>
        <v>1.5635003919274144E-2</v>
      </c>
      <c r="AV107" s="13">
        <f t="shared" si="35"/>
        <v>1.5103498627074177E-2</v>
      </c>
      <c r="AW107" s="13">
        <f t="shared" si="35"/>
        <v>1.5221957298322096E-2</v>
      </c>
      <c r="AX107" s="13">
        <f t="shared" si="35"/>
        <v>1.5788952420833665E-2</v>
      </c>
      <c r="AY107" s="13">
        <f t="shared" si="35"/>
        <v>1.6816293583789447E-2</v>
      </c>
      <c r="AZ107" s="13">
        <f t="shared" si="35"/>
        <v>1.7481451013224129E-2</v>
      </c>
      <c r="BA107" s="13"/>
      <c r="BB107" s="13"/>
      <c r="BC107" s="13"/>
      <c r="BD107" s="13"/>
      <c r="BE107" s="13"/>
      <c r="BF107" s="13"/>
      <c r="BG107" s="13"/>
      <c r="BH107" s="13"/>
      <c r="BI107" s="13"/>
      <c r="BJ107" s="13"/>
      <c r="BK107" s="13"/>
      <c r="BL107" s="13"/>
      <c r="BM107" s="13"/>
      <c r="BN107" s="13"/>
      <c r="BO107" s="13"/>
      <c r="BP107" s="13"/>
      <c r="BQ107" s="13"/>
      <c r="BR107" s="13"/>
    </row>
    <row r="108" spans="1:70" x14ac:dyDescent="0.45">
      <c r="B108" t="str">
        <f t="shared" si="36"/>
        <v>North America</v>
      </c>
      <c r="C108" s="13">
        <f t="shared" si="37"/>
        <v>2.2238006190760854E-4</v>
      </c>
      <c r="D108" s="13">
        <f t="shared" si="35"/>
        <v>1.8519485457633774E-4</v>
      </c>
      <c r="E108" s="13">
        <f t="shared" si="35"/>
        <v>1.2672804622177629E-4</v>
      </c>
      <c r="F108" s="13">
        <f t="shared" si="35"/>
        <v>7.4289061259419215E-5</v>
      </c>
      <c r="G108" s="13">
        <f t="shared" si="35"/>
        <v>2.8021786480434139E-6</v>
      </c>
      <c r="H108" s="13">
        <f t="shared" si="35"/>
        <v>5.430597499521683E-6</v>
      </c>
      <c r="I108" s="13">
        <f t="shared" si="35"/>
        <v>2.5403880357654711E-6</v>
      </c>
      <c r="J108" s="13">
        <f t="shared" si="35"/>
        <v>1.2980707415284742E-5</v>
      </c>
      <c r="K108" s="13">
        <f t="shared" si="35"/>
        <v>7.509260015895776E-5</v>
      </c>
      <c r="L108" s="13">
        <f t="shared" si="35"/>
        <v>7.6376373805623948E-5</v>
      </c>
      <c r="M108" s="13">
        <f t="shared" si="35"/>
        <v>4.7301513177350088E-5</v>
      </c>
      <c r="N108" s="13">
        <f t="shared" si="35"/>
        <v>5.7235230855681282E-5</v>
      </c>
      <c r="O108" s="13">
        <f t="shared" si="35"/>
        <v>8.1882713317045703E-5</v>
      </c>
      <c r="P108" s="13">
        <f t="shared" si="35"/>
        <v>8.9565692563275148E-5</v>
      </c>
      <c r="Q108" s="13">
        <f t="shared" si="35"/>
        <v>1.9117647874776459E-4</v>
      </c>
      <c r="R108" s="13">
        <f t="shared" si="35"/>
        <v>2.8517015980585627E-4</v>
      </c>
      <c r="S108" s="13">
        <f t="shared" si="35"/>
        <v>2.9424653980600975E-4</v>
      </c>
      <c r="T108" s="13">
        <f t="shared" si="35"/>
        <v>1.5947449596944441E-4</v>
      </c>
      <c r="U108" s="13">
        <f t="shared" si="35"/>
        <v>5.8296805097909603E-5</v>
      </c>
      <c r="V108" s="13">
        <f t="shared" si="35"/>
        <v>3.944577856984824E-5</v>
      </c>
      <c r="W108" s="13">
        <f t="shared" si="35"/>
        <v>4.4533990302766354E-5</v>
      </c>
      <c r="X108" s="13">
        <f t="shared" si="35"/>
        <v>4.6537862806867271E-5</v>
      </c>
      <c r="Y108" s="13">
        <f t="shared" si="35"/>
        <v>1.358822697607553E-4</v>
      </c>
      <c r="Z108" s="13">
        <f t="shared" si="35"/>
        <v>2.5527441096409305E-4</v>
      </c>
      <c r="AA108" s="13">
        <f t="shared" si="35"/>
        <v>3.5784530920770157E-4</v>
      </c>
      <c r="AB108" s="13">
        <f t="shared" si="35"/>
        <v>3.4157454034842679E-4</v>
      </c>
      <c r="AC108" s="13">
        <f t="shared" ref="D108:AZ111" si="38">AC43*AC97</f>
        <v>3.825652892397582E-4</v>
      </c>
      <c r="AD108" s="13">
        <f t="shared" si="38"/>
        <v>4.5373896778933475E-4</v>
      </c>
      <c r="AE108" s="13">
        <f t="shared" si="38"/>
        <v>6.8512058312497571E-4</v>
      </c>
      <c r="AF108" s="13">
        <f t="shared" si="38"/>
        <v>6.7287928211088005E-4</v>
      </c>
      <c r="AG108" s="13">
        <f t="shared" si="38"/>
        <v>6.0931000373861365E-4</v>
      </c>
      <c r="AH108" s="13">
        <f t="shared" si="38"/>
        <v>7.5151988983593548E-4</v>
      </c>
      <c r="AI108" s="13">
        <f t="shared" si="38"/>
        <v>7.6950388150905092E-4</v>
      </c>
      <c r="AJ108" s="13">
        <f t="shared" si="38"/>
        <v>4.2943131934995699E-4</v>
      </c>
      <c r="AK108" s="13">
        <f t="shared" si="38"/>
        <v>2.6340025870654225E-4</v>
      </c>
      <c r="AL108" s="13">
        <f t="shared" si="38"/>
        <v>1.5092892011528097E-4</v>
      </c>
      <c r="AM108" s="13">
        <f t="shared" si="38"/>
        <v>7.5442141873253475E-5</v>
      </c>
      <c r="AN108" s="13">
        <f t="shared" si="38"/>
        <v>2.1788102093658396E-5</v>
      </c>
      <c r="AO108" s="13">
        <f t="shared" si="38"/>
        <v>5.41600907912696E-6</v>
      </c>
      <c r="AP108" s="13">
        <f t="shared" si="38"/>
        <v>7.6556776977313072E-5</v>
      </c>
      <c r="AQ108" s="13">
        <f t="shared" si="38"/>
        <v>1.7254707682683069E-6</v>
      </c>
      <c r="AR108" s="13">
        <f t="shared" si="38"/>
        <v>7.0048231599297695E-6</v>
      </c>
      <c r="AS108" s="13">
        <f t="shared" si="38"/>
        <v>1.6006293832495733E-6</v>
      </c>
      <c r="AT108" s="13">
        <f t="shared" si="38"/>
        <v>2.9376438590324129E-7</v>
      </c>
      <c r="AU108" s="13">
        <f t="shared" si="38"/>
        <v>2.27579525962328E-5</v>
      </c>
      <c r="AV108" s="13">
        <f t="shared" si="38"/>
        <v>2.5178407340370397E-4</v>
      </c>
      <c r="AW108" s="13">
        <f t="shared" si="38"/>
        <v>3.4789992416724743E-4</v>
      </c>
      <c r="AX108" s="13">
        <f t="shared" si="38"/>
        <v>2.8707225573228781E-4</v>
      </c>
      <c r="AY108" s="13">
        <f t="shared" si="38"/>
        <v>3.2925872160926651E-4</v>
      </c>
      <c r="AZ108" s="13">
        <f t="shared" si="38"/>
        <v>4.2346744147388047E-4</v>
      </c>
      <c r="BA108" s="13"/>
      <c r="BB108" s="13"/>
      <c r="BC108" s="13"/>
      <c r="BD108" s="13"/>
      <c r="BE108" s="13"/>
      <c r="BF108" s="13"/>
      <c r="BG108" s="13"/>
      <c r="BH108" s="13"/>
      <c r="BI108" s="13"/>
      <c r="BJ108" s="13"/>
      <c r="BK108" s="13"/>
      <c r="BL108" s="13"/>
      <c r="BM108" s="13"/>
      <c r="BN108" s="13"/>
      <c r="BO108" s="13"/>
      <c r="BP108" s="13"/>
      <c r="BQ108" s="13"/>
      <c r="BR108" s="13"/>
    </row>
    <row r="109" spans="1:70" x14ac:dyDescent="0.45">
      <c r="B109" t="str">
        <f t="shared" si="36"/>
        <v>Pacific</v>
      </c>
      <c r="C109" s="13">
        <f t="shared" si="37"/>
        <v>1.896389405601805E-2</v>
      </c>
      <c r="D109" s="13">
        <f t="shared" si="38"/>
        <v>1.8168595280167316E-2</v>
      </c>
      <c r="E109" s="13">
        <f t="shared" si="38"/>
        <v>1.7963026368514424E-2</v>
      </c>
      <c r="F109" s="13">
        <f t="shared" si="38"/>
        <v>1.730324848786325E-2</v>
      </c>
      <c r="G109" s="13">
        <f t="shared" si="38"/>
        <v>2.214306089652435E-2</v>
      </c>
      <c r="H109" s="13">
        <f t="shared" si="38"/>
        <v>2.3479847088673757E-2</v>
      </c>
      <c r="I109" s="13">
        <f t="shared" si="38"/>
        <v>2.3968254809859684E-2</v>
      </c>
      <c r="J109" s="13">
        <f t="shared" si="38"/>
        <v>2.2255255504891051E-2</v>
      </c>
      <c r="K109" s="13">
        <f t="shared" si="38"/>
        <v>1.9745931080136805E-2</v>
      </c>
      <c r="L109" s="13">
        <f t="shared" si="38"/>
        <v>1.9596483319207547E-2</v>
      </c>
      <c r="M109" s="13">
        <f t="shared" si="38"/>
        <v>1.9727456482131384E-2</v>
      </c>
      <c r="N109" s="13">
        <f t="shared" si="38"/>
        <v>2.4115950456541267E-2</v>
      </c>
      <c r="O109" s="13">
        <f t="shared" si="38"/>
        <v>2.8383971980619163E-2</v>
      </c>
      <c r="P109" s="13">
        <f t="shared" si="38"/>
        <v>2.4764128763003761E-2</v>
      </c>
      <c r="Q109" s="13">
        <f t="shared" si="38"/>
        <v>2.78555579067831E-2</v>
      </c>
      <c r="R109" s="13">
        <f t="shared" si="38"/>
        <v>2.4242748180583182E-2</v>
      </c>
      <c r="S109" s="13">
        <f t="shared" si="38"/>
        <v>2.023908442704191E-2</v>
      </c>
      <c r="T109" s="13">
        <f t="shared" si="38"/>
        <v>1.8849612904811474E-2</v>
      </c>
      <c r="U109" s="13">
        <f t="shared" si="38"/>
        <v>2.1236372823724061E-2</v>
      </c>
      <c r="V109" s="13">
        <f t="shared" si="38"/>
        <v>2.6878262595628984E-2</v>
      </c>
      <c r="W109" s="13">
        <f t="shared" si="38"/>
        <v>2.541379634882154E-2</v>
      </c>
      <c r="X109" s="13">
        <f t="shared" si="38"/>
        <v>2.4959829210785996E-2</v>
      </c>
      <c r="Y109" s="13">
        <f t="shared" si="38"/>
        <v>2.3075426486730489E-2</v>
      </c>
      <c r="Z109" s="13">
        <f t="shared" si="38"/>
        <v>2.114122304108447E-2</v>
      </c>
      <c r="AA109" s="13">
        <f t="shared" si="38"/>
        <v>2.0291867463218045E-2</v>
      </c>
      <c r="AB109" s="13">
        <f t="shared" si="38"/>
        <v>2.2325414860048142E-2</v>
      </c>
      <c r="AC109" s="13">
        <f t="shared" si="38"/>
        <v>2.4030934661964494E-2</v>
      </c>
      <c r="AD109" s="13">
        <f t="shared" si="38"/>
        <v>2.7084107715222339E-2</v>
      </c>
      <c r="AE109" s="13">
        <f t="shared" si="38"/>
        <v>2.5844284135640872E-2</v>
      </c>
      <c r="AF109" s="13">
        <f t="shared" si="38"/>
        <v>2.4469857552827923E-2</v>
      </c>
      <c r="AG109" s="13">
        <f t="shared" si="38"/>
        <v>2.6191081308565119E-2</v>
      </c>
      <c r="AH109" s="13">
        <f t="shared" si="38"/>
        <v>2.4093872023994753E-2</v>
      </c>
      <c r="AI109" s="13">
        <f t="shared" si="38"/>
        <v>2.4558020959557256E-2</v>
      </c>
      <c r="AJ109" s="13">
        <f t="shared" si="38"/>
        <v>2.6257300934601401E-2</v>
      </c>
      <c r="AK109" s="13">
        <f t="shared" si="38"/>
        <v>3.1214081484392274E-2</v>
      </c>
      <c r="AL109" s="13">
        <f t="shared" si="38"/>
        <v>3.2776445712188906E-2</v>
      </c>
      <c r="AM109" s="13">
        <f t="shared" si="38"/>
        <v>3.1229672811663563E-2</v>
      </c>
      <c r="AN109" s="13">
        <f t="shared" si="38"/>
        <v>3.2686984767323214E-2</v>
      </c>
      <c r="AO109" s="13">
        <f t="shared" si="38"/>
        <v>3.7574810553969946E-2</v>
      </c>
      <c r="AP109" s="13">
        <f t="shared" si="38"/>
        <v>3.3718069331466774E-2</v>
      </c>
      <c r="AQ109" s="13">
        <f t="shared" si="38"/>
        <v>3.8568484147685045E-2</v>
      </c>
      <c r="AR109" s="13">
        <f t="shared" si="38"/>
        <v>4.2655223382240835E-2</v>
      </c>
      <c r="AS109" s="13">
        <f t="shared" si="38"/>
        <v>4.5961973073628919E-2</v>
      </c>
      <c r="AT109" s="13">
        <f t="shared" si="38"/>
        <v>4.51927912021775E-2</v>
      </c>
      <c r="AU109" s="13">
        <f t="shared" si="38"/>
        <v>3.9230426849010375E-2</v>
      </c>
      <c r="AV109" s="13">
        <f t="shared" si="38"/>
        <v>3.7556613463770559E-2</v>
      </c>
      <c r="AW109" s="13">
        <f t="shared" si="38"/>
        <v>3.2380342304274293E-2</v>
      </c>
      <c r="AX109" s="13">
        <f t="shared" si="38"/>
        <v>3.3460812334281512E-2</v>
      </c>
      <c r="AY109" s="13">
        <f t="shared" si="38"/>
        <v>3.4200733578583234E-2</v>
      </c>
      <c r="AZ109" s="13">
        <f t="shared" si="38"/>
        <v>3.210614008043592E-2</v>
      </c>
      <c r="BA109" s="13"/>
      <c r="BB109" s="13"/>
      <c r="BC109" s="13"/>
      <c r="BD109" s="13"/>
      <c r="BE109" s="13"/>
      <c r="BF109" s="13"/>
      <c r="BG109" s="13"/>
      <c r="BH109" s="13"/>
      <c r="BI109" s="13"/>
      <c r="BJ109" s="13"/>
      <c r="BK109" s="13"/>
      <c r="BL109" s="13"/>
      <c r="BM109" s="13"/>
      <c r="BN109" s="13"/>
      <c r="BO109" s="13"/>
      <c r="BP109" s="13"/>
      <c r="BQ109" s="13"/>
      <c r="BR109" s="13"/>
    </row>
    <row r="110" spans="1:70" x14ac:dyDescent="0.45">
      <c r="B110" t="str">
        <f t="shared" si="36"/>
        <v>South Asia</v>
      </c>
      <c r="C110" s="13">
        <f t="shared" si="37"/>
        <v>8.2516169985826082E-5</v>
      </c>
      <c r="D110" s="13">
        <f t="shared" si="38"/>
        <v>6.842552360182357E-5</v>
      </c>
      <c r="E110" s="13">
        <f t="shared" si="38"/>
        <v>4.4923295991256316E-5</v>
      </c>
      <c r="F110" s="13">
        <f t="shared" si="38"/>
        <v>4.4949918690370826E-5</v>
      </c>
      <c r="G110" s="13">
        <f t="shared" si="38"/>
        <v>3.2665713990829228E-5</v>
      </c>
      <c r="H110" s="13">
        <f t="shared" si="38"/>
        <v>9.9741729576024898E-5</v>
      </c>
      <c r="I110" s="13">
        <f t="shared" si="38"/>
        <v>2.4867644735728355E-5</v>
      </c>
      <c r="J110" s="13">
        <f t="shared" si="38"/>
        <v>4.2811887425031843E-5</v>
      </c>
      <c r="K110" s="13">
        <f t="shared" si="38"/>
        <v>1.9181756113458626E-5</v>
      </c>
      <c r="L110" s="13">
        <f t="shared" si="38"/>
        <v>1.4328603610146242E-5</v>
      </c>
      <c r="M110" s="13">
        <f t="shared" si="38"/>
        <v>1.9768880822376325E-5</v>
      </c>
      <c r="N110" s="13">
        <f t="shared" si="38"/>
        <v>2.5135426163372409E-5</v>
      </c>
      <c r="O110" s="13">
        <f t="shared" si="38"/>
        <v>3.9732543696842903E-5</v>
      </c>
      <c r="P110" s="13">
        <f t="shared" si="38"/>
        <v>3.700857338944705E-5</v>
      </c>
      <c r="Q110" s="13">
        <f t="shared" si="38"/>
        <v>3.7531051243240971E-5</v>
      </c>
      <c r="R110" s="13">
        <f t="shared" si="38"/>
        <v>2.3613150996225725E-5</v>
      </c>
      <c r="S110" s="13">
        <f t="shared" si="38"/>
        <v>2.467334479499354E-5</v>
      </c>
      <c r="T110" s="13">
        <f t="shared" si="38"/>
        <v>2.3381791434435547E-5</v>
      </c>
      <c r="U110" s="13">
        <f t="shared" si="38"/>
        <v>1.9676552927687624E-5</v>
      </c>
      <c r="V110" s="13">
        <f t="shared" si="38"/>
        <v>1.5569359957775036E-5</v>
      </c>
      <c r="W110" s="13">
        <f t="shared" si="38"/>
        <v>1.4134103127749018E-5</v>
      </c>
      <c r="X110" s="13">
        <f t="shared" si="38"/>
        <v>2.5210699987475065E-5</v>
      </c>
      <c r="Y110" s="13">
        <f t="shared" si="38"/>
        <v>2.969127295949847E-5</v>
      </c>
      <c r="Z110" s="13">
        <f t="shared" si="38"/>
        <v>3.853926453451634E-5</v>
      </c>
      <c r="AA110" s="13">
        <f t="shared" si="38"/>
        <v>2.8936050261527588E-5</v>
      </c>
      <c r="AB110" s="13">
        <f t="shared" si="38"/>
        <v>3.2743956996898659E-5</v>
      </c>
      <c r="AC110" s="13">
        <f t="shared" si="38"/>
        <v>2.8295174334360247E-5</v>
      </c>
      <c r="AD110" s="13">
        <f t="shared" si="38"/>
        <v>2.7022157276201702E-5</v>
      </c>
      <c r="AE110" s="13">
        <f t="shared" si="38"/>
        <v>2.896775347239297E-5</v>
      </c>
      <c r="AF110" s="13">
        <f t="shared" si="38"/>
        <v>2.5162004275303934E-5</v>
      </c>
      <c r="AG110" s="13">
        <f t="shared" si="38"/>
        <v>3.7227477537960165E-5</v>
      </c>
      <c r="AH110" s="13">
        <f t="shared" si="38"/>
        <v>2.814979213118412E-5</v>
      </c>
      <c r="AI110" s="13">
        <f t="shared" si="38"/>
        <v>2.7387269957519989E-5</v>
      </c>
      <c r="AJ110" s="13">
        <f t="shared" si="38"/>
        <v>3.175668742214703E-5</v>
      </c>
      <c r="AK110" s="13">
        <f t="shared" si="38"/>
        <v>3.5112433178177802E-5</v>
      </c>
      <c r="AL110" s="13">
        <f t="shared" si="38"/>
        <v>4.4606253367998239E-5</v>
      </c>
      <c r="AM110" s="13">
        <f t="shared" si="38"/>
        <v>5.9013888663241544E-5</v>
      </c>
      <c r="AN110" s="13">
        <f t="shared" si="38"/>
        <v>8.4407588881357489E-5</v>
      </c>
      <c r="AO110" s="13">
        <f t="shared" si="38"/>
        <v>6.7468985677677999E-5</v>
      </c>
      <c r="AP110" s="13">
        <f t="shared" si="38"/>
        <v>7.5977740018345004E-5</v>
      </c>
      <c r="AQ110" s="13">
        <f t="shared" si="38"/>
        <v>1.27425757846918E-4</v>
      </c>
      <c r="AR110" s="13">
        <f t="shared" si="38"/>
        <v>1.1588829085149443E-4</v>
      </c>
      <c r="AS110" s="13">
        <f t="shared" si="38"/>
        <v>1.1264235062751732E-4</v>
      </c>
      <c r="AT110" s="13">
        <f t="shared" si="38"/>
        <v>1.070068921059513E-4</v>
      </c>
      <c r="AU110" s="13">
        <f t="shared" si="38"/>
        <v>1.0875263951047019E-4</v>
      </c>
      <c r="AV110" s="13">
        <f t="shared" si="38"/>
        <v>9.604560567099298E-5</v>
      </c>
      <c r="AW110" s="13">
        <f t="shared" si="38"/>
        <v>9.8851106545683672E-5</v>
      </c>
      <c r="AX110" s="13">
        <f t="shared" si="38"/>
        <v>1.0578324762321936E-4</v>
      </c>
      <c r="AY110" s="13">
        <f t="shared" si="38"/>
        <v>8.9868083138221961E-5</v>
      </c>
      <c r="AZ110" s="13">
        <f t="shared" si="38"/>
        <v>1.2043642565295551E-4</v>
      </c>
      <c r="BA110" s="13"/>
      <c r="BB110" s="13"/>
      <c r="BC110" s="13"/>
      <c r="BD110" s="13"/>
      <c r="BE110" s="13"/>
      <c r="BF110" s="13"/>
      <c r="BG110" s="13"/>
      <c r="BH110" s="13"/>
      <c r="BI110" s="13"/>
      <c r="BJ110" s="13"/>
      <c r="BK110" s="13"/>
      <c r="BL110" s="13"/>
      <c r="BM110" s="13"/>
      <c r="BN110" s="13"/>
      <c r="BO110" s="13"/>
      <c r="BP110" s="13"/>
      <c r="BQ110" s="13"/>
      <c r="BR110" s="13"/>
    </row>
    <row r="111" spans="1:70" x14ac:dyDescent="0.45">
      <c r="B111" t="str">
        <f t="shared" si="36"/>
        <v>Sub-Saharan Africa</v>
      </c>
      <c r="C111" s="13">
        <f t="shared" si="37"/>
        <v>2.0632060537523891E-2</v>
      </c>
      <c r="D111" s="13">
        <f t="shared" si="38"/>
        <v>2.2609437671393659E-2</v>
      </c>
      <c r="E111" s="13">
        <f t="shared" si="38"/>
        <v>1.883781832039948E-2</v>
      </c>
      <c r="F111" s="13">
        <f t="shared" si="38"/>
        <v>2.2806884517739837E-2</v>
      </c>
      <c r="G111" s="13">
        <f t="shared" si="38"/>
        <v>2.5420014133433904E-2</v>
      </c>
      <c r="H111" s="13">
        <f t="shared" si="38"/>
        <v>2.2445373494702468E-2</v>
      </c>
      <c r="I111" s="13">
        <f t="shared" si="38"/>
        <v>2.0201824820574074E-2</v>
      </c>
      <c r="J111" s="13">
        <f t="shared" si="38"/>
        <v>1.8519777456052103E-2</v>
      </c>
      <c r="K111" s="13">
        <f t="shared" si="38"/>
        <v>1.6825826509875016E-2</v>
      </c>
      <c r="L111" s="13">
        <f t="shared" si="38"/>
        <v>1.8191238128465324E-2</v>
      </c>
      <c r="M111" s="13">
        <f t="shared" si="38"/>
        <v>2.6683646614360981E-2</v>
      </c>
      <c r="N111" s="13">
        <f t="shared" si="38"/>
        <v>3.9644901249601412E-2</v>
      </c>
      <c r="O111" s="13">
        <f t="shared" si="38"/>
        <v>3.3380928961337181E-2</v>
      </c>
      <c r="P111" s="13">
        <f t="shared" si="38"/>
        <v>3.0321925456389183E-2</v>
      </c>
      <c r="Q111" s="13">
        <f t="shared" si="38"/>
        <v>2.4279799828361075E-2</v>
      </c>
      <c r="R111" s="13">
        <f t="shared" si="38"/>
        <v>1.6532422869101747E-2</v>
      </c>
      <c r="S111" s="13">
        <f t="shared" si="38"/>
        <v>1.4967484334596336E-2</v>
      </c>
      <c r="T111" s="13">
        <f t="shared" si="38"/>
        <v>1.9070214669563951E-2</v>
      </c>
      <c r="U111" s="13">
        <f t="shared" si="38"/>
        <v>1.7967456232116194E-2</v>
      </c>
      <c r="V111" s="13">
        <f t="shared" si="38"/>
        <v>1.8435566353542855E-2</v>
      </c>
      <c r="W111" s="13">
        <f t="shared" si="38"/>
        <v>1.9556473150994774E-2</v>
      </c>
      <c r="X111" s="13">
        <f t="shared" si="38"/>
        <v>2.0284293595537489E-2</v>
      </c>
      <c r="Y111" s="13">
        <f t="shared" si="38"/>
        <v>2.2117749009898366E-2</v>
      </c>
      <c r="Z111" s="13">
        <f t="shared" si="38"/>
        <v>2.3198302306735741E-2</v>
      </c>
      <c r="AA111" s="13">
        <f t="shared" si="38"/>
        <v>2.2665875053957302E-2</v>
      </c>
      <c r="AB111" s="13">
        <f t="shared" si="38"/>
        <v>2.1841048070544926E-2</v>
      </c>
      <c r="AC111" s="13">
        <f t="shared" si="38"/>
        <v>1.9300442448817994E-2</v>
      </c>
      <c r="AD111" s="13">
        <f t="shared" si="38"/>
        <v>1.9662785903820541E-2</v>
      </c>
      <c r="AE111" s="13">
        <f t="shared" si="38"/>
        <v>1.6762867052602954E-2</v>
      </c>
      <c r="AF111" s="13">
        <f t="shared" si="38"/>
        <v>1.6149827839610022E-2</v>
      </c>
      <c r="AG111" s="13">
        <f t="shared" si="38"/>
        <v>1.4218511362298007E-2</v>
      </c>
      <c r="AH111" s="13">
        <f t="shared" si="38"/>
        <v>1.277432665009459E-2</v>
      </c>
      <c r="AI111" s="13">
        <f t="shared" si="38"/>
        <v>1.0928960994843249E-2</v>
      </c>
      <c r="AJ111" s="13">
        <f t="shared" si="38"/>
        <v>1.6493453906036532E-2</v>
      </c>
      <c r="AK111" s="13">
        <f t="shared" si="38"/>
        <v>2.0094601955417003E-2</v>
      </c>
      <c r="AL111" s="13">
        <f t="shared" si="38"/>
        <v>2.0919566471768066E-2</v>
      </c>
      <c r="AM111" s="13">
        <f t="shared" si="38"/>
        <v>1.9674427813561029E-2</v>
      </c>
      <c r="AN111" s="13">
        <f t="shared" si="38"/>
        <v>1.9031454587402664E-2</v>
      </c>
      <c r="AO111" s="13">
        <f t="shared" si="38"/>
        <v>1.6422680909560759E-2</v>
      </c>
      <c r="AP111" s="13">
        <f t="shared" si="38"/>
        <v>1.6561712644404813E-2</v>
      </c>
      <c r="AQ111" s="13">
        <f t="shared" si="38"/>
        <v>2.0436939233578977E-2</v>
      </c>
      <c r="AR111" s="13">
        <f t="shared" si="38"/>
        <v>2.0529237138575632E-2</v>
      </c>
      <c r="AS111" s="13">
        <f t="shared" si="38"/>
        <v>1.8806228477775782E-2</v>
      </c>
      <c r="AT111" s="13">
        <f t="shared" si="38"/>
        <v>1.6723807009809393E-2</v>
      </c>
      <c r="AU111" s="13">
        <f t="shared" si="38"/>
        <v>1.5586144499688004E-2</v>
      </c>
      <c r="AV111" s="13">
        <f t="shared" si="38"/>
        <v>1.3617271664530698E-2</v>
      </c>
      <c r="AW111" s="13">
        <f t="shared" si="38"/>
        <v>1.1470400133710276E-2</v>
      </c>
      <c r="AX111" s="13">
        <f t="shared" si="38"/>
        <v>1.2617525513473959E-2</v>
      </c>
      <c r="AY111" s="13">
        <f t="shared" si="38"/>
        <v>1.2666994386362278E-2</v>
      </c>
      <c r="AZ111" s="13">
        <f t="shared" si="38"/>
        <v>1.228960137848905E-2</v>
      </c>
      <c r="BA111" s="13"/>
      <c r="BB111" s="13"/>
      <c r="BC111" s="13"/>
      <c r="BD111" s="13"/>
      <c r="BE111" s="13"/>
      <c r="BF111" s="13"/>
      <c r="BG111" s="13"/>
      <c r="BH111" s="13"/>
      <c r="BI111" s="13"/>
      <c r="BJ111" s="13"/>
      <c r="BK111" s="13"/>
      <c r="BL111" s="13"/>
      <c r="BM111" s="13"/>
      <c r="BN111" s="13"/>
      <c r="BO111" s="13"/>
      <c r="BP111" s="13"/>
      <c r="BQ111" s="13"/>
      <c r="BR111" s="13"/>
    </row>
    <row r="112" spans="1:70" x14ac:dyDescent="0.45">
      <c r="B112" t="s">
        <v>165</v>
      </c>
      <c r="C112" s="13">
        <f>C11</f>
        <v>0.8435249967665841</v>
      </c>
      <c r="D112" s="13">
        <f t="shared" ref="D112:AZ112" si="39">D11</f>
        <v>0.85601245831565387</v>
      </c>
      <c r="E112" s="13">
        <f t="shared" si="39"/>
        <v>0.85670418066492926</v>
      </c>
      <c r="F112" s="13">
        <f t="shared" si="39"/>
        <v>0.83261271774625345</v>
      </c>
      <c r="G112" s="13">
        <f t="shared" si="39"/>
        <v>0.80842713668985156</v>
      </c>
      <c r="H112" s="13">
        <f t="shared" si="39"/>
        <v>0.82318642331472625</v>
      </c>
      <c r="I112" s="13">
        <f t="shared" si="39"/>
        <v>0.8469008546905642</v>
      </c>
      <c r="J112" s="13">
        <f t="shared" si="39"/>
        <v>0.84395154674176931</v>
      </c>
      <c r="K112" s="13">
        <f t="shared" si="39"/>
        <v>0.87140790615480723</v>
      </c>
      <c r="L112" s="13">
        <f t="shared" si="39"/>
        <v>0.87284374297049916</v>
      </c>
      <c r="M112" s="13">
        <f t="shared" si="39"/>
        <v>0.86357349042525655</v>
      </c>
      <c r="N112" s="13">
        <f t="shared" si="39"/>
        <v>0.83623163853652427</v>
      </c>
      <c r="O112" s="13">
        <f t="shared" si="39"/>
        <v>0.86088984068784735</v>
      </c>
      <c r="P112" s="13">
        <f t="shared" si="39"/>
        <v>0.89384344023642748</v>
      </c>
      <c r="Q112" s="13">
        <f t="shared" si="39"/>
        <v>0.92568118506637653</v>
      </c>
      <c r="R112" s="13">
        <f t="shared" si="39"/>
        <v>0.93435676094134357</v>
      </c>
      <c r="S112" s="13">
        <f t="shared" si="39"/>
        <v>0.95826189865527422</v>
      </c>
      <c r="T112" s="13">
        <f t="shared" si="39"/>
        <v>0.98183916716402586</v>
      </c>
      <c r="U112" s="13">
        <f t="shared" si="39"/>
        <v>0.98983109502989708</v>
      </c>
      <c r="V112" s="13">
        <f t="shared" si="39"/>
        <v>0.99541358211762332</v>
      </c>
      <c r="W112" s="13">
        <f t="shared" si="39"/>
        <v>1.0050189904869367</v>
      </c>
      <c r="X112" s="13">
        <f t="shared" si="39"/>
        <v>1.0023371985908305</v>
      </c>
      <c r="Y112" s="13">
        <f t="shared" si="39"/>
        <v>1.0194314450264421</v>
      </c>
      <c r="Z112" s="13">
        <f t="shared" si="39"/>
        <v>1.0062467725375674</v>
      </c>
      <c r="AA112" s="13">
        <f t="shared" si="39"/>
        <v>0.99460938917531261</v>
      </c>
      <c r="AB112" s="13">
        <f t="shared" si="39"/>
        <v>0.98647955475939453</v>
      </c>
      <c r="AC112" s="13">
        <f t="shared" si="39"/>
        <v>0.96893656836644104</v>
      </c>
      <c r="AD112" s="13">
        <f t="shared" si="39"/>
        <v>0.95197239968497571</v>
      </c>
      <c r="AE112" s="13">
        <f t="shared" si="39"/>
        <v>0.96241331216379544</v>
      </c>
      <c r="AF112" s="13">
        <f t="shared" si="39"/>
        <v>0.9778392004250791</v>
      </c>
      <c r="AG112" s="13">
        <f t="shared" si="39"/>
        <v>0.96167265817761316</v>
      </c>
      <c r="AH112" s="13">
        <f t="shared" si="39"/>
        <v>0.96956410777481106</v>
      </c>
      <c r="AI112" s="13">
        <f t="shared" si="39"/>
        <v>0.98096707516346893</v>
      </c>
      <c r="AJ112" s="13">
        <f t="shared" si="39"/>
        <v>0.9783582254261427</v>
      </c>
      <c r="AK112" s="13">
        <f t="shared" si="39"/>
        <v>0.95957702397866451</v>
      </c>
      <c r="AL112" s="13">
        <f t="shared" si="39"/>
        <v>0.92596442162334314</v>
      </c>
      <c r="AM112" s="13">
        <f t="shared" si="39"/>
        <v>0.89515090147565257</v>
      </c>
      <c r="AN112" s="13">
        <f t="shared" si="39"/>
        <v>0.85444932468561285</v>
      </c>
      <c r="AO112" s="13">
        <f t="shared" si="39"/>
        <v>0.81279035278556322</v>
      </c>
      <c r="AP112" s="13">
        <f t="shared" si="39"/>
        <v>0.7743882865670858</v>
      </c>
      <c r="AQ112" s="13">
        <f t="shared" si="39"/>
        <v>0.71056403102490806</v>
      </c>
      <c r="AR112" s="13">
        <f t="shared" si="39"/>
        <v>0.67679360460139648</v>
      </c>
      <c r="AS112" s="13">
        <f t="shared" si="39"/>
        <v>0.6573715209386688</v>
      </c>
      <c r="AT112" s="13">
        <f t="shared" si="39"/>
        <v>0.64795153941162853</v>
      </c>
      <c r="AU112" s="13">
        <f t="shared" si="39"/>
        <v>0.63794057433854101</v>
      </c>
      <c r="AV112" s="13">
        <f t="shared" si="39"/>
        <v>0.63169054425433857</v>
      </c>
      <c r="AW112" s="13">
        <f t="shared" si="39"/>
        <v>0.63449402232536944</v>
      </c>
      <c r="AX112" s="13">
        <f t="shared" si="39"/>
        <v>0.61671029060071236</v>
      </c>
      <c r="AY112" s="13">
        <f t="shared" si="39"/>
        <v>0.62096028207367782</v>
      </c>
      <c r="AZ112" s="13">
        <f t="shared" si="39"/>
        <v>0.62212731088921414</v>
      </c>
      <c r="BA112" s="13"/>
      <c r="BB112" s="13"/>
      <c r="BC112" s="13"/>
      <c r="BD112" s="13"/>
      <c r="BE112" s="13"/>
      <c r="BF112" s="13"/>
      <c r="BG112" s="13"/>
      <c r="BH112" s="13"/>
      <c r="BI112" s="13"/>
      <c r="BJ112" s="13"/>
      <c r="BK112" s="13"/>
      <c r="BL112" s="13"/>
      <c r="BM112" s="13"/>
      <c r="BN112" s="13"/>
      <c r="BO112" s="13"/>
      <c r="BP112" s="13"/>
      <c r="BQ112" s="13"/>
      <c r="BR112" s="13"/>
    </row>
    <row r="113" spans="1:70" x14ac:dyDescent="0.45">
      <c r="B113" t="s">
        <v>79</v>
      </c>
      <c r="C113" s="13">
        <f>SUM(C103:C112)</f>
        <v>0.96046818286838287</v>
      </c>
      <c r="D113" s="13">
        <f t="shared" ref="D113:AZ113" si="40">SUM(D103:D112)</f>
        <v>0.97604528854752148</v>
      </c>
      <c r="E113" s="13">
        <f t="shared" si="40"/>
        <v>0.98042223318289068</v>
      </c>
      <c r="F113" s="13">
        <f t="shared" si="40"/>
        <v>0.97637181004662243</v>
      </c>
      <c r="G113" s="13">
        <f t="shared" si="40"/>
        <v>0.97596534239316635</v>
      </c>
      <c r="H113" s="13">
        <f t="shared" si="40"/>
        <v>0.97683054920955714</v>
      </c>
      <c r="I113" s="13">
        <f t="shared" si="40"/>
        <v>1.0080029765638689</v>
      </c>
      <c r="J113" s="13">
        <f t="shared" si="40"/>
        <v>1.0053828377554093</v>
      </c>
      <c r="K113" s="13">
        <f t="shared" si="40"/>
        <v>1.0373542765565409</v>
      </c>
      <c r="L113" s="13">
        <f t="shared" si="40"/>
        <v>1.0325812655664712</v>
      </c>
      <c r="M113" s="13">
        <f t="shared" si="40"/>
        <v>1.0427131612101137</v>
      </c>
      <c r="N113" s="13">
        <f t="shared" si="40"/>
        <v>1.0410084543879559</v>
      </c>
      <c r="O113" s="13">
        <f t="shared" si="40"/>
        <v>1.041405293828692</v>
      </c>
      <c r="P113" s="13">
        <f t="shared" si="40"/>
        <v>1.0684470265590089</v>
      </c>
      <c r="Q113" s="13">
        <f t="shared" si="40"/>
        <v>1.0918886401025949</v>
      </c>
      <c r="R113" s="13">
        <f t="shared" si="40"/>
        <v>1.087581277392911</v>
      </c>
      <c r="S113" s="13">
        <f t="shared" si="40"/>
        <v>1.1260429620322494</v>
      </c>
      <c r="T113" s="13">
        <f t="shared" si="40"/>
        <v>1.1580118738617275</v>
      </c>
      <c r="U113" s="13">
        <f t="shared" si="40"/>
        <v>1.1728264817299781</v>
      </c>
      <c r="V113" s="13">
        <f t="shared" si="40"/>
        <v>1.1721408237863746</v>
      </c>
      <c r="W113" s="13">
        <f t="shared" si="40"/>
        <v>1.1760138747213138</v>
      </c>
      <c r="X113" s="13">
        <f t="shared" si="40"/>
        <v>1.1846121532042642</v>
      </c>
      <c r="Y113" s="13">
        <f t="shared" si="40"/>
        <v>1.20565523636265</v>
      </c>
      <c r="Z113" s="13">
        <f t="shared" si="40"/>
        <v>1.2129919126806468</v>
      </c>
      <c r="AA113" s="13">
        <f t="shared" si="40"/>
        <v>1.2029057084831691</v>
      </c>
      <c r="AB113" s="13">
        <f t="shared" si="40"/>
        <v>1.1932757103977252</v>
      </c>
      <c r="AC113" s="13">
        <f t="shared" si="40"/>
        <v>1.1539401692659053</v>
      </c>
      <c r="AD113" s="13">
        <f t="shared" si="40"/>
        <v>1.1343995181302093</v>
      </c>
      <c r="AE113" s="13">
        <f t="shared" si="40"/>
        <v>1.1383700161489374</v>
      </c>
      <c r="AF113" s="13">
        <f t="shared" si="40"/>
        <v>1.1610599199644598</v>
      </c>
      <c r="AG113" s="13">
        <f t="shared" si="40"/>
        <v>1.1546135318817874</v>
      </c>
      <c r="AH113" s="13">
        <f t="shared" si="40"/>
        <v>1.1508269849704102</v>
      </c>
      <c r="AI113" s="13">
        <f t="shared" si="40"/>
        <v>1.1498783133170014</v>
      </c>
      <c r="AJ113" s="13">
        <f t="shared" si="40"/>
        <v>1.1436846513729435</v>
      </c>
      <c r="AK113" s="13">
        <f t="shared" si="40"/>
        <v>1.1292836497965875</v>
      </c>
      <c r="AL113" s="13">
        <f t="shared" si="40"/>
        <v>1.0926983854393089</v>
      </c>
      <c r="AM113" s="13">
        <f t="shared" si="40"/>
        <v>1.0513700956216327</v>
      </c>
      <c r="AN113" s="13">
        <f t="shared" si="40"/>
        <v>1.0030754526162764</v>
      </c>
      <c r="AO113" s="13">
        <f t="shared" si="40"/>
        <v>0.96424834031087014</v>
      </c>
      <c r="AP113" s="13">
        <f t="shared" si="40"/>
        <v>0.92354956288375523</v>
      </c>
      <c r="AQ113" s="13">
        <f t="shared" si="40"/>
        <v>0.87570925230591712</v>
      </c>
      <c r="AR113" s="13">
        <f t="shared" si="40"/>
        <v>0.85301981040616492</v>
      </c>
      <c r="AS113" s="13">
        <f t="shared" si="40"/>
        <v>0.83447599231501024</v>
      </c>
      <c r="AT113" s="13">
        <f t="shared" si="40"/>
        <v>0.81078935268225971</v>
      </c>
      <c r="AU113" s="13">
        <f t="shared" si="40"/>
        <v>0.78862464572177648</v>
      </c>
      <c r="AV113" s="13">
        <f t="shared" si="40"/>
        <v>0.77598612054072436</v>
      </c>
      <c r="AW113" s="13">
        <f t="shared" si="40"/>
        <v>0.77298697117269932</v>
      </c>
      <c r="AX113" s="13">
        <f t="shared" si="40"/>
        <v>0.75607208511447221</v>
      </c>
      <c r="AY113" s="13">
        <f t="shared" si="40"/>
        <v>0.75833861880920983</v>
      </c>
      <c r="AZ113" s="13">
        <f t="shared" si="40"/>
        <v>0.75615674704601044</v>
      </c>
      <c r="BA113" s="13"/>
      <c r="BB113" s="13"/>
      <c r="BC113" s="13"/>
      <c r="BD113" s="13"/>
      <c r="BE113" s="13"/>
      <c r="BF113" s="13"/>
      <c r="BG113" s="13"/>
      <c r="BH113" s="13"/>
      <c r="BI113" s="13"/>
      <c r="BJ113" s="13"/>
      <c r="BK113" s="13"/>
      <c r="BL113" s="13"/>
      <c r="BM113" s="13"/>
      <c r="BN113" s="13"/>
      <c r="BO113" s="13"/>
      <c r="BP113" s="13"/>
      <c r="BQ113" s="13"/>
      <c r="BR113" s="13"/>
    </row>
    <row r="114" spans="1:70" x14ac:dyDescent="0.45">
      <c r="C114" s="13"/>
      <c r="D114" s="13"/>
      <c r="E114" s="13"/>
      <c r="F114" s="13"/>
      <c r="G114" s="13"/>
      <c r="H114" s="13"/>
      <c r="I114" s="13"/>
      <c r="J114" s="13"/>
      <c r="K114" s="13"/>
      <c r="L114" s="13"/>
      <c r="M114" s="13"/>
      <c r="N114" s="13"/>
      <c r="O114" s="13"/>
      <c r="P114" s="13"/>
      <c r="Q114" s="13"/>
      <c r="R114" s="13"/>
      <c r="S114" s="13"/>
      <c r="T114" s="13"/>
      <c r="U114" s="13"/>
      <c r="V114" s="13"/>
      <c r="W114" s="13"/>
      <c r="X114" s="13"/>
      <c r="Y114" s="13"/>
      <c r="Z114" s="13"/>
      <c r="AA114" s="13"/>
      <c r="AB114" s="13"/>
      <c r="AC114" s="13"/>
      <c r="AD114" s="13"/>
      <c r="AE114" s="13"/>
      <c r="AF114" s="13"/>
      <c r="AG114" s="13"/>
      <c r="AH114" s="13"/>
      <c r="AI114" s="13"/>
      <c r="AJ114" s="13"/>
      <c r="AK114" s="13"/>
      <c r="AL114" s="13"/>
      <c r="AM114" s="13"/>
      <c r="AN114" s="13"/>
      <c r="AO114" s="13"/>
      <c r="AP114" s="13"/>
      <c r="AQ114" s="13"/>
      <c r="AR114" s="13"/>
      <c r="AS114" s="13"/>
      <c r="AT114" s="13"/>
      <c r="AU114" s="13"/>
      <c r="AV114" s="13"/>
      <c r="AW114" s="13"/>
      <c r="AX114" s="13"/>
      <c r="AY114" s="13"/>
      <c r="AZ114" s="13"/>
      <c r="BA114" s="13"/>
      <c r="BB114" s="13"/>
      <c r="BC114" s="13"/>
      <c r="BD114" s="13"/>
      <c r="BE114" s="13"/>
      <c r="BF114" s="13"/>
      <c r="BG114" s="13"/>
      <c r="BH114" s="13"/>
      <c r="BI114" s="13"/>
      <c r="BJ114" s="13"/>
      <c r="BK114" s="13"/>
      <c r="BL114" s="13"/>
      <c r="BM114" s="13"/>
      <c r="BN114" s="13"/>
      <c r="BO114" s="13"/>
      <c r="BP114" s="13"/>
      <c r="BQ114" s="13"/>
      <c r="BR114" s="13"/>
    </row>
    <row r="115" spans="1:70" x14ac:dyDescent="0.45">
      <c r="C115" s="13"/>
      <c r="D115" s="13"/>
      <c r="E115" s="13"/>
      <c r="F115" s="13"/>
      <c r="G115" s="13"/>
      <c r="H115" s="13"/>
      <c r="I115" s="13"/>
      <c r="J115" s="13"/>
      <c r="K115" s="13"/>
      <c r="L115" s="13"/>
      <c r="M115" s="13"/>
      <c r="N115" s="13"/>
      <c r="O115" s="13"/>
      <c r="P115" s="13"/>
      <c r="Q115" s="13"/>
      <c r="R115" s="13"/>
      <c r="S115" s="13"/>
      <c r="T115" s="13"/>
      <c r="U115" s="13"/>
      <c r="V115" s="13"/>
      <c r="W115" s="13"/>
      <c r="X115" s="13"/>
      <c r="Y115" s="13"/>
      <c r="Z115" s="13"/>
      <c r="AA115" s="13"/>
      <c r="AB115" s="13"/>
      <c r="AC115" s="13"/>
      <c r="AD115" s="13"/>
      <c r="AE115" s="13"/>
      <c r="AF115" s="13"/>
      <c r="AG115" s="13"/>
      <c r="AH115" s="13"/>
      <c r="AI115" s="13"/>
      <c r="AJ115" s="13"/>
      <c r="AK115" s="13"/>
      <c r="AL115" s="13"/>
      <c r="AM115" s="13"/>
      <c r="AN115" s="13"/>
      <c r="AO115" s="13"/>
      <c r="AP115" s="13"/>
      <c r="AQ115" s="13"/>
      <c r="AR115" s="13"/>
      <c r="AS115" s="13"/>
      <c r="AT115" s="13"/>
      <c r="AU115" s="13"/>
      <c r="AV115" s="13"/>
      <c r="AW115" s="13"/>
      <c r="AX115" s="13"/>
      <c r="AY115" s="13"/>
      <c r="AZ115" s="13"/>
      <c r="BA115" s="13"/>
      <c r="BB115" s="13"/>
      <c r="BC115" s="13"/>
      <c r="BD115" s="13"/>
      <c r="BE115" s="13"/>
      <c r="BF115" s="13"/>
      <c r="BG115" s="13"/>
      <c r="BH115" s="13"/>
      <c r="BI115" s="13"/>
      <c r="BJ115" s="13"/>
      <c r="BK115" s="13"/>
      <c r="BL115" s="13"/>
      <c r="BM115" s="13"/>
      <c r="BN115" s="13"/>
      <c r="BO115" s="13"/>
      <c r="BP115" s="13"/>
      <c r="BQ115" s="13"/>
      <c r="BR115" s="13"/>
    </row>
    <row r="116" spans="1:70" x14ac:dyDescent="0.45">
      <c r="B116" t="s">
        <v>172</v>
      </c>
      <c r="C116" s="13">
        <f t="shared" ref="C116:AX116" si="41">C106/C107</f>
        <v>2.5935545540989953</v>
      </c>
      <c r="D116" s="13">
        <f t="shared" si="41"/>
        <v>2.6931548523600206</v>
      </c>
      <c r="E116" s="13">
        <f t="shared" si="41"/>
        <v>1.9676462944035555</v>
      </c>
      <c r="F116" s="13">
        <f t="shared" si="41"/>
        <v>2.1080859932213993</v>
      </c>
      <c r="G116" s="13">
        <f t="shared" si="41"/>
        <v>0.82976942824188571</v>
      </c>
      <c r="H116" s="13">
        <f t="shared" si="41"/>
        <v>0.60747458602997273</v>
      </c>
      <c r="I116" s="13">
        <f t="shared" si="41"/>
        <v>0.38496057088349861</v>
      </c>
      <c r="J116" s="13">
        <f t="shared" si="41"/>
        <v>0.35313061634898013</v>
      </c>
      <c r="K116" s="13">
        <f t="shared" si="41"/>
        <v>0.3968620321697614</v>
      </c>
      <c r="L116" s="13">
        <f t="shared" si="41"/>
        <v>0.34886845342172063</v>
      </c>
      <c r="M116" s="13">
        <f t="shared" si="41"/>
        <v>0.31728132807056081</v>
      </c>
      <c r="N116" s="13">
        <f t="shared" si="41"/>
        <v>0.3788945549164599</v>
      </c>
      <c r="O116" s="13">
        <f t="shared" si="41"/>
        <v>0.30805038044010497</v>
      </c>
      <c r="P116" s="13">
        <f t="shared" si="41"/>
        <v>0.45241274407133875</v>
      </c>
      <c r="Q116" s="13">
        <f t="shared" si="41"/>
        <v>0.46077677801504913</v>
      </c>
      <c r="R116" s="13">
        <f t="shared" si="41"/>
        <v>0.7454844926705696</v>
      </c>
      <c r="S116" s="13">
        <f t="shared" si="41"/>
        <v>1.0521883725334362</v>
      </c>
      <c r="T116" s="13">
        <f t="shared" si="41"/>
        <v>1.0694921878348524</v>
      </c>
      <c r="U116" s="13">
        <f t="shared" si="41"/>
        <v>1.2375408567875592</v>
      </c>
      <c r="V116" s="13">
        <f t="shared" si="41"/>
        <v>1.2319982650637322</v>
      </c>
      <c r="W116" s="13">
        <f t="shared" si="41"/>
        <v>1.3635990798824964</v>
      </c>
      <c r="X116" s="13">
        <f t="shared" si="41"/>
        <v>1.4997790735923531</v>
      </c>
      <c r="Y116" s="13">
        <f t="shared" si="41"/>
        <v>1.6200851646663725</v>
      </c>
      <c r="Z116" s="13">
        <f t="shared" si="41"/>
        <v>2.1954226772456069</v>
      </c>
      <c r="AA116" s="13">
        <f t="shared" si="41"/>
        <v>1.7121132292244028</v>
      </c>
      <c r="AB116" s="13">
        <f t="shared" si="41"/>
        <v>1.2779203251994928</v>
      </c>
      <c r="AC116" s="13">
        <f t="shared" si="41"/>
        <v>1.2937060375285283</v>
      </c>
      <c r="AD116" s="13">
        <f t="shared" si="41"/>
        <v>1.321416481702115</v>
      </c>
      <c r="AE116" s="13">
        <f t="shared" si="41"/>
        <v>1.5793869865894332</v>
      </c>
      <c r="AF116" s="13">
        <f t="shared" si="41"/>
        <v>1.7691189187523797</v>
      </c>
      <c r="AG116" s="13">
        <f t="shared" si="41"/>
        <v>1.6560170653669084</v>
      </c>
      <c r="AH116" s="13">
        <f t="shared" si="41"/>
        <v>1.9012588697716579</v>
      </c>
      <c r="AI116" s="13">
        <f t="shared" si="41"/>
        <v>2.1083777045651457</v>
      </c>
      <c r="AJ116" s="13">
        <f t="shared" si="41"/>
        <v>1.885119244818636</v>
      </c>
      <c r="AK116" s="13">
        <f t="shared" si="41"/>
        <v>1.7661635087725103</v>
      </c>
      <c r="AL116" s="13">
        <f t="shared" si="41"/>
        <v>1.5116019020245086</v>
      </c>
      <c r="AM116" s="13">
        <f t="shared" si="41"/>
        <v>1.4706816865209327</v>
      </c>
      <c r="AN116" s="13">
        <f t="shared" si="41"/>
        <v>1.3549221246607446</v>
      </c>
      <c r="AO116" s="13">
        <f t="shared" si="41"/>
        <v>1.139913150038566</v>
      </c>
      <c r="AP116" s="13">
        <f t="shared" si="41"/>
        <v>1.1920801746864895</v>
      </c>
      <c r="AQ116" s="13">
        <f t="shared" si="41"/>
        <v>1.2990122944765767</v>
      </c>
      <c r="AR116" s="13">
        <f t="shared" si="41"/>
        <v>1.2719566170111636</v>
      </c>
      <c r="AS116" s="13">
        <f t="shared" si="41"/>
        <v>1.0567759324936201</v>
      </c>
      <c r="AT116" s="13">
        <f t="shared" si="41"/>
        <v>1.0054507271039523</v>
      </c>
      <c r="AU116" s="13">
        <f t="shared" si="41"/>
        <v>0.93902714209393712</v>
      </c>
      <c r="AV116" s="13">
        <f t="shared" si="41"/>
        <v>0.92080580417225177</v>
      </c>
      <c r="AW116" s="13">
        <f t="shared" si="41"/>
        <v>0.85791994363392465</v>
      </c>
      <c r="AX116" s="13">
        <f t="shared" si="41"/>
        <v>0.88796885921841073</v>
      </c>
      <c r="AY116" s="13">
        <f>AY106/AY107</f>
        <v>0.68160085321399722</v>
      </c>
      <c r="AZ116" s="13">
        <f>AZ106/AZ107</f>
        <v>0.62314368493892514</v>
      </c>
      <c r="BA116" s="13"/>
      <c r="BB116" s="13"/>
      <c r="BC116" s="13"/>
      <c r="BD116" s="13"/>
      <c r="BE116" s="13"/>
      <c r="BF116" s="13"/>
      <c r="BG116" s="13"/>
      <c r="BH116" s="13"/>
      <c r="BI116" s="13"/>
      <c r="BJ116" s="13"/>
      <c r="BK116" s="13"/>
      <c r="BL116" s="13"/>
      <c r="BM116" s="13"/>
      <c r="BN116" s="13"/>
      <c r="BO116" s="13"/>
      <c r="BP116" s="13"/>
      <c r="BQ116" s="13"/>
      <c r="BR116" s="13"/>
    </row>
    <row r="118" spans="1:70" x14ac:dyDescent="0.45">
      <c r="A118" t="s">
        <v>173</v>
      </c>
      <c r="C118" t="str">
        <f t="shared" ref="C118:AH118" si="42">C102</f>
        <v>1970</v>
      </c>
      <c r="D118" t="str">
        <f t="shared" si="42"/>
        <v>1971</v>
      </c>
      <c r="E118" t="str">
        <f t="shared" si="42"/>
        <v>1972</v>
      </c>
      <c r="F118" t="str">
        <f t="shared" si="42"/>
        <v>1973</v>
      </c>
      <c r="G118" t="str">
        <f t="shared" si="42"/>
        <v>1974</v>
      </c>
      <c r="H118" t="str">
        <f t="shared" si="42"/>
        <v>1975</v>
      </c>
      <c r="I118" t="str">
        <f t="shared" si="42"/>
        <v>1976</v>
      </c>
      <c r="J118" t="str">
        <f t="shared" si="42"/>
        <v>1977</v>
      </c>
      <c r="K118" t="str">
        <f t="shared" si="42"/>
        <v>1978</v>
      </c>
      <c r="L118" t="str">
        <f t="shared" si="42"/>
        <v>1979</v>
      </c>
      <c r="M118" t="str">
        <f t="shared" si="42"/>
        <v>1980</v>
      </c>
      <c r="N118" t="str">
        <f t="shared" si="42"/>
        <v>1981</v>
      </c>
      <c r="O118" t="str">
        <f t="shared" si="42"/>
        <v>1982</v>
      </c>
      <c r="P118" t="str">
        <f t="shared" si="42"/>
        <v>1983</v>
      </c>
      <c r="Q118" t="str">
        <f t="shared" si="42"/>
        <v>1984</v>
      </c>
      <c r="R118" t="str">
        <f t="shared" si="42"/>
        <v>1985</v>
      </c>
      <c r="S118" t="str">
        <f t="shared" si="42"/>
        <v>1986</v>
      </c>
      <c r="T118" t="str">
        <f t="shared" si="42"/>
        <v>1987</v>
      </c>
      <c r="U118" t="str">
        <f t="shared" si="42"/>
        <v>1988</v>
      </c>
      <c r="V118" t="str">
        <f t="shared" si="42"/>
        <v>1989</v>
      </c>
      <c r="W118" t="str">
        <f t="shared" si="42"/>
        <v>1990</v>
      </c>
      <c r="X118" t="str">
        <f t="shared" si="42"/>
        <v>1991</v>
      </c>
      <c r="Y118" t="str">
        <f t="shared" si="42"/>
        <v>1992</v>
      </c>
      <c r="Z118" t="str">
        <f t="shared" si="42"/>
        <v>1993</v>
      </c>
      <c r="AA118" t="str">
        <f t="shared" si="42"/>
        <v>1994</v>
      </c>
      <c r="AB118" t="str">
        <f t="shared" si="42"/>
        <v>1995</v>
      </c>
      <c r="AC118" t="str">
        <f t="shared" si="42"/>
        <v>1996</v>
      </c>
      <c r="AD118" t="str">
        <f t="shared" si="42"/>
        <v>1997</v>
      </c>
      <c r="AE118" t="str">
        <f t="shared" si="42"/>
        <v>1998</v>
      </c>
      <c r="AF118" t="str">
        <f t="shared" si="42"/>
        <v>1999</v>
      </c>
      <c r="AG118" t="str">
        <f t="shared" si="42"/>
        <v>2000</v>
      </c>
      <c r="AH118" t="str">
        <f t="shared" si="42"/>
        <v>2001</v>
      </c>
      <c r="AI118" t="str">
        <f t="shared" ref="AI118:AZ118" si="43">AI102</f>
        <v>2002</v>
      </c>
      <c r="AJ118" t="str">
        <f t="shared" si="43"/>
        <v>2003</v>
      </c>
      <c r="AK118" t="str">
        <f t="shared" si="43"/>
        <v>2004</v>
      </c>
      <c r="AL118" t="str">
        <f t="shared" si="43"/>
        <v>2005</v>
      </c>
      <c r="AM118" t="str">
        <f t="shared" si="43"/>
        <v>2006</v>
      </c>
      <c r="AN118" t="str">
        <f t="shared" si="43"/>
        <v>2007</v>
      </c>
      <c r="AO118" t="str">
        <f t="shared" si="43"/>
        <v>2008</v>
      </c>
      <c r="AP118" t="str">
        <f t="shared" si="43"/>
        <v>2009</v>
      </c>
      <c r="AQ118" t="str">
        <f t="shared" si="43"/>
        <v>2010</v>
      </c>
      <c r="AR118" t="str">
        <f t="shared" si="43"/>
        <v>2011</v>
      </c>
      <c r="AS118" t="str">
        <f t="shared" si="43"/>
        <v>2012</v>
      </c>
      <c r="AT118" t="str">
        <f t="shared" si="43"/>
        <v>2013</v>
      </c>
      <c r="AU118" t="str">
        <f t="shared" si="43"/>
        <v>2014</v>
      </c>
      <c r="AV118" t="str">
        <f t="shared" si="43"/>
        <v>2015</v>
      </c>
      <c r="AW118" t="str">
        <f t="shared" si="43"/>
        <v>2016</v>
      </c>
      <c r="AX118" t="str">
        <f t="shared" si="43"/>
        <v>2017</v>
      </c>
      <c r="AY118" t="str">
        <f t="shared" si="43"/>
        <v>2018</v>
      </c>
      <c r="AZ118" t="str">
        <f t="shared" si="43"/>
        <v>2019</v>
      </c>
    </row>
    <row r="119" spans="1:70" x14ac:dyDescent="0.45">
      <c r="B119" t="s">
        <v>174</v>
      </c>
      <c r="C119" s="14">
        <f t="shared" ref="C119:AX119" si="44">C106</f>
        <v>1.8962407999894921E-2</v>
      </c>
      <c r="D119" s="14">
        <f t="shared" si="44"/>
        <v>1.8338009768495665E-2</v>
      </c>
      <c r="E119" s="14">
        <f t="shared" si="44"/>
        <v>1.5855925981720691E-2</v>
      </c>
      <c r="F119" s="14">
        <f t="shared" si="44"/>
        <v>2.0699156428754785E-2</v>
      </c>
      <c r="G119" s="14">
        <f t="shared" si="44"/>
        <v>2.3345974876155775E-2</v>
      </c>
      <c r="H119" s="14">
        <f t="shared" si="44"/>
        <v>1.3587499648348236E-2</v>
      </c>
      <c r="I119" s="14">
        <f t="shared" si="44"/>
        <v>1.1048637985484699E-2</v>
      </c>
      <c r="J119" s="14">
        <f t="shared" si="44"/>
        <v>1.0105977826208735E-2</v>
      </c>
      <c r="K119" s="14">
        <f t="shared" si="44"/>
        <v>9.4162415784341241E-3</v>
      </c>
      <c r="L119" s="14">
        <f t="shared" si="44"/>
        <v>9.9937529086323966E-3</v>
      </c>
      <c r="M119" s="14">
        <f t="shared" si="44"/>
        <v>1.3664331004182659E-2</v>
      </c>
      <c r="N119" s="14">
        <f t="shared" si="44"/>
        <v>1.8140573349338558E-2</v>
      </c>
      <c r="O119" s="14">
        <f t="shared" si="44"/>
        <v>1.1606051396909218E-2</v>
      </c>
      <c r="P119" s="14">
        <f t="shared" si="44"/>
        <v>1.3396260421251421E-2</v>
      </c>
      <c r="Q119" s="14">
        <f t="shared" si="44"/>
        <v>1.1658344582857562E-2</v>
      </c>
      <c r="R119" s="14">
        <f t="shared" si="44"/>
        <v>1.3927249678296687E-2</v>
      </c>
      <c r="S119" s="14">
        <f t="shared" si="44"/>
        <v>1.2421999361164537E-2</v>
      </c>
      <c r="T119" s="14">
        <f t="shared" si="44"/>
        <v>1.0804817927378162E-2</v>
      </c>
      <c r="U119" s="14">
        <f t="shared" si="44"/>
        <v>1.2327564366116902E-2</v>
      </c>
      <c r="V119" s="14">
        <f t="shared" si="44"/>
        <v>1.1606471186968751E-2</v>
      </c>
      <c r="W119" s="14">
        <f t="shared" si="44"/>
        <v>1.3292458172288012E-2</v>
      </c>
      <c r="X119" s="14">
        <f t="shared" si="44"/>
        <v>1.7276359093006247E-2</v>
      </c>
      <c r="Y119" s="14">
        <f t="shared" si="44"/>
        <v>1.8655099430595221E-2</v>
      </c>
      <c r="Z119" s="14">
        <f t="shared" si="44"/>
        <v>2.3781191347644066E-2</v>
      </c>
      <c r="AA119" s="14">
        <f t="shared" si="44"/>
        <v>2.0759220626547049E-2</v>
      </c>
      <c r="AB119" s="14">
        <f t="shared" si="44"/>
        <v>1.529128231535315E-2</v>
      </c>
      <c r="AC119" s="14">
        <f t="shared" si="44"/>
        <v>1.656546253651249E-2</v>
      </c>
      <c r="AD119" s="14">
        <f t="shared" si="44"/>
        <v>1.8170819645092044E-2</v>
      </c>
      <c r="AE119" s="14">
        <f t="shared" si="44"/>
        <v>1.923053471942263E-2</v>
      </c>
      <c r="AF119" s="14">
        <f t="shared" si="44"/>
        <v>2.1700927990392617E-2</v>
      </c>
      <c r="AG119" s="14">
        <f t="shared" si="44"/>
        <v>2.395645534818595E-2</v>
      </c>
      <c r="AH119" s="14">
        <f t="shared" si="44"/>
        <v>2.7640591669366648E-2</v>
      </c>
      <c r="AI119" s="14">
        <f t="shared" si="44"/>
        <v>2.6255944757131104E-2</v>
      </c>
      <c r="AJ119" s="14">
        <f t="shared" si="44"/>
        <v>2.0713708524889206E-2</v>
      </c>
      <c r="AK119" s="14">
        <f t="shared" si="44"/>
        <v>1.8577114083399467E-2</v>
      </c>
      <c r="AL119" s="14">
        <f t="shared" si="44"/>
        <v>1.7741101855709991E-2</v>
      </c>
      <c r="AM119" s="14">
        <f t="shared" si="44"/>
        <v>1.7903181982890877E-2</v>
      </c>
      <c r="AN119" s="14">
        <f t="shared" si="44"/>
        <v>1.6409231116323225E-2</v>
      </c>
      <c r="AO119" s="14">
        <f t="shared" si="44"/>
        <v>1.5700607083815571E-2</v>
      </c>
      <c r="AP119" s="14">
        <f t="shared" si="44"/>
        <v>1.4322327949533666E-2</v>
      </c>
      <c r="AQ119" s="14">
        <f t="shared" si="44"/>
        <v>1.7814613013971151E-2</v>
      </c>
      <c r="AR119" s="14">
        <f t="shared" si="44"/>
        <v>1.915866093384062E-2</v>
      </c>
      <c r="AS119" s="14">
        <f t="shared" si="44"/>
        <v>1.6726594660416864E-2</v>
      </c>
      <c r="AT119" s="14">
        <f t="shared" si="44"/>
        <v>1.6072752554692444E-2</v>
      </c>
      <c r="AU119" s="14">
        <f t="shared" si="44"/>
        <v>1.4681693046943506E-2</v>
      </c>
      <c r="AV119" s="14">
        <f t="shared" si="44"/>
        <v>1.3907389199117538E-2</v>
      </c>
      <c r="AW119" s="14">
        <f t="shared" si="44"/>
        <v>1.3059220747374501E-2</v>
      </c>
      <c r="AX119" s="14">
        <f t="shared" si="44"/>
        <v>1.4020098069381435E-2</v>
      </c>
      <c r="AY119" s="14">
        <f>AY106</f>
        <v>1.1462000054607954E-2</v>
      </c>
      <c r="AZ119" s="14">
        <f>AZ106</f>
        <v>1.0893455802459789E-2</v>
      </c>
      <c r="BA119" s="14"/>
      <c r="BB119" s="14"/>
      <c r="BC119" s="14"/>
      <c r="BD119" s="14"/>
      <c r="BE119" s="14"/>
      <c r="BF119" s="14"/>
      <c r="BG119" s="14"/>
      <c r="BH119" s="14"/>
      <c r="BI119" s="14"/>
      <c r="BJ119" s="14"/>
      <c r="BK119" s="14"/>
      <c r="BL119" s="14"/>
      <c r="BM119" s="14"/>
      <c r="BN119" s="14"/>
      <c r="BO119" s="14"/>
      <c r="BP119" s="14"/>
      <c r="BQ119" s="14"/>
      <c r="BR119" s="14"/>
    </row>
    <row r="120" spans="1:70" x14ac:dyDescent="0.45">
      <c r="B120" t="s">
        <v>175</v>
      </c>
      <c r="C120" s="14">
        <f t="shared" ref="C120:AX120" si="45">C107</f>
        <v>7.3113588337386983E-3</v>
      </c>
      <c r="D120" s="14">
        <f t="shared" si="45"/>
        <v>6.8091182177757083E-3</v>
      </c>
      <c r="E120" s="14">
        <f t="shared" si="45"/>
        <v>8.0583212678104997E-3</v>
      </c>
      <c r="F120" s="14">
        <f t="shared" si="45"/>
        <v>9.8189336181320006E-3</v>
      </c>
      <c r="G120" s="14">
        <f t="shared" si="45"/>
        <v>2.8135496538624221E-2</v>
      </c>
      <c r="H120" s="14">
        <f t="shared" si="45"/>
        <v>2.2367190267409524E-2</v>
      </c>
      <c r="I120" s="14">
        <f t="shared" si="45"/>
        <v>2.8700700334394428E-2</v>
      </c>
      <c r="J120" s="14">
        <f t="shared" si="45"/>
        <v>2.8618243104193315E-2</v>
      </c>
      <c r="K120" s="14">
        <f t="shared" si="45"/>
        <v>2.3726738299838769E-2</v>
      </c>
      <c r="L120" s="14">
        <f t="shared" si="45"/>
        <v>2.8646192599569062E-2</v>
      </c>
      <c r="M120" s="14">
        <f t="shared" si="45"/>
        <v>4.306692450916564E-2</v>
      </c>
      <c r="N120" s="14">
        <f t="shared" si="45"/>
        <v>4.7877630105658972E-2</v>
      </c>
      <c r="O120" s="14">
        <f t="shared" si="45"/>
        <v>3.767582231298628E-2</v>
      </c>
      <c r="P120" s="14">
        <f t="shared" si="45"/>
        <v>2.961070526151896E-2</v>
      </c>
      <c r="Q120" s="14">
        <f t="shared" si="45"/>
        <v>2.5301502026816108E-2</v>
      </c>
      <c r="R120" s="14">
        <f t="shared" si="45"/>
        <v>1.8682145390314851E-2</v>
      </c>
      <c r="S120" s="14">
        <f t="shared" si="45"/>
        <v>1.1805870208634902E-2</v>
      </c>
      <c r="T120" s="14">
        <f t="shared" si="45"/>
        <v>1.0102755354624999E-2</v>
      </c>
      <c r="U120" s="14">
        <f t="shared" si="45"/>
        <v>9.9613392951866768E-3</v>
      </c>
      <c r="V120" s="14">
        <f t="shared" si="45"/>
        <v>9.4208502691100291E-3</v>
      </c>
      <c r="W120" s="14">
        <f t="shared" si="45"/>
        <v>9.7480691857268226E-3</v>
      </c>
      <c r="X120" s="14">
        <f t="shared" si="45"/>
        <v>1.1519269335866224E-2</v>
      </c>
      <c r="Y120" s="14">
        <f t="shared" si="45"/>
        <v>1.15148881290058E-2</v>
      </c>
      <c r="Z120" s="14">
        <f t="shared" si="45"/>
        <v>1.083216985691344E-2</v>
      </c>
      <c r="AA120" s="14">
        <f t="shared" si="45"/>
        <v>1.2124911058570055E-2</v>
      </c>
      <c r="AB120" s="14">
        <f t="shared" si="45"/>
        <v>1.196575562170988E-2</v>
      </c>
      <c r="AC120" s="14">
        <f t="shared" si="45"/>
        <v>1.2804657361079368E-2</v>
      </c>
      <c r="AD120" s="14">
        <f t="shared" si="45"/>
        <v>1.3751016350035405E-2</v>
      </c>
      <c r="AE120" s="14">
        <f t="shared" si="45"/>
        <v>1.2175948569102443E-2</v>
      </c>
      <c r="AF120" s="14">
        <f t="shared" si="45"/>
        <v>1.2266517394826445E-2</v>
      </c>
      <c r="AG120" s="14">
        <f t="shared" si="45"/>
        <v>1.4466309465765161E-2</v>
      </c>
      <c r="AH120" s="14">
        <f t="shared" si="45"/>
        <v>1.453804745309948E-2</v>
      </c>
      <c r="AI120" s="14">
        <f t="shared" si="45"/>
        <v>1.245315044846123E-2</v>
      </c>
      <c r="AJ120" s="14">
        <f t="shared" si="45"/>
        <v>1.0988009687886898E-2</v>
      </c>
      <c r="AK120" s="14">
        <f t="shared" si="45"/>
        <v>1.0518343285390731E-2</v>
      </c>
      <c r="AL120" s="14">
        <f t="shared" si="45"/>
        <v>1.1736623135991756E-2</v>
      </c>
      <c r="AM120" s="14">
        <f t="shared" si="45"/>
        <v>1.2173390167958724E-2</v>
      </c>
      <c r="AN120" s="14">
        <f t="shared" si="45"/>
        <v>1.2110829705752934E-2</v>
      </c>
      <c r="AO120" s="14">
        <f t="shared" si="45"/>
        <v>1.3773511677871584E-2</v>
      </c>
      <c r="AP120" s="14">
        <f t="shared" si="45"/>
        <v>1.2014567689040176E-2</v>
      </c>
      <c r="AQ120" s="14">
        <f t="shared" si="45"/>
        <v>1.3713967981457296E-2</v>
      </c>
      <c r="AR120" s="14">
        <f t="shared" si="45"/>
        <v>1.5062354075298207E-2</v>
      </c>
      <c r="AS120" s="14">
        <f t="shared" si="45"/>
        <v>1.5827948145022544E-2</v>
      </c>
      <c r="AT120" s="14">
        <f t="shared" si="45"/>
        <v>1.5985619306266314E-2</v>
      </c>
      <c r="AU120" s="14">
        <f t="shared" si="45"/>
        <v>1.5635003919274144E-2</v>
      </c>
      <c r="AV120" s="14">
        <f t="shared" si="45"/>
        <v>1.5103498627074177E-2</v>
      </c>
      <c r="AW120" s="14">
        <f t="shared" si="45"/>
        <v>1.5221957298322096E-2</v>
      </c>
      <c r="AX120" s="14">
        <f t="shared" si="45"/>
        <v>1.5788952420833665E-2</v>
      </c>
      <c r="AY120" s="14">
        <f>AY107</f>
        <v>1.6816293583789447E-2</v>
      </c>
      <c r="AZ120" s="14">
        <f>AZ107</f>
        <v>1.7481451013224129E-2</v>
      </c>
      <c r="BA120" s="14"/>
      <c r="BB120" s="14"/>
      <c r="BC120" s="14"/>
      <c r="BD120" s="14"/>
      <c r="BE120" s="14"/>
      <c r="BF120" s="14"/>
      <c r="BG120" s="14"/>
      <c r="BH120" s="14"/>
      <c r="BI120" s="14"/>
      <c r="BJ120" s="14"/>
      <c r="BK120" s="14"/>
      <c r="BL120" s="14"/>
      <c r="BM120" s="14"/>
      <c r="BN120" s="14"/>
      <c r="BO120" s="14"/>
      <c r="BP120" s="14"/>
      <c r="BQ120" s="14"/>
      <c r="BR120" s="14"/>
    </row>
    <row r="122" spans="1:70" x14ac:dyDescent="0.45">
      <c r="A122" t="s">
        <v>182</v>
      </c>
      <c r="C122" t="str">
        <f>C118</f>
        <v>1970</v>
      </c>
      <c r="D122" t="str">
        <f t="shared" ref="D122:AX122" si="46">D118</f>
        <v>1971</v>
      </c>
      <c r="E122" t="str">
        <f t="shared" si="46"/>
        <v>1972</v>
      </c>
      <c r="F122" t="str">
        <f t="shared" si="46"/>
        <v>1973</v>
      </c>
      <c r="G122" t="str">
        <f t="shared" si="46"/>
        <v>1974</v>
      </c>
      <c r="H122" t="str">
        <f t="shared" si="46"/>
        <v>1975</v>
      </c>
      <c r="I122" t="str">
        <f t="shared" si="46"/>
        <v>1976</v>
      </c>
      <c r="J122" t="str">
        <f t="shared" si="46"/>
        <v>1977</v>
      </c>
      <c r="K122" t="str">
        <f t="shared" si="46"/>
        <v>1978</v>
      </c>
      <c r="L122" t="str">
        <f t="shared" si="46"/>
        <v>1979</v>
      </c>
      <c r="M122" t="str">
        <f t="shared" si="46"/>
        <v>1980</v>
      </c>
      <c r="N122" t="str">
        <f t="shared" si="46"/>
        <v>1981</v>
      </c>
      <c r="O122" t="str">
        <f t="shared" si="46"/>
        <v>1982</v>
      </c>
      <c r="P122" t="str">
        <f t="shared" si="46"/>
        <v>1983</v>
      </c>
      <c r="Q122" t="str">
        <f t="shared" si="46"/>
        <v>1984</v>
      </c>
      <c r="R122" t="str">
        <f t="shared" si="46"/>
        <v>1985</v>
      </c>
      <c r="S122" t="str">
        <f t="shared" si="46"/>
        <v>1986</v>
      </c>
      <c r="T122" t="str">
        <f t="shared" si="46"/>
        <v>1987</v>
      </c>
      <c r="U122" t="str">
        <f t="shared" si="46"/>
        <v>1988</v>
      </c>
      <c r="V122" t="str">
        <f t="shared" si="46"/>
        <v>1989</v>
      </c>
      <c r="W122" t="str">
        <f t="shared" si="46"/>
        <v>1990</v>
      </c>
      <c r="X122" t="str">
        <f t="shared" si="46"/>
        <v>1991</v>
      </c>
      <c r="Y122" t="str">
        <f t="shared" si="46"/>
        <v>1992</v>
      </c>
      <c r="Z122" t="str">
        <f t="shared" si="46"/>
        <v>1993</v>
      </c>
      <c r="AA122" t="str">
        <f t="shared" si="46"/>
        <v>1994</v>
      </c>
      <c r="AB122" t="str">
        <f t="shared" si="46"/>
        <v>1995</v>
      </c>
      <c r="AC122" t="str">
        <f t="shared" si="46"/>
        <v>1996</v>
      </c>
      <c r="AD122" t="str">
        <f t="shared" si="46"/>
        <v>1997</v>
      </c>
      <c r="AE122" t="str">
        <f t="shared" si="46"/>
        <v>1998</v>
      </c>
      <c r="AF122" t="str">
        <f t="shared" si="46"/>
        <v>1999</v>
      </c>
      <c r="AG122" t="str">
        <f t="shared" si="46"/>
        <v>2000</v>
      </c>
      <c r="AH122" t="str">
        <f t="shared" si="46"/>
        <v>2001</v>
      </c>
      <c r="AI122" t="str">
        <f t="shared" si="46"/>
        <v>2002</v>
      </c>
      <c r="AJ122" t="str">
        <f t="shared" si="46"/>
        <v>2003</v>
      </c>
      <c r="AK122" t="str">
        <f t="shared" si="46"/>
        <v>2004</v>
      </c>
      <c r="AL122" t="str">
        <f t="shared" si="46"/>
        <v>2005</v>
      </c>
      <c r="AM122" t="str">
        <f t="shared" si="46"/>
        <v>2006</v>
      </c>
      <c r="AN122" t="str">
        <f t="shared" si="46"/>
        <v>2007</v>
      </c>
      <c r="AO122" t="str">
        <f t="shared" si="46"/>
        <v>2008</v>
      </c>
      <c r="AP122" t="str">
        <f t="shared" si="46"/>
        <v>2009</v>
      </c>
      <c r="AQ122" t="str">
        <f t="shared" si="46"/>
        <v>2010</v>
      </c>
      <c r="AR122" t="str">
        <f t="shared" si="46"/>
        <v>2011</v>
      </c>
      <c r="AS122" t="str">
        <f t="shared" si="46"/>
        <v>2012</v>
      </c>
      <c r="AT122" t="str">
        <f t="shared" si="46"/>
        <v>2013</v>
      </c>
      <c r="AU122" t="str">
        <f t="shared" si="46"/>
        <v>2014</v>
      </c>
      <c r="AV122" t="str">
        <f t="shared" si="46"/>
        <v>2015</v>
      </c>
      <c r="AW122" t="str">
        <f t="shared" si="46"/>
        <v>2016</v>
      </c>
      <c r="AX122" t="str">
        <f t="shared" si="46"/>
        <v>2017</v>
      </c>
      <c r="AY122" t="str">
        <f t="shared" ref="AY122:AZ122" si="47">AY118</f>
        <v>2018</v>
      </c>
      <c r="AZ122" t="str">
        <f t="shared" si="47"/>
        <v>2019</v>
      </c>
    </row>
    <row r="123" spans="1:70" x14ac:dyDescent="0.45">
      <c r="B123" t="str">
        <f>B103</f>
        <v>China</v>
      </c>
      <c r="C123" s="16">
        <f t="shared" ref="C123:AH123" si="48">C103/C$106</f>
        <v>0</v>
      </c>
      <c r="D123" s="16">
        <f t="shared" si="48"/>
        <v>0</v>
      </c>
      <c r="E123" s="16">
        <f t="shared" si="48"/>
        <v>0</v>
      </c>
      <c r="F123" s="16">
        <f t="shared" si="48"/>
        <v>0</v>
      </c>
      <c r="G123" s="16">
        <f t="shared" si="48"/>
        <v>0</v>
      </c>
      <c r="H123" s="16">
        <f t="shared" si="48"/>
        <v>0</v>
      </c>
      <c r="I123" s="16">
        <f t="shared" si="48"/>
        <v>0</v>
      </c>
      <c r="J123" s="16">
        <f t="shared" si="48"/>
        <v>0</v>
      </c>
      <c r="K123" s="16">
        <f t="shared" si="48"/>
        <v>0</v>
      </c>
      <c r="L123" s="16">
        <f t="shared" si="48"/>
        <v>0</v>
      </c>
      <c r="M123" s="16">
        <f t="shared" si="48"/>
        <v>0</v>
      </c>
      <c r="N123" s="16">
        <f t="shared" si="48"/>
        <v>0</v>
      </c>
      <c r="O123" s="16">
        <f t="shared" si="48"/>
        <v>0</v>
      </c>
      <c r="P123" s="16">
        <f t="shared" si="48"/>
        <v>0</v>
      </c>
      <c r="Q123" s="16">
        <f t="shared" si="48"/>
        <v>0</v>
      </c>
      <c r="R123" s="16">
        <f t="shared" si="48"/>
        <v>0</v>
      </c>
      <c r="S123" s="16">
        <f t="shared" si="48"/>
        <v>0</v>
      </c>
      <c r="T123" s="16">
        <f t="shared" si="48"/>
        <v>0</v>
      </c>
      <c r="U123" s="16">
        <f t="shared" si="48"/>
        <v>0</v>
      </c>
      <c r="V123" s="16">
        <f t="shared" si="48"/>
        <v>0</v>
      </c>
      <c r="W123" s="16">
        <f t="shared" si="48"/>
        <v>0</v>
      </c>
      <c r="X123" s="16">
        <f t="shared" si="48"/>
        <v>0</v>
      </c>
      <c r="Y123" s="16">
        <f t="shared" si="48"/>
        <v>0</v>
      </c>
      <c r="Z123" s="16">
        <f t="shared" si="48"/>
        <v>0</v>
      </c>
      <c r="AA123" s="16">
        <f t="shared" si="48"/>
        <v>0</v>
      </c>
      <c r="AB123" s="16">
        <f t="shared" si="48"/>
        <v>0</v>
      </c>
      <c r="AC123" s="16">
        <f t="shared" si="48"/>
        <v>0</v>
      </c>
      <c r="AD123" s="16">
        <f t="shared" si="48"/>
        <v>0</v>
      </c>
      <c r="AE123" s="16">
        <f t="shared" si="48"/>
        <v>0</v>
      </c>
      <c r="AF123" s="16">
        <f t="shared" si="48"/>
        <v>0</v>
      </c>
      <c r="AG123" s="16">
        <f t="shared" si="48"/>
        <v>0</v>
      </c>
      <c r="AH123" s="16">
        <f t="shared" si="48"/>
        <v>0</v>
      </c>
      <c r="AI123" s="16">
        <f t="shared" ref="AI123:AZ123" si="49">AI103/AI$106</f>
        <v>0</v>
      </c>
      <c r="AJ123" s="16">
        <f t="shared" si="49"/>
        <v>0</v>
      </c>
      <c r="AK123" s="16">
        <f t="shared" si="49"/>
        <v>0</v>
      </c>
      <c r="AL123" s="16">
        <f t="shared" si="49"/>
        <v>0</v>
      </c>
      <c r="AM123" s="16">
        <f t="shared" si="49"/>
        <v>0</v>
      </c>
      <c r="AN123" s="16">
        <f t="shared" si="49"/>
        <v>0</v>
      </c>
      <c r="AO123" s="16">
        <f t="shared" si="49"/>
        <v>0</v>
      </c>
      <c r="AP123" s="16">
        <f t="shared" si="49"/>
        <v>0</v>
      </c>
      <c r="AQ123" s="16">
        <f t="shared" si="49"/>
        <v>0</v>
      </c>
      <c r="AR123" s="16">
        <f t="shared" si="49"/>
        <v>0</v>
      </c>
      <c r="AS123" s="16">
        <f t="shared" si="49"/>
        <v>0</v>
      </c>
      <c r="AT123" s="16">
        <f t="shared" si="49"/>
        <v>0</v>
      </c>
      <c r="AU123" s="16">
        <f t="shared" si="49"/>
        <v>0</v>
      </c>
      <c r="AV123" s="16">
        <f t="shared" si="49"/>
        <v>0</v>
      </c>
      <c r="AW123" s="16">
        <f t="shared" si="49"/>
        <v>0</v>
      </c>
      <c r="AX123" s="16">
        <f t="shared" si="49"/>
        <v>0</v>
      </c>
      <c r="AY123" s="16">
        <f t="shared" si="49"/>
        <v>0</v>
      </c>
      <c r="AZ123" s="16">
        <f t="shared" si="49"/>
        <v>0</v>
      </c>
      <c r="BA123" s="16"/>
      <c r="BB123" s="16"/>
      <c r="BC123" s="16"/>
      <c r="BD123" s="16"/>
      <c r="BE123" s="16"/>
      <c r="BF123" s="16"/>
      <c r="BG123" s="16"/>
      <c r="BH123" s="16"/>
      <c r="BI123" s="16"/>
      <c r="BJ123" s="16"/>
      <c r="BK123" s="16"/>
      <c r="BL123" s="16"/>
      <c r="BM123" s="16"/>
      <c r="BN123" s="16"/>
      <c r="BO123" s="16"/>
      <c r="BP123" s="16"/>
      <c r="BQ123" s="16"/>
      <c r="BR123" s="16"/>
    </row>
    <row r="124" spans="1:70" x14ac:dyDescent="0.45">
      <c r="B124" t="str">
        <f>B104</f>
        <v>East Asia</v>
      </c>
      <c r="C124" s="16">
        <f t="shared" ref="C124:AH124" si="50">C104/C$106</f>
        <v>1.5403685117882093</v>
      </c>
      <c r="D124" s="16">
        <f t="shared" si="50"/>
        <v>1.6837822404736424</v>
      </c>
      <c r="E124" s="16">
        <f t="shared" si="50"/>
        <v>2.4248322965420988</v>
      </c>
      <c r="F124" s="16">
        <f t="shared" si="50"/>
        <v>2.1378052232205604</v>
      </c>
      <c r="G124" s="16">
        <f t="shared" si="50"/>
        <v>1.7265446510788689</v>
      </c>
      <c r="H124" s="16">
        <f t="shared" si="50"/>
        <v>2.9236863830313049</v>
      </c>
      <c r="I124" s="16">
        <f t="shared" si="50"/>
        <v>3.68531392274536</v>
      </c>
      <c r="J124" s="16">
        <f t="shared" si="50"/>
        <v>4.5022448176515653</v>
      </c>
      <c r="K124" s="16">
        <f t="shared" si="50"/>
        <v>6.0908577162871627</v>
      </c>
      <c r="L124" s="16">
        <f t="shared" si="50"/>
        <v>4.9231742356691948</v>
      </c>
      <c r="M124" s="16">
        <f t="shared" si="50"/>
        <v>3.3430649930485239</v>
      </c>
      <c r="N124" s="16">
        <f t="shared" si="50"/>
        <v>2.7419347355725252</v>
      </c>
      <c r="O124" s="16">
        <f t="shared" si="50"/>
        <v>3.9108637564052411</v>
      </c>
      <c r="P124" s="16">
        <f t="shared" si="50"/>
        <v>3.7805891636446374</v>
      </c>
      <c r="Q124" s="16">
        <f t="shared" si="50"/>
        <v>4.5525535310064722</v>
      </c>
      <c r="R124" s="16">
        <f t="shared" si="50"/>
        <v>4.0420229986754341</v>
      </c>
      <c r="S124" s="16">
        <f t="shared" si="50"/>
        <v>6.4146092700735515</v>
      </c>
      <c r="T124" s="16">
        <f t="shared" si="50"/>
        <v>8.0348618836281407</v>
      </c>
      <c r="U124" s="16">
        <f t="shared" si="50"/>
        <v>7.7233267602061906</v>
      </c>
      <c r="V124" s="16">
        <f t="shared" si="50"/>
        <v>7.5759359067257508</v>
      </c>
      <c r="W124" s="16">
        <f t="shared" si="50"/>
        <v>5.9719545229622684</v>
      </c>
      <c r="X124" s="16">
        <f t="shared" si="50"/>
        <v>5.0687660980669902</v>
      </c>
      <c r="Y124" s="16">
        <f t="shared" si="50"/>
        <v>4.8447949965647616</v>
      </c>
      <c r="Z124" s="16">
        <f t="shared" si="50"/>
        <v>4.3746914578583267</v>
      </c>
      <c r="AA124" s="16">
        <f t="shared" si="50"/>
        <v>5.1386410741989206</v>
      </c>
      <c r="AB124" s="16">
        <f t="shared" si="50"/>
        <v>6.9566728386528283</v>
      </c>
      <c r="AC124" s="16">
        <f t="shared" si="50"/>
        <v>5.3549134140589985</v>
      </c>
      <c r="AD124" s="16">
        <f t="shared" si="50"/>
        <v>4.5929870477694728</v>
      </c>
      <c r="AE124" s="16">
        <f t="shared" si="50"/>
        <v>4.2323015422843957</v>
      </c>
      <c r="AF124" s="16">
        <f t="shared" si="50"/>
        <v>4.0906330001202837</v>
      </c>
      <c r="AG124" s="16">
        <f t="shared" si="50"/>
        <v>3.9254633737392908</v>
      </c>
      <c r="AH124" s="16">
        <f t="shared" si="50"/>
        <v>3.0115573110604226</v>
      </c>
      <c r="AI124" s="16">
        <f t="shared" ref="AI124:AZ124" si="51">AI104/AI$106</f>
        <v>2.8628461153575855</v>
      </c>
      <c r="AJ124" s="16">
        <f t="shared" si="51"/>
        <v>3.5357477483147814</v>
      </c>
      <c r="AK124" s="16">
        <f t="shared" si="51"/>
        <v>3.8445747597499977</v>
      </c>
      <c r="AL124" s="16">
        <f t="shared" si="51"/>
        <v>3.6674711750834459</v>
      </c>
      <c r="AM124" s="16">
        <f t="shared" si="51"/>
        <v>3.1443905198456328</v>
      </c>
      <c r="AN124" s="16">
        <f t="shared" si="51"/>
        <v>2.9936744272256433</v>
      </c>
      <c r="AO124" s="16">
        <f t="shared" si="51"/>
        <v>3.1682594858981266</v>
      </c>
      <c r="AP124" s="16">
        <f t="shared" si="51"/>
        <v>3.9153746395369566</v>
      </c>
      <c r="AQ124" s="16">
        <f t="shared" si="51"/>
        <v>3.1152276885261991</v>
      </c>
      <c r="AR124" s="16">
        <f t="shared" si="51"/>
        <v>2.8649396055076339</v>
      </c>
      <c r="AS124" s="16">
        <f t="shared" si="51"/>
        <v>3.2247412043428487</v>
      </c>
      <c r="AT124" s="16">
        <f t="shared" si="51"/>
        <v>2.6152434163544003</v>
      </c>
      <c r="AU124" s="16">
        <f t="shared" si="51"/>
        <v>2.6620217763451794</v>
      </c>
      <c r="AV124" s="16">
        <f t="shared" si="51"/>
        <v>2.6930834028653052</v>
      </c>
      <c r="AW124" s="16">
        <f t="shared" si="51"/>
        <v>3.2285491972056826</v>
      </c>
      <c r="AX124" s="16">
        <f t="shared" si="51"/>
        <v>2.8574937478942251</v>
      </c>
      <c r="AY124" s="16">
        <f t="shared" si="51"/>
        <v>3.3766798593217122</v>
      </c>
      <c r="AZ124" s="16">
        <f t="shared" si="51"/>
        <v>3.4997424186416253</v>
      </c>
      <c r="BA124" s="16"/>
      <c r="BB124" s="16"/>
      <c r="BC124" s="16"/>
      <c r="BD124" s="16"/>
      <c r="BE124" s="16"/>
      <c r="BF124" s="16"/>
      <c r="BG124" s="16"/>
      <c r="BH124" s="16"/>
      <c r="BI124" s="16"/>
      <c r="BJ124" s="16"/>
      <c r="BK124" s="16"/>
      <c r="BL124" s="16"/>
      <c r="BM124" s="16"/>
      <c r="BN124" s="16"/>
      <c r="BO124" s="16"/>
      <c r="BP124" s="16"/>
      <c r="BQ124" s="16"/>
      <c r="BR124" s="16"/>
    </row>
    <row r="125" spans="1:70" x14ac:dyDescent="0.45">
      <c r="B125" s="14" t="str">
        <f>B105</f>
        <v>Europe</v>
      </c>
      <c r="C125" s="16">
        <f>C105/C106</f>
        <v>1.1369585683490337</v>
      </c>
      <c r="D125" s="16">
        <f t="shared" ref="D125:AX125" si="52">D105/D106</f>
        <v>1.2529622370201634</v>
      </c>
      <c r="E125" s="16">
        <f t="shared" si="52"/>
        <v>1.537806612704673</v>
      </c>
      <c r="F125" s="16">
        <f t="shared" si="52"/>
        <v>1.3894704181434161</v>
      </c>
      <c r="G125" s="16">
        <f t="shared" si="52"/>
        <v>1.2057891550307627</v>
      </c>
      <c r="H125" s="16">
        <f t="shared" si="52"/>
        <v>2.3502083675258789</v>
      </c>
      <c r="I125" s="16">
        <f t="shared" si="52"/>
        <v>3.2979265446845889</v>
      </c>
      <c r="J125" s="16">
        <f t="shared" si="52"/>
        <v>3.5995189043227152</v>
      </c>
      <c r="K125" s="16">
        <f t="shared" si="52"/>
        <v>4.1188801899023444</v>
      </c>
      <c r="L125" s="16">
        <f t="shared" si="52"/>
        <v>3.4039428567295018</v>
      </c>
      <c r="M125" s="16">
        <f t="shared" si="52"/>
        <v>2.2137560293472669</v>
      </c>
      <c r="N125" s="16">
        <f t="shared" si="52"/>
        <v>1.3877798324625579</v>
      </c>
      <c r="O125" s="16">
        <f t="shared" si="52"/>
        <v>2.0642143179902073</v>
      </c>
      <c r="P125" s="16">
        <f t="shared" si="52"/>
        <v>1.9213000018789097</v>
      </c>
      <c r="Q125" s="16">
        <f t="shared" si="52"/>
        <v>2.0421686111456001</v>
      </c>
      <c r="R125" s="16">
        <f t="shared" si="52"/>
        <v>1.6684488360045409</v>
      </c>
      <c r="S125" s="16">
        <f t="shared" si="52"/>
        <v>2.2818736406137834</v>
      </c>
      <c r="T125" s="16">
        <f t="shared" si="52"/>
        <v>2.808675725371558</v>
      </c>
      <c r="U125" s="16">
        <f t="shared" si="52"/>
        <v>2.1265249232824779</v>
      </c>
      <c r="V125" s="16">
        <f t="shared" si="52"/>
        <v>1.9300607349449814</v>
      </c>
      <c r="W125" s="16">
        <f t="shared" si="52"/>
        <v>1.7711895929765951</v>
      </c>
      <c r="X125" s="16">
        <f t="shared" si="52"/>
        <v>1.1920122426211144</v>
      </c>
      <c r="Y125" s="16">
        <f t="shared" si="52"/>
        <v>1.088974220216405</v>
      </c>
      <c r="Z125" s="16">
        <f t="shared" si="52"/>
        <v>0.98662278630100864</v>
      </c>
      <c r="AA125" s="16">
        <f t="shared" si="52"/>
        <v>1.2232385995112594</v>
      </c>
      <c r="AB125" s="16">
        <f t="shared" si="52"/>
        <v>1.8717781368278059</v>
      </c>
      <c r="AC125" s="16">
        <f t="shared" si="52"/>
        <v>1.3995761259035915</v>
      </c>
      <c r="AD125" s="16">
        <f t="shared" si="52"/>
        <v>1.0907206617995475</v>
      </c>
      <c r="AE125" s="16">
        <f t="shared" si="52"/>
        <v>1.0316696706187807</v>
      </c>
      <c r="AF125" s="16">
        <f t="shared" si="52"/>
        <v>0.88314266159900057</v>
      </c>
      <c r="AG125" s="16">
        <f t="shared" si="52"/>
        <v>0.81071220353261886</v>
      </c>
      <c r="AH125" s="16">
        <f t="shared" si="52"/>
        <v>0.65827620518430885</v>
      </c>
      <c r="AI125" s="16">
        <f t="shared" si="52"/>
        <v>0.71418265701461814</v>
      </c>
      <c r="AJ125" s="16">
        <f t="shared" si="52"/>
        <v>0.82912804290224251</v>
      </c>
      <c r="AK125" s="16">
        <f t="shared" si="52"/>
        <v>0.94648007890079378</v>
      </c>
      <c r="AL125" s="16">
        <f t="shared" si="52"/>
        <v>1.0314867670351704</v>
      </c>
      <c r="AM125" s="16">
        <f t="shared" si="52"/>
        <v>1.0506215965000869</v>
      </c>
      <c r="AN125" s="16">
        <f t="shared" si="52"/>
        <v>1.1674853235784539</v>
      </c>
      <c r="AO125" s="16">
        <f t="shared" si="52"/>
        <v>1.1572734022752587</v>
      </c>
      <c r="AP125" s="16">
        <f t="shared" si="52"/>
        <v>1.1391154154534</v>
      </c>
      <c r="AQ125" s="16">
        <f t="shared" si="52"/>
        <v>1.0657256455309945</v>
      </c>
      <c r="AR125" s="16">
        <f t="shared" si="52"/>
        <v>1.242750249882778</v>
      </c>
      <c r="AS125" s="16">
        <f t="shared" si="52"/>
        <v>1.5381818924915607</v>
      </c>
      <c r="AT125" s="16">
        <f t="shared" si="52"/>
        <v>1.6625268228894363</v>
      </c>
      <c r="AU125" s="16">
        <f t="shared" si="52"/>
        <v>1.7938194040309454</v>
      </c>
      <c r="AV125" s="16">
        <f t="shared" si="52"/>
        <v>1.8917436081501089</v>
      </c>
      <c r="AW125" s="16">
        <f t="shared" si="52"/>
        <v>1.8187869806583401</v>
      </c>
      <c r="AX125" s="16">
        <f t="shared" si="52"/>
        <v>1.6418721167567387</v>
      </c>
      <c r="AY125" s="16">
        <f>AY105/AY106</f>
        <v>2.0161999202060703</v>
      </c>
      <c r="AZ125" s="16">
        <f>AZ105/AZ106</f>
        <v>2.0737766845754493</v>
      </c>
      <c r="BA125" s="16"/>
      <c r="BB125" s="16"/>
      <c r="BC125" s="16"/>
      <c r="BD125" s="16"/>
      <c r="BE125" s="16"/>
      <c r="BF125" s="16"/>
      <c r="BG125" s="16"/>
      <c r="BH125" s="16"/>
      <c r="BI125" s="16"/>
      <c r="BJ125" s="16"/>
      <c r="BK125" s="16"/>
      <c r="BL125" s="16"/>
      <c r="BM125" s="16"/>
      <c r="BN125" s="16"/>
      <c r="BO125" s="16"/>
      <c r="BP125" s="16"/>
      <c r="BQ125" s="16"/>
      <c r="BR125" s="16"/>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Charts</vt:lpstr>
      </vt:variant>
      <vt:variant>
        <vt:i4>2</vt:i4>
      </vt:variant>
    </vt:vector>
  </HeadingPairs>
  <TitlesOfParts>
    <vt:vector size="6" baseType="lpstr">
      <vt:lpstr>Copyright</vt:lpstr>
      <vt:lpstr>Population</vt:lpstr>
      <vt:lpstr>GDP</vt:lpstr>
      <vt:lpstr>Theil</vt:lpstr>
      <vt:lpstr>Unnormalised T</vt:lpstr>
      <vt:lpstr>Theil Components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Alan Freeman</dc:creator>
  <cp:lastModifiedBy>Alan Freeman</cp:lastModifiedBy>
  <dcterms:created xsi:type="dcterms:W3CDTF">2015-06-05T18:17:20Z</dcterms:created>
  <dcterms:modified xsi:type="dcterms:W3CDTF">2020-12-07T11:55:39Z</dcterms:modified>
</cp:coreProperties>
</file>